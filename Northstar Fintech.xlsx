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8.xml" ContentType="application/vnd.openxmlformats-officedocument.drawingml.chart+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slicers/slicer2.xml" ContentType="application/vnd.ms-excel.slicer+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xml" ContentType="application/vnd.openxmlformats-officedocument.drawing+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omePC\Documents\"/>
    </mc:Choice>
  </mc:AlternateContent>
  <xr:revisionPtr revIDLastSave="0" documentId="13_ncr:1_{7188A2C6-B182-42FD-9900-9315A3447E65}" xr6:coauthVersionLast="47" xr6:coauthVersionMax="47" xr10:uidLastSave="{00000000-0000-0000-0000-000000000000}"/>
  <bookViews>
    <workbookView xWindow="-108" yWindow="-108" windowWidth="23256" windowHeight="12456" firstSheet="3" activeTab="4" xr2:uid="{C981381B-9410-4803-B1A0-4D0DC5CB6C9C}"/>
  </bookViews>
  <sheets>
    <sheet name="Cleaned Data" sheetId="1" r:id="rId1"/>
    <sheet name="KPI CAL" sheetId="2" r:id="rId2"/>
    <sheet name="PERFORMANCE DASHBOARD" sheetId="3" r:id="rId3"/>
    <sheet name="customer segment dashboard" sheetId="8" r:id="rId4"/>
    <sheet name="Subscription Dashboard" sheetId="9" r:id="rId5"/>
    <sheet name="Gender Dashboard" sheetId="10" r:id="rId6"/>
  </sheets>
  <definedNames>
    <definedName name="_xlchart.v2.0" hidden="1">'KPI CAL'!$L$3:$L$12</definedName>
    <definedName name="_xlchart.v2.1" hidden="1">'KPI CAL'!$M$2</definedName>
    <definedName name="_xlchart.v2.2" hidden="1">'KPI CAL'!$M$3:$M$12</definedName>
    <definedName name="_xlchart.v2.3" hidden="1">'KPI CAL'!$L$3:$L$12</definedName>
    <definedName name="_xlchart.v2.4" hidden="1">'KPI CAL'!$M$2</definedName>
    <definedName name="_xlchart.v2.5" hidden="1">'KPI CAL'!$M$3:$M$12</definedName>
    <definedName name="ExternalData_1" localSheetId="0" hidden="1">'Cleaned Data'!$A$1:$AQ$1420</definedName>
    <definedName name="ExternalData_2" localSheetId="0" hidden="1">'Cleaned Data'!$A$1:$AQ$1420</definedName>
    <definedName name="NativeTimeline_Event_Date">#N/A</definedName>
    <definedName name="Slicer_Acquisition_Channel">#N/A</definedName>
    <definedName name="Slicer_Gender">#N/A</definedName>
    <definedName name="Slicer_Gender1">#N/A</definedName>
  </definedNames>
  <calcPr calcId="191029"/>
  <pivotCaches>
    <pivotCache cacheId="8" r:id="rId7"/>
    <pivotCache cacheId="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53" i="2" l="1"/>
  <c r="G354" i="2"/>
  <c r="G355" i="2"/>
  <c r="G356" i="2"/>
  <c r="G357" i="2"/>
  <c r="G358" i="2"/>
  <c r="G359" i="2"/>
  <c r="G360" i="2"/>
  <c r="G361" i="2"/>
  <c r="G352" i="2"/>
  <c r="F353" i="2"/>
  <c r="F354" i="2"/>
  <c r="F355" i="2"/>
  <c r="F356" i="2"/>
  <c r="F357" i="2"/>
  <c r="F358" i="2"/>
  <c r="F359" i="2"/>
  <c r="F360" i="2"/>
  <c r="F361" i="2"/>
  <c r="E353" i="2"/>
  <c r="E354" i="2"/>
  <c r="E355" i="2"/>
  <c r="E356" i="2"/>
  <c r="E357" i="2"/>
  <c r="E358" i="2"/>
  <c r="E359" i="2"/>
  <c r="E360" i="2"/>
  <c r="E361" i="2"/>
  <c r="F352" i="2"/>
  <c r="E352" i="2"/>
  <c r="D353" i="2"/>
  <c r="D354" i="2"/>
  <c r="D355" i="2"/>
  <c r="D356" i="2"/>
  <c r="D357" i="2"/>
  <c r="D358" i="2"/>
  <c r="D359" i="2"/>
  <c r="D360" i="2"/>
  <c r="D361" i="2"/>
  <c r="D352" i="2"/>
  <c r="C352" i="2"/>
  <c r="C353" i="2"/>
  <c r="C354" i="2"/>
  <c r="C355" i="2"/>
  <c r="C356" i="2"/>
  <c r="C357" i="2"/>
  <c r="C358" i="2"/>
  <c r="C359" i="2"/>
  <c r="C360" i="2"/>
  <c r="C361" i="2"/>
  <c r="B354" i="2"/>
  <c r="B353" i="2"/>
  <c r="B355" i="2"/>
  <c r="B356" i="2"/>
  <c r="B357" i="2"/>
  <c r="B358" i="2"/>
  <c r="B359" i="2"/>
  <c r="B360" i="2"/>
  <c r="B361" i="2"/>
  <c r="B352" i="2"/>
  <c r="L332" i="2"/>
  <c r="O303" i="2"/>
  <c r="N303" i="2"/>
  <c r="C332" i="2"/>
  <c r="B332" i="2"/>
  <c r="M332" i="2"/>
  <c r="M323" i="2"/>
  <c r="M324" i="2"/>
  <c r="M325" i="2"/>
  <c r="M326" i="2"/>
  <c r="M327" i="2"/>
  <c r="M328" i="2"/>
  <c r="M329" i="2"/>
  <c r="M330" i="2"/>
  <c r="M331" i="2"/>
  <c r="M322" i="2"/>
  <c r="L323" i="2"/>
  <c r="L324" i="2"/>
  <c r="L325" i="2"/>
  <c r="L326" i="2"/>
  <c r="L327" i="2"/>
  <c r="L328" i="2"/>
  <c r="L329" i="2"/>
  <c r="L330" i="2"/>
  <c r="L331" i="2"/>
  <c r="L322" i="2"/>
  <c r="C323" i="2"/>
  <c r="C324" i="2"/>
  <c r="C325" i="2"/>
  <c r="C326" i="2"/>
  <c r="C327" i="2"/>
  <c r="C328" i="2"/>
  <c r="C329" i="2"/>
  <c r="C330" i="2"/>
  <c r="C331" i="2"/>
  <c r="C322" i="2"/>
  <c r="B323" i="2"/>
  <c r="B324" i="2"/>
  <c r="B325" i="2"/>
  <c r="B326" i="2"/>
  <c r="B327" i="2"/>
  <c r="B328" i="2"/>
  <c r="B329" i="2"/>
  <c r="B330" i="2"/>
  <c r="B331" i="2"/>
  <c r="B322" i="2"/>
  <c r="O294" i="2"/>
  <c r="O295" i="2"/>
  <c r="O296" i="2"/>
  <c r="O297" i="2"/>
  <c r="O298" i="2"/>
  <c r="O299" i="2"/>
  <c r="O300" i="2"/>
  <c r="O301" i="2"/>
  <c r="O302" i="2"/>
  <c r="O293" i="2"/>
  <c r="N294" i="2"/>
  <c r="N295" i="2"/>
  <c r="N296" i="2"/>
  <c r="N297" i="2"/>
  <c r="N298" i="2"/>
  <c r="N299" i="2"/>
  <c r="N300" i="2"/>
  <c r="N301" i="2"/>
  <c r="N302" i="2"/>
  <c r="N293" i="2"/>
  <c r="B293" i="2"/>
  <c r="C294" i="2"/>
  <c r="C295" i="2"/>
  <c r="C296" i="2"/>
  <c r="C297" i="2"/>
  <c r="C298" i="2"/>
  <c r="C299" i="2"/>
  <c r="C300" i="2"/>
  <c r="C301" i="2"/>
  <c r="C302" i="2"/>
  <c r="C293" i="2"/>
  <c r="B294" i="2"/>
  <c r="B295" i="2"/>
  <c r="B296" i="2"/>
  <c r="B297" i="2"/>
  <c r="B298" i="2"/>
  <c r="B299" i="2"/>
  <c r="B300" i="2"/>
  <c r="B301" i="2"/>
  <c r="B302" i="2"/>
  <c r="B257" i="2"/>
  <c r="D257" i="2"/>
  <c r="C257" i="2"/>
  <c r="F257" i="2"/>
  <c r="E257" i="2"/>
  <c r="F247" i="2"/>
  <c r="F248" i="2"/>
  <c r="F249" i="2"/>
  <c r="F250" i="2"/>
  <c r="F253" i="2"/>
  <c r="E248" i="2"/>
  <c r="E249" i="2"/>
  <c r="E250" i="2"/>
  <c r="E251" i="2"/>
  <c r="E252" i="2"/>
  <c r="E253" i="2"/>
  <c r="E254" i="2"/>
  <c r="E255" i="2"/>
  <c r="E256" i="2"/>
  <c r="E247" i="2"/>
  <c r="D248" i="2"/>
  <c r="D249" i="2"/>
  <c r="D250" i="2"/>
  <c r="D251" i="2"/>
  <c r="D252" i="2"/>
  <c r="D253" i="2"/>
  <c r="D254" i="2"/>
  <c r="D255" i="2"/>
  <c r="D256" i="2"/>
  <c r="D247" i="2"/>
  <c r="C247" i="2"/>
  <c r="C248" i="2"/>
  <c r="C249" i="2"/>
  <c r="C250" i="2"/>
  <c r="C251" i="2"/>
  <c r="C252" i="2"/>
  <c r="C253" i="2"/>
  <c r="C254" i="2"/>
  <c r="C255" i="2"/>
  <c r="C256" i="2"/>
  <c r="B250" i="2"/>
  <c r="B248" i="2"/>
  <c r="B249" i="2"/>
  <c r="B251" i="2"/>
  <c r="B252" i="2"/>
  <c r="B253" i="2"/>
  <c r="B254" i="2"/>
  <c r="B255" i="2"/>
  <c r="B256" i="2"/>
  <c r="B247" i="2"/>
  <c r="F219" i="2"/>
  <c r="F220" i="2"/>
  <c r="F221" i="2"/>
  <c r="F224" i="2"/>
  <c r="F218" i="2"/>
  <c r="E219" i="2"/>
  <c r="E220" i="2"/>
  <c r="E221" i="2"/>
  <c r="E222" i="2"/>
  <c r="E223" i="2"/>
  <c r="E224" i="2"/>
  <c r="E225" i="2"/>
  <c r="E226" i="2"/>
  <c r="E227" i="2"/>
  <c r="E218" i="2"/>
  <c r="D219" i="2"/>
  <c r="D220" i="2"/>
  <c r="D221" i="2"/>
  <c r="D222" i="2"/>
  <c r="D223" i="2"/>
  <c r="D224" i="2"/>
  <c r="D225" i="2"/>
  <c r="D226" i="2"/>
  <c r="D227" i="2"/>
  <c r="D218" i="2"/>
  <c r="C219" i="2"/>
  <c r="C220" i="2"/>
  <c r="C221" i="2"/>
  <c r="C222" i="2"/>
  <c r="C223" i="2"/>
  <c r="C224" i="2"/>
  <c r="C225" i="2"/>
  <c r="C226" i="2"/>
  <c r="C227" i="2"/>
  <c r="C218" i="2"/>
  <c r="B219" i="2"/>
  <c r="B220" i="2"/>
  <c r="B221" i="2"/>
  <c r="B222" i="2"/>
  <c r="B223" i="2"/>
  <c r="B224" i="2"/>
  <c r="B225" i="2"/>
  <c r="B226" i="2"/>
  <c r="B227" i="2"/>
  <c r="B218" i="2"/>
  <c r="F190" i="2"/>
  <c r="F191" i="2"/>
  <c r="F192" i="2"/>
  <c r="F193" i="2"/>
  <c r="F194" i="2"/>
  <c r="F195" i="2"/>
  <c r="F196" i="2"/>
  <c r="F197" i="2"/>
  <c r="F198" i="2"/>
  <c r="F189" i="2"/>
  <c r="E190" i="2"/>
  <c r="E191" i="2"/>
  <c r="E192" i="2"/>
  <c r="E193" i="2"/>
  <c r="E194" i="2"/>
  <c r="E195" i="2"/>
  <c r="E196" i="2"/>
  <c r="E197" i="2"/>
  <c r="E198" i="2"/>
  <c r="E189" i="2"/>
  <c r="D190" i="2"/>
  <c r="D191" i="2"/>
  <c r="D192" i="2"/>
  <c r="D193" i="2"/>
  <c r="D194" i="2"/>
  <c r="D195" i="2"/>
  <c r="D196" i="2"/>
  <c r="D197" i="2"/>
  <c r="D198" i="2"/>
  <c r="D189" i="2"/>
  <c r="C190" i="2"/>
  <c r="C191" i="2"/>
  <c r="C192" i="2"/>
  <c r="C193" i="2"/>
  <c r="C194" i="2"/>
  <c r="C195" i="2"/>
  <c r="C196" i="2"/>
  <c r="C197" i="2"/>
  <c r="C198" i="2"/>
  <c r="C189" i="2"/>
  <c r="B190" i="2"/>
  <c r="B191" i="2"/>
  <c r="B192" i="2"/>
  <c r="B193" i="2"/>
  <c r="B194" i="2"/>
  <c r="B195" i="2"/>
  <c r="B196" i="2"/>
  <c r="B197" i="2"/>
  <c r="B198" i="2"/>
  <c r="B189" i="2"/>
  <c r="F143" i="2"/>
  <c r="F144" i="2"/>
  <c r="F145" i="2"/>
  <c r="F148" i="2"/>
  <c r="F142" i="2"/>
  <c r="E143" i="2"/>
  <c r="E144" i="2"/>
  <c r="E145" i="2"/>
  <c r="E146" i="2"/>
  <c r="E147" i="2"/>
  <c r="E148" i="2"/>
  <c r="E149" i="2"/>
  <c r="E150" i="2"/>
  <c r="E151" i="2"/>
  <c r="E142" i="2"/>
  <c r="D151" i="2"/>
  <c r="D143" i="2"/>
  <c r="D144" i="2"/>
  <c r="D145" i="2"/>
  <c r="D146" i="2"/>
  <c r="D147" i="2"/>
  <c r="D148" i="2"/>
  <c r="D149" i="2"/>
  <c r="D150" i="2"/>
  <c r="D142" i="2"/>
  <c r="C143" i="2"/>
  <c r="C144" i="2"/>
  <c r="C145" i="2"/>
  <c r="C146" i="2"/>
  <c r="C147" i="2"/>
  <c r="C148" i="2"/>
  <c r="C149" i="2"/>
  <c r="C150" i="2"/>
  <c r="C151" i="2"/>
  <c r="C142" i="2"/>
  <c r="B147" i="2"/>
  <c r="B144" i="2"/>
  <c r="B143" i="2"/>
  <c r="B145" i="2"/>
  <c r="B146" i="2"/>
  <c r="B148" i="2"/>
  <c r="B149" i="2"/>
  <c r="B150" i="2"/>
  <c r="B151" i="2"/>
  <c r="B142" i="2"/>
  <c r="D118" i="2"/>
  <c r="B113" i="2"/>
  <c r="H114" i="2"/>
  <c r="H115" i="2"/>
  <c r="H116" i="2"/>
  <c r="H117" i="2"/>
  <c r="H118" i="2"/>
  <c r="H119" i="2"/>
  <c r="H120" i="2"/>
  <c r="H121" i="2"/>
  <c r="H122" i="2"/>
  <c r="H113" i="2"/>
  <c r="G114" i="2"/>
  <c r="G115" i="2"/>
  <c r="G116" i="2"/>
  <c r="G117" i="2"/>
  <c r="G118" i="2"/>
  <c r="G119" i="2"/>
  <c r="G120" i="2"/>
  <c r="G121" i="2"/>
  <c r="G122" i="2"/>
  <c r="G113" i="2"/>
  <c r="F114" i="2"/>
  <c r="F115" i="2"/>
  <c r="F116" i="2"/>
  <c r="F117" i="2"/>
  <c r="F118" i="2"/>
  <c r="F119" i="2"/>
  <c r="F120" i="2"/>
  <c r="F121" i="2"/>
  <c r="F122" i="2"/>
  <c r="F113" i="2"/>
  <c r="E113" i="2"/>
  <c r="E114" i="2"/>
  <c r="E115" i="2"/>
  <c r="E116" i="2"/>
  <c r="E117" i="2"/>
  <c r="E118" i="2"/>
  <c r="E119" i="2"/>
  <c r="E120" i="2"/>
  <c r="E121" i="2"/>
  <c r="E122" i="2"/>
  <c r="D114" i="2"/>
  <c r="D115" i="2"/>
  <c r="D116" i="2"/>
  <c r="D117" i="2"/>
  <c r="D119" i="2"/>
  <c r="D120" i="2"/>
  <c r="D121" i="2"/>
  <c r="D122" i="2"/>
  <c r="D113" i="2"/>
  <c r="C114" i="2"/>
  <c r="C115" i="2"/>
  <c r="C116" i="2"/>
  <c r="C117" i="2"/>
  <c r="C118" i="2"/>
  <c r="C119" i="2"/>
  <c r="C120" i="2"/>
  <c r="C121" i="2"/>
  <c r="C122" i="2"/>
  <c r="C113" i="2"/>
  <c r="B114" i="2"/>
  <c r="B115" i="2"/>
  <c r="B116" i="2"/>
  <c r="B117" i="2"/>
  <c r="B118" i="2"/>
  <c r="B119" i="2"/>
  <c r="B120" i="2"/>
  <c r="B121" i="2"/>
  <c r="B122" i="2"/>
  <c r="H87" i="2"/>
  <c r="H88" i="2"/>
  <c r="H89" i="2"/>
  <c r="H90" i="2"/>
  <c r="H91" i="2"/>
  <c r="H92" i="2"/>
  <c r="H93" i="2"/>
  <c r="H94" i="2"/>
  <c r="H95" i="2"/>
  <c r="H86" i="2"/>
  <c r="G87" i="2"/>
  <c r="G88" i="2"/>
  <c r="G89" i="2"/>
  <c r="G90" i="2"/>
  <c r="G91" i="2"/>
  <c r="G92" i="2"/>
  <c r="G93" i="2"/>
  <c r="G94" i="2"/>
  <c r="G95" i="2"/>
  <c r="G86" i="2"/>
  <c r="F87" i="2"/>
  <c r="F88" i="2"/>
  <c r="F89" i="2"/>
  <c r="F90" i="2"/>
  <c r="F91" i="2"/>
  <c r="F92" i="2"/>
  <c r="F93" i="2"/>
  <c r="F94" i="2"/>
  <c r="F95" i="2"/>
  <c r="F86" i="2"/>
  <c r="E87" i="2"/>
  <c r="E88" i="2"/>
  <c r="E89" i="2"/>
  <c r="E90" i="2"/>
  <c r="E91" i="2"/>
  <c r="E92" i="2"/>
  <c r="E93" i="2"/>
  <c r="E94" i="2"/>
  <c r="E95" i="2"/>
  <c r="E86" i="2"/>
  <c r="D88" i="2"/>
  <c r="D87" i="2"/>
  <c r="D89" i="2"/>
  <c r="D90" i="2"/>
  <c r="D91" i="2"/>
  <c r="D92" i="2"/>
  <c r="D93" i="2"/>
  <c r="D94" i="2"/>
  <c r="D95" i="2"/>
  <c r="D86" i="2"/>
  <c r="C87" i="2"/>
  <c r="C88" i="2"/>
  <c r="C89" i="2"/>
  <c r="C90" i="2"/>
  <c r="C91" i="2"/>
  <c r="C92" i="2"/>
  <c r="C93" i="2"/>
  <c r="C94" i="2"/>
  <c r="C95" i="2"/>
  <c r="C86" i="2"/>
  <c r="B87" i="2"/>
  <c r="B88" i="2"/>
  <c r="B89" i="2"/>
  <c r="B90" i="2"/>
  <c r="B91" i="2"/>
  <c r="B92" i="2"/>
  <c r="B93" i="2"/>
  <c r="B94" i="2"/>
  <c r="B95" i="2"/>
  <c r="B86" i="2"/>
  <c r="K62" i="2"/>
  <c r="K63" i="2"/>
  <c r="K64" i="2"/>
  <c r="K65" i="2"/>
  <c r="K66" i="2"/>
  <c r="K67" i="2"/>
  <c r="K68" i="2"/>
  <c r="K69" i="2"/>
  <c r="K70" i="2"/>
  <c r="L62" i="2"/>
  <c r="L63" i="2"/>
  <c r="L64" i="2"/>
  <c r="L65" i="2"/>
  <c r="L66" i="2"/>
  <c r="L67" i="2"/>
  <c r="L68" i="2"/>
  <c r="L69" i="2"/>
  <c r="L70" i="2"/>
  <c r="M62" i="2"/>
  <c r="M63" i="2"/>
  <c r="M64" i="2"/>
  <c r="M65" i="2"/>
  <c r="M66" i="2"/>
  <c r="M67" i="2"/>
  <c r="M68" i="2"/>
  <c r="M69" i="2"/>
  <c r="M70" i="2"/>
  <c r="N62" i="2"/>
  <c r="N63" i="2"/>
  <c r="N64" i="2"/>
  <c r="N65" i="2"/>
  <c r="N66" i="2"/>
  <c r="N67" i="2"/>
  <c r="N68" i="2"/>
  <c r="N69" i="2"/>
  <c r="N70" i="2"/>
  <c r="Q62" i="2"/>
  <c r="Q63" i="2"/>
  <c r="Q64" i="2"/>
  <c r="Q65" i="2"/>
  <c r="Q66" i="2"/>
  <c r="Q67" i="2"/>
  <c r="Q68" i="2"/>
  <c r="Q69" i="2"/>
  <c r="Q70" i="2"/>
  <c r="Q61" i="2"/>
  <c r="P62" i="2"/>
  <c r="P63" i="2"/>
  <c r="P64" i="2"/>
  <c r="P65" i="2"/>
  <c r="P66" i="2"/>
  <c r="P67" i="2"/>
  <c r="P68" i="2"/>
  <c r="P69" i="2"/>
  <c r="P70" i="2"/>
  <c r="P61" i="2"/>
  <c r="O62" i="2"/>
  <c r="O63" i="2"/>
  <c r="O64" i="2"/>
  <c r="O65" i="2"/>
  <c r="O66" i="2"/>
  <c r="O67" i="2"/>
  <c r="O68" i="2"/>
  <c r="O69" i="2"/>
  <c r="O70" i="2"/>
  <c r="O61" i="2"/>
  <c r="N61" i="2"/>
  <c r="M61" i="2"/>
  <c r="L61" i="2"/>
  <c r="K61" i="2"/>
  <c r="H32" i="2" l="1"/>
  <c r="H34" i="2"/>
  <c r="H30" i="2"/>
  <c r="G34" i="2"/>
  <c r="G36" i="2"/>
  <c r="G32" i="2"/>
  <c r="G30" i="2"/>
  <c r="K8" i="2"/>
  <c r="K7" i="2"/>
  <c r="K9" i="2"/>
  <c r="K10" i="2"/>
  <c r="K11" i="2"/>
  <c r="K12" i="2"/>
  <c r="K13" i="2"/>
  <c r="K14" i="2"/>
  <c r="K15" i="2"/>
  <c r="K6" i="2"/>
  <c r="R4" i="2"/>
  <c r="R5" i="2"/>
  <c r="R6" i="2"/>
  <c r="R7" i="2"/>
  <c r="R8" i="2"/>
  <c r="R9" i="2"/>
  <c r="R10" i="2"/>
  <c r="R11" i="2"/>
  <c r="R12" i="2"/>
  <c r="R13" i="2"/>
  <c r="E22" i="2"/>
  <c r="E21" i="2"/>
  <c r="E23" i="2"/>
  <c r="E24" i="2"/>
  <c r="E25" i="2"/>
  <c r="E26" i="2"/>
  <c r="E27" i="2"/>
  <c r="E28" i="2"/>
  <c r="E29" i="2"/>
  <c r="E20" i="2"/>
  <c r="J19" i="2"/>
  <c r="J20" i="2"/>
  <c r="J21" i="2"/>
  <c r="J22" i="2"/>
  <c r="J23" i="2"/>
  <c r="J24" i="2"/>
  <c r="J25" i="2"/>
  <c r="J26" i="2"/>
  <c r="J27" i="2"/>
  <c r="J1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F33516-DCEF-449F-9ABA-0D51B1DC7C02}"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s>
</file>

<file path=xl/sharedStrings.xml><?xml version="1.0" encoding="utf-8"?>
<sst xmlns="http://schemas.openxmlformats.org/spreadsheetml/2006/main" count="40871" uniqueCount="3893">
  <si>
    <t>No</t>
  </si>
  <si>
    <t>Too many steps</t>
  </si>
  <si>
    <t>Not Applicable</t>
  </si>
  <si>
    <t>No Support Contact</t>
  </si>
  <si>
    <t>No Error</t>
  </si>
  <si>
    <t>Yes</t>
  </si>
  <si>
    <t>Control</t>
  </si>
  <si>
    <t>No Experiment</t>
  </si>
  <si>
    <t>Reactivated</t>
  </si>
  <si>
    <t>Budget Planner</t>
  </si>
  <si>
    <t>Paid Social</t>
  </si>
  <si>
    <t>Free</t>
  </si>
  <si>
    <t>&lt;3 months</t>
  </si>
  <si>
    <t>Android Phone</t>
  </si>
  <si>
    <t>Android</t>
  </si>
  <si>
    <t>Male</t>
  </si>
  <si>
    <t>18-24</t>
  </si>
  <si>
    <t>Young Professionals</t>
  </si>
  <si>
    <t>Brighton</t>
  </si>
  <si>
    <t>South East</t>
  </si>
  <si>
    <t>SES-2606-51991</t>
  </si>
  <si>
    <t>USR-00041</t>
  </si>
  <si>
    <t>NSF-001480</t>
  </si>
  <si>
    <t>No drop-off</t>
  </si>
  <si>
    <t>Simplified Onboarding</t>
  </si>
  <si>
    <t>Trial/Exploration</t>
  </si>
  <si>
    <t>Instant Bank Transfer</t>
  </si>
  <si>
    <t>Premium</t>
  </si>
  <si>
    <t>Female</t>
  </si>
  <si>
    <t>35-44</t>
  </si>
  <si>
    <t>Students</t>
  </si>
  <si>
    <t>Preston</t>
  </si>
  <si>
    <t>North West</t>
  </si>
  <si>
    <t>SES-2606-56061</t>
  </si>
  <si>
    <t>USR-00169</t>
  </si>
  <si>
    <t>NSF-001479</t>
  </si>
  <si>
    <t>Resolved</t>
  </si>
  <si>
    <t>Feature Navigation</t>
  </si>
  <si>
    <t>Treatment</t>
  </si>
  <si>
    <t>Repeat Use</t>
  </si>
  <si>
    <t>International Transfer</t>
  </si>
  <si>
    <t>App Store</t>
  </si>
  <si>
    <t>3-6 months</t>
  </si>
  <si>
    <t>45-54</t>
  </si>
  <si>
    <t>Aberdeen</t>
  </si>
  <si>
    <t>Scotland</t>
  </si>
  <si>
    <t>SES-2606-41199</t>
  </si>
  <si>
    <t>USR-00345</t>
  </si>
  <si>
    <t>NSF-001478</t>
  </si>
  <si>
    <t>Split Amount Confusing</t>
  </si>
  <si>
    <t>Fee Transparency Panel</t>
  </si>
  <si>
    <t>Bill Split</t>
  </si>
  <si>
    <t>Organic Search</t>
  </si>
  <si>
    <t>Plus</t>
  </si>
  <si>
    <t>Iphone</t>
  </si>
  <si>
    <t>Ios</t>
  </si>
  <si>
    <t>Families</t>
  </si>
  <si>
    <t>Glasgow</t>
  </si>
  <si>
    <t>SES-2606-93529</t>
  </si>
  <si>
    <t>USR-00467</t>
  </si>
  <si>
    <t>NSF-001477</t>
  </si>
  <si>
    <t>Transaction Failure</t>
  </si>
  <si>
    <t>Recipient Validation Error</t>
  </si>
  <si>
    <t>First Use</t>
  </si>
  <si>
    <t>1-2 years</t>
  </si>
  <si>
    <t>Ipad</t>
  </si>
  <si>
    <t>55-64</t>
  </si>
  <si>
    <t>Solihull</t>
  </si>
  <si>
    <t>West Midlands</t>
  </si>
  <si>
    <t>SES-2606-84123</t>
  </si>
  <si>
    <t>USR-00268</t>
  </si>
  <si>
    <t>NSF-001476</t>
  </si>
  <si>
    <t>78 days</t>
  </si>
  <si>
    <t>Insight Unclear</t>
  </si>
  <si>
    <t>Cashflow Insights</t>
  </si>
  <si>
    <t>Referral</t>
  </si>
  <si>
    <t>Android Tablet</t>
  </si>
  <si>
    <t>25-34</t>
  </si>
  <si>
    <t>Luton</t>
  </si>
  <si>
    <t>East England</t>
  </si>
  <si>
    <t>SES-2606-89664</t>
  </si>
  <si>
    <t>USR-00632</t>
  </si>
  <si>
    <t>NSF-001475</t>
  </si>
  <si>
    <t>Gig Workers</t>
  </si>
  <si>
    <t>SES-2606-67573</t>
  </si>
  <si>
    <t>USR-00846</t>
  </si>
  <si>
    <t>NSF-001474</t>
  </si>
  <si>
    <t>Direct Debit Manager</t>
  </si>
  <si>
    <t>7-12 months</t>
  </si>
  <si>
    <t>Reading</t>
  </si>
  <si>
    <t>SES-2606-29856</t>
  </si>
  <si>
    <t>USR-00659</t>
  </si>
  <si>
    <t>NSF-001473</t>
  </si>
  <si>
    <t>Paid Search</t>
  </si>
  <si>
    <t>Bath</t>
  </si>
  <si>
    <t>South West</t>
  </si>
  <si>
    <t>SES-2606-85990</t>
  </si>
  <si>
    <t>USR-00314</t>
  </si>
  <si>
    <t>NSF-001472</t>
  </si>
  <si>
    <t>4 steps</t>
  </si>
  <si>
    <t>Progress Indicator</t>
  </si>
  <si>
    <t>Virtual Card</t>
  </si>
  <si>
    <t>Cambridge</t>
  </si>
  <si>
    <t>SES-2606-50102</t>
  </si>
  <si>
    <t>USR-00474</t>
  </si>
  <si>
    <t>NSF-001471</t>
  </si>
  <si>
    <t>8 steps</t>
  </si>
  <si>
    <t>Chester</t>
  </si>
  <si>
    <t>SES-2606-77620</t>
  </si>
  <si>
    <t>NSF-001470</t>
  </si>
  <si>
    <t>Small Business Owners</t>
  </si>
  <si>
    <t>Middlesbrough</t>
  </si>
  <si>
    <t>North East</t>
  </si>
  <si>
    <t>SES-2606-35918</t>
  </si>
  <si>
    <t>USR-00478</t>
  </si>
  <si>
    <t>NSF-001469</t>
  </si>
  <si>
    <t>Employer Partnership</t>
  </si>
  <si>
    <t>2+ years</t>
  </si>
  <si>
    <t>Exeter</t>
  </si>
  <si>
    <t>SES-2606-13905</t>
  </si>
  <si>
    <t>USR-00638</t>
  </si>
  <si>
    <t>NSF-001468</t>
  </si>
  <si>
    <t>Technical error</t>
  </si>
  <si>
    <t>High-Income Professionals</t>
  </si>
  <si>
    <t>Sheffield</t>
  </si>
  <si>
    <t>Yorkshire &amp; Humber</t>
  </si>
  <si>
    <t>SES-2606-60663</t>
  </si>
  <si>
    <t>USR-00486</t>
  </si>
  <si>
    <t>NSF-001467</t>
  </si>
  <si>
    <t>Unexpected fee</t>
  </si>
  <si>
    <t>Cashback Rewards</t>
  </si>
  <si>
    <t>Retirees</t>
  </si>
  <si>
    <t>Leeds</t>
  </si>
  <si>
    <t>SES-2606-64194</t>
  </si>
  <si>
    <t>NSF-001466</t>
  </si>
  <si>
    <t>no</t>
  </si>
  <si>
    <t>SES-2606-23910</t>
  </si>
  <si>
    <t>USR-00782</t>
  </si>
  <si>
    <t>NSF-001465</t>
  </si>
  <si>
    <t>Unresolved</t>
  </si>
  <si>
    <t>York</t>
  </si>
  <si>
    <t>SES-2606-83000</t>
  </si>
  <si>
    <t>USR-00209</t>
  </si>
  <si>
    <t>NSF-001464</t>
  </si>
  <si>
    <t>Transfer Pending</t>
  </si>
  <si>
    <t>Desktop</t>
  </si>
  <si>
    <t>Web</t>
  </si>
  <si>
    <t>Non-Binary</t>
  </si>
  <si>
    <t>Croydon</t>
  </si>
  <si>
    <t>London</t>
  </si>
  <si>
    <t>SES-2606-93402</t>
  </si>
  <si>
    <t>USR-00450</t>
  </si>
  <si>
    <t>NSF-001463</t>
  </si>
  <si>
    <t>Friend Not Found</t>
  </si>
  <si>
    <t>Affiliate</t>
  </si>
  <si>
    <t>Newry</t>
  </si>
  <si>
    <t>Northern Ireland</t>
  </si>
  <si>
    <t>SES-2606-54547</t>
  </si>
  <si>
    <t>USR-00301</t>
  </si>
  <si>
    <t>NSF-001462</t>
  </si>
  <si>
    <t>Recipient Details Rejected</t>
  </si>
  <si>
    <t>Lincoln</t>
  </si>
  <si>
    <t>East Midlands</t>
  </si>
  <si>
    <t>SES-2606-30677</t>
  </si>
  <si>
    <t>USR-00118</t>
  </si>
  <si>
    <t>NSF-001461</t>
  </si>
  <si>
    <t>Reward Not Tracked</t>
  </si>
  <si>
    <t>Wrexham</t>
  </si>
  <si>
    <t>Wales</t>
  </si>
  <si>
    <t>SES-2606-40945</t>
  </si>
  <si>
    <t>USR-00234</t>
  </si>
  <si>
    <t>NSF-001460</t>
  </si>
  <si>
    <t>Contextual Help</t>
  </si>
  <si>
    <t>SES-2606-49660</t>
  </si>
  <si>
    <t>USR-00408</t>
  </si>
  <si>
    <t>NSF-001459</t>
  </si>
  <si>
    <t>Mobile Browser</t>
  </si>
  <si>
    <t>Swansea</t>
  </si>
  <si>
    <t>SES-2606-21027</t>
  </si>
  <si>
    <t>USR-00397</t>
  </si>
  <si>
    <t>NSF-001458</t>
  </si>
  <si>
    <t>NO</t>
  </si>
  <si>
    <t>YES</t>
  </si>
  <si>
    <t>Camden</t>
  </si>
  <si>
    <t>SES-2606-40618</t>
  </si>
  <si>
    <t>USR-00724</t>
  </si>
  <si>
    <t>NSF-001457</t>
  </si>
  <si>
    <t>Fees And Pricing</t>
  </si>
  <si>
    <t>SES-2606-30105</t>
  </si>
  <si>
    <t>USR-00562</t>
  </si>
  <si>
    <t>NSF-001456</t>
  </si>
  <si>
    <t>Privacy concern</t>
  </si>
  <si>
    <t>Income Verification Failed</t>
  </si>
  <si>
    <t>Credit Builder</t>
  </si>
  <si>
    <t>SES-2606-41409</t>
  </si>
  <si>
    <t>USR-00446</t>
  </si>
  <si>
    <t>NSF-001455</t>
  </si>
  <si>
    <t>Goal Setup Confusion</t>
  </si>
  <si>
    <t>New Cta Copy</t>
  </si>
  <si>
    <t>Savings Pots</t>
  </si>
  <si>
    <t>Leicester</t>
  </si>
  <si>
    <t>SES-2606-83344</t>
  </si>
  <si>
    <t>USR-00018</t>
  </si>
  <si>
    <t>NSF-001454</t>
  </si>
  <si>
    <t>24 days</t>
  </si>
  <si>
    <t>6 steps</t>
  </si>
  <si>
    <t>Ipswich</t>
  </si>
  <si>
    <t>SES-2606-24114</t>
  </si>
  <si>
    <t>USR-00377</t>
  </si>
  <si>
    <t>NSF-001453</t>
  </si>
  <si>
    <t>SES-2606-88051</t>
  </si>
  <si>
    <t>USR-00378</t>
  </si>
  <si>
    <t>NSF-001452</t>
  </si>
  <si>
    <t>SES-2606-13869</t>
  </si>
  <si>
    <t>USR-00454</t>
  </si>
  <si>
    <t>NSF-001451</t>
  </si>
  <si>
    <t>Coventry</t>
  </si>
  <si>
    <t>SES-2606-10292</t>
  </si>
  <si>
    <t>USR-00192</t>
  </si>
  <si>
    <t>NSF-001423</t>
  </si>
  <si>
    <t>SES-2503-30092</t>
  </si>
  <si>
    <t>USR-00521</t>
  </si>
  <si>
    <t>NSF-000252</t>
  </si>
  <si>
    <t>Norwich</t>
  </si>
  <si>
    <t>SES-2602-89784</t>
  </si>
  <si>
    <t>USR-00589</t>
  </si>
  <si>
    <t>NSF-001190</t>
  </si>
  <si>
    <t>Other</t>
  </si>
  <si>
    <t>Category Setup Confusion</t>
  </si>
  <si>
    <t>SES-2505-10749</t>
  </si>
  <si>
    <t>USR-00641</t>
  </si>
  <si>
    <t>NSF-000439</t>
  </si>
  <si>
    <t>9 steps</t>
  </si>
  <si>
    <t>Cardiff</t>
  </si>
  <si>
    <t>SES-2502-32198</t>
  </si>
  <si>
    <t>USR-00226</t>
  </si>
  <si>
    <t>NSF-000100</t>
  </si>
  <si>
    <t>65+</t>
  </si>
  <si>
    <t>Lisburn</t>
  </si>
  <si>
    <t>SES-2506-33169</t>
  </si>
  <si>
    <t>USR-00758</t>
  </si>
  <si>
    <t>NSF-000517</t>
  </si>
  <si>
    <t>7 steps</t>
  </si>
  <si>
    <t>Birmingham</t>
  </si>
  <si>
    <t>SES-2505-72888</t>
  </si>
  <si>
    <t>USR-00525</t>
  </si>
  <si>
    <t>NSF-000426</t>
  </si>
  <si>
    <t>Unknown</t>
  </si>
  <si>
    <t>Southwark</t>
  </si>
  <si>
    <t>SES-2502-73852</t>
  </si>
  <si>
    <t>USR-00337</t>
  </si>
  <si>
    <t>NSF-000118</t>
  </si>
  <si>
    <t>SES-2510-47318</t>
  </si>
  <si>
    <t>USR-00602</t>
  </si>
  <si>
    <t>NSF-000894</t>
  </si>
  <si>
    <t>Guildford</t>
  </si>
  <si>
    <t>SES-2509-95162</t>
  </si>
  <si>
    <t>USR-00440</t>
  </si>
  <si>
    <t>NSF-000760</t>
  </si>
  <si>
    <t>SES-2510-36946</t>
  </si>
  <si>
    <t>USR-00202</t>
  </si>
  <si>
    <t>NSF-000883</t>
  </si>
  <si>
    <t>SES-2509-30273</t>
  </si>
  <si>
    <t>USR-00787</t>
  </si>
  <si>
    <t>NSF-000812</t>
  </si>
  <si>
    <t>Hull</t>
  </si>
  <si>
    <t>SES-2507-47095</t>
  </si>
  <si>
    <t>USR-00780</t>
  </si>
  <si>
    <t>NSF-000638</t>
  </si>
  <si>
    <t>Direct</t>
  </si>
  <si>
    <t>Plymouth</t>
  </si>
  <si>
    <t>SES-2601-31207</t>
  </si>
  <si>
    <t>USR-00354</t>
  </si>
  <si>
    <t>NSF-001081</t>
  </si>
  <si>
    <t>SES-2504-84792</t>
  </si>
  <si>
    <t>USR-00241</t>
  </si>
  <si>
    <t>NSF-000363</t>
  </si>
  <si>
    <t>5 steps</t>
  </si>
  <si>
    <t>Wolverhampton</t>
  </si>
  <si>
    <t>SES-2605-39179</t>
  </si>
  <si>
    <t>USR-00147</t>
  </si>
  <si>
    <t>NSF-001360</t>
  </si>
  <si>
    <t>Round-Up Not Activated</t>
  </si>
  <si>
    <t>Newport</t>
  </si>
  <si>
    <t>SES-2503-32765</t>
  </si>
  <si>
    <t>USR-00431</t>
  </si>
  <si>
    <t>NSF-000229</t>
  </si>
  <si>
    <t>yes</t>
  </si>
  <si>
    <t>SES-2506-93046</t>
  </si>
  <si>
    <t>USR-00647</t>
  </si>
  <si>
    <t>NSF-000486</t>
  </si>
  <si>
    <t>SES-2505-43370</t>
  </si>
  <si>
    <t>USR-00017</t>
  </si>
  <si>
    <t>NSF-000418</t>
  </si>
  <si>
    <t>Too Many Steps</t>
  </si>
  <si>
    <t>Oxford</t>
  </si>
  <si>
    <t>SES-2604-25066</t>
  </si>
  <si>
    <t>USR-00110</t>
  </si>
  <si>
    <t>NSF-001297</t>
  </si>
  <si>
    <t>Basic</t>
  </si>
  <si>
    <t>DERBY</t>
  </si>
  <si>
    <t>SES-2502-68073</t>
  </si>
  <si>
    <t>USR-00308</t>
  </si>
  <si>
    <t>NSF-000115</t>
  </si>
  <si>
    <t>SES-2511-67355</t>
  </si>
  <si>
    <t>USR-00284</t>
  </si>
  <si>
    <t>NSF-000927</t>
  </si>
  <si>
    <t>Durham</t>
  </si>
  <si>
    <t>SES-2512-11148</t>
  </si>
  <si>
    <t>NSF-001053</t>
  </si>
  <si>
    <t>Nottingham</t>
  </si>
  <si>
    <t>SES-2507-33932</t>
  </si>
  <si>
    <t>USR-00288</t>
  </si>
  <si>
    <t>NSF-000660</t>
  </si>
  <si>
    <t>Transaction Classification Wrong</t>
  </si>
  <si>
    <t>SES-2507-99736</t>
  </si>
  <si>
    <t>USR-00725</t>
  </si>
  <si>
    <t>NSF-000590</t>
  </si>
  <si>
    <t>SES-2506-42514</t>
  </si>
  <si>
    <t>USR-00852</t>
  </si>
  <si>
    <t>NSF-000557</t>
  </si>
  <si>
    <t>Gloucester</t>
  </si>
  <si>
    <t>SES-2505-84940</t>
  </si>
  <si>
    <t>USR-00611</t>
  </si>
  <si>
    <t>NSF-000427</t>
  </si>
  <si>
    <t>Belfast</t>
  </si>
  <si>
    <t>SES-2510-37061</t>
  </si>
  <si>
    <t>usr-00531</t>
  </si>
  <si>
    <t>NSF-000896</t>
  </si>
  <si>
    <t>SES-2603-26099</t>
  </si>
  <si>
    <t>USR-00570</t>
  </si>
  <si>
    <t>NSF-001266</t>
  </si>
  <si>
    <t>Instructions unclear</t>
  </si>
  <si>
    <t>SES-2603-79651</t>
  </si>
  <si>
    <t>USR-00244</t>
  </si>
  <si>
    <t>NSF-001249</t>
  </si>
  <si>
    <t>SES-2507-11751</t>
  </si>
  <si>
    <t>NSF-000601</t>
  </si>
  <si>
    <t>Bristol</t>
  </si>
  <si>
    <t>SES-2506-78550</t>
  </si>
  <si>
    <t>USR-00347</t>
  </si>
  <si>
    <t>NSF-000506</t>
  </si>
  <si>
    <t>SES-2502-38225</t>
  </si>
  <si>
    <t>USR-00507</t>
  </si>
  <si>
    <t>NSF-000196</t>
  </si>
  <si>
    <t>SES-2506-39681</t>
  </si>
  <si>
    <t>NSF-000485</t>
  </si>
  <si>
    <t>0 days</t>
  </si>
  <si>
    <t>Edinburgh</t>
  </si>
  <si>
    <t>SES-2511-56731</t>
  </si>
  <si>
    <t>USR-00503</t>
  </si>
  <si>
    <t>NSF-000978</t>
  </si>
  <si>
    <t>SES-2606-00007</t>
  </si>
  <si>
    <t>USR-00139</t>
  </si>
  <si>
    <t>NSF-000155</t>
  </si>
  <si>
    <t>Bank Connection Failed</t>
  </si>
  <si>
    <t>Manchester</t>
  </si>
  <si>
    <t>SES-2503-88583</t>
  </si>
  <si>
    <t>USR-00854</t>
  </si>
  <si>
    <t>NSF-000287</t>
  </si>
  <si>
    <t>SUNDERLAND</t>
  </si>
  <si>
    <t>SES-2507-53221</t>
  </si>
  <si>
    <t>USR-00379</t>
  </si>
  <si>
    <t>NSF-000579</t>
  </si>
  <si>
    <t>SES-2604-39069</t>
  </si>
  <si>
    <t>USR-00528</t>
  </si>
  <si>
    <t>NSF-001296</t>
  </si>
  <si>
    <t>SES-2503-52077</t>
  </si>
  <si>
    <t>USR-00024</t>
  </si>
  <si>
    <t>NSF-000221</t>
  </si>
  <si>
    <t>SES-2602-95822</t>
  </si>
  <si>
    <t>USR-00808</t>
  </si>
  <si>
    <t>NSF-001168</t>
  </si>
  <si>
    <t>Category Setup Confuson</t>
  </si>
  <si>
    <t>SES-2502-18712</t>
  </si>
  <si>
    <t>USR-00657</t>
  </si>
  <si>
    <t>NSF-000144</t>
  </si>
  <si>
    <t>SES-2605-51101</t>
  </si>
  <si>
    <t>NSF-001365</t>
  </si>
  <si>
    <t>SES-2501-22532</t>
  </si>
  <si>
    <t>USR-00055</t>
  </si>
  <si>
    <t>NSF-000037</t>
  </si>
  <si>
    <t>Liverpool</t>
  </si>
  <si>
    <t>SES-2602-55111</t>
  </si>
  <si>
    <t>USR-00833</t>
  </si>
  <si>
    <t>NSF-001183</t>
  </si>
  <si>
    <t>SES-2601-12261</t>
  </si>
  <si>
    <t>USR-00842</t>
  </si>
  <si>
    <t>NSF-001086</t>
  </si>
  <si>
    <t>SES-2508-27670</t>
  </si>
  <si>
    <t>USR-00445</t>
  </si>
  <si>
    <t>NSF-000680</t>
  </si>
  <si>
    <t>SES-2504-95900</t>
  </si>
  <si>
    <t>USR-00644</t>
  </si>
  <si>
    <t>NSF-000370</t>
  </si>
  <si>
    <t>SES-2503-54801</t>
  </si>
  <si>
    <t>USR-00665</t>
  </si>
  <si>
    <t>NSF-000231</t>
  </si>
  <si>
    <t>SES-2508-16710</t>
  </si>
  <si>
    <t>USR-00554</t>
  </si>
  <si>
    <t>NSF-000739</t>
  </si>
  <si>
    <t>SES-2501-67468</t>
  </si>
  <si>
    <t>USR-00099</t>
  </si>
  <si>
    <t>NSF-000059</t>
  </si>
  <si>
    <t>SES-2504-80903</t>
  </si>
  <si>
    <t>USR-00013</t>
  </si>
  <si>
    <t>NSF-000386</t>
  </si>
  <si>
    <t>SES-2510-47597</t>
  </si>
  <si>
    <t>USR-00077</t>
  </si>
  <si>
    <t>NSF-000832</t>
  </si>
  <si>
    <t>Funding Source Unclear</t>
  </si>
  <si>
    <t>SES-2605-84849</t>
  </si>
  <si>
    <t>usr-00579</t>
  </si>
  <si>
    <t>NSF-001411</t>
  </si>
  <si>
    <t>SES-2603-47198</t>
  </si>
  <si>
    <t>USR-00857</t>
  </si>
  <si>
    <t>NSF-001246</t>
  </si>
  <si>
    <t>SES-2510-22426</t>
  </si>
  <si>
    <t>USR-00289</t>
  </si>
  <si>
    <t>NSF-000871</t>
  </si>
  <si>
    <t>15 days</t>
  </si>
  <si>
    <t>SES-2606-57265</t>
  </si>
  <si>
    <t>USR-00265</t>
  </si>
  <si>
    <t>NSF-001435</t>
  </si>
  <si>
    <t>SES-2509-42799</t>
  </si>
  <si>
    <t>USR-00748</t>
  </si>
  <si>
    <t>NSF-000765</t>
  </si>
  <si>
    <t>SES-2506-42600</t>
  </si>
  <si>
    <t>USR-00603</t>
  </si>
  <si>
    <t>NSF-000509</t>
  </si>
  <si>
    <t>SES-2504-45782</t>
  </si>
  <si>
    <t>USR-00545</t>
  </si>
  <si>
    <t>NSF-000332</t>
  </si>
  <si>
    <t>SES-2506-19565</t>
  </si>
  <si>
    <t>USR-00631</t>
  </si>
  <si>
    <t>NSF-000564</t>
  </si>
  <si>
    <t>Account Verification</t>
  </si>
  <si>
    <t>SES-2606-24734</t>
  </si>
  <si>
    <t>USR-00839</t>
  </si>
  <si>
    <t>NSF-001436</t>
  </si>
  <si>
    <t>1 days</t>
  </si>
  <si>
    <t>SES-2504-39601</t>
  </si>
  <si>
    <t>USR-00714</t>
  </si>
  <si>
    <t>NSF-000364</t>
  </si>
  <si>
    <t>SES-2510-72720</t>
  </si>
  <si>
    <t>USR-00567</t>
  </si>
  <si>
    <t>NSF-000834</t>
  </si>
  <si>
    <t>SES-2505-23963</t>
  </si>
  <si>
    <t>USR-00061</t>
  </si>
  <si>
    <t>NSF-000476</t>
  </si>
  <si>
    <t>Bank Feed Mismatch</t>
  </si>
  <si>
    <t>SES-2502-44435</t>
  </si>
  <si>
    <t>USR-00434</t>
  </si>
  <si>
    <t>NSF-000186</t>
  </si>
  <si>
    <t>SES-2506-75008</t>
  </si>
  <si>
    <t>USR-00277</t>
  </si>
  <si>
    <t>NSF-000529</t>
  </si>
  <si>
    <t>SES-2502-84827</t>
  </si>
  <si>
    <t>USR-00329</t>
  </si>
  <si>
    <t>NSF-000160</t>
  </si>
  <si>
    <t>Tablet Browser</t>
  </si>
  <si>
    <t>Sunderland</t>
  </si>
  <si>
    <t>SES-2603-75099</t>
  </si>
  <si>
    <t>USR-00070</t>
  </si>
  <si>
    <t>NSF-001237</t>
  </si>
  <si>
    <t>SES-2510-92289</t>
  </si>
  <si>
    <t>USR-00148</t>
  </si>
  <si>
    <t>NSF-000835</t>
  </si>
  <si>
    <t>SES-2508-70981</t>
  </si>
  <si>
    <t>USR-00654</t>
  </si>
  <si>
    <t>NSF-000663</t>
  </si>
  <si>
    <t>Hackney</t>
  </si>
  <si>
    <t>SES-2601-20970</t>
  </si>
  <si>
    <t>USR-00698</t>
  </si>
  <si>
    <t>NSF-001074</t>
  </si>
  <si>
    <t>Eligibility Unclear</t>
  </si>
  <si>
    <t>SES-2508-15844</t>
  </si>
  <si>
    <t>USR-00164</t>
  </si>
  <si>
    <t>NSF-000695</t>
  </si>
  <si>
    <t>N/A</t>
  </si>
  <si>
    <t>SES-2503-14428</t>
  </si>
  <si>
    <t>USR-00291</t>
  </si>
  <si>
    <t>NSF-000232</t>
  </si>
  <si>
    <t>SES-2502-71710</t>
  </si>
  <si>
    <t>USR-00715</t>
  </si>
  <si>
    <t>NSF-000134</t>
  </si>
  <si>
    <t>SES-2502-47624</t>
  </si>
  <si>
    <t>USR-00524</t>
  </si>
  <si>
    <t>NSF-000107</t>
  </si>
  <si>
    <t>Compliance Review Delay</t>
  </si>
  <si>
    <t>SES-2511-54116</t>
  </si>
  <si>
    <t>USR-00763</t>
  </si>
  <si>
    <t>NSF-000986</t>
  </si>
  <si>
    <t>SES-2503-23945</t>
  </si>
  <si>
    <t>USR-00389</t>
  </si>
  <si>
    <t>NSF-000269</t>
  </si>
  <si>
    <t>SES-2504-87230</t>
  </si>
  <si>
    <t>USR-00587</t>
  </si>
  <si>
    <t>NSF-000352</t>
  </si>
  <si>
    <t>SES-2504-98447</t>
  </si>
  <si>
    <t>USR-00272</t>
  </si>
  <si>
    <t>NSF-000298</t>
  </si>
  <si>
    <t>SES-2508-28886</t>
  </si>
  <si>
    <t>USR-00443</t>
  </si>
  <si>
    <t>NSF-000676</t>
  </si>
  <si>
    <t>SES-2604-95487</t>
  </si>
  <si>
    <t>USR-00592</t>
  </si>
  <si>
    <t>NSF-001294</t>
  </si>
  <si>
    <t>SES-2505-18003</t>
  </si>
  <si>
    <t>USR-00128</t>
  </si>
  <si>
    <t>NSF-000452</t>
  </si>
  <si>
    <t>CANTERBURY</t>
  </si>
  <si>
    <t>SES-2511-59651</t>
  </si>
  <si>
    <t>USR-00021</t>
  </si>
  <si>
    <t>NSF-000982</t>
  </si>
  <si>
    <t>SES-2509-86160</t>
  </si>
  <si>
    <t>USR-00082</t>
  </si>
  <si>
    <t>NSF-000796</t>
  </si>
  <si>
    <t>SES-2501-42880</t>
  </si>
  <si>
    <t>USR-00319</t>
  </si>
  <si>
    <t>NSF-000035</t>
  </si>
  <si>
    <t>SES-2605-35483</t>
  </si>
  <si>
    <t>USR-00781</t>
  </si>
  <si>
    <t>NSF-001376</t>
  </si>
  <si>
    <t>SES-2510-84135</t>
  </si>
  <si>
    <t>USR-00461</t>
  </si>
  <si>
    <t>NSF-000879</t>
  </si>
  <si>
    <t>many</t>
  </si>
  <si>
    <t>SES-2505-82369</t>
  </si>
  <si>
    <t>USR-00075</t>
  </si>
  <si>
    <t>NSF-000480</t>
  </si>
  <si>
    <t>SES-2501-67096</t>
  </si>
  <si>
    <t>USR-00424</t>
  </si>
  <si>
    <t>NSF-000084</t>
  </si>
  <si>
    <t>SES-2506-36639</t>
  </si>
  <si>
    <t>USR-00723</t>
  </si>
  <si>
    <t>NSF-000488</t>
  </si>
  <si>
    <t>SES-2508-93141</t>
  </si>
  <si>
    <t>USR-00730</t>
  </si>
  <si>
    <t>NSF-000710</t>
  </si>
  <si>
    <t>Derby</t>
  </si>
  <si>
    <t>SES-2504-13484</t>
  </si>
  <si>
    <t>USR-00002</t>
  </si>
  <si>
    <t>NSF-001490</t>
  </si>
  <si>
    <t>Verification took too long</t>
  </si>
  <si>
    <t>Merchant Declined Card</t>
  </si>
  <si>
    <t>SES-2604-13608</t>
  </si>
  <si>
    <t>USR-00395</t>
  </si>
  <si>
    <t>NSF-001329</t>
  </si>
  <si>
    <t>22 days</t>
  </si>
  <si>
    <t>Derry</t>
  </si>
  <si>
    <t>SES-2508-93581</t>
  </si>
  <si>
    <t>USR-00622</t>
  </si>
  <si>
    <t>NSF-000698</t>
  </si>
  <si>
    <t>SES-2506-51938</t>
  </si>
  <si>
    <t>NSF-000572</t>
  </si>
  <si>
    <t>SES-2507-95188</t>
  </si>
  <si>
    <t>USR-00828</t>
  </si>
  <si>
    <t>NSF-000583</t>
  </si>
  <si>
    <t>DUNDEE</t>
  </si>
  <si>
    <t>SES-2507-26752</t>
  </si>
  <si>
    <t>USR-00515</t>
  </si>
  <si>
    <t>NSF-000591</t>
  </si>
  <si>
    <t>SES-2512-79168</t>
  </si>
  <si>
    <t>NSF-001012</t>
  </si>
  <si>
    <t>SES-2508-40007</t>
  </si>
  <si>
    <t>NSF-000747</t>
  </si>
  <si>
    <t>Pro</t>
  </si>
  <si>
    <t>SES-2605-28972</t>
  </si>
  <si>
    <t>USR-00401</t>
  </si>
  <si>
    <t>NSF-001404</t>
  </si>
  <si>
    <t>SES-2503-19444</t>
  </si>
  <si>
    <t>USR-00092</t>
  </si>
  <si>
    <t>NSF-000282</t>
  </si>
  <si>
    <t>3 days</t>
  </si>
  <si>
    <t>Canterbury</t>
  </si>
  <si>
    <t>SES-2505-47305</t>
  </si>
  <si>
    <t>NSF-000457</t>
  </si>
  <si>
    <t>SES-2512-51402</t>
  </si>
  <si>
    <t>USR-00791</t>
  </si>
  <si>
    <t>NSF-001019</t>
  </si>
  <si>
    <t>SES-2601-67404</t>
  </si>
  <si>
    <t>USR-00472</t>
  </si>
  <si>
    <t>NSF-001083</t>
  </si>
  <si>
    <t>SES-2504-52177</t>
  </si>
  <si>
    <t>NSF-000312</t>
  </si>
  <si>
    <t>SES-2511-94474</t>
  </si>
  <si>
    <t>USR-00327</t>
  </si>
  <si>
    <t>NSF-000955</t>
  </si>
  <si>
    <t>Hammersmith</t>
  </si>
  <si>
    <t>SES-2501-59555</t>
  </si>
  <si>
    <t>USR-00801</t>
  </si>
  <si>
    <t>NSF-000085</t>
  </si>
  <si>
    <t>SES-2602-38308</t>
  </si>
  <si>
    <t>NSF-001178</t>
  </si>
  <si>
    <t>SES-2505-24326</t>
  </si>
  <si>
    <t>USR-00706</t>
  </si>
  <si>
    <t>NSF-000451</t>
  </si>
  <si>
    <t>SES-2503-99619</t>
  </si>
  <si>
    <t>USR-00618</t>
  </si>
  <si>
    <t>NSF-000275</t>
  </si>
  <si>
    <t>2 steps</t>
  </si>
  <si>
    <t>SES-2507-82831</t>
  </si>
  <si>
    <t>USR-00418</t>
  </si>
  <si>
    <t>NSF-000629</t>
  </si>
  <si>
    <t>SES-2501-35065</t>
  </si>
  <si>
    <t>USR-00298</t>
  </si>
  <si>
    <t>NSF-000054</t>
  </si>
  <si>
    <t>SES-2602-61018</t>
  </si>
  <si>
    <t>USR-00255</t>
  </si>
  <si>
    <t>NSF-001194</t>
  </si>
  <si>
    <t>SES-2506-74436</t>
  </si>
  <si>
    <t>USR-00056</t>
  </si>
  <si>
    <t>NSF-001489</t>
  </si>
  <si>
    <t>SES-2508-93668</t>
  </si>
  <si>
    <t>USR-00093</t>
  </si>
  <si>
    <t>NSF-000684</t>
  </si>
  <si>
    <t>SES-2602-77639</t>
  </si>
  <si>
    <t>USR-00053</t>
  </si>
  <si>
    <t>NSF-001195</t>
  </si>
  <si>
    <t>SES-2508-65404</t>
  </si>
  <si>
    <t>USR-00191</t>
  </si>
  <si>
    <t>NSF-000741</t>
  </si>
  <si>
    <t>SES-2503-48699</t>
  </si>
  <si>
    <t>USR-00490</t>
  </si>
  <si>
    <t>NSF-000257</t>
  </si>
  <si>
    <t>SES-2603-20195</t>
  </si>
  <si>
    <t>USR-00531</t>
  </si>
  <si>
    <t>NSF-001284</t>
  </si>
  <si>
    <t>SES-2512-48531</t>
  </si>
  <si>
    <t>NSF-001042</t>
  </si>
  <si>
    <t>SES-2604-82304</t>
  </si>
  <si>
    <t>USR-00186</t>
  </si>
  <si>
    <t>NSF-001323</t>
  </si>
  <si>
    <t>Contact Permission Denied</t>
  </si>
  <si>
    <t>SES-2502-54877</t>
  </si>
  <si>
    <t>USR-00315</t>
  </si>
  <si>
    <t>NSF-000162</t>
  </si>
  <si>
    <t>32 days</t>
  </si>
  <si>
    <t>SES-2601-18703</t>
  </si>
  <si>
    <t>USR-00137</t>
  </si>
  <si>
    <t>NSF-001145</t>
  </si>
  <si>
    <t>Newcastle</t>
  </si>
  <si>
    <t>SES-2606-88421</t>
  </si>
  <si>
    <t>USR-00409</t>
  </si>
  <si>
    <t>NSF-001449</t>
  </si>
  <si>
    <t>SES-2511-83770</t>
  </si>
  <si>
    <t>USR-00127</t>
  </si>
  <si>
    <t>NSF-000926</t>
  </si>
  <si>
    <t>SES-2504-18506</t>
  </si>
  <si>
    <t>USR-00410</t>
  </si>
  <si>
    <t>NSF-000345</t>
  </si>
  <si>
    <t>28 days</t>
  </si>
  <si>
    <t>SES-2509-62165</t>
  </si>
  <si>
    <t>usr-00252</t>
  </si>
  <si>
    <t>NSF-000795</t>
  </si>
  <si>
    <t>SES-2507-36784</t>
  </si>
  <si>
    <t>USR-00027</t>
  </si>
  <si>
    <t>NSF-000623</t>
  </si>
  <si>
    <t>SES-2603-80699</t>
  </si>
  <si>
    <t>USR-00548</t>
  </si>
  <si>
    <t>NSF-001275</t>
  </si>
  <si>
    <t>SES-2508-83522</t>
  </si>
  <si>
    <t>USR-00146</t>
  </si>
  <si>
    <t>NSF-000715</t>
  </si>
  <si>
    <t>SES-2605-81431</t>
  </si>
  <si>
    <t>USR-00339</t>
  </si>
  <si>
    <t>NSF-001374</t>
  </si>
  <si>
    <t>SES-2507-92400</t>
  </si>
  <si>
    <t>NSF-000608</t>
  </si>
  <si>
    <t>Dundee</t>
  </si>
  <si>
    <t>SES-2510-41787</t>
  </si>
  <si>
    <t>USR-00196</t>
  </si>
  <si>
    <t>NSF-000837</t>
  </si>
  <si>
    <t>CHESTER</t>
  </si>
  <si>
    <t>SES-2506-54036</t>
  </si>
  <si>
    <t>USR-00834</t>
  </si>
  <si>
    <t>NSF-000536</t>
  </si>
  <si>
    <t>USR-00252</t>
  </si>
  <si>
    <t>SES-2509-64965</t>
  </si>
  <si>
    <t>USR-00318</t>
  </si>
  <si>
    <t>NSF-000829</t>
  </si>
  <si>
    <t>SES-2505-62624</t>
  </si>
  <si>
    <t>USR-00759</t>
  </si>
  <si>
    <t>NSF-000456</t>
  </si>
  <si>
    <t>SES-2509-17583</t>
  </si>
  <si>
    <t>USR-00681</t>
  </si>
  <si>
    <t>NSF-000774</t>
  </si>
  <si>
    <t>SES-2502-13125</t>
  </si>
  <si>
    <t>USR-00253</t>
  </si>
  <si>
    <t>NSF-000114</t>
  </si>
  <si>
    <t>SES-2508-40398</t>
  </si>
  <si>
    <t>NSF-000722</t>
  </si>
  <si>
    <t>SES-2512-13429</t>
  </si>
  <si>
    <t>USR-00303</t>
  </si>
  <si>
    <t>NSF-001043</t>
  </si>
  <si>
    <t>Card Activation Failed</t>
  </si>
  <si>
    <t>SES-2602-29776</t>
  </si>
  <si>
    <t>USR-00823</t>
  </si>
  <si>
    <t>NSF-001212</t>
  </si>
  <si>
    <t>SES-2512-22525</t>
  </si>
  <si>
    <t>NSF-001054</t>
  </si>
  <si>
    <t>SES-2505-29714</t>
  </si>
  <si>
    <t>NSF-000469</t>
  </si>
  <si>
    <t>SES-2510-71645</t>
  </si>
  <si>
    <t>USR-00243</t>
  </si>
  <si>
    <t>NSF-000885</t>
  </si>
  <si>
    <t>SES-2504-57182</t>
  </si>
  <si>
    <t>USR-00634</t>
  </si>
  <si>
    <t>NSF-000297</t>
  </si>
  <si>
    <t>CAMBRIDGE</t>
  </si>
  <si>
    <t>SES-2504-82545</t>
  </si>
  <si>
    <t>USR-00216</t>
  </si>
  <si>
    <t>NSF-000376</t>
  </si>
  <si>
    <t>SES-2502-67337</t>
  </si>
  <si>
    <t>USR-00547</t>
  </si>
  <si>
    <t>NSF-000136</t>
  </si>
  <si>
    <t>SES-2510-29036</t>
  </si>
  <si>
    <t>USR-00701</t>
  </si>
  <si>
    <t>NSF-000891</t>
  </si>
  <si>
    <t>SES-2505-94256</t>
  </si>
  <si>
    <t>USR-00779</t>
  </si>
  <si>
    <t>NSF-000448</t>
  </si>
  <si>
    <t>SES-2503-40345</t>
  </si>
  <si>
    <t>NSF-000236</t>
  </si>
  <si>
    <t>SES-2505-81063</t>
  </si>
  <si>
    <t>USR-00058</t>
  </si>
  <si>
    <t>NSF-000419</t>
  </si>
  <si>
    <t>SES-2506-31234</t>
  </si>
  <si>
    <t>USR-00610</t>
  </si>
  <si>
    <t>NSF-000525</t>
  </si>
  <si>
    <t>SES-2606-41612</t>
  </si>
  <si>
    <t>USR-00651</t>
  </si>
  <si>
    <t>NSF-001448</t>
  </si>
  <si>
    <t>SES-2504-24534</t>
  </si>
  <si>
    <t>NSF-000382</t>
  </si>
  <si>
    <t>SES-2501-56562</t>
  </si>
  <si>
    <t>USR-00151</t>
  </si>
  <si>
    <t>NSF-000056</t>
  </si>
  <si>
    <t>SES-2509-47124</t>
  </si>
  <si>
    <t>USR-00704</t>
  </si>
  <si>
    <t>NSF-000822</t>
  </si>
  <si>
    <t>SES-2604-46120</t>
  </si>
  <si>
    <t>USR-00310</t>
  </si>
  <si>
    <t>NSF-001311</t>
  </si>
  <si>
    <t>SES-2510-30007</t>
  </si>
  <si>
    <t>NSF-000843</t>
  </si>
  <si>
    <t>SES-2602-24034</t>
  </si>
  <si>
    <t>USR-00708</t>
  </si>
  <si>
    <t>NSF-001189</t>
  </si>
  <si>
    <t>SES-2601-48820</t>
  </si>
  <si>
    <t>USR-00313</t>
  </si>
  <si>
    <t>NSF-001091</t>
  </si>
  <si>
    <t>SES-2510-49375</t>
  </si>
  <si>
    <t>USR-00106</t>
  </si>
  <si>
    <t>NSF-000863</t>
  </si>
  <si>
    <t>16 days</t>
  </si>
  <si>
    <t>SES-2502-59375</t>
  </si>
  <si>
    <t>USR-00330</t>
  </si>
  <si>
    <t>NSF-000187</t>
  </si>
  <si>
    <t>SES-2509-54581</t>
  </si>
  <si>
    <t>USR-00796</t>
  </si>
  <si>
    <t>NSF-000771</t>
  </si>
  <si>
    <t>SES-2508-11389</t>
  </si>
  <si>
    <t>USR-00145</t>
  </si>
  <si>
    <t>NSF-000669</t>
  </si>
  <si>
    <t>37 days</t>
  </si>
  <si>
    <t>SES-2503-76441</t>
  </si>
  <si>
    <t>USR-00501</t>
  </si>
  <si>
    <t>NSF-000253</t>
  </si>
  <si>
    <t>SES-2605-54761</t>
  </si>
  <si>
    <t>USR-00156</t>
  </si>
  <si>
    <t>NSF-001398</t>
  </si>
  <si>
    <t>SES-2504-60292</t>
  </si>
  <si>
    <t>USR-00541</t>
  </si>
  <si>
    <t>NSF-000307</t>
  </si>
  <si>
    <t>SES-2505-34771</t>
  </si>
  <si>
    <t>USR-00832</t>
  </si>
  <si>
    <t>NSF-000402</t>
  </si>
  <si>
    <t>SES-2507-92003</t>
  </si>
  <si>
    <t>USR-00853</t>
  </si>
  <si>
    <t>NSF-000612</t>
  </si>
  <si>
    <t>SES-2604-37272</t>
  </si>
  <si>
    <t>NSF-001306</t>
  </si>
  <si>
    <t>48 days</t>
  </si>
  <si>
    <t>SES-2512-67706</t>
  </si>
  <si>
    <t>USR-00626</t>
  </si>
  <si>
    <t>NSF-001049</t>
  </si>
  <si>
    <t>SES-2503-48080</t>
  </si>
  <si>
    <t>USR-00544</t>
  </si>
  <si>
    <t>NSF-000222</t>
  </si>
  <si>
    <t>SES-2605-47396</t>
  </si>
  <si>
    <t>NSF-001397</t>
  </si>
  <si>
    <t>SES-2506-68857</t>
  </si>
  <si>
    <t>NSF-000519</t>
  </si>
  <si>
    <t>SES-2505-90323</t>
  </si>
  <si>
    <t>USR-00103</t>
  </si>
  <si>
    <t>NSF-000413</t>
  </si>
  <si>
    <t>SES-2504-41129</t>
  </si>
  <si>
    <t>USR-00023</t>
  </si>
  <si>
    <t>NSF-000374</t>
  </si>
  <si>
    <t>SES-2502-92333</t>
  </si>
  <si>
    <t>USR-00038</t>
  </si>
  <si>
    <t>NSF-000106</t>
  </si>
  <si>
    <t>SES-2510-39844</t>
  </si>
  <si>
    <t>USR-00800</t>
  </si>
  <si>
    <t>NSF-000850</t>
  </si>
  <si>
    <t>68 days</t>
  </si>
  <si>
    <t>SES-2606-00006</t>
  </si>
  <si>
    <t>USR-00119</t>
  </si>
  <si>
    <t>NSF-001251</t>
  </si>
  <si>
    <t>SES-2601-54957</t>
  </si>
  <si>
    <t>USR-00197</t>
  </si>
  <si>
    <t>NSF-001127</t>
  </si>
  <si>
    <t>SES-2505-42992</t>
  </si>
  <si>
    <t>NSF-000401</t>
  </si>
  <si>
    <t>SES-2512-65489</t>
  </si>
  <si>
    <t>USR-00458</t>
  </si>
  <si>
    <t>NSF-000998</t>
  </si>
  <si>
    <t>SES-2603-36799</t>
  </si>
  <si>
    <t>usr-00134</t>
  </si>
  <si>
    <t>NSF-001263</t>
  </si>
  <si>
    <t>SES-2508-57937</t>
  </si>
  <si>
    <t>USR-00107</t>
  </si>
  <si>
    <t>NSF-000707</t>
  </si>
  <si>
    <t>SES-2604-72128</t>
  </si>
  <si>
    <t>usr-00620</t>
  </si>
  <si>
    <t>NSF-001340</t>
  </si>
  <si>
    <t>SES-2508-84467</t>
  </si>
  <si>
    <t>USR-00227</t>
  </si>
  <si>
    <t>NSF-000688</t>
  </si>
  <si>
    <t>SES-2512-32518</t>
  </si>
  <si>
    <t>USR-00859</t>
  </si>
  <si>
    <t>NSF-001044</t>
  </si>
  <si>
    <t>SES-2504-40355</t>
  </si>
  <si>
    <t>USR-00028</t>
  </si>
  <si>
    <t>NSF-000343</t>
  </si>
  <si>
    <t>SES-2604-80907</t>
  </si>
  <si>
    <t>USR-00342</t>
  </si>
  <si>
    <t>NSF-001353</t>
  </si>
  <si>
    <t>SES-2605-80206</t>
  </si>
  <si>
    <t>NSF-001413</t>
  </si>
  <si>
    <t>SES-2604-18608</t>
  </si>
  <si>
    <t>NSF-001312</t>
  </si>
  <si>
    <t>SES-2512-72029</t>
  </si>
  <si>
    <t>NSF-001041</t>
  </si>
  <si>
    <t>SES-2502-91406</t>
  </si>
  <si>
    <t>USR-00538</t>
  </si>
  <si>
    <t>NSF-000127</t>
  </si>
  <si>
    <t>Mandate Not Found</t>
  </si>
  <si>
    <t>SES-2512-84895</t>
  </si>
  <si>
    <t>USR-00593</t>
  </si>
  <si>
    <t>NSF-001047</t>
  </si>
  <si>
    <t>SES-2505-38225</t>
  </si>
  <si>
    <t>USR-00007</t>
  </si>
  <si>
    <t>NSF-000405</t>
  </si>
  <si>
    <t>ABERDEEN</t>
  </si>
  <si>
    <t>SES-2502-92203</t>
  </si>
  <si>
    <t>USR-00162</t>
  </si>
  <si>
    <t>NSF-000145</t>
  </si>
  <si>
    <t>SES-2504-65753</t>
  </si>
  <si>
    <t>USR-00437</t>
  </si>
  <si>
    <t>NSF-000303</t>
  </si>
  <si>
    <t>SES-2502-70391</t>
  </si>
  <si>
    <t>USR-00743</t>
  </si>
  <si>
    <t>NSF-000153</t>
  </si>
  <si>
    <t>SES-2501-43951</t>
  </si>
  <si>
    <t>USR-00399</t>
  </si>
  <si>
    <t>NSF-000019</t>
  </si>
  <si>
    <t>SES-2601-48290</t>
  </si>
  <si>
    <t>USR-00649</t>
  </si>
  <si>
    <t>NSF-001105</t>
  </si>
  <si>
    <t>51 days</t>
  </si>
  <si>
    <t>SES-2603-81255</t>
  </si>
  <si>
    <t>USR-00271</t>
  </si>
  <si>
    <t>NSF-001218</t>
  </si>
  <si>
    <t>SES-2511-29809</t>
  </si>
  <si>
    <t>USR-00605</t>
  </si>
  <si>
    <t>NSF-000987</t>
  </si>
  <si>
    <t>SES-2505-18110</t>
  </si>
  <si>
    <t>NSF-000479</t>
  </si>
  <si>
    <t>SES-2501-98284</t>
  </si>
  <si>
    <t>USR-00558</t>
  </si>
  <si>
    <t>NSF-000069</t>
  </si>
  <si>
    <t>SES-2601-93197</t>
  </si>
  <si>
    <t>USR-00229</t>
  </si>
  <si>
    <t>NSF-001078</t>
  </si>
  <si>
    <t>SES-2603-66298</t>
  </si>
  <si>
    <t>USR-00404</t>
  </si>
  <si>
    <t>NSF-001241</t>
  </si>
  <si>
    <t>SES-2604-43043</t>
  </si>
  <si>
    <t>USR-00307</t>
  </si>
  <si>
    <t>NSF-001318</t>
  </si>
  <si>
    <t>36 days</t>
  </si>
  <si>
    <t>SES-2504-86648</t>
  </si>
  <si>
    <t>USR-00063</t>
  </si>
  <si>
    <t>NSF-000337</t>
  </si>
  <si>
    <t>SES-2502-11084</t>
  </si>
  <si>
    <t>USR-00336</t>
  </si>
  <si>
    <t>NSF-000174</t>
  </si>
  <si>
    <t>SES-2501-57907</t>
  </si>
  <si>
    <t>USR-00019</t>
  </si>
  <si>
    <t>NSF-000001</t>
  </si>
  <si>
    <t>SES-2507-23626</t>
  </si>
  <si>
    <t>NSF-000619</t>
  </si>
  <si>
    <t>SES-2504-37656</t>
  </si>
  <si>
    <t>USR-00532</t>
  </si>
  <si>
    <t>NSF-000358</t>
  </si>
  <si>
    <t>SES-2502-14337</t>
  </si>
  <si>
    <t>NSF-000125</t>
  </si>
  <si>
    <t>SES-2507-14405</t>
  </si>
  <si>
    <t>USR-00771</t>
  </si>
  <si>
    <t>NSF-000659</t>
  </si>
  <si>
    <t>Fx Rate Confusion</t>
  </si>
  <si>
    <t>SES-2512-97252</t>
  </si>
  <si>
    <t>USR-00221</t>
  </si>
  <si>
    <t>NSF-001039</t>
  </si>
  <si>
    <t>SES-2604-92598</t>
  </si>
  <si>
    <t>USR-00302</t>
  </si>
  <si>
    <t>NSF-001350</t>
  </si>
  <si>
    <t>SES-2502-13417</t>
  </si>
  <si>
    <t>USR-00100</t>
  </si>
  <si>
    <t>NSF-000141</t>
  </si>
  <si>
    <t>SES-2602-63433</t>
  </si>
  <si>
    <t>USR-00518</t>
  </si>
  <si>
    <t>NSF-001184</t>
  </si>
  <si>
    <t>SES-2506-11453</t>
  </si>
  <si>
    <t>NSF-000492</t>
  </si>
  <si>
    <t>SES-2604-53050</t>
  </si>
  <si>
    <t>usr-00572</t>
  </si>
  <si>
    <t>NSF-001314</t>
  </si>
  <si>
    <t>DURHAM</t>
  </si>
  <si>
    <t>SES-2503-49809</t>
  </si>
  <si>
    <t>NSF-000278</t>
  </si>
  <si>
    <t>SES-2502-41878</t>
  </si>
  <si>
    <t>USR-00155</t>
  </si>
  <si>
    <t>NSF-000131</t>
  </si>
  <si>
    <t>SES-2604-62756</t>
  </si>
  <si>
    <t>USR-00707</t>
  </si>
  <si>
    <t>NSF-001339</t>
  </si>
  <si>
    <t>SES-2501-93984</t>
  </si>
  <si>
    <t>USR-00294</t>
  </si>
  <si>
    <t>NSF-000031</t>
  </si>
  <si>
    <t>SES-2602-80522</t>
  </si>
  <si>
    <t>USR-00640</t>
  </si>
  <si>
    <t>NSF-001179</t>
  </si>
  <si>
    <t>SES-2512-46122</t>
  </si>
  <si>
    <t>USR-00496</t>
  </si>
  <si>
    <t>NSF-001032</t>
  </si>
  <si>
    <t>CAMDEN</t>
  </si>
  <si>
    <t>SES-2503-62820</t>
  </si>
  <si>
    <t>USR-00109</t>
  </si>
  <si>
    <t>NSF-000197</t>
  </si>
  <si>
    <t>SES-2603-66781</t>
  </si>
  <si>
    <t>NSF-001259</t>
  </si>
  <si>
    <t>SES-2501-81786</t>
  </si>
  <si>
    <t>USR-00613</t>
  </si>
  <si>
    <t>NSF-000089</t>
  </si>
  <si>
    <t>SES-2601-41269</t>
  </si>
  <si>
    <t>USR-00423</t>
  </si>
  <si>
    <t>NSF-001115</t>
  </si>
  <si>
    <t>SES-2509-98510</t>
  </si>
  <si>
    <t>NSF-000802</t>
  </si>
  <si>
    <t>Prefer Not To Say</t>
  </si>
  <si>
    <t>SES-2511-16756</t>
  </si>
  <si>
    <t>USR-00435</t>
  </si>
  <si>
    <t>NSF-000942</t>
  </si>
  <si>
    <t>SES-2507-51233</t>
  </si>
  <si>
    <t>USR-00534</t>
  </si>
  <si>
    <t>NSF-000641</t>
  </si>
  <si>
    <t>SES-2509-27612</t>
  </si>
  <si>
    <t>USR-00177</t>
  </si>
  <si>
    <t>NSF-000799</t>
  </si>
  <si>
    <t>SES-2502-75016</t>
  </si>
  <si>
    <t>NSF-000147</t>
  </si>
  <si>
    <t>SES-2502-62214</t>
  </si>
  <si>
    <t>USR-00129</t>
  </si>
  <si>
    <t>NSF-000189</t>
  </si>
  <si>
    <t>SES-2605-73419</t>
  </si>
  <si>
    <t>USR-00051</t>
  </si>
  <si>
    <t>NSF-001387</t>
  </si>
  <si>
    <t>SES-2505-39727</t>
  </si>
  <si>
    <t>USR-00121</t>
  </si>
  <si>
    <t>NSF-000428</t>
  </si>
  <si>
    <t>SES-2504-57611</t>
  </si>
  <si>
    <t>USR-00384</t>
  </si>
  <si>
    <t>NSF-000373</t>
  </si>
  <si>
    <t>SES-2509-75680</t>
  </si>
  <si>
    <t>USR-00279</t>
  </si>
  <si>
    <t>NSF-000768</t>
  </si>
  <si>
    <t>SES-2504-34185</t>
  </si>
  <si>
    <t>USR-00471</t>
  </si>
  <si>
    <t>NSF-000385</t>
  </si>
  <si>
    <t>SES-2504-22489</t>
  </si>
  <si>
    <t>USR-00054</t>
  </si>
  <si>
    <t>NSF-000344</t>
  </si>
  <si>
    <t>SES-2605-21746</t>
  </si>
  <si>
    <t>USR-00184</t>
  </si>
  <si>
    <t>NSF-001407</t>
  </si>
  <si>
    <t>SES-2509-52217</t>
  </si>
  <si>
    <t>NSF-000756</t>
  </si>
  <si>
    <t>Changed mind</t>
  </si>
  <si>
    <t>Terms Not Understood</t>
  </si>
  <si>
    <t>SES-2506-71554</t>
  </si>
  <si>
    <t>NSF-000553</t>
  </si>
  <si>
    <t>SES-2606-79755</t>
  </si>
  <si>
    <t>NSF-001432</t>
  </si>
  <si>
    <t>SES-2504-97695</t>
  </si>
  <si>
    <t>NSF-000369</t>
  </si>
  <si>
    <t>MIDDLESBROUGH</t>
  </si>
  <si>
    <t>SES-2508-59611</t>
  </si>
  <si>
    <t>NSF-000672</t>
  </si>
  <si>
    <t>SES-2509-98163</t>
  </si>
  <si>
    <t>USR-00485</t>
  </si>
  <si>
    <t>NSF-000827</t>
  </si>
  <si>
    <t>SES-2605-25597</t>
  </si>
  <si>
    <t>USR-00750</t>
  </si>
  <si>
    <t>NSF-001400</t>
  </si>
  <si>
    <t>SES-2507-55783</t>
  </si>
  <si>
    <t>USR-00263</t>
  </si>
  <si>
    <t>NSF-000582</t>
  </si>
  <si>
    <t>SES-2502-83588</t>
  </si>
  <si>
    <t>USR-00825</t>
  </si>
  <si>
    <t>NSF-000152</t>
  </si>
  <si>
    <t>SES-2512-80516</t>
  </si>
  <si>
    <t>USR-00732</t>
  </si>
  <si>
    <t>NSF-001061</t>
  </si>
  <si>
    <t>SES-2511-38186</t>
  </si>
  <si>
    <t>USR-00495</t>
  </si>
  <si>
    <t>NSF-000918</t>
  </si>
  <si>
    <t>SES-2604-68777</t>
  </si>
  <si>
    <t>NSF-001343</t>
  </si>
  <si>
    <t>SES-2511-31546</t>
  </si>
  <si>
    <t>NSF-000950</t>
  </si>
  <si>
    <t>SES-2508-90443</t>
  </si>
  <si>
    <t>USR-00356</t>
  </si>
  <si>
    <t>NSF-000706</t>
  </si>
  <si>
    <t>SES-2503-19776</t>
  </si>
  <si>
    <t>NSF-000219</t>
  </si>
  <si>
    <t>SES-2508-54101</t>
  </si>
  <si>
    <t>USR-00286</t>
  </si>
  <si>
    <t>NSF-000703</t>
  </si>
  <si>
    <t>SES-2502-10368</t>
  </si>
  <si>
    <t>USR-00407</t>
  </si>
  <si>
    <t>NSF-000104</t>
  </si>
  <si>
    <t>SES-2606-11848</t>
  </si>
  <si>
    <t>USR-00682</t>
  </si>
  <si>
    <t>NSF-001417</t>
  </si>
  <si>
    <t>SES-2603-84802</t>
  </si>
  <si>
    <t>USR-00468</t>
  </si>
  <si>
    <t>NSF-001273</t>
  </si>
  <si>
    <t>SES-2603-20212</t>
  </si>
  <si>
    <t>USR-00694</t>
  </si>
  <si>
    <t>NSF-001222</t>
  </si>
  <si>
    <t>SES-2605-32163</t>
  </si>
  <si>
    <t>USR-00482</t>
  </si>
  <si>
    <t>NSF-001375</t>
  </si>
  <si>
    <t>SHEFFIELD</t>
  </si>
  <si>
    <t>SES-2603-75317</t>
  </si>
  <si>
    <t>USR-00597</t>
  </si>
  <si>
    <t>NSF-001285</t>
  </si>
  <si>
    <t>SES-2510-22937</t>
  </si>
  <si>
    <t>USR-00812</t>
  </si>
  <si>
    <t>NSF-000880</t>
  </si>
  <si>
    <t>SES-2503-89537</t>
  </si>
  <si>
    <t>NSF-000291</t>
  </si>
  <si>
    <t>SES-2507-74724</t>
  </si>
  <si>
    <t>USR-00256</t>
  </si>
  <si>
    <t>NSF-000627</t>
  </si>
  <si>
    <t>SES-2508-86040</t>
  </si>
  <si>
    <t>USR-00549</t>
  </si>
  <si>
    <t>NSF-000694</t>
  </si>
  <si>
    <t>SES-2504-41444</t>
  </si>
  <si>
    <t>USR-00297</t>
  </si>
  <si>
    <t>NSF-000300</t>
  </si>
  <si>
    <t>SES-2602-75274</t>
  </si>
  <si>
    <t>USR-00292</t>
  </si>
  <si>
    <t>NSF-001163</t>
  </si>
  <si>
    <t>SES-2502-52274</t>
  </si>
  <si>
    <t>USR-00430</t>
  </si>
  <si>
    <t>NSF-000159</t>
  </si>
  <si>
    <t>SES-2505-22643</t>
  </si>
  <si>
    <t>USR-00529</t>
  </si>
  <si>
    <t>NSF-000393</t>
  </si>
  <si>
    <t>SES-2603-75487</t>
  </si>
  <si>
    <t>USR-00616</t>
  </si>
  <si>
    <t>NSF-001280</t>
  </si>
  <si>
    <t>SES-2503-90682</t>
  </si>
  <si>
    <t>NSF-000214</t>
  </si>
  <si>
    <t>SES-2509-49686</t>
  </si>
  <si>
    <t>USR-00664</t>
  </si>
  <si>
    <t>NSF-000787</t>
  </si>
  <si>
    <t>SES-2505-51826</t>
  </si>
  <si>
    <t>USR-00836</t>
  </si>
  <si>
    <t>NSF-000453</t>
  </si>
  <si>
    <t>SES-2503-87364</t>
  </si>
  <si>
    <t>NSF-000203</t>
  </si>
  <si>
    <t>SES-2501-12503</t>
  </si>
  <si>
    <t>USR-00469</t>
  </si>
  <si>
    <t>NSF-000012</t>
  </si>
  <si>
    <t>33 days</t>
  </si>
  <si>
    <t>SES-2606-58842</t>
  </si>
  <si>
    <t>USR-00323</t>
  </si>
  <si>
    <t>NSF-001431</t>
  </si>
  <si>
    <t>SES-2501-67266</t>
  </si>
  <si>
    <t>NSF-000047</t>
  </si>
  <si>
    <t>SES-2503-26171</t>
  </si>
  <si>
    <t>USR-00775</t>
  </si>
  <si>
    <t>NSF-000251</t>
  </si>
  <si>
    <t>SES-2506-58832</t>
  </si>
  <si>
    <t>USR-00815</t>
  </si>
  <si>
    <t>NSF-000511</t>
  </si>
  <si>
    <t>SES-2504-31048</t>
  </si>
  <si>
    <t>USR-00376</t>
  </si>
  <si>
    <t>NSF-000308</t>
  </si>
  <si>
    <t>SES-2603-87948</t>
  </si>
  <si>
    <t>USR-00661</t>
  </si>
  <si>
    <t>NSF-001245</t>
  </si>
  <si>
    <t>SES-2502-47525</t>
  </si>
  <si>
    <t>USR-00060</t>
  </si>
  <si>
    <t>NSF-000146</t>
  </si>
  <si>
    <t>SES-2606-33206</t>
  </si>
  <si>
    <t>USR-00036</t>
  </si>
  <si>
    <t>NSF-001437</t>
  </si>
  <si>
    <t>SES-2504-42039</t>
  </si>
  <si>
    <t>USR-00672</t>
  </si>
  <si>
    <t>NSF-000324</t>
  </si>
  <si>
    <t>LIVERPOOL</t>
  </si>
  <si>
    <t>SES-2502-17878</t>
  </si>
  <si>
    <t>USR-00754</t>
  </si>
  <si>
    <t>NSF-000185</t>
  </si>
  <si>
    <t>SES-2508-42489</t>
  </si>
  <si>
    <t>USR-00295</t>
  </si>
  <si>
    <t>NSF-000723</t>
  </si>
  <si>
    <t>SES-2509-65105</t>
  </si>
  <si>
    <t>USR-00829</t>
  </si>
  <si>
    <t>NSF-000772</t>
  </si>
  <si>
    <t>SES-2512-50124</t>
  </si>
  <si>
    <t>USR-00195</t>
  </si>
  <si>
    <t>NSF-001055</t>
  </si>
  <si>
    <t>SES-2501-55647</t>
  </si>
  <si>
    <t>USR-00116</t>
  </si>
  <si>
    <t>NSF-000024</t>
  </si>
  <si>
    <t>SES-2501-49611</t>
  </si>
  <si>
    <t>USR-00085</t>
  </si>
  <si>
    <t>NSF-000022</t>
  </si>
  <si>
    <t>SES-2502-84520</t>
  </si>
  <si>
    <t>NSF-000151</t>
  </si>
  <si>
    <t>SES-2512-59612</t>
  </si>
  <si>
    <t>USR-00466</t>
  </si>
  <si>
    <t>NSF-001058</t>
  </si>
  <si>
    <t>SES-2601-69818</t>
  </si>
  <si>
    <t>NSF-001079</t>
  </si>
  <si>
    <t>SES-2505-31261</t>
  </si>
  <si>
    <t>USR-00144</t>
  </si>
  <si>
    <t>NSF-000454</t>
  </si>
  <si>
    <t>SES-2503-32886</t>
  </si>
  <si>
    <t>USR-00325</t>
  </si>
  <si>
    <t>NSF-000279</t>
  </si>
  <si>
    <t>SES-2606-29084</t>
  </si>
  <si>
    <t>NSF-001416</t>
  </si>
  <si>
    <t>SES-2506-85458</t>
  </si>
  <si>
    <t>NSF-000551</t>
  </si>
  <si>
    <t>Card Details Not Displayed</t>
  </si>
  <si>
    <t>SES-2604-52683</t>
  </si>
  <si>
    <t>USR-00625</t>
  </si>
  <si>
    <t>NSF-001320</t>
  </si>
  <si>
    <t>SES-2503-51866</t>
  </si>
  <si>
    <t>USR-00564</t>
  </si>
  <si>
    <t>NSF-000260</t>
  </si>
  <si>
    <t>SES-2501-53144</t>
  </si>
  <si>
    <t>NSF-000030</t>
  </si>
  <si>
    <t>SES-2606-11058</t>
  </si>
  <si>
    <t>USR-00290</t>
  </si>
  <si>
    <t>NSF-001433</t>
  </si>
  <si>
    <t>SES-2508-45495</t>
  </si>
  <si>
    <t>USR-00453</t>
  </si>
  <si>
    <t>NSF-000682</t>
  </si>
  <si>
    <t>SES-2502-83881</t>
  </si>
  <si>
    <t>USR-00328</t>
  </si>
  <si>
    <t>NSF-000123</t>
  </si>
  <si>
    <t>SES-2506-86073</t>
  </si>
  <si>
    <t>USR-00580</t>
  </si>
  <si>
    <t>NSF-000510</t>
  </si>
  <si>
    <t>SES-2508-30442</t>
  </si>
  <si>
    <t>USR-00015</t>
  </si>
  <si>
    <t>NSF-000725</t>
  </si>
  <si>
    <t>SES-2602-76894</t>
  </si>
  <si>
    <t>USR-00655</t>
  </si>
  <si>
    <t>NSF-001217</t>
  </si>
  <si>
    <t>SES-2509-29393</t>
  </si>
  <si>
    <t>USR-00643</t>
  </si>
  <si>
    <t>NSF-000820</t>
  </si>
  <si>
    <t>SES-2512-35171</t>
  </si>
  <si>
    <t>USR-00695</t>
  </si>
  <si>
    <t>NSF-001031</t>
  </si>
  <si>
    <t>SES-2601-49356</t>
  </si>
  <si>
    <t>NSF-001076</t>
  </si>
  <si>
    <t>SES-2502-60098</t>
  </si>
  <si>
    <t>NSF-000142</t>
  </si>
  <si>
    <t>SES-2507-80831</t>
  </si>
  <si>
    <t>USR-00497</t>
  </si>
  <si>
    <t>NSF-000598</t>
  </si>
  <si>
    <t>SES-2501-86479</t>
  </si>
  <si>
    <t>USR-00403</t>
  </si>
  <si>
    <t>NSF-000058</t>
  </si>
  <si>
    <t>SES-2506-43749</t>
  </si>
  <si>
    <t>USR-00685</t>
  </si>
  <si>
    <t>NSF-000524</t>
  </si>
  <si>
    <t>SES-2606-25263</t>
  </si>
  <si>
    <t>NSF-001434</t>
  </si>
  <si>
    <t>NORWICH</t>
  </si>
  <si>
    <t>SES-2502-13582</t>
  </si>
  <si>
    <t>USR-00835</t>
  </si>
  <si>
    <t>NSF-000165</t>
  </si>
  <si>
    <t>SES-2604-20278</t>
  </si>
  <si>
    <t>NSF-001308</t>
  </si>
  <si>
    <t>SES-2601-45994</t>
  </si>
  <si>
    <t>USR-00176</t>
  </si>
  <si>
    <t>NSF-001142</t>
  </si>
  <si>
    <t>SES-2604-27720</t>
  </si>
  <si>
    <t>NSF-001348</t>
  </si>
  <si>
    <t>SES-2505-37339</t>
  </si>
  <si>
    <t>USR-00656</t>
  </si>
  <si>
    <t>NSF-000472</t>
  </si>
  <si>
    <t>SES-2601-57202</t>
  </si>
  <si>
    <t>NSF-001117</t>
  </si>
  <si>
    <t>SES-2510-93474</t>
  </si>
  <si>
    <t>USR-00483</t>
  </si>
  <si>
    <t>NSF-000833</t>
  </si>
  <si>
    <t>SES-2505-24576</t>
  </si>
  <si>
    <t>USR-00031</t>
  </si>
  <si>
    <t>NSF-000433</t>
  </si>
  <si>
    <t>SES-2509-37293</t>
  </si>
  <si>
    <t>USR-00749</t>
  </si>
  <si>
    <t>NSF-000753</t>
  </si>
  <si>
    <t>SES-2507-36575</t>
  </si>
  <si>
    <t>USR-00248</t>
  </si>
  <si>
    <t>NSF-000656</t>
  </si>
  <si>
    <t>SES-2602-88312</t>
  </si>
  <si>
    <t>USR-00352</t>
  </si>
  <si>
    <t>NSF-001170</t>
  </si>
  <si>
    <t>COVENTRY</t>
  </si>
  <si>
    <t>SES-2511-92837</t>
  </si>
  <si>
    <t>USR-00125</t>
  </si>
  <si>
    <t>NSF-000984</t>
  </si>
  <si>
    <t>SES-2606-58845</t>
  </si>
  <si>
    <t>USR-00422</t>
  </si>
  <si>
    <t>NSF-001418</t>
  </si>
  <si>
    <t>Merchant Eligibility Mismatch</t>
  </si>
  <si>
    <t>SES-2511-29564</t>
  </si>
  <si>
    <t>USR-00150</t>
  </si>
  <si>
    <t>NSF-000915</t>
  </si>
  <si>
    <t>IPSWICH</t>
  </si>
  <si>
    <t>SES-2509-53854</t>
  </si>
  <si>
    <t>NSF-000794</t>
  </si>
  <si>
    <t>SES-2604-76519</t>
  </si>
  <si>
    <t>USR-00414</t>
  </si>
  <si>
    <t>NSF-001289</t>
  </si>
  <si>
    <t>SES-2509-34857</t>
  </si>
  <si>
    <t>NSF-000828</t>
  </si>
  <si>
    <t>60 days</t>
  </si>
  <si>
    <t>SES-2511-38064</t>
  </si>
  <si>
    <t>NSF-000947</t>
  </si>
  <si>
    <t>SES-2502-32600</t>
  </si>
  <si>
    <t>NSF-000098</t>
  </si>
  <si>
    <t>SES-2506-21393</t>
  </si>
  <si>
    <t>USR-00487</t>
  </si>
  <si>
    <t>NSF-000508</t>
  </si>
  <si>
    <t>SES-2510-56819</t>
  </si>
  <si>
    <t>NSF-000849</t>
  </si>
  <si>
    <t>SES-2601-76242</t>
  </si>
  <si>
    <t>USR-00052</t>
  </si>
  <si>
    <t>NSF-001090</t>
  </si>
  <si>
    <t>SES-2508-56094</t>
  </si>
  <si>
    <t>USR-00666</t>
  </si>
  <si>
    <t>NSF-000716</t>
  </si>
  <si>
    <t>SES-2502-50885</t>
  </si>
  <si>
    <t>USR-00551</t>
  </si>
  <si>
    <t>NSF-000171</t>
  </si>
  <si>
    <t>SES-2511-26494</t>
  </si>
  <si>
    <t>NSF-000922</t>
  </si>
  <si>
    <t>SES-2505-93145</t>
  </si>
  <si>
    <t>USR-00025</t>
  </si>
  <si>
    <t>NSF-000394</t>
  </si>
  <si>
    <t>SES-2507-55730</t>
  </si>
  <si>
    <t>NSF-000614</t>
  </si>
  <si>
    <t>DERRY</t>
  </si>
  <si>
    <t>SES-2511-58554</t>
  </si>
  <si>
    <t>USR-00830</t>
  </si>
  <si>
    <t>NSF-000957</t>
  </si>
  <si>
    <t>SES-2605-12918</t>
  </si>
  <si>
    <t>USR-00042</t>
  </si>
  <si>
    <t>NSF-001377</t>
  </si>
  <si>
    <t>SES-2503-95001</t>
  </si>
  <si>
    <t>NSF-000277</t>
  </si>
  <si>
    <t>SES-2507-96071</t>
  </si>
  <si>
    <t>USR-00331</t>
  </si>
  <si>
    <t>NSF-000649</t>
  </si>
  <si>
    <t>SES-2511-54877</t>
  </si>
  <si>
    <t>USR-00300</t>
  </si>
  <si>
    <t>NSF-000938</t>
  </si>
  <si>
    <t>63 days</t>
  </si>
  <si>
    <t>SES-2511-83750</t>
  </si>
  <si>
    <t>USR-00713</t>
  </si>
  <si>
    <t>NSF-000952</t>
  </si>
  <si>
    <t>SES-2510-84467</t>
  </si>
  <si>
    <t>NSF-000907</t>
  </si>
  <si>
    <t>SES-2509-46815</t>
  </si>
  <si>
    <t>NSF-000817</t>
  </si>
  <si>
    <t>SES-2604-73853</t>
  </si>
  <si>
    <t>NSF-001345</t>
  </si>
  <si>
    <t>SES-2511-45249</t>
  </si>
  <si>
    <t>USR-00620</t>
  </si>
  <si>
    <t>NSF-000931</t>
  </si>
  <si>
    <t>SES-2507-75526</t>
  </si>
  <si>
    <t>USR-00533</t>
  </si>
  <si>
    <t>NSF-000615</t>
  </si>
  <si>
    <t>SES-2507-24006</t>
  </si>
  <si>
    <t>USR-00793</t>
  </si>
  <si>
    <t>NSF-000605</t>
  </si>
  <si>
    <t>SES-2505-21228</t>
  </si>
  <si>
    <t>USR-00628</t>
  </si>
  <si>
    <t>NSF-000407</t>
  </si>
  <si>
    <t>SES-2505-42618</t>
  </si>
  <si>
    <t>USR-00069</t>
  </si>
  <si>
    <t>NSF-000462</t>
  </si>
  <si>
    <t>SES-2508-53986</t>
  </si>
  <si>
    <t>NSF-000697</t>
  </si>
  <si>
    <t>SES-2510-52360</t>
  </si>
  <si>
    <t>usr-00635</t>
  </si>
  <si>
    <t>NSF-000854</t>
  </si>
  <si>
    <t>SES-2503-70775</t>
  </si>
  <si>
    <t>USR-00773</t>
  </si>
  <si>
    <t>NSF-000213</t>
  </si>
  <si>
    <t>GLASGOW</t>
  </si>
  <si>
    <t>SES-2501-22538</t>
  </si>
  <si>
    <t>USR-00369</t>
  </si>
  <si>
    <t>NSF-000088</t>
  </si>
  <si>
    <t>SES-2506-99367</t>
  </si>
  <si>
    <t>NSF-000515</t>
  </si>
  <si>
    <t>SES-2501-87733</t>
  </si>
  <si>
    <t>USR-00179</t>
  </si>
  <si>
    <t>NSF-000007</t>
  </si>
  <si>
    <t>SES-2601-79772</t>
  </si>
  <si>
    <t>USR-00479</t>
  </si>
  <si>
    <t>NSF-001133</t>
  </si>
  <si>
    <t>SES-2604-78684</t>
  </si>
  <si>
    <t>USR-00094</t>
  </si>
  <si>
    <t>NSF-001322</t>
  </si>
  <si>
    <t>SES-2501-25212</t>
  </si>
  <si>
    <t>USR-00260</t>
  </si>
  <si>
    <t>NSF-000055</t>
  </si>
  <si>
    <t>SES-2510-13189</t>
  </si>
  <si>
    <t>USR-00500</t>
  </si>
  <si>
    <t>NSF-000845</t>
  </si>
  <si>
    <t>SES-2504-29884</t>
  </si>
  <si>
    <t>USR-00774</t>
  </si>
  <si>
    <t>NSF-000350</t>
  </si>
  <si>
    <t>SES-2604-29273</t>
  </si>
  <si>
    <t>USR-00035</t>
  </si>
  <si>
    <t>NSF-001290</t>
  </si>
  <si>
    <t>SES-2511-37192</t>
  </si>
  <si>
    <t>USR-00411</t>
  </si>
  <si>
    <t>NSF-000991</t>
  </si>
  <si>
    <t>SES-2505-55945</t>
  </si>
  <si>
    <t>USR-00818</t>
  </si>
  <si>
    <t>NSF-000392</t>
  </si>
  <si>
    <t>SES-2501-14099</t>
  </si>
  <si>
    <t>USR-00238</t>
  </si>
  <si>
    <t>NSF-000044</t>
  </si>
  <si>
    <t>OXFORD</t>
  </si>
  <si>
    <t>SES-2602-37247</t>
  </si>
  <si>
    <t>NSF-001204</t>
  </si>
  <si>
    <t>SES-2501-14891</t>
  </si>
  <si>
    <t>NSF-000083</t>
  </si>
  <si>
    <t>SES-2602-58923</t>
  </si>
  <si>
    <t>NSF-001181</t>
  </si>
  <si>
    <t>SES-2604-59839</t>
  </si>
  <si>
    <t>USR-00827</t>
  </si>
  <si>
    <t>NSF-001336</t>
  </si>
  <si>
    <t>Payment Schedule Mismatch</t>
  </si>
  <si>
    <t>HAMMERSMITH</t>
  </si>
  <si>
    <t>SES-2606-16906</t>
  </si>
  <si>
    <t>NSF-001446</t>
  </si>
  <si>
    <t>SES-2503-61059</t>
  </si>
  <si>
    <t>USR-00400</t>
  </si>
  <si>
    <t>NSF-000288</t>
  </si>
  <si>
    <t>SES-2508-74048</t>
  </si>
  <si>
    <t>USR-00816</t>
  </si>
  <si>
    <t>NSF-000720</t>
  </si>
  <si>
    <t>SES-2508-53933</t>
  </si>
  <si>
    <t>NSF-000743</t>
  </si>
  <si>
    <t>SES-2511-68476</t>
  </si>
  <si>
    <t>USR-00522</t>
  </si>
  <si>
    <t>NSF-000949</t>
  </si>
  <si>
    <t>SES-2602-38034</t>
  </si>
  <si>
    <t>USR-00131</t>
  </si>
  <si>
    <t>NSF-001196</t>
  </si>
  <si>
    <t>Card Issue</t>
  </si>
  <si>
    <t>SES-2508-67649</t>
  </si>
  <si>
    <t>USR-00071</t>
  </si>
  <si>
    <t>NSF-000683</t>
  </si>
  <si>
    <t>44 days</t>
  </si>
  <si>
    <t>SES-2501-35681</t>
  </si>
  <si>
    <t>USR-00719</t>
  </si>
  <si>
    <t>NSF-000065</t>
  </si>
  <si>
    <t>SES-2506-73258</t>
  </si>
  <si>
    <t>NSF-000503</t>
  </si>
  <si>
    <t>BATH</t>
  </si>
  <si>
    <t>SES-2506-17721</t>
  </si>
  <si>
    <t>NSF-000550</t>
  </si>
  <si>
    <t>SES-2602-41065</t>
  </si>
  <si>
    <t>NSF-001199</t>
  </si>
  <si>
    <t>SES-2606-96153</t>
  </si>
  <si>
    <t>NSF-001421</t>
  </si>
  <si>
    <t>SES-2601-16927</t>
  </si>
  <si>
    <t>NSF-001125</t>
  </si>
  <si>
    <t>SES-2509-50849</t>
  </si>
  <si>
    <t>USR-00130</t>
  </si>
  <si>
    <t>NSF-000764</t>
  </si>
  <si>
    <t>SES-2603-29417</t>
  </si>
  <si>
    <t>NSF-001232</t>
  </si>
  <si>
    <t>SES-2504-76434</t>
  </si>
  <si>
    <t>USR-00553</t>
  </si>
  <si>
    <t>NSF-000335</t>
  </si>
  <si>
    <t>SES-2603-98587</t>
  </si>
  <si>
    <t>USR-00115</t>
  </si>
  <si>
    <t>NSF-001279</t>
  </si>
  <si>
    <t>SES-2605-72829</t>
  </si>
  <si>
    <t>USR-00612</t>
  </si>
  <si>
    <t>NSF-001383</t>
  </si>
  <si>
    <t>LEEDS</t>
  </si>
  <si>
    <t>SES-2504-32838</t>
  </si>
  <si>
    <t>USR-00455</t>
  </si>
  <si>
    <t>NSF-000388</t>
  </si>
  <si>
    <t>SES-2506-19359</t>
  </si>
  <si>
    <t>USR-00615</t>
  </si>
  <si>
    <t>NSF-000487</t>
  </si>
  <si>
    <t>SES-2601-30517</t>
  </si>
  <si>
    <t>NSF-001104</t>
  </si>
  <si>
    <t>SES-2502-16986</t>
  </si>
  <si>
    <t>USR-00608</t>
  </si>
  <si>
    <t>NSF-000194</t>
  </si>
  <si>
    <t>Data Refresh Delayed</t>
  </si>
  <si>
    <t>SES-2502-92670</t>
  </si>
  <si>
    <t>NSF-000168</t>
  </si>
  <si>
    <t>SES-2606-12264</t>
  </si>
  <si>
    <t>USR-00280</t>
  </si>
  <si>
    <t>NSF-001429</t>
  </si>
  <si>
    <t>SES-2603-51106</t>
  </si>
  <si>
    <t>usr-00616</t>
  </si>
  <si>
    <t>NSF-001248</t>
  </si>
  <si>
    <t>SES-2603-81734</t>
  </si>
  <si>
    <t>NSF-001242</t>
  </si>
  <si>
    <t>SES-2508-45672</t>
  </si>
  <si>
    <t>USR-00803</t>
  </si>
  <si>
    <t>NSF-000704</t>
  </si>
  <si>
    <t>SES-2503-26246</t>
  </si>
  <si>
    <t>NSF-000201</t>
  </si>
  <si>
    <t>SES-2601-13387</t>
  </si>
  <si>
    <t>USR-00211</t>
  </si>
  <si>
    <t>NSF-001111</t>
  </si>
  <si>
    <t>SES-2502-50676</t>
  </si>
  <si>
    <t>NSF-000129</t>
  </si>
  <si>
    <t>SES-2507-97956</t>
  </si>
  <si>
    <t>USR-00032</t>
  </si>
  <si>
    <t>NSF-000576</t>
  </si>
  <si>
    <t>SES-2602-81227</t>
  </si>
  <si>
    <t>USR-00086</t>
  </si>
  <si>
    <t>NSF-001214</t>
  </si>
  <si>
    <t>SES-2602-84318</t>
  </si>
  <si>
    <t>USR-00579</t>
  </si>
  <si>
    <t>NSF-001205</t>
  </si>
  <si>
    <t>SES-2502-48621</t>
  </si>
  <si>
    <t>USR-00194</t>
  </si>
  <si>
    <t>NSF-000128</t>
  </si>
  <si>
    <t>SES-2502-91708</t>
  </si>
  <si>
    <t>USR-00439</t>
  </si>
  <si>
    <t>NSF-000180</t>
  </si>
  <si>
    <t>SES-2509-93813</t>
  </si>
  <si>
    <t>USR-00249</t>
  </si>
  <si>
    <t>NSF-000761</t>
  </si>
  <si>
    <t>SES-2606-99828</t>
  </si>
  <si>
    <t>USR-00185</t>
  </si>
  <si>
    <t>NSF-001450</t>
  </si>
  <si>
    <t>SES-2502-60194</t>
  </si>
  <si>
    <t>USR-00726</t>
  </si>
  <si>
    <t>NSF-000192</t>
  </si>
  <si>
    <t>SES-2502-41324</t>
  </si>
  <si>
    <t>USR-00475</t>
  </si>
  <si>
    <t>NSF-000122</t>
  </si>
  <si>
    <t>SES-2606-29128</t>
  </si>
  <si>
    <t>USR-00696</t>
  </si>
  <si>
    <t>NSF-001425</t>
  </si>
  <si>
    <t>SES-2507-92864</t>
  </si>
  <si>
    <t>USR-00160</t>
  </si>
  <si>
    <t>NSF-000589</t>
  </si>
  <si>
    <t>SES-2507-52504</t>
  </si>
  <si>
    <t>USR-00067</t>
  </si>
  <si>
    <t>NSF-000645</t>
  </si>
  <si>
    <t>SES-2602-35365</t>
  </si>
  <si>
    <t>USR-00343</t>
  </si>
  <si>
    <t>NSF-001159</t>
  </si>
  <si>
    <t>SES-2601-64005</t>
  </si>
  <si>
    <t>USR-00429</t>
  </si>
  <si>
    <t>NSF-001130</t>
  </si>
  <si>
    <t>SES-2501-18180</t>
  </si>
  <si>
    <t>NSF-000002</t>
  </si>
  <si>
    <t>SES-2507-63192</t>
  </si>
  <si>
    <t>NSF-000603</t>
  </si>
  <si>
    <t>SES-2502-76122</t>
  </si>
  <si>
    <t>NSF-000143</t>
  </si>
  <si>
    <t>SES-2505-18710</t>
  </si>
  <si>
    <t>NSF-000409</t>
  </si>
  <si>
    <t>SES-2503-66447</t>
  </si>
  <si>
    <t>USR-00678</t>
  </si>
  <si>
    <t>NSF-000264</t>
  </si>
  <si>
    <t>SES-2509-73482</t>
  </si>
  <si>
    <t>USR-00299</t>
  </si>
  <si>
    <t>NSF-000830</t>
  </si>
  <si>
    <t>SES-2508-67371</t>
  </si>
  <si>
    <t>NSF-000721</t>
  </si>
  <si>
    <t>SES-2508-85517</t>
  </si>
  <si>
    <t>USR-00353</t>
  </si>
  <si>
    <t>NSF-000718</t>
  </si>
  <si>
    <t>SES-2602-56637</t>
  </si>
  <si>
    <t>NSF-001165</t>
  </si>
  <si>
    <t>SES-2508-30485</t>
  </si>
  <si>
    <t>USR-00168</t>
  </si>
  <si>
    <t>NSF-000713</t>
  </si>
  <si>
    <t>SES-2509-18119</t>
  </si>
  <si>
    <t>USR-00335</t>
  </si>
  <si>
    <t>NSF-000815</t>
  </si>
  <si>
    <t>SES-2602-51787</t>
  </si>
  <si>
    <t>NSF-001180</t>
  </si>
  <si>
    <t>WOLVERHAMPTON</t>
  </si>
  <si>
    <t>SES-2604-13057</t>
  </si>
  <si>
    <t>NSF-001309</t>
  </si>
  <si>
    <t>SES-2503-44377</t>
  </si>
  <si>
    <t>NSF-000254</t>
  </si>
  <si>
    <t>SES-2511-24603</t>
  </si>
  <si>
    <t>NSF-000934</t>
  </si>
  <si>
    <t>SES-2507-85909</t>
  </si>
  <si>
    <t>USR-00840</t>
  </si>
  <si>
    <t>NSF-000648</t>
  </si>
  <si>
    <t>SES-2509-86752</t>
  </si>
  <si>
    <t>USR-00163</t>
  </si>
  <si>
    <t>NSF-000808</t>
  </si>
  <si>
    <t>SES-2505-84464</t>
  </si>
  <si>
    <t>USR-00598</t>
  </si>
  <si>
    <t>NSF-000435</t>
  </si>
  <si>
    <t>SES-2501-57021</t>
  </si>
  <si>
    <t>USR-00783</t>
  </si>
  <si>
    <t>NSF-000029</t>
  </si>
  <si>
    <t>SES-2507-22082</t>
  </si>
  <si>
    <t>NSF-000606</t>
  </si>
  <si>
    <t>SES-2604-62415</t>
  </si>
  <si>
    <t>USR-00648</t>
  </si>
  <si>
    <t>NSF-001299</t>
  </si>
  <si>
    <t>SES-2506-19626</t>
  </si>
  <si>
    <t>NSF-000518</t>
  </si>
  <si>
    <t>SES-2502-21333</t>
  </si>
  <si>
    <t>USR-00577</t>
  </si>
  <si>
    <t>NSF-000188</t>
  </si>
  <si>
    <t>SES-2507-61758</t>
  </si>
  <si>
    <t>USR-00232</t>
  </si>
  <si>
    <t>NSF-000585</t>
  </si>
  <si>
    <t>SES-2501-70145</t>
  </si>
  <si>
    <t>NSF-000090</t>
  </si>
  <si>
    <t>SES-2507-75112</t>
  </si>
  <si>
    <t>USR-00463</t>
  </si>
  <si>
    <t>NSF-000654</t>
  </si>
  <si>
    <t>SES-2508-10519</t>
  </si>
  <si>
    <t>USR-00668</t>
  </si>
  <si>
    <t>NSF-000671</t>
  </si>
  <si>
    <t>SES-2507-60006</t>
  </si>
  <si>
    <t>NSF-000635</t>
  </si>
  <si>
    <t>SES-2505-73352</t>
  </si>
  <si>
    <t>NSF-000397</t>
  </si>
  <si>
    <t>SES-2501-64440</t>
  </si>
  <si>
    <t>USR-00526</t>
  </si>
  <si>
    <t>NSF-000071</t>
  </si>
  <si>
    <t>SES-2605-77584</t>
  </si>
  <si>
    <t>NSF-001357</t>
  </si>
  <si>
    <t>SES-2502-77333</t>
  </si>
  <si>
    <t>NSF-000167</t>
  </si>
  <si>
    <t>SES-2507-23748</t>
  </si>
  <si>
    <t>USR-00700</t>
  </si>
  <si>
    <t>NSF-000637</t>
  </si>
  <si>
    <t>SES-2602-77374</t>
  </si>
  <si>
    <t>NSF-001193</t>
  </si>
  <si>
    <t>SES-2509-76240</t>
  </si>
  <si>
    <t>USR-00691</t>
  </si>
  <si>
    <t>NSF-000766</t>
  </si>
  <si>
    <t>SES-2502-36066</t>
  </si>
  <si>
    <t>USR-00556</t>
  </si>
  <si>
    <t>NSF-000164</t>
  </si>
  <si>
    <t>Cancellation Unclear</t>
  </si>
  <si>
    <t>SES-2605-75984</t>
  </si>
  <si>
    <t>NSF-001385</t>
  </si>
  <si>
    <t>SES-2508-34866</t>
  </si>
  <si>
    <t>USR-00237</t>
  </si>
  <si>
    <t>NSF-000691</t>
  </si>
  <si>
    <t>SES-2506-55883</t>
  </si>
  <si>
    <t>NSF-000544</t>
  </si>
  <si>
    <t>SES-2601-17944</t>
  </si>
  <si>
    <t>USR-00686</t>
  </si>
  <si>
    <t>NSF-001101</t>
  </si>
  <si>
    <t>SES-2501-91034</t>
  </si>
  <si>
    <t>USR-00680</t>
  </si>
  <si>
    <t>NSF-000070</t>
  </si>
  <si>
    <t>SES-2503-61653</t>
  </si>
  <si>
    <t>USR-00213</t>
  </si>
  <si>
    <t>NSF-000286</t>
  </si>
  <si>
    <t>55 days</t>
  </si>
  <si>
    <t>SES-2508-15551</t>
  </si>
  <si>
    <t>USR-00575</t>
  </si>
  <si>
    <t>NSF-000727</t>
  </si>
  <si>
    <t>SES-2501-94892</t>
  </si>
  <si>
    <t>NSF-000081</t>
  </si>
  <si>
    <t>SES-2602-84187</t>
  </si>
  <si>
    <t>USR-00135</t>
  </si>
  <si>
    <t>NSF-001166</t>
  </si>
  <si>
    <t>SES-2504-34307</t>
  </si>
  <si>
    <t>USR-00509</t>
  </si>
  <si>
    <t>NSF-000311</t>
  </si>
  <si>
    <t>SES-2502-69212</t>
  </si>
  <si>
    <t>USR-00363</t>
  </si>
  <si>
    <t>NSF-000158</t>
  </si>
  <si>
    <t>SES-2602-90119</t>
  </si>
  <si>
    <t>NSF-001198</t>
  </si>
  <si>
    <t>SES-2604-56186</t>
  </si>
  <si>
    <t>USR-00508</t>
  </si>
  <si>
    <t>NSF-001305</t>
  </si>
  <si>
    <t>SES-2601-63859</t>
  </si>
  <si>
    <t>NSF-001082</t>
  </si>
  <si>
    <t>SES-2601-84385</t>
  </si>
  <si>
    <t>USR-00266</t>
  </si>
  <si>
    <t>NSF-001143</t>
  </si>
  <si>
    <t>SES-2507-27451</t>
  </si>
  <si>
    <t>NSF-000577</t>
  </si>
  <si>
    <t>SES-2507-47075</t>
  </si>
  <si>
    <t>USR-00033</t>
  </si>
  <si>
    <t>NSF-000633</t>
  </si>
  <si>
    <t>SES-2501-40912</t>
  </si>
  <si>
    <t>NSF-000048</t>
  </si>
  <si>
    <t>SES-2510-81225</t>
  </si>
  <si>
    <t>NSF-000897</t>
  </si>
  <si>
    <t>SES-2605-24387</t>
  </si>
  <si>
    <t>USR-00693</t>
  </si>
  <si>
    <t>NSF-001410</t>
  </si>
  <si>
    <t>SES-2502-29318</t>
  </si>
  <si>
    <t>USR-00559</t>
  </si>
  <si>
    <t>NSF-000170</t>
  </si>
  <si>
    <t>SES-2603-97207</t>
  </si>
  <si>
    <t>NSF-001231</t>
  </si>
  <si>
    <t>SES-2501-69761</t>
  </si>
  <si>
    <t>NSF-000086</t>
  </si>
  <si>
    <t>SES-2512-12072</t>
  </si>
  <si>
    <t>USR-00619</t>
  </si>
  <si>
    <t>NSF-001018</t>
  </si>
  <si>
    <t>SES-2506-84361</t>
  </si>
  <si>
    <t>USR-00702</t>
  </si>
  <si>
    <t>NSF-000500</t>
  </si>
  <si>
    <t>SES-2503-82001</t>
  </si>
  <si>
    <t>USR-00624</t>
  </si>
  <si>
    <t>NSF-000250</t>
  </si>
  <si>
    <t>SES-2507-59073</t>
  </si>
  <si>
    <t>USR-00081</t>
  </si>
  <si>
    <t>NSF-000596</t>
  </si>
  <si>
    <t>NEWRY</t>
  </si>
  <si>
    <t>SES-2506-78644</t>
  </si>
  <si>
    <t>NSF-000540</t>
  </si>
  <si>
    <t>SES-2604-58987</t>
  </si>
  <si>
    <t>USR-00843</t>
  </si>
  <si>
    <t>NSF-001316</t>
  </si>
  <si>
    <t>SES-2503-68698</t>
  </si>
  <si>
    <t>NSF-000293</t>
  </si>
  <si>
    <t>SES-2511-14858</t>
  </si>
  <si>
    <t>USR-00600</t>
  </si>
  <si>
    <t>NSF-000920</t>
  </si>
  <si>
    <t>SES-2503-27951</t>
  </si>
  <si>
    <t>NSF-000262</t>
  </si>
  <si>
    <t>SES-2503-12019</t>
  </si>
  <si>
    <t>NSF-000263</t>
  </si>
  <si>
    <t>SES-2601-18347</t>
  </si>
  <si>
    <t>USR-00504</t>
  </si>
  <si>
    <t>NSF-001114</t>
  </si>
  <si>
    <t>SES-2512-80557</t>
  </si>
  <si>
    <t>NSF-000997</t>
  </si>
  <si>
    <t>SES-2504-58006</t>
  </si>
  <si>
    <t>USR-00005</t>
  </si>
  <si>
    <t>NSF-000299</t>
  </si>
  <si>
    <t>SES-2501-16314</t>
  </si>
  <si>
    <t>USR-00235</t>
  </si>
  <si>
    <t>NSF-000082</t>
  </si>
  <si>
    <t>SES-2506-40155</t>
  </si>
  <si>
    <t>NSF-000558</t>
  </si>
  <si>
    <t>SES-2511-37260</t>
  </si>
  <si>
    <t>USR-00675</t>
  </si>
  <si>
    <t>NSF-000962</t>
  </si>
  <si>
    <t>SES-2504-70859</t>
  </si>
  <si>
    <t>NSF-000359</t>
  </si>
  <si>
    <t>SES-2512-46040</t>
  </si>
  <si>
    <t>USR-00059</t>
  </si>
  <si>
    <t>NSF-001046</t>
  </si>
  <si>
    <t>SES-2507-74148</t>
  </si>
  <si>
    <t>NSF-000599</t>
  </si>
  <si>
    <t>SES-2502-61112</t>
  </si>
  <si>
    <t>USR-00426</t>
  </si>
  <si>
    <t>NSF-000117</t>
  </si>
  <si>
    <t>SES-2501-95048</t>
  </si>
  <si>
    <t>NSF-000063</t>
  </si>
  <si>
    <t>SES-2503-73621</t>
  </si>
  <si>
    <t>USR-00498</t>
  </si>
  <si>
    <t>NSF-000238</t>
  </si>
  <si>
    <t>SES-2604-52189</t>
  </si>
  <si>
    <t>USR-00798</t>
  </si>
  <si>
    <t>NSF-001307</t>
  </si>
  <si>
    <t>SES-2509-58059</t>
  </si>
  <si>
    <t>NSF-000824</t>
  </si>
  <si>
    <t>SES-2602-44902</t>
  </si>
  <si>
    <t>USR-00761</t>
  </si>
  <si>
    <t>NSF-001185</t>
  </si>
  <si>
    <t>SES-2503-74225</t>
  </si>
  <si>
    <t>NSF-000280</t>
  </si>
  <si>
    <t>SES-2604-41363</t>
  </si>
  <si>
    <t>USR-00760</t>
  </si>
  <si>
    <t>NSF-001326</t>
  </si>
  <si>
    <t>SES-2505-27476</t>
  </si>
  <si>
    <t>NSF-000412</t>
  </si>
  <si>
    <t>SES-2511-84165</t>
  </si>
  <si>
    <t>NSF-000970</t>
  </si>
  <si>
    <t>38 days</t>
  </si>
  <si>
    <t>SES-2511-88351</t>
  </si>
  <si>
    <t>USR-00814</t>
  </si>
  <si>
    <t>NSF-000977</t>
  </si>
  <si>
    <t>SES-2501-63509</t>
  </si>
  <si>
    <t>USR-00078</t>
  </si>
  <si>
    <t>NSF-000020</t>
  </si>
  <si>
    <t>SES-2605-31416</t>
  </si>
  <si>
    <t>NSF-001359</t>
  </si>
  <si>
    <t>SES-2511-61688</t>
  </si>
  <si>
    <t>USR-00296</t>
  </si>
  <si>
    <t>NSF-000928</t>
  </si>
  <si>
    <t>SES-2603-38863</t>
  </si>
  <si>
    <t>USR-00464</t>
  </si>
  <si>
    <t>NSF-001233</t>
  </si>
  <si>
    <t>GUILDFORD</t>
  </si>
  <si>
    <t>SES-2511-31597</t>
  </si>
  <si>
    <t>USR-00182</t>
  </si>
  <si>
    <t>NSF-001488</t>
  </si>
  <si>
    <t>SES-2602-83697</t>
  </si>
  <si>
    <t>USR-00653</t>
  </si>
  <si>
    <t>NSF-001155</t>
  </si>
  <si>
    <t>SES-2601-91325</t>
  </si>
  <si>
    <t>USR-00550</t>
  </si>
  <si>
    <t>NSF-001126</t>
  </si>
  <si>
    <t>SES-2509-88842</t>
  </si>
  <si>
    <t>USR-00388</t>
  </si>
  <si>
    <t>NSF-000769</t>
  </si>
  <si>
    <t>NEWPORT</t>
  </si>
  <si>
    <t>SES-2507-39307</t>
  </si>
  <si>
    <t>NSF-000618</t>
  </si>
  <si>
    <t>SES-2605-18858</t>
  </si>
  <si>
    <t>USR-00101</t>
  </si>
  <si>
    <t>NSF-001381</t>
  </si>
  <si>
    <t>SES-2605-30703</t>
  </si>
  <si>
    <t>NSF-001364</t>
  </si>
  <si>
    <t>SES-2505-10647</t>
  </si>
  <si>
    <t>USR-00189</t>
  </si>
  <si>
    <t>NSF-000466</t>
  </si>
  <si>
    <t>SES-2505-86761</t>
  </si>
  <si>
    <t>USR-00817</t>
  </si>
  <si>
    <t>NSF-000395</t>
  </si>
  <si>
    <t>SES-2509-20351</t>
  </si>
  <si>
    <t>USR-00322</t>
  </si>
  <si>
    <t>NSF-000791</t>
  </si>
  <si>
    <t>SES-2603-46073</t>
  </si>
  <si>
    <t>NSF-001229</t>
  </si>
  <si>
    <t>20 days</t>
  </si>
  <si>
    <t>SES-2512-69694</t>
  </si>
  <si>
    <t>USR-00516</t>
  </si>
  <si>
    <t>NSF-001069</t>
  </si>
  <si>
    <t>SES-2501-19381</t>
  </si>
  <si>
    <t>NSF-000013</t>
  </si>
  <si>
    <t>SES-2511-34109</t>
  </si>
  <si>
    <t>NSF-000972</t>
  </si>
  <si>
    <t>SES-2512-26914</t>
  </si>
  <si>
    <t>usr-00062</t>
  </si>
  <si>
    <t>NSF-001035</t>
  </si>
  <si>
    <t>SES-2510-87153</t>
  </si>
  <si>
    <t>NSF-000884</t>
  </si>
  <si>
    <t>SES-2505-88431</t>
  </si>
  <si>
    <t>USR-00663</t>
  </si>
  <si>
    <t>NSF-000415</t>
  </si>
  <si>
    <t>SES-2603-74792</t>
  </si>
  <si>
    <t>NSF-001261</t>
  </si>
  <si>
    <t>SES-2503-23476</t>
  </si>
  <si>
    <t>USR-00161</t>
  </si>
  <si>
    <t>NSF-000281</t>
  </si>
  <si>
    <t>SES-2602-18504</t>
  </si>
  <si>
    <t>USR-00382</t>
  </si>
  <si>
    <t>NSF-001150</t>
  </si>
  <si>
    <t>SES-2506-48762</t>
  </si>
  <si>
    <t>USR-00566</t>
  </si>
  <si>
    <t>NSF-000546</t>
  </si>
  <si>
    <t>SES-2509-57635</t>
  </si>
  <si>
    <t>USR-00043</t>
  </si>
  <si>
    <t>NSF-000750</t>
  </si>
  <si>
    <t>SES-2504-92230</t>
  </si>
  <si>
    <t>NSF-000360</t>
  </si>
  <si>
    <t>SES-2501-97620</t>
  </si>
  <si>
    <t>NSF-000010</t>
  </si>
  <si>
    <t>SES-2504-58911</t>
  </si>
  <si>
    <t>NSF-000384</t>
  </si>
  <si>
    <t>SES-2603-63310</t>
  </si>
  <si>
    <t>NSF-001255</t>
  </si>
  <si>
    <t>SES-2604-25117</t>
  </si>
  <si>
    <t>NSF-001327</t>
  </si>
  <si>
    <t>SES-2509-41901</t>
  </si>
  <si>
    <t>USR-00084</t>
  </si>
  <si>
    <t>NSF-000763</t>
  </si>
  <si>
    <t>SES-2604-45179</t>
  </si>
  <si>
    <t>USR-00546</t>
  </si>
  <si>
    <t>NSF-001335</t>
  </si>
  <si>
    <t>SES-2509-19007</t>
  </si>
  <si>
    <t>NSF-000778</t>
  </si>
  <si>
    <t>3 steps</t>
  </si>
  <si>
    <t>SES-2508-15676</t>
  </si>
  <si>
    <t>NSF-000729</t>
  </si>
  <si>
    <t>SES-2509-59421</t>
  </si>
  <si>
    <t>USR-00687</t>
  </si>
  <si>
    <t>NSF-000790</t>
  </si>
  <si>
    <t>SES-2511-28487</t>
  </si>
  <si>
    <t>USR-00718</t>
  </si>
  <si>
    <t>NSF-000993</t>
  </si>
  <si>
    <t>SES-2503-41400</t>
  </si>
  <si>
    <t>NSF-000273</t>
  </si>
  <si>
    <t>SES-2509-56307</t>
  </si>
  <si>
    <t>NSF-000775</t>
  </si>
  <si>
    <t>SES-2507-66785</t>
  </si>
  <si>
    <t>NSF-000632</t>
  </si>
  <si>
    <t>SES-2504-56597</t>
  </si>
  <si>
    <t>NSF-000318</t>
  </si>
  <si>
    <t>SES-2508-96627</t>
  </si>
  <si>
    <t>USR-00821</t>
  </si>
  <si>
    <t>NSF-000670</t>
  </si>
  <si>
    <t>SES-2602-71527</t>
  </si>
  <si>
    <t>NSF-001177</t>
  </si>
  <si>
    <t>SES-2506-25815</t>
  </si>
  <si>
    <t>USR-00728</t>
  </si>
  <si>
    <t>NSF-000490</t>
  </si>
  <si>
    <t>SES-2603-85679</t>
  </si>
  <si>
    <t>NSF-001276</t>
  </si>
  <si>
    <t>SES-2602-70683</t>
  </si>
  <si>
    <t>USR-00540</t>
  </si>
  <si>
    <t>NSF-001216</t>
  </si>
  <si>
    <t>SES-2510-87309</t>
  </si>
  <si>
    <t>NSF-000904</t>
  </si>
  <si>
    <t>SES-2509-18207</t>
  </si>
  <si>
    <t>USR-00316</t>
  </si>
  <si>
    <t>NSF-000798</t>
  </si>
  <si>
    <t>SES-2507-63380</t>
  </si>
  <si>
    <t>NSF-000658</t>
  </si>
  <si>
    <t>SES-2508-92849</t>
  </si>
  <si>
    <t>USR-00412</t>
  </si>
  <si>
    <t>NSF-000734</t>
  </si>
  <si>
    <t>SES-2601-18202</t>
  </si>
  <si>
    <t>USR-00415</t>
  </si>
  <si>
    <t>NSF-001107</t>
  </si>
  <si>
    <t>SES-2506-92851</t>
  </si>
  <si>
    <t>USR-00174</t>
  </si>
  <si>
    <t>NSF-000504</t>
  </si>
  <si>
    <t>SES-2507-62022</t>
  </si>
  <si>
    <t>USR-00441</t>
  </si>
  <si>
    <t>NSF-000574</t>
  </si>
  <si>
    <t>SES-2508-16263</t>
  </si>
  <si>
    <t>USR-00240</t>
  </si>
  <si>
    <t>NSF-000735</t>
  </si>
  <si>
    <t>SES-2506-35162</t>
  </si>
  <si>
    <t>NSF-000567</t>
  </si>
  <si>
    <t>SES-2510-39522</t>
  </si>
  <si>
    <t>USR-00366</t>
  </si>
  <si>
    <t>NSF-000865</t>
  </si>
  <si>
    <t>SES-2606-29307</t>
  </si>
  <si>
    <t>USR-00734</t>
  </si>
  <si>
    <t>NSF-001424</t>
  </si>
  <si>
    <t>SES-2511-30052</t>
  </si>
  <si>
    <t>USR-00660</t>
  </si>
  <si>
    <t>NSF-000975</t>
  </si>
  <si>
    <t>SES-2509-34661</t>
  </si>
  <si>
    <t>NSF-000804</t>
  </si>
  <si>
    <t>SES-2601-40522</t>
  </si>
  <si>
    <t>NSF-001144</t>
  </si>
  <si>
    <t>SES-2507-21380</t>
  </si>
  <si>
    <t>NSF-000587</t>
  </si>
  <si>
    <t>SES-2512-81294</t>
  </si>
  <si>
    <t>USR-00332</t>
  </si>
  <si>
    <t>NSF-001062</t>
  </si>
  <si>
    <t>SES-2507-16614</t>
  </si>
  <si>
    <t>NSF-000640</t>
  </si>
  <si>
    <t>SES-2511-55918</t>
  </si>
  <si>
    <t>USR-00565</t>
  </si>
  <si>
    <t>NSF-000932</t>
  </si>
  <si>
    <t>SES-2506-25577</t>
  </si>
  <si>
    <t>USR-00722</t>
  </si>
  <si>
    <t>NSF-000563</t>
  </si>
  <si>
    <t>SES-2512-58559</t>
  </si>
  <si>
    <t>NSF-001027</t>
  </si>
  <si>
    <t>SES-2512-11201</t>
  </si>
  <si>
    <t>NSF-001022</t>
  </si>
  <si>
    <t>SES-2502-72876</t>
  </si>
  <si>
    <t>NSF-000103</t>
  </si>
  <si>
    <t>SES-2501-53433</t>
  </si>
  <si>
    <t>NSF-000006</t>
  </si>
  <si>
    <t>SES-2512-64553</t>
  </si>
  <si>
    <t>NSF-001011</t>
  </si>
  <si>
    <t>SES-2603-27247</t>
  </si>
  <si>
    <t>NSF-001287</t>
  </si>
  <si>
    <t>SES-2601-94163</t>
  </si>
  <si>
    <t>NSF-001072</t>
  </si>
  <si>
    <t>SES-2501-32597</t>
  </si>
  <si>
    <t>NSF-000073</t>
  </si>
  <si>
    <t>BRISTOL</t>
  </si>
  <si>
    <t>SES-2509-75259</t>
  </si>
  <si>
    <t>NSF-000818</t>
  </si>
  <si>
    <t>SES-2603-84325</t>
  </si>
  <si>
    <t>NSF-001282</t>
  </si>
  <si>
    <t>SES-2605-69521</t>
  </si>
  <si>
    <t>NSF-001384</t>
  </si>
  <si>
    <t>SES-2512-15499</t>
  </si>
  <si>
    <t>USR-00635</t>
  </si>
  <si>
    <t>NSF-001023</t>
  </si>
  <si>
    <t>SES-2605-53777</t>
  </si>
  <si>
    <t>USR-00717</t>
  </si>
  <si>
    <t>NSF-001382</t>
  </si>
  <si>
    <t>SES-2508-93129</t>
  </si>
  <si>
    <t>NSF-000664</t>
  </si>
  <si>
    <t>SES-2508-72994</t>
  </si>
  <si>
    <t>USR-00674</t>
  </si>
  <si>
    <t>NSF-000681</t>
  </si>
  <si>
    <t>SES-2503-47759</t>
  </si>
  <si>
    <t>USR-00181</t>
  </si>
  <si>
    <t>NSF-000245</t>
  </si>
  <si>
    <t>SES-2511-48087</t>
  </si>
  <si>
    <t>USR-00452</t>
  </si>
  <si>
    <t>NSF-000921</t>
  </si>
  <si>
    <t>SES-2605-19304</t>
  </si>
  <si>
    <t>NSF-001403</t>
  </si>
  <si>
    <t>SES-2601-45392</t>
  </si>
  <si>
    <t>NSF-001095</t>
  </si>
  <si>
    <t>SES-2503-67064</t>
  </si>
  <si>
    <t>NSF-000202</t>
  </si>
  <si>
    <t>SES-2505-48586</t>
  </si>
  <si>
    <t>USR-00050</t>
  </si>
  <si>
    <t>NSF-000468</t>
  </si>
  <si>
    <t>SES-2504-29627</t>
  </si>
  <si>
    <t>NSF-000317</t>
  </si>
  <si>
    <t>SES-2603-56223</t>
  </si>
  <si>
    <t>NSF-001260</t>
  </si>
  <si>
    <t>64 days</t>
  </si>
  <si>
    <t>SES-2606-18309</t>
  </si>
  <si>
    <t>NSF-001440</t>
  </si>
  <si>
    <t>SES-2605-30611</t>
  </si>
  <si>
    <t>NSF-001361</t>
  </si>
  <si>
    <t>SES-2506-52149</t>
  </si>
  <si>
    <t>USR-00788</t>
  </si>
  <si>
    <t>NSF-000565</t>
  </si>
  <si>
    <t>SES-2505-84916</t>
  </si>
  <si>
    <t>NSF-000399</t>
  </si>
  <si>
    <t>SES-2509-97251</t>
  </si>
  <si>
    <t>NSF-000781</t>
  </si>
  <si>
    <t>SES-2601-60426</t>
  </si>
  <si>
    <t>USR-00543</t>
  </si>
  <si>
    <t>NSF-001093</t>
  </si>
  <si>
    <t>SES-2509-43113</t>
  </si>
  <si>
    <t>NSF-000786</t>
  </si>
  <si>
    <t>SES-2602-83158</t>
  </si>
  <si>
    <t>USR-00805</t>
  </si>
  <si>
    <t>NSF-001157</t>
  </si>
  <si>
    <t>SES-2510-78791</t>
  </si>
  <si>
    <t>NSF-000844</t>
  </si>
  <si>
    <t>SES-2606-00005</t>
  </si>
  <si>
    <t>NSF-000696</t>
  </si>
  <si>
    <t>SES-2504-56414</t>
  </si>
  <si>
    <t>NSF-000310</t>
  </si>
  <si>
    <t>SES-2508-67086</t>
  </si>
  <si>
    <t>USR-00703</t>
  </si>
  <si>
    <t>NSF-000736</t>
  </si>
  <si>
    <t>SES-2502-63045</t>
  </si>
  <si>
    <t>NSF-000176</t>
  </si>
  <si>
    <t>SES-2501-44142</t>
  </si>
  <si>
    <t>USR-00394</t>
  </si>
  <si>
    <t>NSF-000064</t>
  </si>
  <si>
    <t>SOUTHWARK</t>
  </si>
  <si>
    <t>SES-2601-10490</t>
  </si>
  <si>
    <t>NSF-001122</t>
  </si>
  <si>
    <t>HULL</t>
  </si>
  <si>
    <t>SES-2606-71176</t>
  </si>
  <si>
    <t>NSF-001415</t>
  </si>
  <si>
    <t>SES-2504-36699</t>
  </si>
  <si>
    <t>NSF-000301</t>
  </si>
  <si>
    <t>SES-2605-54453</t>
  </si>
  <si>
    <t>NSF-001412</t>
  </si>
  <si>
    <t>SES-2512-78116</t>
  </si>
  <si>
    <t>USR-00020</t>
  </si>
  <si>
    <t>NSF-001060</t>
  </si>
  <si>
    <t>SES-2509-10416</t>
  </si>
  <si>
    <t>NSF-000814</t>
  </si>
  <si>
    <t>SES-2604-95513</t>
  </si>
  <si>
    <t>USR-00585</t>
  </si>
  <si>
    <t>NSF-001288</t>
  </si>
  <si>
    <t>WREXHAM</t>
  </si>
  <si>
    <t>SES-2512-65341</t>
  </si>
  <si>
    <t>USR-00362</t>
  </si>
  <si>
    <t>NSF-001001</t>
  </si>
  <si>
    <t>SES-2509-25134</t>
  </si>
  <si>
    <t>USR-00199</t>
  </si>
  <si>
    <t>NSF-000806</t>
  </si>
  <si>
    <t>SES-2503-18454</t>
  </si>
  <si>
    <t>USR-00207</t>
  </si>
  <si>
    <t>NSF-000200</t>
  </si>
  <si>
    <t>SES-2505-89951</t>
  </si>
  <si>
    <t>NSF-000400</t>
  </si>
  <si>
    <t>SES-2504-45257</t>
  </si>
  <si>
    <t>NSF-000327</t>
  </si>
  <si>
    <t>SES-2510-15921</t>
  </si>
  <si>
    <t>USR-00153</t>
  </si>
  <si>
    <t>NSF-000859</t>
  </si>
  <si>
    <t>SES-2510-63666</t>
  </si>
  <si>
    <t>NSF-000842</t>
  </si>
  <si>
    <t>SES-2604-12545</t>
  </si>
  <si>
    <t>USR-00481</t>
  </si>
  <si>
    <t>NSF-001298</t>
  </si>
  <si>
    <t>SES-2505-25398</t>
  </si>
  <si>
    <t>NSF-000455</t>
  </si>
  <si>
    <t>SES-2510-14729</t>
  </si>
  <si>
    <t>NSF-000857</t>
  </si>
  <si>
    <t>SES-2605-89896</t>
  </si>
  <si>
    <t>NSF-001390</t>
  </si>
  <si>
    <t>SES-2502-80648</t>
  </si>
  <si>
    <t>USR-00406</t>
  </si>
  <si>
    <t>NSF-000149</t>
  </si>
  <si>
    <t>SES-2604-11018</t>
  </si>
  <si>
    <t>USR-00735</t>
  </si>
  <si>
    <t>NSF-001487</t>
  </si>
  <si>
    <t>SES-2504-12022</t>
  </si>
  <si>
    <t>NSF-000336</t>
  </si>
  <si>
    <t>SES-2604-39646</t>
  </si>
  <si>
    <t>NSF-001341</t>
  </si>
  <si>
    <t>SES-2502-19826</t>
  </si>
  <si>
    <t>NSF-000150</t>
  </si>
  <si>
    <t>SES-2512-31898</t>
  </si>
  <si>
    <t>NSF-001036</t>
  </si>
  <si>
    <t>SES-2509-58500</t>
  </si>
  <si>
    <t>NSF-000826</t>
  </si>
  <si>
    <t>SES-2501-60612</t>
  </si>
  <si>
    <t>USR-00373</t>
  </si>
  <si>
    <t>NSF-000091</t>
  </si>
  <si>
    <t>71 days</t>
  </si>
  <si>
    <t>SES-2507-47157</t>
  </si>
  <si>
    <t>NSF-000622</t>
  </si>
  <si>
    <t>SES-2604-66713</t>
  </si>
  <si>
    <t>USR-00662</t>
  </si>
  <si>
    <t>NSF-001319</t>
  </si>
  <si>
    <t>SES-2501-50569</t>
  </si>
  <si>
    <t>NSF-000005</t>
  </si>
  <si>
    <t>SES-2504-40453</t>
  </si>
  <si>
    <t>usr-00123</t>
  </si>
  <si>
    <t>NSF-000295</t>
  </si>
  <si>
    <t>SES-2503-48159</t>
  </si>
  <si>
    <t>USR-00123</t>
  </si>
  <si>
    <t>NSF-000225</t>
  </si>
  <si>
    <t>SES-2603-54746</t>
  </si>
  <si>
    <t>USR-00574</t>
  </si>
  <si>
    <t>NSF-001286</t>
  </si>
  <si>
    <t>SES-2502-65476</t>
  </si>
  <si>
    <t>NSF-000191</t>
  </si>
  <si>
    <t>LINCOLN</t>
  </si>
  <si>
    <t>SES-2601-75052</t>
  </si>
  <si>
    <t>USR-00433</t>
  </si>
  <si>
    <t>NSF-001085</t>
  </si>
  <si>
    <t>SES-2509-99519</t>
  </si>
  <si>
    <t>USR-00627</t>
  </si>
  <si>
    <t>NSF-000809</t>
  </si>
  <si>
    <t>SES-2506-97264</t>
  </si>
  <si>
    <t>USR-00457</t>
  </si>
  <si>
    <t>NSF-000561</t>
  </si>
  <si>
    <t>SES-2508-28157</t>
  </si>
  <si>
    <t>NSF-000746</t>
  </si>
  <si>
    <t>SES-2603-61363</t>
  </si>
  <si>
    <t>USR-00438</t>
  </si>
  <si>
    <t>NSF-001230</t>
  </si>
  <si>
    <t>SES-2510-48517</t>
  </si>
  <si>
    <t>NSF-000860</t>
  </si>
  <si>
    <t>SES-2604-93199</t>
  </si>
  <si>
    <t>USR-00595</t>
  </si>
  <si>
    <t>NSF-001301</t>
  </si>
  <si>
    <t>SES-2601-50548</t>
  </si>
  <si>
    <t>NSF-001092</t>
  </si>
  <si>
    <t>SES-2604-24018</t>
  </si>
  <si>
    <t>NSF-001344</t>
  </si>
  <si>
    <t>SES-2501-72102</t>
  </si>
  <si>
    <t>NSF-000011</t>
  </si>
  <si>
    <t>SES-2603-86895</t>
  </si>
  <si>
    <t>NSF-001283</t>
  </si>
  <si>
    <t>SES-2506-55767</t>
  </si>
  <si>
    <t>NSF-000507</t>
  </si>
  <si>
    <t>SES-2509-10604</t>
  </si>
  <si>
    <t>USR-00786</t>
  </si>
  <si>
    <t>NSF-000788</t>
  </si>
  <si>
    <t>SES-2509-97308</t>
  </si>
  <si>
    <t>USR-00072</t>
  </si>
  <si>
    <t>NSF-000748</t>
  </si>
  <si>
    <t>SES-2508-82371</t>
  </si>
  <si>
    <t>USR-00417</t>
  </si>
  <si>
    <t>NSF-000712</t>
  </si>
  <si>
    <t>SES-2509-15225</t>
  </si>
  <si>
    <t>USR-00536</t>
  </si>
  <si>
    <t>NSF-000816</t>
  </si>
  <si>
    <t>SES-2601-94157</t>
  </si>
  <si>
    <t>USR-00158</t>
  </si>
  <si>
    <t>NSF-001102</t>
  </si>
  <si>
    <t>SES-2502-33611</t>
  </si>
  <si>
    <t>USR-00639</t>
  </si>
  <si>
    <t>NSF-000120</t>
  </si>
  <si>
    <t>SES-2502-57770</t>
  </si>
  <si>
    <t>USR-00361</t>
  </si>
  <si>
    <t>NSF-000175</t>
  </si>
  <si>
    <t>SES-2503-28933</t>
  </si>
  <si>
    <t>NSF-000246</t>
  </si>
  <si>
    <t>SES-2510-80468</t>
  </si>
  <si>
    <t>USR-00278</t>
  </si>
  <si>
    <t>NSF-000848</t>
  </si>
  <si>
    <t>SES-2501-52419</t>
  </si>
  <si>
    <t>USR-00208</t>
  </si>
  <si>
    <t>NSF-000052</t>
  </si>
  <si>
    <t>SES-2504-29112</t>
  </si>
  <si>
    <t>NSF-000334</t>
  </si>
  <si>
    <t>SES-2509-58691</t>
  </si>
  <si>
    <t>NSF-000782</t>
  </si>
  <si>
    <t>SES-2510-78057</t>
  </si>
  <si>
    <t>NSF-000877</t>
  </si>
  <si>
    <t>SES-2602-38788</t>
  </si>
  <si>
    <t>NSF-001191</t>
  </si>
  <si>
    <t>SES-2601-62037</t>
  </si>
  <si>
    <t>NSF-001124</t>
  </si>
  <si>
    <t>SES-2512-62148</t>
  </si>
  <si>
    <t>USR-00220</t>
  </si>
  <si>
    <t>NSF-001045</t>
  </si>
  <si>
    <t>SES-2506-60252</t>
  </si>
  <si>
    <t>NSF-000520</t>
  </si>
  <si>
    <t>SES-2504-23984</t>
  </si>
  <si>
    <t>NSF-000355</t>
  </si>
  <si>
    <t>SES-2505-63184</t>
  </si>
  <si>
    <t>USR-00804</t>
  </si>
  <si>
    <t>NSF-000429</t>
  </si>
  <si>
    <t>NEWCASTLE</t>
  </si>
  <si>
    <t>SES-2502-16571</t>
  </si>
  <si>
    <t>USR-00183</t>
  </si>
  <si>
    <t>NSF-000163</t>
  </si>
  <si>
    <t>Bank Connection Faild</t>
  </si>
  <si>
    <t>SES-2505-51252</t>
  </si>
  <si>
    <t>usr-00589</t>
  </si>
  <si>
    <t>NSF-000463</t>
  </si>
  <si>
    <t>SES-2506-26004</t>
  </si>
  <si>
    <t>USR-00705</t>
  </si>
  <si>
    <t>NSF-000530</t>
  </si>
  <si>
    <t>SES-2606-91503</t>
  </si>
  <si>
    <t>USR-00751</t>
  </si>
  <si>
    <t>NSF-001426</t>
  </si>
  <si>
    <t>SES-2511-91300</t>
  </si>
  <si>
    <t>NSF-000958</t>
  </si>
  <si>
    <t>SES-2502-86820</t>
  </si>
  <si>
    <t>USR-00527</t>
  </si>
  <si>
    <t>NSF-000193</t>
  </si>
  <si>
    <t>SES-2501-60811</t>
  </si>
  <si>
    <t>NSF-000003</t>
  </si>
  <si>
    <t>SES-2503-97606</t>
  </si>
  <si>
    <t>USR-00340</t>
  </si>
  <si>
    <t>NSF-000206</t>
  </si>
  <si>
    <t>SES-2603-81303</t>
  </si>
  <si>
    <t>NSF-001252</t>
  </si>
  <si>
    <t>SES-2601-11679</t>
  </si>
  <si>
    <t>NSF-001094</t>
  </si>
  <si>
    <t>SES-2501-45308</t>
  </si>
  <si>
    <t>USR-00172</t>
  </si>
  <si>
    <t>NSF-000038</t>
  </si>
  <si>
    <t>SES-2601-57117</t>
  </si>
  <si>
    <t>NSF-001136</t>
  </si>
  <si>
    <t>SES-2602-25355</t>
  </si>
  <si>
    <t>USR-00542</t>
  </si>
  <si>
    <t>NSF-001187</t>
  </si>
  <si>
    <t>SES-2505-63180</t>
  </si>
  <si>
    <t>USR-00419</t>
  </si>
  <si>
    <t>NSF-000416</t>
  </si>
  <si>
    <t>SES-2510-59731</t>
  </si>
  <si>
    <t>USR-00262</t>
  </si>
  <si>
    <t>NSF-000841</t>
  </si>
  <si>
    <t>SES-2510-26536</t>
  </si>
  <si>
    <t>NSF-000852</t>
  </si>
  <si>
    <t>SES-2501-36340</t>
  </si>
  <si>
    <t>NSF-000061</t>
  </si>
  <si>
    <t>SES-2501-59586</t>
  </si>
  <si>
    <t>NSF-000033</t>
  </si>
  <si>
    <t>SES-2605-45768</t>
  </si>
  <si>
    <t>USR-00306</t>
  </si>
  <si>
    <t>NSF-001380</t>
  </si>
  <si>
    <t>SES-2510-47429</t>
  </si>
  <si>
    <t>NSF-000900</t>
  </si>
  <si>
    <t>SES-2601-54695</t>
  </si>
  <si>
    <t>NSF-001088</t>
  </si>
  <si>
    <t>READING</t>
  </si>
  <si>
    <t>SES-2512-33407</t>
  </si>
  <si>
    <t>USR-00810</t>
  </si>
  <si>
    <t>NSF-001004</t>
  </si>
  <si>
    <t>SES-2501-58714</t>
  </si>
  <si>
    <t>USR-00571</t>
  </si>
  <si>
    <t>NSF-000057</t>
  </si>
  <si>
    <t>SES-2511-79969</t>
  </si>
  <si>
    <t>USR-00427</t>
  </si>
  <si>
    <t>NSF-000937</t>
  </si>
  <si>
    <t>SES-2503-50164</t>
  </si>
  <si>
    <t>NSF-000267</t>
  </si>
  <si>
    <t>46 days</t>
  </si>
  <si>
    <t>SES-2506-42460</t>
  </si>
  <si>
    <t>USR-00860</t>
  </si>
  <si>
    <t>NSF-000522</t>
  </si>
  <si>
    <t>SES-2602-40076</t>
  </si>
  <si>
    <t>NSF-001153</t>
  </si>
  <si>
    <t>SES-2509-53943</t>
  </si>
  <si>
    <t>NSF-000831</t>
  </si>
  <si>
    <t>SOLIHULL</t>
  </si>
  <si>
    <t>SES-2503-87479</t>
  </si>
  <si>
    <t>NSF-000220</t>
  </si>
  <si>
    <t>SES-2510-81903</t>
  </si>
  <si>
    <t>USR-00601</t>
  </si>
  <si>
    <t>NSF-000911</t>
  </si>
  <si>
    <t>SES-2606-94582</t>
  </si>
  <si>
    <t>USR-00740</t>
  </si>
  <si>
    <t>NSF-001444</t>
  </si>
  <si>
    <t>SES-2504-49387</t>
  </si>
  <si>
    <t>USR-00658</t>
  </si>
  <si>
    <t>NSF-000328</t>
  </si>
  <si>
    <t>SES-2604-18408</t>
  </si>
  <si>
    <t>USR-00584</t>
  </si>
  <si>
    <t>NSF-001304</t>
  </si>
  <si>
    <t>NOTTINGHAM</t>
  </si>
  <si>
    <t>SES-2603-71853</t>
  </si>
  <si>
    <t>NSF-001226</t>
  </si>
  <si>
    <t>10 days</t>
  </si>
  <si>
    <t>SES-2511-71616</t>
  </si>
  <si>
    <t>USR-00741</t>
  </si>
  <si>
    <t>NSF-000925</t>
  </si>
  <si>
    <t>SES-2503-93353</t>
  </si>
  <si>
    <t>usr-00101</t>
  </si>
  <si>
    <t>NSF-000210</t>
  </si>
  <si>
    <t>SES-2502-37732</t>
  </si>
  <si>
    <t>USR-00047</t>
  </si>
  <si>
    <t>NSF-000133</t>
  </si>
  <si>
    <t>SES-2509-64937</t>
  </si>
  <si>
    <t>NSF-000770</t>
  </si>
  <si>
    <t>SES-2508-43074</t>
  </si>
  <si>
    <t>NSF-000733</t>
  </si>
  <si>
    <t>SES-2510-61828</t>
  </si>
  <si>
    <t>NSF-000906</t>
  </si>
  <si>
    <t>SES-2506-86018</t>
  </si>
  <si>
    <t>NSF-000528</t>
  </si>
  <si>
    <t>SES-2503-65046</t>
  </si>
  <si>
    <t>NSF-000212</t>
  </si>
  <si>
    <t>SES-2510-11181</t>
  </si>
  <si>
    <t>USR-00765</t>
  </si>
  <si>
    <t>NSF-000889</t>
  </si>
  <si>
    <t>SES-2508-83166</t>
  </si>
  <si>
    <t>NSF-000677</t>
  </si>
  <si>
    <t>SES-2606-00004</t>
  </si>
  <si>
    <t>NSF-001113</t>
  </si>
  <si>
    <t>SES-2506-60008</t>
  </si>
  <si>
    <t>USR-00633</t>
  </si>
  <si>
    <t>NSF-000496</t>
  </si>
  <si>
    <t>SES-2510-47740</t>
  </si>
  <si>
    <t>USR-00205</t>
  </si>
  <si>
    <t>NSF-000874</t>
  </si>
  <si>
    <t>SES-2503-63140</t>
  </si>
  <si>
    <t>USR-00444</t>
  </si>
  <si>
    <t>NSF-000211</t>
  </si>
  <si>
    <t>SES-2511-30485</t>
  </si>
  <si>
    <t>NSF-000964</t>
  </si>
  <si>
    <t>SES-2602-33760</t>
  </si>
  <si>
    <t>USR-00275</t>
  </si>
  <si>
    <t>NSF-001174</t>
  </si>
  <si>
    <t>SES-2507-49323</t>
  </si>
  <si>
    <t>NSF-000646</t>
  </si>
  <si>
    <t>SES-2604-34421</t>
  </si>
  <si>
    <t>USR-00697</t>
  </si>
  <si>
    <t>NSF-001300</t>
  </si>
  <si>
    <t>SES-2506-79978</t>
  </si>
  <si>
    <t>USR-00480</t>
  </si>
  <si>
    <t>NSF-000552</t>
  </si>
  <si>
    <t>SES-2505-13622</t>
  </si>
  <si>
    <t>NSF-000414</t>
  </si>
  <si>
    <t>SES-2506-36039</t>
  </si>
  <si>
    <t>NSF-000549</t>
  </si>
  <si>
    <t>SES-2501-26762</t>
  </si>
  <si>
    <t>USR-00383</t>
  </si>
  <si>
    <t>NSF-000018</t>
  </si>
  <si>
    <t>SES-2501-82399</t>
  </si>
  <si>
    <t>NSF-000072</t>
  </si>
  <si>
    <t>SES-2502-19531</t>
  </si>
  <si>
    <t>NSF-000154</t>
  </si>
  <si>
    <t>SES-2602-66996</t>
  </si>
  <si>
    <t>NSF-001175</t>
  </si>
  <si>
    <t>SES-2601-99074</t>
  </si>
  <si>
    <t>USR-00614</t>
  </si>
  <si>
    <t>NSF-001128</t>
  </si>
  <si>
    <t>SES-2509-67499</t>
  </si>
  <si>
    <t>NSF-000776</t>
  </si>
  <si>
    <t>23 days</t>
  </si>
  <si>
    <t>SES-2502-28752</t>
  </si>
  <si>
    <t>USR-00344</t>
  </si>
  <si>
    <t>NSF-000156</t>
  </si>
  <si>
    <t>YORK</t>
  </si>
  <si>
    <t>SES-2504-39856</t>
  </si>
  <si>
    <t>NSF-000372</t>
  </si>
  <si>
    <t>SES-2506-75591</t>
  </si>
  <si>
    <t>USR-00120</t>
  </si>
  <si>
    <t>NSF-000513</t>
  </si>
  <si>
    <t>SES-2510-94401</t>
  </si>
  <si>
    <t>NSF-000881</t>
  </si>
  <si>
    <t>SES-2507-34469</t>
  </si>
  <si>
    <t>USR-00076</t>
  </si>
  <si>
    <t>NSF-000634</t>
  </si>
  <si>
    <t>SES-2510-85076</t>
  </si>
  <si>
    <t>USR-00304</t>
  </si>
  <si>
    <t>NSF-000882</t>
  </si>
  <si>
    <t>SES-2504-11076</t>
  </si>
  <si>
    <t>NSF-000362</t>
  </si>
  <si>
    <t>SES-2501-65120</t>
  </si>
  <si>
    <t>USR-00206</t>
  </si>
  <si>
    <t>NSF-000023</t>
  </si>
  <si>
    <t>SES-2509-97821</t>
  </si>
  <si>
    <t>USR-00105</t>
  </si>
  <si>
    <t>NSF-000773</t>
  </si>
  <si>
    <t>SES-2505-75717</t>
  </si>
  <si>
    <t>NSF-000474</t>
  </si>
  <si>
    <t>SES-2507-72424</t>
  </si>
  <si>
    <t>NSF-000655</t>
  </si>
  <si>
    <t>SES-2602-38676</t>
  </si>
  <si>
    <t>USR-00254</t>
  </si>
  <si>
    <t>NSF-001146</t>
  </si>
  <si>
    <t>SES-2509-76811</t>
  </si>
  <si>
    <t>USR-00792</t>
  </si>
  <si>
    <t>NSF-000752</t>
  </si>
  <si>
    <t>SES-2603-13122</t>
  </si>
  <si>
    <t>USR-00204</t>
  </si>
  <si>
    <t>NSF-001253</t>
  </si>
  <si>
    <t>SES-2602-87345</t>
  </si>
  <si>
    <t>NSF-001151</t>
  </si>
  <si>
    <t>SES-2502-48866</t>
  </si>
  <si>
    <t>USR-00136</t>
  </si>
  <si>
    <t>NSF-000097</t>
  </si>
  <si>
    <t>SES-2502-93723</t>
  </si>
  <si>
    <t>USR-00599</t>
  </si>
  <si>
    <t>NSF-000126</t>
  </si>
  <si>
    <t>SES-2604-53879</t>
  </si>
  <si>
    <t>USR-00604</t>
  </si>
  <si>
    <t>NSF-001315</t>
  </si>
  <si>
    <t>SES-2508-62695</t>
  </si>
  <si>
    <t>USR-00856</t>
  </si>
  <si>
    <t>NSF-000678</t>
  </si>
  <si>
    <t>SES-2601-31092</t>
  </si>
  <si>
    <t>NSF-001075</t>
  </si>
  <si>
    <t>SES-2501-45817</t>
  </si>
  <si>
    <t>NSF-000076</t>
  </si>
  <si>
    <t>SES-2503-53142</t>
  </si>
  <si>
    <t>USR-00811</t>
  </si>
  <si>
    <t>NSF-000261</t>
  </si>
  <si>
    <t>SES-2602-56058</t>
  </si>
  <si>
    <t>USR-00690</t>
  </si>
  <si>
    <t>NSF-001209</t>
  </si>
  <si>
    <t>SES-2509-13861</t>
  </si>
  <si>
    <t>USR-00245</t>
  </si>
  <si>
    <t>NSF-000797</t>
  </si>
  <si>
    <t>SES-2502-69701</t>
  </si>
  <si>
    <t>NSF-000113</t>
  </si>
  <si>
    <t>SES-2602-81949</t>
  </si>
  <si>
    <t>NSF-001201</t>
  </si>
  <si>
    <t>18 days</t>
  </si>
  <si>
    <t>SES-2512-54378</t>
  </si>
  <si>
    <t>NSF-000996</t>
  </si>
  <si>
    <t>SES-2503-18009</t>
  </si>
  <si>
    <t>USR-00671</t>
  </si>
  <si>
    <t>NSF-000276</t>
  </si>
  <si>
    <t>SES-2506-95914</t>
  </si>
  <si>
    <t>NSF-000545</t>
  </si>
  <si>
    <t>SES-2603-97350</t>
  </si>
  <si>
    <t>USR-00716</t>
  </si>
  <si>
    <t>NSF-001278</t>
  </si>
  <si>
    <t>SES-2602-59157</t>
  </si>
  <si>
    <t>NSF-001215</t>
  </si>
  <si>
    <t>SES-2505-61527</t>
  </si>
  <si>
    <t>USR-00098</t>
  </si>
  <si>
    <t>NSF-000473</t>
  </si>
  <si>
    <t>SES-2501-75013</t>
  </si>
  <si>
    <t>NSF-000016</t>
  </si>
  <si>
    <t>SES-2510-24425</t>
  </si>
  <si>
    <t>USR-00489</t>
  </si>
  <si>
    <t>NSF-000867</t>
  </si>
  <si>
    <t>SES-2509-52988</t>
  </si>
  <si>
    <t>NSF-000825</t>
  </si>
  <si>
    <t>SES-2509-36273</t>
  </si>
  <si>
    <t>NSF-000784</t>
  </si>
  <si>
    <t>SES-2503-45073</t>
  </si>
  <si>
    <t>USR-00778</t>
  </si>
  <si>
    <t>NSF-000207</t>
  </si>
  <si>
    <t>SES-2507-69759</t>
  </si>
  <si>
    <t>USR-00372</t>
  </si>
  <si>
    <t>NSF-000602</t>
  </si>
  <si>
    <t>SES-2502-16031</t>
  </si>
  <si>
    <t>NSF-000172</t>
  </si>
  <si>
    <t>SES-2606-62811</t>
  </si>
  <si>
    <t>NSF-001439</t>
  </si>
  <si>
    <t>SES-2507-32694</t>
  </si>
  <si>
    <t>NSF-000621</t>
  </si>
  <si>
    <t>SES-2605-82102</t>
  </si>
  <si>
    <t>NSF-001367</t>
  </si>
  <si>
    <t>SES-2508-92025</t>
  </si>
  <si>
    <t>NSF-000690</t>
  </si>
  <si>
    <t>SES-2501-82214</t>
  </si>
  <si>
    <t>NSF-000080</t>
  </si>
  <si>
    <t>SES-2509-60994</t>
  </si>
  <si>
    <t>NSF-000793</t>
  </si>
  <si>
    <t>SES-2508-95288</t>
  </si>
  <si>
    <t>NSF-000740</t>
  </si>
  <si>
    <t>SES-2508-50625</t>
  </si>
  <si>
    <t>USR-00149</t>
  </si>
  <si>
    <t>NSF-000687</t>
  </si>
  <si>
    <t>SES-2506-25700</t>
  </si>
  <si>
    <t>NSF-000573</t>
  </si>
  <si>
    <t>SES-2509-28636</t>
  </si>
  <si>
    <t>USR-00112</t>
  </si>
  <si>
    <t>NSF-000801</t>
  </si>
  <si>
    <t>SES-2601-14884</t>
  </si>
  <si>
    <t>USR-00855</t>
  </si>
  <si>
    <t>NSF-001118</t>
  </si>
  <si>
    <t>SES-2506-89913</t>
  </si>
  <si>
    <t>NSF-000527</t>
  </si>
  <si>
    <t>SES-2502-78124</t>
  </si>
  <si>
    <t>NSF-000135</t>
  </si>
  <si>
    <t>SES-2506-72587</t>
  </si>
  <si>
    <t>NSF-000535</t>
  </si>
  <si>
    <t>SES-2605-53005</t>
  </si>
  <si>
    <t>USR-00591</t>
  </si>
  <si>
    <t>NSF-001379</t>
  </si>
  <si>
    <t>SES-2508-86604</t>
  </si>
  <si>
    <t>NSF-000745</t>
  </si>
  <si>
    <t>SES-2511-75650</t>
  </si>
  <si>
    <t>USR-00539</t>
  </si>
  <si>
    <t>NSF-000976</t>
  </si>
  <si>
    <t>SES-2507-42396</t>
  </si>
  <si>
    <t>USR-00568</t>
  </si>
  <si>
    <t>NSF-000630</t>
  </si>
  <si>
    <t>SES-2504-23691</t>
  </si>
  <si>
    <t>NSF-000326</t>
  </si>
  <si>
    <t>SES-2510-76366</t>
  </si>
  <si>
    <t>USR-00673</t>
  </si>
  <si>
    <t>NSF-000901</t>
  </si>
  <si>
    <t>SES-2510-67262</t>
  </si>
  <si>
    <t>NSF-000851</t>
  </si>
  <si>
    <t>SES-2510-64051</t>
  </si>
  <si>
    <t>USR-00259</t>
  </si>
  <si>
    <t>NSF-000878</t>
  </si>
  <si>
    <t>SES-2505-34749</t>
  </si>
  <si>
    <t>USR-00510</t>
  </si>
  <si>
    <t>NSF-000390</t>
  </si>
  <si>
    <t>SES-2506-38900</t>
  </si>
  <si>
    <t>NSF-000542</t>
  </si>
  <si>
    <t>SES-2506-72673</t>
  </si>
  <si>
    <t>NSF-000562</t>
  </si>
  <si>
    <t>SES-2604-92218</t>
  </si>
  <si>
    <t>NSF-001330</t>
  </si>
  <si>
    <t>SES-2506-46276</t>
  </si>
  <si>
    <t>NSF-000571</t>
  </si>
  <si>
    <t>SES-2506-21058</t>
  </si>
  <si>
    <t>NSF-000505</t>
  </si>
  <si>
    <t>SES-2505-34073</t>
  </si>
  <si>
    <t>USR-00462</t>
  </si>
  <si>
    <t>NSF-000449</t>
  </si>
  <si>
    <t>SES-2502-47089</t>
  </si>
  <si>
    <t>NSF-000116</t>
  </si>
  <si>
    <t>SES-2504-39546</t>
  </si>
  <si>
    <t>USR-00088</t>
  </si>
  <si>
    <t>NSF-000379</t>
  </si>
  <si>
    <t>SES-2511-95238</t>
  </si>
  <si>
    <t>NSF-000963</t>
  </si>
  <si>
    <t>SES-2512-54407</t>
  </si>
  <si>
    <t>USR-00242</t>
  </si>
  <si>
    <t>NSF-001015</t>
  </si>
  <si>
    <t>SES-2512-93625</t>
  </si>
  <si>
    <t>NSF-001067</t>
  </si>
  <si>
    <t>SES-2510-32132</t>
  </si>
  <si>
    <t>NSF-000909</t>
  </si>
  <si>
    <t>SES-2603-31092</t>
  </si>
  <si>
    <t>NSF-001277</t>
  </si>
  <si>
    <t>11 days</t>
  </si>
  <si>
    <t>SES-2507-41680</t>
  </si>
  <si>
    <t>NSF-000610</t>
  </si>
  <si>
    <t>SES-2504-41392</t>
  </si>
  <si>
    <t>USR-00285</t>
  </si>
  <si>
    <t>NSF-000323</t>
  </si>
  <si>
    <t>25 days</t>
  </si>
  <si>
    <t>SES-2604-60779</t>
  </si>
  <si>
    <t>NSF-001313</t>
  </si>
  <si>
    <t>SES-2502-73447</t>
  </si>
  <si>
    <t>NSF-000169</t>
  </si>
  <si>
    <t>SES-2509-91340</t>
  </si>
  <si>
    <t>USR-00413</t>
  </si>
  <si>
    <t>NSF-000789</t>
  </si>
  <si>
    <t>SES-2606-62339</t>
  </si>
  <si>
    <t>USR-00273</t>
  </si>
  <si>
    <t>NSF-001441</t>
  </si>
  <si>
    <t>SES-2510-95243</t>
  </si>
  <si>
    <t>NSF-000902</t>
  </si>
  <si>
    <t>SES-2506-89003</t>
  </si>
  <si>
    <t>USR-00712</t>
  </si>
  <si>
    <t>NSF-000502</t>
  </si>
  <si>
    <t>SES-2605-10043</t>
  </si>
  <si>
    <t>NSF-001405</t>
  </si>
  <si>
    <t>SES-2603-32248</t>
  </si>
  <si>
    <t>USR-00784</t>
  </si>
  <si>
    <t>NSF-001265</t>
  </si>
  <si>
    <t>SES-2511-18022</t>
  </si>
  <si>
    <t>NSF-000948</t>
  </si>
  <si>
    <t>SES-2601-39953</t>
  </si>
  <si>
    <t>NSF-001485</t>
  </si>
  <si>
    <t>SES-2508-46112</t>
  </si>
  <si>
    <t>USR-00049</t>
  </si>
  <si>
    <t>NSF-000667</t>
  </si>
  <si>
    <t>LEICESTER</t>
  </si>
  <si>
    <t>SES-2505-95169</t>
  </si>
  <si>
    <t>NSF-000404</t>
  </si>
  <si>
    <t>SES-2505-14381</t>
  </si>
  <si>
    <t>NSF-000403</t>
  </si>
  <si>
    <t>SES-2507-50433</t>
  </si>
  <si>
    <t>usr-00390</t>
  </si>
  <si>
    <t>NSF-000592</t>
  </si>
  <si>
    <t>SES-2510-35955</t>
  </si>
  <si>
    <t>NSF-000862</t>
  </si>
  <si>
    <t>SES-2501-76738</t>
  </si>
  <si>
    <t>NSF-000041</t>
  </si>
  <si>
    <t>SES-2603-60710</t>
  </si>
  <si>
    <t>NSF-001227</t>
  </si>
  <si>
    <t>SES-2503-54426</t>
  </si>
  <si>
    <t>NSF-000208</t>
  </si>
  <si>
    <t>SES-2507-44279</t>
  </si>
  <si>
    <t>NSF-000652</t>
  </si>
  <si>
    <t>SES-2505-51457</t>
  </si>
  <si>
    <t>NSF-000470</t>
  </si>
  <si>
    <t>SES-2505-57421</t>
  </si>
  <si>
    <t>NSF-000437</t>
  </si>
  <si>
    <t>SES-2507-27577</t>
  </si>
  <si>
    <t>NSF-000626</t>
  </si>
  <si>
    <t>SES-2506-11222</t>
  </si>
  <si>
    <t>NSF-000499</t>
  </si>
  <si>
    <t>SES-2602-26284</t>
  </si>
  <si>
    <t>NSF-001160</t>
  </si>
  <si>
    <t>SES-2505-21229</t>
  </si>
  <si>
    <t>NSF-000465</t>
  </si>
  <si>
    <t>SES-2601-34015</t>
  </si>
  <si>
    <t>NSF-001109</t>
  </si>
  <si>
    <t>SES-2507-69879</t>
  </si>
  <si>
    <t>USR-00807</t>
  </si>
  <si>
    <t>NSF-000604</t>
  </si>
  <si>
    <t>SES-2504-49537</t>
  </si>
  <si>
    <t>NSF-000377</t>
  </si>
  <si>
    <t>SES-2507-14002</t>
  </si>
  <si>
    <t>USR-00845</t>
  </si>
  <si>
    <t>NSF-000650</t>
  </si>
  <si>
    <t>SES-2501-85116</t>
  </si>
  <si>
    <t>USR-00096</t>
  </si>
  <si>
    <t>NSF-000028</t>
  </si>
  <si>
    <t>SES-2604-47816</t>
  </si>
  <si>
    <t>USR-00790</t>
  </si>
  <si>
    <t>NSF-001310</t>
  </si>
  <si>
    <t>SES-2505-44283</t>
  </si>
  <si>
    <t>NSF-000444</t>
  </si>
  <si>
    <t>SES-2512-47272</t>
  </si>
  <si>
    <t>NSF-001065</t>
  </si>
  <si>
    <t>SES-2503-98033</t>
  </si>
  <si>
    <t>NSF-000217</t>
  </si>
  <si>
    <t>SES-2503-39404</t>
  </si>
  <si>
    <t>USR-00122</t>
  </si>
  <si>
    <t>NSF-000227</t>
  </si>
  <si>
    <t>SES-2501-47303</t>
  </si>
  <si>
    <t>NSF-000004</t>
  </si>
  <si>
    <t>SES-2507-74996</t>
  </si>
  <si>
    <t>NSF-000581</t>
  </si>
  <si>
    <t>19 days</t>
  </si>
  <si>
    <t>SES-2510-57213</t>
  </si>
  <si>
    <t>NSF-000846</t>
  </si>
  <si>
    <t>SES-2604-37483</t>
  </si>
  <si>
    <t>NSF-001291</t>
  </si>
  <si>
    <t>SES-2509-63466</t>
  </si>
  <si>
    <t>NSF-000777</t>
  </si>
  <si>
    <t>SES-2601-24990</t>
  </si>
  <si>
    <t>USR-00552</t>
  </si>
  <si>
    <t>NSF-001096</t>
  </si>
  <si>
    <t>SES-2508-66125</t>
  </si>
  <si>
    <t>USR-00776</t>
  </si>
  <si>
    <t>NSF-000709</t>
  </si>
  <si>
    <t>SES-2501-48605</t>
  </si>
  <si>
    <t>NSF-000093</t>
  </si>
  <si>
    <t>SES-2510-69732</t>
  </si>
  <si>
    <t>NSF-000875</t>
  </si>
  <si>
    <t>SES-2503-40458</t>
  </si>
  <si>
    <t>NSF-000228</t>
  </si>
  <si>
    <t>SES-2603-65518</t>
  </si>
  <si>
    <t>NSF-001238</t>
  </si>
  <si>
    <t>SES-2510-66139</t>
  </si>
  <si>
    <t>NSF-000858</t>
  </si>
  <si>
    <t>SES-2501-61196</t>
  </si>
  <si>
    <t>USR-00629</t>
  </si>
  <si>
    <t>NSF-000051</t>
  </si>
  <si>
    <t>SES-2510-21139</t>
  </si>
  <si>
    <t>NSF-000840</t>
  </si>
  <si>
    <t>SES-2511-21569</t>
  </si>
  <si>
    <t>NSF-000971</t>
  </si>
  <si>
    <t>SES-2503-10478</t>
  </si>
  <si>
    <t>NSF-000223</t>
  </si>
  <si>
    <t>SES-2510-54869</t>
  </si>
  <si>
    <t>NSF-000868</t>
  </si>
  <si>
    <t>SES-2508-18394</t>
  </si>
  <si>
    <t>NSF-000673</t>
  </si>
  <si>
    <t>SES-2502-24778</t>
  </si>
  <si>
    <t>USR-00087</t>
  </si>
  <si>
    <t>NSF-000124</t>
  </si>
  <si>
    <t>SES-2504-60649</t>
  </si>
  <si>
    <t>USR-00650</t>
  </si>
  <si>
    <t>NSF-000313</t>
  </si>
  <si>
    <t>SES-2512-24890</t>
  </si>
  <si>
    <t>USR-00851</t>
  </si>
  <si>
    <t>NSF-001010</t>
  </si>
  <si>
    <t>SES-2506-60997</t>
  </si>
  <si>
    <t>NSF-000570</t>
  </si>
  <si>
    <t>SES-2507-21237</t>
  </si>
  <si>
    <t>USR-00375</t>
  </si>
  <si>
    <t>NSF-000580</t>
  </si>
  <si>
    <t>SES-2504-73522</t>
  </si>
  <si>
    <t>NSF-000329</t>
  </si>
  <si>
    <t>SES-2503-28980</t>
  </si>
  <si>
    <t>NSF-000237</t>
  </si>
  <si>
    <t>SES-2507-22781</t>
  </si>
  <si>
    <t>NSF-000631</t>
  </si>
  <si>
    <t>SES-2512-56047</t>
  </si>
  <si>
    <t>NSF-001025</t>
  </si>
  <si>
    <t>SES-2511-44513</t>
  </si>
  <si>
    <t>NSF-000943</t>
  </si>
  <si>
    <t>SES-2501-71986</t>
  </si>
  <si>
    <t>NSF-000040</t>
  </si>
  <si>
    <t>SES-2508-20577</t>
  </si>
  <si>
    <t>NSF-000711</t>
  </si>
  <si>
    <t>PLYMOUTH</t>
  </si>
  <si>
    <t>SES-2603-29419</t>
  </si>
  <si>
    <t>NSF-001244</t>
  </si>
  <si>
    <t>SES-2512-11750</t>
  </si>
  <si>
    <t>USR-00772</t>
  </si>
  <si>
    <t>NSF-001030</t>
  </si>
  <si>
    <t>SES-2503-86508</t>
  </si>
  <si>
    <t>NSF-000234</t>
  </si>
  <si>
    <t>SES-2511-47946</t>
  </si>
  <si>
    <t>NSF-000946</t>
  </si>
  <si>
    <t>SES-2505-93524</t>
  </si>
  <si>
    <t>USR-00484</t>
  </si>
  <si>
    <t>NSF-000442</t>
  </si>
  <si>
    <t>SES-2504-79243</t>
  </si>
  <si>
    <t>USR-00739</t>
  </si>
  <si>
    <t>NSF-000371</t>
  </si>
  <si>
    <t>SES-2502-55243</t>
  </si>
  <si>
    <t>NSF-000148</t>
  </si>
  <si>
    <t>SES-2511-61404</t>
  </si>
  <si>
    <t>NSF-000939</t>
  </si>
  <si>
    <t>SES-2603-53869</t>
  </si>
  <si>
    <t>NSF-001274</t>
  </si>
  <si>
    <t>SES-2602-77556</t>
  </si>
  <si>
    <t>USR-00108</t>
  </si>
  <si>
    <t>NSF-001200</t>
  </si>
  <si>
    <t>SES-2503-66731</t>
  </si>
  <si>
    <t>NSF-000285</t>
  </si>
  <si>
    <t>59 days</t>
  </si>
  <si>
    <t>SES-2508-56244</t>
  </si>
  <si>
    <t>USR-00026</t>
  </si>
  <si>
    <t>NSF-000701</t>
  </si>
  <si>
    <t>SES-2502-66173</t>
  </si>
  <si>
    <t>USR-00667</t>
  </si>
  <si>
    <t>NSF-000161</t>
  </si>
  <si>
    <t>SES-2508-53118</t>
  </si>
  <si>
    <t>NSF-000685</t>
  </si>
  <si>
    <t>SES-2506-82325</t>
  </si>
  <si>
    <t>NSF-000498</t>
  </si>
  <si>
    <t>SES-2509-24367</t>
  </si>
  <si>
    <t>USR-00370</t>
  </si>
  <si>
    <t>NSF-000821</t>
  </si>
  <si>
    <t>SES-2512-74176</t>
  </si>
  <si>
    <t>NSF-001021</t>
  </si>
  <si>
    <t>SES-2508-95865</t>
  </si>
  <si>
    <t>NSF-000668</t>
  </si>
  <si>
    <t>SES-2505-98890</t>
  </si>
  <si>
    <t>NSF-000482</t>
  </si>
  <si>
    <t>SES-2504-19276</t>
  </si>
  <si>
    <t>NSF-000347</t>
  </si>
  <si>
    <t>SES-2502-81276</t>
  </si>
  <si>
    <t>NSF-000110</t>
  </si>
  <si>
    <t>SES-2504-59950</t>
  </si>
  <si>
    <t>NSF-000365</t>
  </si>
  <si>
    <t>SES-2603-45367</t>
  </si>
  <si>
    <t>NSF-001223</t>
  </si>
  <si>
    <t>SES-2506-89826</t>
  </si>
  <si>
    <t>NSF-000523</t>
  </si>
  <si>
    <t>SES-2511-57424</t>
  </si>
  <si>
    <t>NSF-000940</t>
  </si>
  <si>
    <t>SES-2601-11683</t>
  </si>
  <si>
    <t>NSF-001077</t>
  </si>
  <si>
    <t>SES-2504-78418</t>
  </si>
  <si>
    <t>NSF-000387</t>
  </si>
  <si>
    <t>SES-2501-44697</t>
  </si>
  <si>
    <t>NSF-000008</t>
  </si>
  <si>
    <t>SES-2508-26331</t>
  </si>
  <si>
    <t>NSF-000714</t>
  </si>
  <si>
    <t>SES-2512-13551</t>
  </si>
  <si>
    <t>USR-00428</t>
  </si>
  <si>
    <t>NSF-001059</t>
  </si>
  <si>
    <t>SES-2506-31196</t>
  </si>
  <si>
    <t>USR-00309</t>
  </si>
  <si>
    <t>NSF-000534</t>
  </si>
  <si>
    <t>SES-2601-58471</t>
  </si>
  <si>
    <t>NSF-001121</t>
  </si>
  <si>
    <t>SES-2506-52847</t>
  </si>
  <si>
    <t>USR-00819</t>
  </si>
  <si>
    <t>NSF-000526</t>
  </si>
  <si>
    <t>SES-2603-13673</t>
  </si>
  <si>
    <t>NSF-001484</t>
  </si>
  <si>
    <t>SES-2603-45995</t>
  </si>
  <si>
    <t>NSF-001219</t>
  </si>
  <si>
    <t>SES-2501-40526</t>
  </si>
  <si>
    <t>NSF-000025</t>
  </si>
  <si>
    <t>SES-2603-81340</t>
  </si>
  <si>
    <t>NSF-001268</t>
  </si>
  <si>
    <t>SES-2604-35883</t>
  </si>
  <si>
    <t>NSF-001324</t>
  </si>
  <si>
    <t>SES-2509-92782</t>
  </si>
  <si>
    <t>USR-00470</t>
  </si>
  <si>
    <t>NSF-000759</t>
  </si>
  <si>
    <t>SES-2504-44500</t>
  </si>
  <si>
    <t>NSF-000306</t>
  </si>
  <si>
    <t>SES-2511-40685</t>
  </si>
  <si>
    <t>NSF-000936</t>
  </si>
  <si>
    <t>SES-2502-57160</t>
  </si>
  <si>
    <t>NSF-000139</t>
  </si>
  <si>
    <t>SES-2511-24351</t>
  </si>
  <si>
    <t>USR-00030</t>
  </si>
  <si>
    <t>NSF-000992</t>
  </si>
  <si>
    <t>SES-2508-62248</t>
  </si>
  <si>
    <t>NSF-000666</t>
  </si>
  <si>
    <t>8 days</t>
  </si>
  <si>
    <t>SES-2504-52856</t>
  </si>
  <si>
    <t>USR-00764</t>
  </si>
  <si>
    <t>NSF-000380</t>
  </si>
  <si>
    <t>SES-2606-78286</t>
  </si>
  <si>
    <t>USR-00586</t>
  </si>
  <si>
    <t>NSF-001428</t>
  </si>
  <si>
    <t>SES-2604-67227</t>
  </si>
  <si>
    <t>NSF-001334</t>
  </si>
  <si>
    <t>SES-2503-52612</t>
  </si>
  <si>
    <t>NSF-000233</t>
  </si>
  <si>
    <t>SES-2503-13878</t>
  </si>
  <si>
    <t>NSF-000224</t>
  </si>
  <si>
    <t>SES-2507-18784</t>
  </si>
  <si>
    <t>NSF-000575</t>
  </si>
  <si>
    <t>SES-2502-11617</t>
  </si>
  <si>
    <t>NSF-001483</t>
  </si>
  <si>
    <t>SES-2503-12680</t>
  </si>
  <si>
    <t>NSF-000215</t>
  </si>
  <si>
    <t>SES-2502-60448</t>
  </si>
  <si>
    <t>USR-00165</t>
  </si>
  <si>
    <t>NSF-000178</t>
  </si>
  <si>
    <t>SES-2508-10620</t>
  </si>
  <si>
    <t>NSF-000705</t>
  </si>
  <si>
    <t>SES-2603-80514</t>
  </si>
  <si>
    <t>USR-00011</t>
  </si>
  <si>
    <t>NSF-001256</t>
  </si>
  <si>
    <t>SES-2603-24723</t>
  </si>
  <si>
    <t>NSF-001267</t>
  </si>
  <si>
    <t>SES-2507-11873</t>
  </si>
  <si>
    <t>NSF-000616</t>
  </si>
  <si>
    <t>SES-2604-29613</t>
  </si>
  <si>
    <t>NSF-001303</t>
  </si>
  <si>
    <t>SES-2501-46972</t>
  </si>
  <si>
    <t>USR-00578</t>
  </si>
  <si>
    <t>NSF-000017</t>
  </si>
  <si>
    <t>SES-2604-41935</t>
  </si>
  <si>
    <t>NSF-001328</t>
  </si>
  <si>
    <t>SES-2503-49973</t>
  </si>
  <si>
    <t>USR-00281</t>
  </si>
  <si>
    <t>NSF-000255</t>
  </si>
  <si>
    <t>SES-2504-28155</t>
  </si>
  <si>
    <t>NSF-000354</t>
  </si>
  <si>
    <t>SES-2512-25603</t>
  </si>
  <si>
    <t>NSF-001034</t>
  </si>
  <si>
    <t>SES-2512-81479</t>
  </si>
  <si>
    <t>NSF-001070</t>
  </si>
  <si>
    <t>SES-2503-62319</t>
  </si>
  <si>
    <t>NSF-000248</t>
  </si>
  <si>
    <t>SES-2507-44453</t>
  </si>
  <si>
    <t>USR-00305</t>
  </si>
  <si>
    <t>NSF-000611</t>
  </si>
  <si>
    <t>SES-2512-86156</t>
  </si>
  <si>
    <t>USR-00621</t>
  </si>
  <si>
    <t>NSF-001064</t>
  </si>
  <si>
    <t>13 days</t>
  </si>
  <si>
    <t>SES-2501-29929</t>
  </si>
  <si>
    <t>NSF-000009</t>
  </si>
  <si>
    <t>SES-2503-14068</t>
  </si>
  <si>
    <t>usr-00064</t>
  </si>
  <si>
    <t>NSF-000249</t>
  </si>
  <si>
    <t>SES-2511-21441</t>
  </si>
  <si>
    <t>NSF-000981</t>
  </si>
  <si>
    <t>SES-2601-88155</t>
  </si>
  <si>
    <t>USR-00442</t>
  </si>
  <si>
    <t>NSF-001139</t>
  </si>
  <si>
    <t>SES-2602-22305</t>
  </si>
  <si>
    <t>NSF-001213</t>
  </si>
  <si>
    <t>SES-2604-78508</t>
  </si>
  <si>
    <t>USR-00231</t>
  </si>
  <si>
    <t>NSF-001354</t>
  </si>
  <si>
    <t>SES-2504-90100</t>
  </si>
  <si>
    <t>USR-00200</t>
  </si>
  <si>
    <t>NSF-000346</t>
  </si>
  <si>
    <t>SES-2503-89678</t>
  </si>
  <si>
    <t>USR-00126</t>
  </si>
  <si>
    <t>NSF-000283</t>
  </si>
  <si>
    <t>SES-2511-92740</t>
  </si>
  <si>
    <t>NSF-000941</t>
  </si>
  <si>
    <t>SES-2604-87676</t>
  </si>
  <si>
    <t>NSF-001337</t>
  </si>
  <si>
    <t>SES-2508-19277</t>
  </si>
  <si>
    <t>USR-00037</t>
  </si>
  <si>
    <t>NSF-000693</t>
  </si>
  <si>
    <t>SES-2505-58963</t>
  </si>
  <si>
    <t>NSF-000421</t>
  </si>
  <si>
    <t>SES-2511-73515</t>
  </si>
  <si>
    <t>NSF-000961</t>
  </si>
  <si>
    <t>SES-2601-50527</t>
  </si>
  <si>
    <t>NSF-001141</t>
  </si>
  <si>
    <t>SES-2506-76366</t>
  </si>
  <si>
    <t>NSF-000484</t>
  </si>
  <si>
    <t>SES-2510-36244</t>
  </si>
  <si>
    <t>NSF-000908</t>
  </si>
  <si>
    <t>SES-2509-18951</t>
  </si>
  <si>
    <t>NSF-000807</t>
  </si>
  <si>
    <t>SES-2507-81080</t>
  </si>
  <si>
    <t>NSF-000600</t>
  </si>
  <si>
    <t>SES-2506-57842</t>
  </si>
  <si>
    <t>USR-00251</t>
  </si>
  <si>
    <t>NSF-000516</t>
  </si>
  <si>
    <t>SES-2502-36497</t>
  </si>
  <si>
    <t>NSF-000177</t>
  </si>
  <si>
    <t>SES-2512-78444</t>
  </si>
  <si>
    <t>USR-00218</t>
  </si>
  <si>
    <t>NSF-001040</t>
  </si>
  <si>
    <t>SES-2509-16649</t>
  </si>
  <si>
    <t>NSF-000813</t>
  </si>
  <si>
    <t>SES-2505-41127</t>
  </si>
  <si>
    <t>NSF-000425</t>
  </si>
  <si>
    <t>SES-2505-38494</t>
  </si>
  <si>
    <t>NSF-000447</t>
  </si>
  <si>
    <t>SES-2511-82227</t>
  </si>
  <si>
    <t>NSF-000914</t>
  </si>
  <si>
    <t>SES-2502-96617</t>
  </si>
  <si>
    <t>NSF-000130</t>
  </si>
  <si>
    <t>SES-2501-24537</t>
  </si>
  <si>
    <t>USR-00358</t>
  </si>
  <si>
    <t>NSF-000015</t>
  </si>
  <si>
    <t>SES-2505-84303</t>
  </si>
  <si>
    <t>USR-00738</t>
  </si>
  <si>
    <t>NSF-000410</t>
  </si>
  <si>
    <t>SES-2603-87819</t>
  </si>
  <si>
    <t>USR-00477</t>
  </si>
  <si>
    <t>NSF-001240</t>
  </si>
  <si>
    <t>SES-2501-71758</t>
  </si>
  <si>
    <t>NSF-000060</t>
  </si>
  <si>
    <t>SES-2512-19925</t>
  </si>
  <si>
    <t>USR-00456</t>
  </si>
  <si>
    <t>NSF-001057</t>
  </si>
  <si>
    <t>SES-2507-18550</t>
  </si>
  <si>
    <t>NSF-000588</t>
  </si>
  <si>
    <t>SES-2603-64105</t>
  </si>
  <si>
    <t>NSF-001269</t>
  </si>
  <si>
    <t>SES-2509-89421</t>
  </si>
  <si>
    <t>NSF-000757</t>
  </si>
  <si>
    <t>SES-2602-95110</t>
  </si>
  <si>
    <t>NSF-001171</t>
  </si>
  <si>
    <t>SES-2604-90888</t>
  </si>
  <si>
    <t>NSF-001295</t>
  </si>
  <si>
    <t>SES-2507-29398</t>
  </si>
  <si>
    <t>USR-00473</t>
  </si>
  <si>
    <t>NSF-000597</t>
  </si>
  <si>
    <t>SES-2506-67953</t>
  </si>
  <si>
    <t>USR-00436</t>
  </si>
  <si>
    <t>NSF-000566</t>
  </si>
  <si>
    <t>SES-2511-17674</t>
  </si>
  <si>
    <t>NSF-000990</t>
  </si>
  <si>
    <t>SES-2605-61575</t>
  </si>
  <si>
    <t>NSF-001386</t>
  </si>
  <si>
    <t>SES-2503-25443</t>
  </si>
  <si>
    <t>NSF-000241</t>
  </si>
  <si>
    <t>SES-2501-64104</t>
  </si>
  <si>
    <t>NSF-000092</t>
  </si>
  <si>
    <t>SES-2503-97808</t>
  </si>
  <si>
    <t>NSF-000274</t>
  </si>
  <si>
    <t>SES-2504-70484</t>
  </si>
  <si>
    <t>NSF-000340</t>
  </si>
  <si>
    <t>SES-2503-30254</t>
  </si>
  <si>
    <t>NSF-000258</t>
  </si>
  <si>
    <t>SES-2503-59936</t>
  </si>
  <si>
    <t>USR-00062</t>
  </si>
  <si>
    <t>NSF-000199</t>
  </si>
  <si>
    <t>SES-2512-26074</t>
  </si>
  <si>
    <t>USR-00250</t>
  </si>
  <si>
    <t>NSF-001063</t>
  </si>
  <si>
    <t>SES-2507-55207</t>
  </si>
  <si>
    <t>NSF-000620</t>
  </si>
  <si>
    <t>SES-2503-28088</t>
  </si>
  <si>
    <t>USR-00346</t>
  </si>
  <si>
    <t>NSF-000259</t>
  </si>
  <si>
    <t>SES-2605-81712</t>
  </si>
  <si>
    <t>USR-00447</t>
  </si>
  <si>
    <t>NSF-001392</t>
  </si>
  <si>
    <t>SES-2603-46257</t>
  </si>
  <si>
    <t>NSF-001235</t>
  </si>
  <si>
    <t>SES-2511-16066</t>
  </si>
  <si>
    <t>USR-00425</t>
  </si>
  <si>
    <t>NSF-000988</t>
  </si>
  <si>
    <t>SES-2508-45210</t>
  </si>
  <si>
    <t>NSF-000675</t>
  </si>
  <si>
    <t>SES-2602-88575</t>
  </si>
  <si>
    <t>USR-00006</t>
  </si>
  <si>
    <t>NSF-001176</t>
  </si>
  <si>
    <t>4 days</t>
  </si>
  <si>
    <t>SES-2505-47362</t>
  </si>
  <si>
    <t>NSF-000398</t>
  </si>
  <si>
    <t>SES-2504-66653</t>
  </si>
  <si>
    <t>NSF-000314</t>
  </si>
  <si>
    <t>SES-2605-57060</t>
  </si>
  <si>
    <t>NSF-001408</t>
  </si>
  <si>
    <t>SES-2508-73315</t>
  </si>
  <si>
    <t>NSF-000700</t>
  </si>
  <si>
    <t>SES-2605-46008</t>
  </si>
  <si>
    <t>USR-00014</t>
  </si>
  <si>
    <t>NSF-001356</t>
  </si>
  <si>
    <t>SES-2601-59025</t>
  </si>
  <si>
    <t>NSF-001138</t>
  </si>
  <si>
    <t>SES-2511-97852</t>
  </si>
  <si>
    <t>USR-00089</t>
  </si>
  <si>
    <t>NSF-000980</t>
  </si>
  <si>
    <t>SES-2501-20555</t>
  </si>
  <si>
    <t>USR-00095</t>
  </si>
  <si>
    <t>NSF-000045</t>
  </si>
  <si>
    <t>SES-2512-63752</t>
  </si>
  <si>
    <t>NSF-001028</t>
  </si>
  <si>
    <t>SES-2502-97870</t>
  </si>
  <si>
    <t>NSF-000157</t>
  </si>
  <si>
    <t>SES-2602-72293</t>
  </si>
  <si>
    <t>NSF-001192</t>
  </si>
  <si>
    <t>SES-2501-43290</t>
  </si>
  <si>
    <t>USR-00731</t>
  </si>
  <si>
    <t>NSF-000067</t>
  </si>
  <si>
    <t>SES-2512-53616</t>
  </si>
  <si>
    <t>NSF-001020</t>
  </si>
  <si>
    <t>SES-2503-98037</t>
  </si>
  <si>
    <t>NSF-000268</t>
  </si>
  <si>
    <t>SES-2504-68867</t>
  </si>
  <si>
    <t>USR-00746</t>
  </si>
  <si>
    <t>NSF-000342</t>
  </si>
  <si>
    <t>SES-2512-45217</t>
  </si>
  <si>
    <t>USR-00569</t>
  </si>
  <si>
    <t>NSF-001033</t>
  </si>
  <si>
    <t>SES-2503-37445</t>
  </si>
  <si>
    <t>USR-00009</t>
  </si>
  <si>
    <t>NSF-000239</t>
  </si>
  <si>
    <t>SES-2511-89808</t>
  </si>
  <si>
    <t>USR-00762</t>
  </si>
  <si>
    <t>NSF-000951</t>
  </si>
  <si>
    <t>SES-2501-65709</t>
  </si>
  <si>
    <t>USR-00258</t>
  </si>
  <si>
    <t>NSF-000096</t>
  </si>
  <si>
    <t>SES-2511-31870</t>
  </si>
  <si>
    <t>NSF-000985</t>
  </si>
  <si>
    <t>SES-2502-30590</t>
  </si>
  <si>
    <t>NSF-000132</t>
  </si>
  <si>
    <t>SES-2510-99275</t>
  </si>
  <si>
    <t>NSF-000903</t>
  </si>
  <si>
    <t>SES-2512-19578</t>
  </si>
  <si>
    <t>NSF-001005</t>
  </si>
  <si>
    <t>SES-2504-42814</t>
  </si>
  <si>
    <t>NSF-000357</t>
  </si>
  <si>
    <t>SES-2601-96228</t>
  </si>
  <si>
    <t>NSF-001097</t>
  </si>
  <si>
    <t>SES-2510-23516</t>
  </si>
  <si>
    <t>NSF-000912</t>
  </si>
  <si>
    <t>SES-2503-95588</t>
  </si>
  <si>
    <t>NSF-000230</t>
  </si>
  <si>
    <t>SES-2507-68202</t>
  </si>
  <si>
    <t>USR-00502</t>
  </si>
  <si>
    <t>NSF-000642</t>
  </si>
  <si>
    <t>SES-2502-67844</t>
  </si>
  <si>
    <t>USR-00355</t>
  </si>
  <si>
    <t>NSF-000105</t>
  </si>
  <si>
    <t>SES-2501-88001</t>
  </si>
  <si>
    <t>NSF-000032</t>
  </si>
  <si>
    <t>SES-2602-41790</t>
  </si>
  <si>
    <t>USR-00132</t>
  </si>
  <si>
    <t>NSF-001154</t>
  </si>
  <si>
    <t>SES-2602-68843</t>
  </si>
  <si>
    <t>NSF-001202</t>
  </si>
  <si>
    <t>SES-2511-50023</t>
  </si>
  <si>
    <t>NSF-000973</t>
  </si>
  <si>
    <t>SES-2605-99431</t>
  </si>
  <si>
    <t>NSF-001391</t>
  </si>
  <si>
    <t>SES-2605-85345</t>
  </si>
  <si>
    <t>NSF-001373</t>
  </si>
  <si>
    <t>SES-2512-84385</t>
  </si>
  <si>
    <t>NSF-001482</t>
  </si>
  <si>
    <t>SES-2504-10739</t>
  </si>
  <si>
    <t>NSF-000367</t>
  </si>
  <si>
    <t>SES-2509-13935</t>
  </si>
  <si>
    <t>NSF-000779</t>
  </si>
  <si>
    <t>SES-2511-26950</t>
  </si>
  <si>
    <t>USR-00769</t>
  </si>
  <si>
    <t>NSF-000956</t>
  </si>
  <si>
    <t>SES-2507-48003</t>
  </si>
  <si>
    <t>NSF-000653</t>
  </si>
  <si>
    <t>SES-2510-93984</t>
  </si>
  <si>
    <t>NSF-000910</t>
  </si>
  <si>
    <t>SES-2606-00003</t>
  </si>
  <si>
    <t>NSF-000974</t>
  </si>
  <si>
    <t>SES-2601-28078</t>
  </si>
  <si>
    <t>NSF-001134</t>
  </si>
  <si>
    <t>SES-2509-87877</t>
  </si>
  <si>
    <t>NSF-000767</t>
  </si>
  <si>
    <t>58 days</t>
  </si>
  <si>
    <t>SES-2606-27477</t>
  </si>
  <si>
    <t>USR-00138</t>
  </si>
  <si>
    <t>NSF-001419</t>
  </si>
  <si>
    <t>SES-2512-60677</t>
  </si>
  <si>
    <t>NSF-001016</t>
  </si>
  <si>
    <t>SES-2603-78281</t>
  </si>
  <si>
    <t>USR-00492</t>
  </si>
  <si>
    <t>NSF-001272</t>
  </si>
  <si>
    <t>SES-2601-21248</t>
  </si>
  <si>
    <t>USR-00393</t>
  </si>
  <si>
    <t>NSF-001131</t>
  </si>
  <si>
    <t>SES-2602-80047</t>
  </si>
  <si>
    <t>NSF-001207</t>
  </si>
  <si>
    <t>SES-2503-78273</t>
  </si>
  <si>
    <t>NSF-000272</t>
  </si>
  <si>
    <t>SES-2605-31442</t>
  </si>
  <si>
    <t>NSF-001409</t>
  </si>
  <si>
    <t>SES-2505-20164</t>
  </si>
  <si>
    <t>NSF-000443</t>
  </si>
  <si>
    <t>SES-2502-89450</t>
  </si>
  <si>
    <t>NSF-000108</t>
  </si>
  <si>
    <t>SES-2508-63446</t>
  </si>
  <si>
    <t>NSF-000674</t>
  </si>
  <si>
    <t>SES-2605-80035</t>
  </si>
  <si>
    <t>NSF-001394</t>
  </si>
  <si>
    <t>SES-2510-32105</t>
  </si>
  <si>
    <t>USR-00535</t>
  </si>
  <si>
    <t>NSF-000836</t>
  </si>
  <si>
    <t>SES-2605-74622</t>
  </si>
  <si>
    <t>USR-00282</t>
  </si>
  <si>
    <t>NSF-001396</t>
  </si>
  <si>
    <t>SES-2505-65552</t>
  </si>
  <si>
    <t>USR-00215</t>
  </si>
  <si>
    <t>NSF-000471</t>
  </si>
  <si>
    <t>SES-2502-35966</t>
  </si>
  <si>
    <t>NSF-000137</t>
  </si>
  <si>
    <t>SES-2507-59626</t>
  </si>
  <si>
    <t>NSF-000593</t>
  </si>
  <si>
    <t>SES-2602-46074</t>
  </si>
  <si>
    <t>USR-00360</t>
  </si>
  <si>
    <t>NSF-001173</t>
  </si>
  <si>
    <t>SES-2504-99951</t>
  </si>
  <si>
    <t>NSF-000381</t>
  </si>
  <si>
    <t>SES-2512-15717</t>
  </si>
  <si>
    <t>NSF-001071</t>
  </si>
  <si>
    <t>SES-2512-27451</t>
  </si>
  <si>
    <t>NSF-001008</t>
  </si>
  <si>
    <t>30 days</t>
  </si>
  <si>
    <t>SES-2602-54043</t>
  </si>
  <si>
    <t>NSF-001186</t>
  </si>
  <si>
    <t>SES-2504-56657</t>
  </si>
  <si>
    <t>NSF-000353</t>
  </si>
  <si>
    <t>SES-2501-67057</t>
  </si>
  <si>
    <t>USR-00770</t>
  </si>
  <si>
    <t>NSF-000027</t>
  </si>
  <si>
    <t>SES-2503-95304</t>
  </si>
  <si>
    <t>NSF-000247</t>
  </si>
  <si>
    <t>SES-2502-20092</t>
  </si>
  <si>
    <t>NSF-000121</t>
  </si>
  <si>
    <t>SES-2503-54524</t>
  </si>
  <si>
    <t>USR-00167</t>
  </si>
  <si>
    <t>NSF-000289</t>
  </si>
  <si>
    <t>SES-2511-61880</t>
  </si>
  <si>
    <t>NSF-000935</t>
  </si>
  <si>
    <t>SES-2507-85471</t>
  </si>
  <si>
    <t>USR-00789</t>
  </si>
  <si>
    <t>NSF-000609</t>
  </si>
  <si>
    <t>SES-2506-42887</t>
  </si>
  <si>
    <t>NSF-000512</t>
  </si>
  <si>
    <t>SES-2606-51353</t>
  </si>
  <si>
    <t>NSF-001420</t>
  </si>
  <si>
    <t>SES-2510-43312</t>
  </si>
  <si>
    <t>NSF-000898</t>
  </si>
  <si>
    <t>SES-2606-21970</t>
  </si>
  <si>
    <t>NSF-001414</t>
  </si>
  <si>
    <t>SES-2508-22428</t>
  </si>
  <si>
    <t>NSF-000699</t>
  </si>
  <si>
    <t>SES-2508-79646</t>
  </si>
  <si>
    <t>NSF-000732</t>
  </si>
  <si>
    <t>SES-2503-47370</t>
  </si>
  <si>
    <t>USR-00338</t>
  </si>
  <si>
    <t>NSF-000243</t>
  </si>
  <si>
    <t>SES-2503-26856</t>
  </si>
  <si>
    <t>NSF-000270</t>
  </si>
  <si>
    <t>SES-2509-41872</t>
  </si>
  <si>
    <t>USR-00365</t>
  </si>
  <si>
    <t>NSF-000754</t>
  </si>
  <si>
    <t>SES-2603-47176</t>
  </si>
  <si>
    <t>NSF-001270</t>
  </si>
  <si>
    <t>LISBURN</t>
  </si>
  <si>
    <t>SES-2503-64107</t>
  </si>
  <si>
    <t>NSF-000240</t>
  </si>
  <si>
    <t>SES-2602-41106</t>
  </si>
  <si>
    <t>USR-00064</t>
  </si>
  <si>
    <t>NSF-001148</t>
  </si>
  <si>
    <t>SES-2507-24426</t>
  </si>
  <si>
    <t>NSF-000586</t>
  </si>
  <si>
    <t>SES-2606-64076</t>
  </si>
  <si>
    <t>NSF-001427</t>
  </si>
  <si>
    <t>SES-2510-63846</t>
  </si>
  <si>
    <t>USR-00676</t>
  </si>
  <si>
    <t>NSF-000873</t>
  </si>
  <si>
    <t>SES-2605-63273</t>
  </si>
  <si>
    <t>NSF-001363</t>
  </si>
  <si>
    <t>SES-2510-14295</t>
  </si>
  <si>
    <t>NSF-000887</t>
  </si>
  <si>
    <t>SES-2501-34624</t>
  </si>
  <si>
    <t>USR-00513</t>
  </si>
  <si>
    <t>NSF-000036</t>
  </si>
  <si>
    <t>SES-2501-41711</t>
  </si>
  <si>
    <t>USR-00387</t>
  </si>
  <si>
    <t>NSF-000094</t>
  </si>
  <si>
    <t>SES-2605-50666</t>
  </si>
  <si>
    <t>NSF-001388</t>
  </si>
  <si>
    <t>SES-2505-43334</t>
  </si>
  <si>
    <t>USR-00756</t>
  </si>
  <si>
    <t>NSF-000430</t>
  </si>
  <si>
    <t>SES-2502-89953</t>
  </si>
  <si>
    <t>NSF-000109</t>
  </si>
  <si>
    <t>SES-2506-61123</t>
  </si>
  <si>
    <t>NSF-000541</t>
  </si>
  <si>
    <t>SES-2605-79826</t>
  </si>
  <si>
    <t>NSF-001369</t>
  </si>
  <si>
    <t>SES-2507-60496</t>
  </si>
  <si>
    <t>NSF-000625</t>
  </si>
  <si>
    <t>SES-2507-47304</t>
  </si>
  <si>
    <t>NSF-000657</t>
  </si>
  <si>
    <t>SES-2503-92782</t>
  </si>
  <si>
    <t>NSF-000292</t>
  </si>
  <si>
    <t>SES-2602-14469</t>
  </si>
  <si>
    <t>NSF-001188</t>
  </si>
  <si>
    <t>73 days</t>
  </si>
  <si>
    <t>SES-2602-70918</t>
  </si>
  <si>
    <t>NSF-001182</t>
  </si>
  <si>
    <t>SES-2504-21398</t>
  </si>
  <si>
    <t>USR-00057</t>
  </si>
  <si>
    <t>NSF-000375</t>
  </si>
  <si>
    <t>SES-2509-31243</t>
  </si>
  <si>
    <t>NSF-000755</t>
  </si>
  <si>
    <t>SES-2511-50252</t>
  </si>
  <si>
    <t>NSF-000945</t>
  </si>
  <si>
    <t>SES-2510-82598</t>
  </si>
  <si>
    <t>USR-00405</t>
  </si>
  <si>
    <t>NSF-000886</t>
  </si>
  <si>
    <t>SES-2603-14401</t>
  </si>
  <si>
    <t>usr-00704</t>
  </si>
  <si>
    <t>NSF-001236</t>
  </si>
  <si>
    <t>SES-2502-45443</t>
  </si>
  <si>
    <t>NSF-000184</t>
  </si>
  <si>
    <t>SES-2503-77274</t>
  </si>
  <si>
    <t>NSF-000290</t>
  </si>
  <si>
    <t>SES-2502-43518</t>
  </si>
  <si>
    <t>NSF-000183</t>
  </si>
  <si>
    <t>SES-2512-54171</t>
  </si>
  <si>
    <t>NSF-001017</t>
  </si>
  <si>
    <t>SES-2504-45481</t>
  </si>
  <si>
    <t>NSF-000341</t>
  </si>
  <si>
    <t>SES-2604-46865</t>
  </si>
  <si>
    <t>NSF-001317</t>
  </si>
  <si>
    <t>SES-2508-37582</t>
  </si>
  <si>
    <t>NSF-000692</t>
  </si>
  <si>
    <t>SES-2604-54606</t>
  </si>
  <si>
    <t>USR-00111</t>
  </si>
  <si>
    <t>NSF-001346</t>
  </si>
  <si>
    <t>SES-2511-58587</t>
  </si>
  <si>
    <t>NSF-000929</t>
  </si>
  <si>
    <t>SES-2603-81961</t>
  </si>
  <si>
    <t>NSF-001228</t>
  </si>
  <si>
    <t>SES-2504-46926</t>
  </si>
  <si>
    <t>USR-00517</t>
  </si>
  <si>
    <t>NSF-000333</t>
  </si>
  <si>
    <t>SES-2605-12518</t>
  </si>
  <si>
    <t>NSF-001378</t>
  </si>
  <si>
    <t>SES-2601-22771</t>
  </si>
  <si>
    <t>USR-00519</t>
  </si>
  <si>
    <t>NSF-001089</t>
  </si>
  <si>
    <t>SES-2602-30789</t>
  </si>
  <si>
    <t>NSF-001197</t>
  </si>
  <si>
    <t>SES-2602-95138</t>
  </si>
  <si>
    <t>NSF-001152</t>
  </si>
  <si>
    <t>SES-2507-75931</t>
  </si>
  <si>
    <t>NSF-000636</t>
  </si>
  <si>
    <t>SES-2507-60464</t>
  </si>
  <si>
    <t>NSF-000578</t>
  </si>
  <si>
    <t>SES-2505-42518</t>
  </si>
  <si>
    <t>NSF-000411</t>
  </si>
  <si>
    <t>SES-2509-93251</t>
  </si>
  <si>
    <t>NSF-000762</t>
  </si>
  <si>
    <t>SES-2605-21812</t>
  </si>
  <si>
    <t>USR-00721</t>
  </si>
  <si>
    <t>NSF-001401</t>
  </si>
  <si>
    <t>SES-2604-74004</t>
  </si>
  <si>
    <t>NSF-001338</t>
  </si>
  <si>
    <t>SES-2503-72749</t>
  </si>
  <si>
    <t>NSF-000256</t>
  </si>
  <si>
    <t>SES-2503-69009</t>
  </si>
  <si>
    <t>USR-00768</t>
  </si>
  <si>
    <t>NSF-000209</t>
  </si>
  <si>
    <t>SES-2501-60571</t>
  </si>
  <si>
    <t>NSF-000087</t>
  </si>
  <si>
    <t>SES-2603-97544</t>
  </si>
  <si>
    <t>USR-00630</t>
  </si>
  <si>
    <t>NSF-001264</t>
  </si>
  <si>
    <t>SES-2508-97761</t>
  </si>
  <si>
    <t>USR-00224</t>
  </si>
  <si>
    <t>NSF-000702</t>
  </si>
  <si>
    <t>SES-2601-45171</t>
  </si>
  <si>
    <t>NSF-001087</t>
  </si>
  <si>
    <t>SES-2605-24049</t>
  </si>
  <si>
    <t>NSF-001402</t>
  </si>
  <si>
    <t>SES-2504-45131</t>
  </si>
  <si>
    <t>USR-00039</t>
  </si>
  <si>
    <t>NSF-000339</t>
  </si>
  <si>
    <t>SES-2605-19864</t>
  </si>
  <si>
    <t>USR-00293</t>
  </si>
  <si>
    <t>NSF-001395</t>
  </si>
  <si>
    <t>SES-2504-25222</t>
  </si>
  <si>
    <t>NSF-000320</t>
  </si>
  <si>
    <t>SES-2509-64480</t>
  </si>
  <si>
    <t>NSF-000800</t>
  </si>
  <si>
    <t>SES-2506-39497</t>
  </si>
  <si>
    <t>NSF-001481</t>
  </si>
  <si>
    <t>SES-2604-23064</t>
  </si>
  <si>
    <t>NSF-001347</t>
  </si>
  <si>
    <t>BELFAST</t>
  </si>
  <si>
    <t>SES-2509-15252</t>
  </si>
  <si>
    <t>NSF-000758</t>
  </si>
  <si>
    <t>SES-2508-27402</t>
  </si>
  <si>
    <t>USR-00134</t>
  </si>
  <si>
    <t>NSF-000728</t>
  </si>
  <si>
    <t>SES-2510-70186</t>
  </si>
  <si>
    <t>USR-00040</t>
  </si>
  <si>
    <t>NSF-000855</t>
  </si>
  <si>
    <t>SES-2501-60130</t>
  </si>
  <si>
    <t>NSF-000026</t>
  </si>
  <si>
    <t>SES-2511-12401</t>
  </si>
  <si>
    <t>usr-00356</t>
  </si>
  <si>
    <t>NSF-000969</t>
  </si>
  <si>
    <t>SES-2604-39031</t>
  </si>
  <si>
    <t>USR-00755</t>
  </si>
  <si>
    <t>NSF-001321</t>
  </si>
  <si>
    <t>SES-2504-37356</t>
  </si>
  <si>
    <t>USR-00045</t>
  </si>
  <si>
    <t>NSF-000378</t>
  </si>
  <si>
    <t>27 days</t>
  </si>
  <si>
    <t>SES-2508-43995</t>
  </si>
  <si>
    <t>NSF-000689</t>
  </si>
  <si>
    <t>SES-2504-39124</t>
  </si>
  <si>
    <t>NSF-000316</t>
  </si>
  <si>
    <t>SES-2603-34074</t>
  </si>
  <si>
    <t>NSF-001250</t>
  </si>
  <si>
    <t>SES-2504-74275</t>
  </si>
  <si>
    <t>USR-00324</t>
  </si>
  <si>
    <t>NSF-000302</t>
  </si>
  <si>
    <t>SES-2509-58463</t>
  </si>
  <si>
    <t>NSF-000749</t>
  </si>
  <si>
    <t>SES-2506-53650</t>
  </si>
  <si>
    <t>USR-00133</t>
  </si>
  <si>
    <t>NSF-000483</t>
  </si>
  <si>
    <t>SES-2511-53526</t>
  </si>
  <si>
    <t>USR-00847</t>
  </si>
  <si>
    <t>NSF-000967</t>
  </si>
  <si>
    <t>SES-2605-81761</t>
  </si>
  <si>
    <t>USR-00264</t>
  </si>
  <si>
    <t>NSF-001389</t>
  </si>
  <si>
    <t>SES-2512-38563</t>
  </si>
  <si>
    <t>NSF-001024</t>
  </si>
  <si>
    <t>SES-2502-50376</t>
  </si>
  <si>
    <t>NSF-000179</t>
  </si>
  <si>
    <t>SES-2503-97507</t>
  </si>
  <si>
    <t>NSF-000266</t>
  </si>
  <si>
    <t>SES-2512-33771</t>
  </si>
  <si>
    <t>NSF-001051</t>
  </si>
  <si>
    <t>SES-2505-49950</t>
  </si>
  <si>
    <t>USR-00766</t>
  </si>
  <si>
    <t>NSF-000477</t>
  </si>
  <si>
    <t>SES-2602-38501</t>
  </si>
  <si>
    <t>NSF-001149</t>
  </si>
  <si>
    <t>SES-2504-11088</t>
  </si>
  <si>
    <t>NSF-000366</t>
  </si>
  <si>
    <t>SES-2511-61378</t>
  </si>
  <si>
    <t>NSF-000966</t>
  </si>
  <si>
    <t>SES-2502-22644</t>
  </si>
  <si>
    <t>USR-00432</t>
  </si>
  <si>
    <t>NSF-000099</t>
  </si>
  <si>
    <t>SES-2606-57591</t>
  </si>
  <si>
    <t>USR-00341</t>
  </si>
  <si>
    <t>NSF-001443</t>
  </si>
  <si>
    <t>SES-2506-84302</t>
  </si>
  <si>
    <t>NSF-000495</t>
  </si>
  <si>
    <t>SES-2510-14847</t>
  </si>
  <si>
    <t>NSF-000870</t>
  </si>
  <si>
    <t>SES-2601-30907</t>
  </si>
  <si>
    <t>NSF-001135</t>
  </si>
  <si>
    <t>SES-2503-82617</t>
  </si>
  <si>
    <t>NSF-000198</t>
  </si>
  <si>
    <t>SES-2505-84163</t>
  </si>
  <si>
    <t>USR-00709</t>
  </si>
  <si>
    <t>NSF-000446</t>
  </si>
  <si>
    <t>SES-2605-38167</t>
  </si>
  <si>
    <t>NSF-001393</t>
  </si>
  <si>
    <t>SES-2512-53036</t>
  </si>
  <si>
    <t>NSF-001029</t>
  </si>
  <si>
    <t>SES-2602-50992</t>
  </si>
  <si>
    <t>NSF-001164</t>
  </si>
  <si>
    <t>SES-2502-34685</t>
  </si>
  <si>
    <t>NSF-000138</t>
  </si>
  <si>
    <t>SES-2506-72417</t>
  </si>
  <si>
    <t>USR-00267</t>
  </si>
  <si>
    <t>NSF-000514</t>
  </si>
  <si>
    <t>SES-2505-30872</t>
  </si>
  <si>
    <t>NSF-000440</t>
  </si>
  <si>
    <t>49 days</t>
  </si>
  <si>
    <t>NSF-001372</t>
  </si>
  <si>
    <t>SES-2501-49250</t>
  </si>
  <si>
    <t>NSF-000077</t>
  </si>
  <si>
    <t>SES-2602-36302</t>
  </si>
  <si>
    <t>NSF-001161</t>
  </si>
  <si>
    <t>SES-2601-34127</t>
  </si>
  <si>
    <t>NSF-001103</t>
  </si>
  <si>
    <t>SES-2603-83770</t>
  </si>
  <si>
    <t>NSF-001247</t>
  </si>
  <si>
    <t>SES-2601-90238</t>
  </si>
  <si>
    <t>NSF-001073</t>
  </si>
  <si>
    <t>SES-2601-46570</t>
  </si>
  <si>
    <t>NSF-001129</t>
  </si>
  <si>
    <t>SES-2511-68012</t>
  </si>
  <si>
    <t>NSF-000960</t>
  </si>
  <si>
    <t>NSF-001116</t>
  </si>
  <si>
    <t>SES-2601-90991</t>
  </si>
  <si>
    <t>USR-00607</t>
  </si>
  <si>
    <t>NSF-001108</t>
  </si>
  <si>
    <t>SES-2503-71569</t>
  </si>
  <si>
    <t>NSF-000205</t>
  </si>
  <si>
    <t>SES-2501-60582</t>
  </si>
  <si>
    <t>NSF-000062</t>
  </si>
  <si>
    <t>SES-2504-62077</t>
  </si>
  <si>
    <t>NSF-000305</t>
  </si>
  <si>
    <t>SES-2602-46889</t>
  </si>
  <si>
    <t>NSF-001203</t>
  </si>
  <si>
    <t>SES-2502-71708</t>
  </si>
  <si>
    <t>NSF-000102</t>
  </si>
  <si>
    <t>SES-2510-67498</t>
  </si>
  <si>
    <t>USR-00476</t>
  </si>
  <si>
    <t>NSF-000893</t>
  </si>
  <si>
    <t>SES-2603-83024</t>
  </si>
  <si>
    <t>NSF-001220</t>
  </si>
  <si>
    <t>SES-2509-24643</t>
  </si>
  <si>
    <t>NSF-000810</t>
  </si>
  <si>
    <t>SES-2509-92941</t>
  </si>
  <si>
    <t>NSF-000811</t>
  </si>
  <si>
    <t>SES-2508-96723</t>
  </si>
  <si>
    <t>NSF-000726</t>
  </si>
  <si>
    <t>SES-2502-67240</t>
  </si>
  <si>
    <t>NSF-000140</t>
  </si>
  <si>
    <t>SES-2510-22396</t>
  </si>
  <si>
    <t>NSF-000905</t>
  </si>
  <si>
    <t>SES-2604-65581</t>
  </si>
  <si>
    <t>NSF-001302</t>
  </si>
  <si>
    <t>SES-2509-31832</t>
  </si>
  <si>
    <t>NSF-000819</t>
  </si>
  <si>
    <t>SES-2505-36330</t>
  </si>
  <si>
    <t>NSF-000420</t>
  </si>
  <si>
    <t>SES-2603-77326</t>
  </si>
  <si>
    <t>NSF-001271</t>
  </si>
  <si>
    <t>SES-2503-25934</t>
  </si>
  <si>
    <t>USR-00317</t>
  </si>
  <si>
    <t>NSF-000242</t>
  </si>
  <si>
    <t>SES-2506-55565</t>
  </si>
  <si>
    <t>USR-00193</t>
  </si>
  <si>
    <t>NSF-000501</t>
  </si>
  <si>
    <t>SES-2505-28363</t>
  </si>
  <si>
    <t>NSF-000464</t>
  </si>
  <si>
    <t>SES-2506-96322</t>
  </si>
  <si>
    <t>NSF-000539</t>
  </si>
  <si>
    <t>SES-2512-83239</t>
  </si>
  <si>
    <t>NSF-001037</t>
  </si>
  <si>
    <t>SES-2504-57100</t>
  </si>
  <si>
    <t>NSF-000338</t>
  </si>
  <si>
    <t>SES-2603-13702</t>
  </si>
  <si>
    <t>NSF-001221</t>
  </si>
  <si>
    <t>SES-2602-95913</t>
  </si>
  <si>
    <t>NSF-001147</t>
  </si>
  <si>
    <t>SES-2508-13315</t>
  </si>
  <si>
    <t>USR-00460</t>
  </si>
  <si>
    <t>NSF-000744</t>
  </si>
  <si>
    <t>SES-2504-63494</t>
  </si>
  <si>
    <t>NSF-000349</t>
  </si>
  <si>
    <t>SES-2512-26724</t>
  </si>
  <si>
    <t>USR-00523</t>
  </si>
  <si>
    <t>NSF-001014</t>
  </si>
  <si>
    <t>SES-2504-14805</t>
  </si>
  <si>
    <t>NSF-000331</t>
  </si>
  <si>
    <t>SES-2505-67231</t>
  </si>
  <si>
    <t>NSF-000438</t>
  </si>
  <si>
    <t>SES-2506-97815</t>
  </si>
  <si>
    <t>NSF-000497</t>
  </si>
  <si>
    <t>SES-2508-73618</t>
  </si>
  <si>
    <t>NSF-000719</t>
  </si>
  <si>
    <t>SES-2506-67959</t>
  </si>
  <si>
    <t>NSF-000538</t>
  </si>
  <si>
    <t>SES-2507-32711</t>
  </si>
  <si>
    <t>NSF-000644</t>
  </si>
  <si>
    <t>SES-2511-20648</t>
  </si>
  <si>
    <t>USR-00582</t>
  </si>
  <si>
    <t>NSF-000933</t>
  </si>
  <si>
    <t>SES-2506-54354</t>
  </si>
  <si>
    <t>USR-00822</t>
  </si>
  <si>
    <t>NSF-000555</t>
  </si>
  <si>
    <t>SES-2506-88714</t>
  </si>
  <si>
    <t>NSF-000521</t>
  </si>
  <si>
    <t>SES-2605-75240</t>
  </si>
  <si>
    <t>NSF-001399</t>
  </si>
  <si>
    <t>SES-2509-95871</t>
  </si>
  <si>
    <t>NSF-000792</t>
  </si>
  <si>
    <t>SES-2511-47478</t>
  </si>
  <si>
    <t>NSF-000954</t>
  </si>
  <si>
    <t>SES-2508-17532</t>
  </si>
  <si>
    <t>USR-00083</t>
  </si>
  <si>
    <t>NSF-000730</t>
  </si>
  <si>
    <t>SES-2504-17971</t>
  </si>
  <si>
    <t>NSF-000309</t>
  </si>
  <si>
    <t>SES-2601-78162</t>
  </si>
  <si>
    <t>NSF-001120</t>
  </si>
  <si>
    <t>SES-2505-67226</t>
  </si>
  <si>
    <t>NSF-000431</t>
  </si>
  <si>
    <t>SES-2604-36309</t>
  </si>
  <si>
    <t>NSF-001352</t>
  </si>
  <si>
    <t>SES-2510-97057</t>
  </si>
  <si>
    <t>USR-00488</t>
  </si>
  <si>
    <t>NSF-000864</t>
  </si>
  <si>
    <t>57 days</t>
  </si>
  <si>
    <t>SES-2603-81036</t>
  </si>
  <si>
    <t>USR-00228</t>
  </si>
  <si>
    <t>NSF-001258</t>
  </si>
  <si>
    <t>SES-2504-80444</t>
  </si>
  <si>
    <t>NSF-000325</t>
  </si>
  <si>
    <t>SES-2506-36202</t>
  </si>
  <si>
    <t>NSF-000537</t>
  </si>
  <si>
    <t>SES-2506-28117</t>
  </si>
  <si>
    <t>USR-00596</t>
  </si>
  <si>
    <t>NSF-000493</t>
  </si>
  <si>
    <t>SES-2512-38995</t>
  </si>
  <si>
    <t>USR-00683</t>
  </si>
  <si>
    <t>NSF-001038</t>
  </si>
  <si>
    <t>SES-2510-54841</t>
  </si>
  <si>
    <t>NSF-000890</t>
  </si>
  <si>
    <t>SES-2501-65306</t>
  </si>
  <si>
    <t>NSF-000046</t>
  </si>
  <si>
    <t>SES-2512-59885</t>
  </si>
  <si>
    <t>NSF-001006</t>
  </si>
  <si>
    <t>SES-2509-79692</t>
  </si>
  <si>
    <t>USR-00416</t>
  </si>
  <si>
    <t>NSF-000780</t>
  </si>
  <si>
    <t>SES-2504-88400</t>
  </si>
  <si>
    <t>NSF-000321</t>
  </si>
  <si>
    <t>SES-2511-62204</t>
  </si>
  <si>
    <t>NSF-000968</t>
  </si>
  <si>
    <t>39 days</t>
  </si>
  <si>
    <t>SES-2601-13655</t>
  </si>
  <si>
    <t>NSF-001112</t>
  </si>
  <si>
    <t>SES-2501-54059</t>
  </si>
  <si>
    <t>NSF-000066</t>
  </si>
  <si>
    <t>SES-2511-36610</t>
  </si>
  <si>
    <t>NSF-000979</t>
  </si>
  <si>
    <t>SES-2509-37735</t>
  </si>
  <si>
    <t>NSF-000751</t>
  </si>
  <si>
    <t>SES-2510-65402</t>
  </si>
  <si>
    <t>NSF-000838</t>
  </si>
  <si>
    <t>SES-2603-14129</t>
  </si>
  <si>
    <t>NSF-001257</t>
  </si>
  <si>
    <t>SES-2505-77857</t>
  </si>
  <si>
    <t>NSF-000406</t>
  </si>
  <si>
    <t>SES-2501-98129</t>
  </si>
  <si>
    <t>NSF-000078</t>
  </si>
  <si>
    <t>SES-2606-96156</t>
  </si>
  <si>
    <t>NSF-001442</t>
  </si>
  <si>
    <t>SES-2512-36313</t>
  </si>
  <si>
    <t>NSF-001066</t>
  </si>
  <si>
    <t>SES-2512-68174</t>
  </si>
  <si>
    <t>NSF-001013</t>
  </si>
  <si>
    <t>SES-2601-66134</t>
  </si>
  <si>
    <t>NSF-001106</t>
  </si>
  <si>
    <t>SES-2606-92945</t>
  </si>
  <si>
    <t>NSF-001438</t>
  </si>
  <si>
    <t>50 days</t>
  </si>
  <si>
    <t>SES-2508-78563</t>
  </si>
  <si>
    <t>NSF-000686</t>
  </si>
  <si>
    <t>SES-2605-48383</t>
  </si>
  <si>
    <t>NSF-001370</t>
  </si>
  <si>
    <t>SES-2502-81964</t>
  </si>
  <si>
    <t>USR-00669</t>
  </si>
  <si>
    <t>NSF-000190</t>
  </si>
  <si>
    <t>SES-2501-85074</t>
  </si>
  <si>
    <t>NSF-000079</t>
  </si>
  <si>
    <t>SES-2510-96975</t>
  </si>
  <si>
    <t>NSF-000866</t>
  </si>
  <si>
    <t>SES-2501-25029</t>
  </si>
  <si>
    <t>NSF-000021</t>
  </si>
  <si>
    <t>SES-2512-56510</t>
  </si>
  <si>
    <t>NSF-000994</t>
  </si>
  <si>
    <t>SES-2503-10919</t>
  </si>
  <si>
    <t>NSF-000271</t>
  </si>
  <si>
    <t>SES-2502-60490</t>
  </si>
  <si>
    <t>NSF-000181</t>
  </si>
  <si>
    <t>SES-2503-45824</t>
  </si>
  <si>
    <t>USR-00113</t>
  </si>
  <si>
    <t>NSF-000204</t>
  </si>
  <si>
    <t>SES-2510-49839</t>
  </si>
  <si>
    <t>NSF-000872</t>
  </si>
  <si>
    <t>SES-2512-11770</t>
  </si>
  <si>
    <t>NSF-001000</t>
  </si>
  <si>
    <t>SES-2603-46494</t>
  </si>
  <si>
    <t>usr-00637</t>
  </si>
  <si>
    <t>NSF-001234</t>
  </si>
  <si>
    <t>SES-2509-70798</t>
  </si>
  <si>
    <t>NSF-000783</t>
  </si>
  <si>
    <t>SES-2602-94065</t>
  </si>
  <si>
    <t>NSF-001162</t>
  </si>
  <si>
    <t>SES-2604-70559</t>
  </si>
  <si>
    <t>NSF-001292</t>
  </si>
  <si>
    <t>SES-2505-69828</t>
  </si>
  <si>
    <t>NSF-000459</t>
  </si>
  <si>
    <t>SES-2606-90073</t>
  </si>
  <si>
    <t>NSF-001430</t>
  </si>
  <si>
    <t>SES-2504-22001</t>
  </si>
  <si>
    <t>USR-00609</t>
  </si>
  <si>
    <t>NSF-000356</t>
  </si>
  <si>
    <t>SES-2501-17690</t>
  </si>
  <si>
    <t>NSF-000042</t>
  </si>
  <si>
    <t>SES-2502-50367</t>
  </si>
  <si>
    <t>usr-00109</t>
  </si>
  <si>
    <t>NSF-000111</t>
  </si>
  <si>
    <t>SES-2506-49159</t>
  </si>
  <si>
    <t>NSF-000543</t>
  </si>
  <si>
    <t>SES-2502-20388</t>
  </si>
  <si>
    <t>USR-00065</t>
  </si>
  <si>
    <t>NSF-000173</t>
  </si>
  <si>
    <t>41 days</t>
  </si>
  <si>
    <t>SES-2509-76941</t>
  </si>
  <si>
    <t>USR-00187</t>
  </si>
  <si>
    <t>NSF-000803</t>
  </si>
  <si>
    <t>SES-2604-79425</t>
  </si>
  <si>
    <t>NSF-001342</t>
  </si>
  <si>
    <t>SES-2508-62978</t>
  </si>
  <si>
    <t>NSF-000742</t>
  </si>
  <si>
    <t>SES-2505-72472</t>
  </si>
  <si>
    <t>USR-00557</t>
  </si>
  <si>
    <t>NSF-000424</t>
  </si>
  <si>
    <t>SES-2601-65874</t>
  </si>
  <si>
    <t>NSF-001132</t>
  </si>
  <si>
    <t>SES-2509-17644</t>
  </si>
  <si>
    <t>NSF-000823</t>
  </si>
  <si>
    <t>SES-2510-81985</t>
  </si>
  <si>
    <t>NSF-000899</t>
  </si>
  <si>
    <t>SES-2605-97120</t>
  </si>
  <si>
    <t>USR-00573</t>
  </si>
  <si>
    <t>NSF-001406</t>
  </si>
  <si>
    <t>SES-2510-37294</t>
  </si>
  <si>
    <t>USR-00606</t>
  </si>
  <si>
    <t>NSF-000895</t>
  </si>
  <si>
    <t>SES-2604-76661</t>
  </si>
  <si>
    <t>USR-00637</t>
  </si>
  <si>
    <t>NSF-001333</t>
  </si>
  <si>
    <t>12 days</t>
  </si>
  <si>
    <t>SES-2508-20135</t>
  </si>
  <si>
    <t>NSF-000731</t>
  </si>
  <si>
    <t>SES-2604-35192</t>
  </si>
  <si>
    <t>NSF-001351</t>
  </si>
  <si>
    <t>SES-2507-55601</t>
  </si>
  <si>
    <t>NSF-000607</t>
  </si>
  <si>
    <t>SES-2508-95867</t>
  </si>
  <si>
    <t>NSF-000679</t>
  </si>
  <si>
    <t>SES-2504-71626</t>
  </si>
  <si>
    <t>USR-00188</t>
  </si>
  <si>
    <t>NSF-000368</t>
  </si>
  <si>
    <t>SES-2603-91519</t>
  </si>
  <si>
    <t>USR-00623</t>
  </si>
  <si>
    <t>NSF-001239</t>
  </si>
  <si>
    <t>SES-2505-40438</t>
  </si>
  <si>
    <t>USR-00420</t>
  </si>
  <si>
    <t>NSF-000396</t>
  </si>
  <si>
    <t>SES-2501-63110</t>
  </si>
  <si>
    <t>USR-00745</t>
  </si>
  <si>
    <t>NSF-000075</t>
  </si>
  <si>
    <t>SES-2602-62194</t>
  </si>
  <si>
    <t>USR-00386</t>
  </si>
  <si>
    <t>NSF-001206</t>
  </si>
  <si>
    <t>SES-2507-20926</t>
  </si>
  <si>
    <t>NSF-000617</t>
  </si>
  <si>
    <t>SES-2501-86022</t>
  </si>
  <si>
    <t>NSF-000053</t>
  </si>
  <si>
    <t>SES-2605-29528</t>
  </si>
  <si>
    <t>USR-00001</t>
  </si>
  <si>
    <t>NSF-001371</t>
  </si>
  <si>
    <t>SES-2505-91321</t>
  </si>
  <si>
    <t>NSF-000478</t>
  </si>
  <si>
    <t>SES-2605-82715</t>
  </si>
  <si>
    <t>NSF-001362</t>
  </si>
  <si>
    <t>SES-2501-32494</t>
  </si>
  <si>
    <t>USR-00068</t>
  </si>
  <si>
    <t>NSF-000050</t>
  </si>
  <si>
    <t>SES-2504-85275</t>
  </si>
  <si>
    <t>NSF-000304</t>
  </si>
  <si>
    <t>SES-2506-84864</t>
  </si>
  <si>
    <t>NSF-000554</t>
  </si>
  <si>
    <t>42 days</t>
  </si>
  <si>
    <t>SES-2506-18621</t>
  </si>
  <si>
    <t>NSF-000568</t>
  </si>
  <si>
    <t>SES-2606-00002</t>
  </si>
  <si>
    <t>NSF-000195</t>
  </si>
  <si>
    <t>SES-2511-30545</t>
  </si>
  <si>
    <t>NSF-000989</t>
  </si>
  <si>
    <t>SES-2606-00001</t>
  </si>
  <si>
    <t>NSF-000351</t>
  </si>
  <si>
    <t>SES-2603-76070</t>
  </si>
  <si>
    <t>NSF-001225</t>
  </si>
  <si>
    <t>SES-2605-70098</t>
  </si>
  <si>
    <t>NSF-001358</t>
  </si>
  <si>
    <t>SES-2510-27468</t>
  </si>
  <si>
    <t>NSF-000856</t>
  </si>
  <si>
    <t>SES-2510-45337</t>
  </si>
  <si>
    <t>NSF-000861</t>
  </si>
  <si>
    <t>SES-2601-31639</t>
  </si>
  <si>
    <t>NSF-001084</t>
  </si>
  <si>
    <t>SES-2504-51670</t>
  </si>
  <si>
    <t>NSF-000330</t>
  </si>
  <si>
    <t>SES-2508-69720</t>
  </si>
  <si>
    <t>NSF-000662</t>
  </si>
  <si>
    <t>SES-2601-17857</t>
  </si>
  <si>
    <t>NSF-001110</t>
  </si>
  <si>
    <t>SES-2508-75374</t>
  </si>
  <si>
    <t>USR-00576</t>
  </si>
  <si>
    <t>NSF-000724</t>
  </si>
  <si>
    <t>SES-2606-83302</t>
  </si>
  <si>
    <t>NSF-001445</t>
  </si>
  <si>
    <t>SES-2501-96176</t>
  </si>
  <si>
    <t>NSF-000068</t>
  </si>
  <si>
    <t>SES-2506-22340</t>
  </si>
  <si>
    <t>NSF-000531</t>
  </si>
  <si>
    <t>SES-2603-56281</t>
  </si>
  <si>
    <t>NSF-001262</t>
  </si>
  <si>
    <t>SES-2602-11715</t>
  </si>
  <si>
    <t>NSF-001167</t>
  </si>
  <si>
    <t>SES-2604-58903</t>
  </si>
  <si>
    <t>NSF-001293</t>
  </si>
  <si>
    <t>SES-2503-58926</t>
  </si>
  <si>
    <t>NSF-000284</t>
  </si>
  <si>
    <t>SES-2508-22745</t>
  </si>
  <si>
    <t>NSF-000717</t>
  </si>
  <si>
    <t>SES-2602-17959</t>
  </si>
  <si>
    <t>NSF-001211</t>
  </si>
  <si>
    <t>SES-2601-43156</t>
  </si>
  <si>
    <t>NSF-001119</t>
  </si>
  <si>
    <t>SES-2503-80483</t>
  </si>
  <si>
    <t>NSF-000218</t>
  </si>
  <si>
    <t>SES-2602-67450</t>
  </si>
  <si>
    <t>NSF-001208</t>
  </si>
  <si>
    <t>SES-2503-84877</t>
  </si>
  <si>
    <t>USR-00530</t>
  </si>
  <si>
    <t>NSF-000294</t>
  </si>
  <si>
    <t>SES-2512-45088</t>
  </si>
  <si>
    <t>NSF-001026</t>
  </si>
  <si>
    <t>SES-2510-71416</t>
  </si>
  <si>
    <t>USR-00844</t>
  </si>
  <si>
    <t>NSF-000876</t>
  </si>
  <si>
    <t>SES-2511-76657</t>
  </si>
  <si>
    <t>usr-00288</t>
  </si>
  <si>
    <t>NSF-000916</t>
  </si>
  <si>
    <t>SES-2504-59670</t>
  </si>
  <si>
    <t>NSF-000322</t>
  </si>
  <si>
    <t>SES-2511-39258</t>
  </si>
  <si>
    <t>NSF-000959</t>
  </si>
  <si>
    <t>SES-2512-24488</t>
  </si>
  <si>
    <t>NSF-001068</t>
  </si>
  <si>
    <t>SES-2601-98624</t>
  </si>
  <si>
    <t>NSF-001137</t>
  </si>
  <si>
    <t>SES-2511-10761</t>
  </si>
  <si>
    <t>NSF-000953</t>
  </si>
  <si>
    <t>SES-2510-21908</t>
  </si>
  <si>
    <t>NSF-000892</t>
  </si>
  <si>
    <t>Offer Terms Unclear</t>
  </si>
  <si>
    <t>SES-2507-69094</t>
  </si>
  <si>
    <t>USR-00230</t>
  </si>
  <si>
    <t>NSF-000651</t>
  </si>
  <si>
    <t>SES-2505-67128</t>
  </si>
  <si>
    <t>NSF-000441</t>
  </si>
  <si>
    <t>SES-2603-65630</t>
  </si>
  <si>
    <t>USR-00645</t>
  </si>
  <si>
    <t>NSF-001281</t>
  </si>
  <si>
    <t>SES-2511-87095</t>
  </si>
  <si>
    <t>NSF-000983</t>
  </si>
  <si>
    <t>SES-2503-78958</t>
  </si>
  <si>
    <t>NSF-000226</t>
  </si>
  <si>
    <t>SES-2512-11182</t>
  </si>
  <si>
    <t>NSF-000999</t>
  </si>
  <si>
    <t>SES-2505-26820</t>
  </si>
  <si>
    <t>NSF-000391</t>
  </si>
  <si>
    <t>SES-2504-59569</t>
  </si>
  <si>
    <t>USR-00374</t>
  </si>
  <si>
    <t>NSF-000296</t>
  </si>
  <si>
    <t>SES-2604-88010</t>
  </si>
  <si>
    <t>NSF-001355</t>
  </si>
  <si>
    <t>SES-2507-72128</t>
  </si>
  <si>
    <t>NSF-000661</t>
  </si>
  <si>
    <t>SES-2505-97952</t>
  </si>
  <si>
    <t>USR-00727</t>
  </si>
  <si>
    <t>NSF-000432</t>
  </si>
  <si>
    <t>SES-2602-98651</t>
  </si>
  <si>
    <t>NSF-001156</t>
  </si>
  <si>
    <t>SES-2603-47390</t>
  </si>
  <si>
    <t>NSF-001224</t>
  </si>
  <si>
    <t>SES-2502-78203</t>
  </si>
  <si>
    <t>NSF-000112</t>
  </si>
  <si>
    <t>SES-2511-20251</t>
  </si>
  <si>
    <t>USR-00670</t>
  </si>
  <si>
    <t>NSF-000919</t>
  </si>
  <si>
    <t>SES-2512-71957</t>
  </si>
  <si>
    <t>NSF-001007</t>
  </si>
  <si>
    <t>SES-2501-84378</t>
  </si>
  <si>
    <t>NSF-000014</t>
  </si>
  <si>
    <t>SES-2505-23070</t>
  </si>
  <si>
    <t>NSF-000436</t>
  </si>
  <si>
    <t>SES-2503-60901</t>
  </si>
  <si>
    <t>NSF-000244</t>
  </si>
  <si>
    <t>SES-2502-90921</t>
  </si>
  <si>
    <t>NSF-000119</t>
  </si>
  <si>
    <t>SES-2506-23794</t>
  </si>
  <si>
    <t>NSF-000560</t>
  </si>
  <si>
    <t>SES-2605-51751</t>
  </si>
  <si>
    <t>NSF-001366</t>
  </si>
  <si>
    <t>SES-2505-46371</t>
  </si>
  <si>
    <t>NSF-000434</t>
  </si>
  <si>
    <t>SES-2508-41034</t>
  </si>
  <si>
    <t>USR-00398</t>
  </si>
  <si>
    <t>NSF-000665</t>
  </si>
  <si>
    <t>SES-2503-31976</t>
  </si>
  <si>
    <t>NSF-000235</t>
  </si>
  <si>
    <t>SES-2507-20244</t>
  </si>
  <si>
    <t>NSF-000643</t>
  </si>
  <si>
    <t>SES-2512-25806</t>
  </si>
  <si>
    <t>NSF-001056</t>
  </si>
  <si>
    <t>SES-2504-41424</t>
  </si>
  <si>
    <t>NSF-000383</t>
  </si>
  <si>
    <t>SES-2601-94126</t>
  </si>
  <si>
    <t>NSF-001080</t>
  </si>
  <si>
    <t>30-Days Retention Rate (NO)</t>
  </si>
  <si>
    <t>Error Flag (NO)</t>
  </si>
  <si>
    <t>Transaction Success Rate (NO)</t>
  </si>
  <si>
    <t>Task Completed Number</t>
  </si>
  <si>
    <t>Retained_30_Day_Flag</t>
  </si>
  <si>
    <t>Days_Since_Last_Feature_Use</t>
  </si>
  <si>
    <t>NPS_Score</t>
  </si>
  <si>
    <t>Satisfaction_Score</t>
  </si>
  <si>
    <t>Dropoff_Reason</t>
  </si>
  <si>
    <t>Resolution_Time_Minutes</t>
  </si>
  <si>
    <t>Support_Resolution_Status</t>
  </si>
  <si>
    <t>Support_Category</t>
  </si>
  <si>
    <t>Support_Contact_Flag</t>
  </si>
  <si>
    <t>Column1</t>
  </si>
  <si>
    <t>Allocated_Subscription_Revenue_GBP</t>
  </si>
  <si>
    <t>Fee_Revenue_GBP</t>
  </si>
  <si>
    <t>Transaction_Value_GBP</t>
  </si>
  <si>
    <t>Transaction_Success_Flag</t>
  </si>
  <si>
    <t>Error_Type</t>
  </si>
  <si>
    <t>Error_Flag</t>
  </si>
  <si>
    <t>Task_Completed_Flag</t>
  </si>
  <si>
    <t>Feature_Confusing_Flag</t>
  </si>
  <si>
    <t>Time_On_Task_Seconds</t>
  </si>
  <si>
    <t>Steps_Completed</t>
  </si>
  <si>
    <t>Steps_Started</t>
  </si>
  <si>
    <t>Experiment_Variant</t>
  </si>
  <si>
    <t>Experiment_Name</t>
  </si>
  <si>
    <t>Adoption_Status</t>
  </si>
  <si>
    <t>Feature_Name</t>
  </si>
  <si>
    <t>Acquisition_Channel</t>
  </si>
  <si>
    <t>Subscription_Plan</t>
  </si>
  <si>
    <t>Account_Tenure</t>
  </si>
  <si>
    <t>Device_Type</t>
  </si>
  <si>
    <t>Platform</t>
  </si>
  <si>
    <t>Gender</t>
  </si>
  <si>
    <t>Age_Group</t>
  </si>
  <si>
    <t>Customer_Segment</t>
  </si>
  <si>
    <t>City</t>
  </si>
  <si>
    <t>UK_Region</t>
  </si>
  <si>
    <t>Event_Date</t>
  </si>
  <si>
    <t>Session_ID</t>
  </si>
  <si>
    <t>User_ID</t>
  </si>
  <si>
    <t>Product_Event_ID</t>
  </si>
  <si>
    <t>Row Labels</t>
  </si>
  <si>
    <t>Grand Total</t>
  </si>
  <si>
    <t>Column Labels</t>
  </si>
  <si>
    <t>Count of Product_Event_ID</t>
  </si>
  <si>
    <t>Features</t>
  </si>
  <si>
    <t>Count of Transaction_Success_Flag</t>
  </si>
  <si>
    <t>Count of Task_Completed_Flag</t>
  </si>
  <si>
    <t>Count of Error_Flag</t>
  </si>
  <si>
    <t>Error Flag Rate</t>
  </si>
  <si>
    <t>Success Flag Rate</t>
  </si>
  <si>
    <t>AVG Satisfaction Score</t>
  </si>
  <si>
    <t>Total Fee Revenue</t>
  </si>
  <si>
    <t>Total Subscription Revenue</t>
  </si>
  <si>
    <t>Total Revenue</t>
  </si>
  <si>
    <t xml:space="preserve">Features </t>
  </si>
  <si>
    <t>Count Retained_30_Day_Flag</t>
  </si>
  <si>
    <t>rate</t>
  </si>
  <si>
    <t>Success Flag</t>
  </si>
  <si>
    <t>Completion Flag Rate</t>
  </si>
  <si>
    <t xml:space="preserve">30-Days Retention </t>
  </si>
  <si>
    <t>PIVOT TABLES FOR DASHBOARD 1</t>
  </si>
  <si>
    <t>Total Feature Interactions</t>
  </si>
  <si>
    <t>Task Complection Rate</t>
  </si>
  <si>
    <t>Transaction Success Rate</t>
  </si>
  <si>
    <t>Error Rate</t>
  </si>
  <si>
    <t>30 Days Retention Rate</t>
  </si>
  <si>
    <t xml:space="preserve">Average Customer Satisfaction Score </t>
  </si>
  <si>
    <t>Total Product Revenue</t>
  </si>
  <si>
    <t>Count of Retained_30_Day_Flag</t>
  </si>
  <si>
    <t>Count of Error_Flag2</t>
  </si>
  <si>
    <t>Families Total</t>
  </si>
  <si>
    <t>Gig Workers Total</t>
  </si>
  <si>
    <t>High-Income Professionals Total</t>
  </si>
  <si>
    <t>Retirees Total</t>
  </si>
  <si>
    <t>Small Business Owners Total</t>
  </si>
  <si>
    <t>Students Total</t>
  </si>
  <si>
    <t>Young Professionals Total</t>
  </si>
  <si>
    <t>Sum of Fee_Revenue_GBP</t>
  </si>
  <si>
    <t>Sum of Allocated_Subscription_Revenue_GBP</t>
  </si>
  <si>
    <t>Basic Total</t>
  </si>
  <si>
    <t>Free Total</t>
  </si>
  <si>
    <t>Plus Total</t>
  </si>
  <si>
    <t>Premium Total</t>
  </si>
  <si>
    <t>Pro Total</t>
  </si>
  <si>
    <t>Prenium</t>
  </si>
  <si>
    <t>\</t>
  </si>
  <si>
    <t>Average Features</t>
  </si>
  <si>
    <t>Female Total</t>
  </si>
  <si>
    <t>Male Total</t>
  </si>
  <si>
    <t>Average Revenue</t>
  </si>
  <si>
    <t>Average Retention</t>
  </si>
  <si>
    <t>Average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</si>
</sst>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0.0"/>
    <numFmt numFmtId="166" formatCode="_-[$£-809]* #,##0.00_-;\-[$£-809]* #,##0.00_-;_-[$£-809]* &quot;-&quot;??_-;_-@_-"/>
    <numFmt numFmtId="167" formatCode="[$£-809]#,##0.00"/>
  </numFmts>
  <fonts count="10" x14ac:knownFonts="1">
    <font>
      <sz val="10"/>
      <color rgb="FF000000"/>
      <name val="Arial"/>
      <family val="2"/>
      <scheme val="minor"/>
    </font>
    <font>
      <sz val="11"/>
      <color theme="1"/>
      <name val="Arial"/>
      <family val="2"/>
      <scheme val="minor"/>
    </font>
    <font>
      <b/>
      <sz val="10"/>
      <color theme="1"/>
      <name val="Arial"/>
      <family val="2"/>
      <scheme val="minor"/>
    </font>
    <font>
      <b/>
      <sz val="10"/>
      <color rgb="FF000000"/>
      <name val="Arial"/>
      <family val="2"/>
      <scheme val="minor"/>
    </font>
    <font>
      <sz val="10"/>
      <color rgb="FF000000"/>
      <name val="AmdtSymbols"/>
    </font>
    <font>
      <sz val="10"/>
      <name val="Arial"/>
      <family val="2"/>
      <scheme val="minor"/>
    </font>
    <font>
      <b/>
      <sz val="11"/>
      <name val="Lucida Console"/>
      <family val="3"/>
    </font>
    <font>
      <b/>
      <sz val="11"/>
      <name val="Arial"/>
      <family val="2"/>
      <scheme val="minor"/>
    </font>
    <font>
      <b/>
      <sz val="10"/>
      <name val="Arial"/>
      <family val="2"/>
      <scheme val="major"/>
    </font>
    <font>
      <sz val="8"/>
      <name val="Arial"/>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D8EBE9"/>
        <bgColor indexed="64"/>
      </patternFill>
    </fill>
    <fill>
      <patternFill patternType="solid">
        <fgColor theme="7"/>
        <bgColor theme="7"/>
      </patternFill>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rgb="FF00B000"/>
        <bgColor indexed="64"/>
      </patternFill>
    </fill>
  </fills>
  <borders count="11">
    <border>
      <left/>
      <right/>
      <top/>
      <bottom/>
      <diagonal/>
    </border>
    <border>
      <left/>
      <right/>
      <top/>
      <bottom style="thin">
        <color theme="4" tint="0.39997558519241921"/>
      </bottom>
      <diagonal/>
    </border>
    <border>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2" fontId="0" fillId="0" borderId="0" xfId="0" applyNumberFormat="1"/>
    <xf numFmtId="0" fontId="0" fillId="3" borderId="0" xfId="0" applyFill="1"/>
    <xf numFmtId="0" fontId="3" fillId="0" borderId="0" xfId="0" applyFont="1" applyAlignment="1">
      <alignment horizontal="left"/>
    </xf>
    <xf numFmtId="0" fontId="4" fillId="3" borderId="0" xfId="0" applyFont="1" applyFill="1"/>
    <xf numFmtId="164" fontId="0" fillId="0" borderId="0" xfId="2" applyNumberFormat="1" applyFont="1"/>
    <xf numFmtId="10" fontId="0" fillId="0" borderId="0" xfId="2" applyNumberFormat="1" applyFont="1"/>
    <xf numFmtId="10" fontId="0" fillId="0" borderId="0" xfId="0" applyNumberFormat="1"/>
    <xf numFmtId="165" fontId="0" fillId="0" borderId="0" xfId="0" applyNumberFormat="1"/>
    <xf numFmtId="0" fontId="5" fillId="0" borderId="0" xfId="0" applyFont="1"/>
    <xf numFmtId="0" fontId="6" fillId="4" borderId="8" xfId="0" applyFont="1" applyFill="1" applyBorder="1" applyAlignment="1">
      <alignment horizontal="center"/>
    </xf>
    <xf numFmtId="0" fontId="6" fillId="4" borderId="9" xfId="0" applyFont="1" applyFill="1" applyBorder="1" applyAlignment="1">
      <alignment horizontal="center"/>
    </xf>
    <xf numFmtId="0" fontId="6" fillId="4" borderId="10" xfId="0" applyFont="1" applyFill="1" applyBorder="1" applyAlignment="1">
      <alignment horizontal="center"/>
    </xf>
    <xf numFmtId="0" fontId="8" fillId="6" borderId="3" xfId="0" applyFont="1" applyFill="1" applyBorder="1" applyAlignment="1">
      <alignment horizontal="center"/>
    </xf>
    <xf numFmtId="10" fontId="7" fillId="6" borderId="5" xfId="0" applyNumberFormat="1" applyFont="1" applyFill="1" applyBorder="1" applyAlignment="1">
      <alignment horizontal="center"/>
    </xf>
    <xf numFmtId="0" fontId="7" fillId="6" borderId="5" xfId="0" applyFont="1" applyFill="1" applyBorder="1" applyAlignment="1">
      <alignment horizontal="center"/>
    </xf>
    <xf numFmtId="10" fontId="7" fillId="6" borderId="7" xfId="0" applyNumberFormat="1" applyFont="1" applyFill="1" applyBorder="1" applyAlignment="1">
      <alignment horizontal="center"/>
    </xf>
    <xf numFmtId="0" fontId="8" fillId="5" borderId="3" xfId="0" applyFont="1" applyFill="1" applyBorder="1" applyAlignment="1">
      <alignment horizontal="center"/>
    </xf>
    <xf numFmtId="10" fontId="7" fillId="5" borderId="5" xfId="0" applyNumberFormat="1" applyFont="1" applyFill="1" applyBorder="1" applyAlignment="1">
      <alignment horizontal="center"/>
    </xf>
    <xf numFmtId="0" fontId="7" fillId="5" borderId="5" xfId="0" applyFont="1" applyFill="1" applyBorder="1" applyAlignment="1">
      <alignment horizontal="center"/>
    </xf>
    <xf numFmtId="10" fontId="7" fillId="5" borderId="7" xfId="0" applyNumberFormat="1" applyFont="1" applyFill="1" applyBorder="1" applyAlignment="1">
      <alignment horizontal="center"/>
    </xf>
    <xf numFmtId="0" fontId="8" fillId="5" borderId="2" xfId="0" applyFont="1" applyFill="1" applyBorder="1" applyAlignment="1">
      <alignment horizontal="center"/>
    </xf>
    <xf numFmtId="10" fontId="7" fillId="5" borderId="4" xfId="0" applyNumberFormat="1" applyFont="1" applyFill="1" applyBorder="1" applyAlignment="1">
      <alignment horizontal="center"/>
    </xf>
    <xf numFmtId="0" fontId="7" fillId="5" borderId="4" xfId="0" applyFont="1" applyFill="1" applyBorder="1" applyAlignment="1">
      <alignment horizontal="center"/>
    </xf>
    <xf numFmtId="10" fontId="7" fillId="5" borderId="6" xfId="0" applyNumberFormat="1" applyFont="1" applyFill="1" applyBorder="1" applyAlignment="1">
      <alignment horizontal="center"/>
    </xf>
    <xf numFmtId="166" fontId="0" fillId="0" borderId="0" xfId="0" applyNumberFormat="1"/>
    <xf numFmtId="167" fontId="0" fillId="0" borderId="0" xfId="1" applyNumberFormat="1" applyFont="1" applyAlignment="1">
      <alignment horizontal="right"/>
    </xf>
    <xf numFmtId="0" fontId="0" fillId="0" borderId="0" xfId="0" applyAlignment="1">
      <alignment horizontal="center"/>
    </xf>
    <xf numFmtId="167" fontId="0" fillId="0" borderId="0" xfId="0" applyNumberFormat="1"/>
    <xf numFmtId="167" fontId="5" fillId="0" borderId="0" xfId="0" applyNumberFormat="1" applyFont="1" applyAlignment="1">
      <alignment horizontal="right"/>
    </xf>
    <xf numFmtId="10" fontId="5" fillId="0" borderId="0" xfId="0" applyNumberFormat="1" applyFont="1" applyAlignment="1">
      <alignment horizontal="right"/>
    </xf>
    <xf numFmtId="10" fontId="0" fillId="0" borderId="0" xfId="2" applyNumberFormat="1" applyFont="1" applyAlignment="1">
      <alignment horizontal="left"/>
    </xf>
    <xf numFmtId="10" fontId="5" fillId="0" borderId="0" xfId="2" applyNumberFormat="1" applyFont="1" applyAlignment="1">
      <alignment horizontal="right"/>
    </xf>
    <xf numFmtId="0" fontId="0" fillId="7" borderId="0" xfId="0" applyFill="1"/>
    <xf numFmtId="0" fontId="2" fillId="2" borderId="0" xfId="0" applyFont="1" applyFill="1"/>
  </cellXfs>
  <cellStyles count="3">
    <cellStyle name="Currency" xfId="1" builtinId="4"/>
    <cellStyle name="Normal" xfId="0" builtinId="0"/>
    <cellStyle name="Percent" xfId="2" builtinId="5"/>
  </cellStyles>
  <dxfs count="30">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colors>
    <mruColors>
      <color rgb="FFFFAD3D"/>
      <color rgb="FF00B000"/>
      <color rgb="FFD8EBE9"/>
      <color rgb="FF4047FF"/>
      <color rgb="FF004A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6565972933680689"/>
          <c:y val="4.43458980044345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CAL'!$O$17</c:f>
              <c:strCache>
                <c:ptCount val="1"/>
                <c:pt idx="0">
                  <c:v>Completion Flag Rate</c:v>
                </c:pt>
              </c:strCache>
            </c:strRef>
          </c:tx>
          <c:spPr>
            <a:solidFill>
              <a:schemeClr val="accent1"/>
            </a:solidFill>
            <a:ln>
              <a:noFill/>
            </a:ln>
            <a:effectLst/>
          </c:spPr>
          <c:invertIfNegative val="0"/>
          <c:cat>
            <c:strRef>
              <c:f>'KPI CAL'!$N$18:$N$27</c:f>
              <c:strCache>
                <c:ptCount val="10"/>
                <c:pt idx="0">
                  <c:v>Credit Builder</c:v>
                </c:pt>
                <c:pt idx="1">
                  <c:v>International Transfer</c:v>
                </c:pt>
                <c:pt idx="2">
                  <c:v>Bill Split</c:v>
                </c:pt>
                <c:pt idx="3">
                  <c:v>Budget Planner</c:v>
                </c:pt>
                <c:pt idx="4">
                  <c:v>Cashflow Insights</c:v>
                </c:pt>
                <c:pt idx="5">
                  <c:v>Cashback Rewards</c:v>
                </c:pt>
                <c:pt idx="6">
                  <c:v>Direct Debit Manager</c:v>
                </c:pt>
                <c:pt idx="7">
                  <c:v>Virtual Card</c:v>
                </c:pt>
                <c:pt idx="8">
                  <c:v>Savings Pots</c:v>
                </c:pt>
                <c:pt idx="9">
                  <c:v>Instant Bank Transfer</c:v>
                </c:pt>
              </c:strCache>
            </c:strRef>
          </c:cat>
          <c:val>
            <c:numRef>
              <c:f>'KPI CAL'!$O$18:$O$27</c:f>
              <c:numCache>
                <c:formatCode>0.00%</c:formatCode>
                <c:ptCount val="10"/>
                <c:pt idx="0">
                  <c:v>0.46391752577319589</c:v>
                </c:pt>
                <c:pt idx="1">
                  <c:v>0.5</c:v>
                </c:pt>
                <c:pt idx="2">
                  <c:v>0.51879699248120303</c:v>
                </c:pt>
                <c:pt idx="3">
                  <c:v>0.51973684210526316</c:v>
                </c:pt>
                <c:pt idx="4">
                  <c:v>0.52941176470588236</c:v>
                </c:pt>
                <c:pt idx="5">
                  <c:v>0.651685393258427</c:v>
                </c:pt>
                <c:pt idx="6">
                  <c:v>0.7722772277227723</c:v>
                </c:pt>
                <c:pt idx="7">
                  <c:v>0.78064516129032258</c:v>
                </c:pt>
                <c:pt idx="8">
                  <c:v>0.7931034482758621</c:v>
                </c:pt>
                <c:pt idx="9">
                  <c:v>0.82730923694779113</c:v>
                </c:pt>
              </c:numCache>
            </c:numRef>
          </c:val>
          <c:extLst>
            <c:ext xmlns:c16="http://schemas.microsoft.com/office/drawing/2014/chart" uri="{C3380CC4-5D6E-409C-BE32-E72D297353CC}">
              <c16:uniqueId val="{00000000-5F64-4A10-929C-A7B1D2C3E5CA}"/>
            </c:ext>
          </c:extLst>
        </c:ser>
        <c:dLbls>
          <c:showLegendKey val="0"/>
          <c:showVal val="0"/>
          <c:showCatName val="0"/>
          <c:showSerName val="0"/>
          <c:showPercent val="0"/>
          <c:showBubbleSize val="0"/>
        </c:dLbls>
        <c:gapWidth val="219"/>
        <c:overlap val="-27"/>
        <c:axId val="1712919999"/>
        <c:axId val="1508938463"/>
      </c:barChart>
      <c:catAx>
        <c:axId val="171291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38463"/>
        <c:crosses val="autoZero"/>
        <c:auto val="1"/>
        <c:lblAlgn val="ctr"/>
        <c:lblOffset val="100"/>
        <c:noMultiLvlLbl val="0"/>
      </c:catAx>
      <c:valAx>
        <c:axId val="1508938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199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Fintech 102(AutoRecovered).xlsx]KPI CAL!PivotTable50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Feature</a:t>
            </a:r>
            <a:r>
              <a:rPr lang="en-US" sz="1200" b="1" baseline="0">
                <a:solidFill>
                  <a:sysClr val="windowText" lastClr="000000"/>
                </a:solidFill>
                <a:latin typeface="Lucida Console" panose="020B0609040504020204" pitchFamily="49" charset="0"/>
              </a:rPr>
              <a:t> Interaction By Customer Segment</a:t>
            </a:r>
            <a:endParaRPr lang="en-US" sz="1200" b="1">
              <a:solidFill>
                <a:sysClr val="windowText" lastClr="000000"/>
              </a:solidFill>
              <a:latin typeface="Lucida Console" panose="020B0609040504020204" pitchFamily="49" charset="0"/>
            </a:endParaRPr>
          </a:p>
        </c:rich>
      </c:tx>
      <c:layout>
        <c:manualLayout>
          <c:xMode val="edge"/>
          <c:yMode val="edge"/>
          <c:x val="0.157963434717719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CAL'!$B$43:$B$44</c:f>
              <c:strCache>
                <c:ptCount val="1"/>
                <c:pt idx="0">
                  <c:v>Families</c:v>
                </c:pt>
              </c:strCache>
            </c:strRef>
          </c:tx>
          <c:spPr>
            <a:solidFill>
              <a:schemeClr val="accent1"/>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CAL'!$B$45:$B$54</c:f>
              <c:numCache>
                <c:formatCode>General</c:formatCode>
                <c:ptCount val="10"/>
                <c:pt idx="0">
                  <c:v>20</c:v>
                </c:pt>
                <c:pt idx="1">
                  <c:v>25</c:v>
                </c:pt>
                <c:pt idx="2">
                  <c:v>19</c:v>
                </c:pt>
                <c:pt idx="3">
                  <c:v>21</c:v>
                </c:pt>
                <c:pt idx="4">
                  <c:v>21</c:v>
                </c:pt>
                <c:pt idx="5">
                  <c:v>20</c:v>
                </c:pt>
                <c:pt idx="6">
                  <c:v>51</c:v>
                </c:pt>
                <c:pt idx="7">
                  <c:v>25</c:v>
                </c:pt>
                <c:pt idx="8">
                  <c:v>28</c:v>
                </c:pt>
                <c:pt idx="9">
                  <c:v>34</c:v>
                </c:pt>
              </c:numCache>
            </c:numRef>
          </c:val>
          <c:extLst>
            <c:ext xmlns:c16="http://schemas.microsoft.com/office/drawing/2014/chart" uri="{C3380CC4-5D6E-409C-BE32-E72D297353CC}">
              <c16:uniqueId val="{00000000-79C8-40C1-B398-8A74D9CD91F9}"/>
            </c:ext>
          </c:extLst>
        </c:ser>
        <c:ser>
          <c:idx val="1"/>
          <c:order val="1"/>
          <c:tx>
            <c:strRef>
              <c:f>'KPI CAL'!$C$43:$C$44</c:f>
              <c:strCache>
                <c:ptCount val="1"/>
                <c:pt idx="0">
                  <c:v>Gig Workers</c:v>
                </c:pt>
              </c:strCache>
            </c:strRef>
          </c:tx>
          <c:spPr>
            <a:solidFill>
              <a:schemeClr val="accent2"/>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CAL'!$C$45:$C$54</c:f>
              <c:numCache>
                <c:formatCode>General</c:formatCode>
                <c:ptCount val="10"/>
                <c:pt idx="0">
                  <c:v>12</c:v>
                </c:pt>
                <c:pt idx="1">
                  <c:v>22</c:v>
                </c:pt>
                <c:pt idx="2">
                  <c:v>13</c:v>
                </c:pt>
                <c:pt idx="3">
                  <c:v>19</c:v>
                </c:pt>
                <c:pt idx="4">
                  <c:v>8</c:v>
                </c:pt>
                <c:pt idx="5">
                  <c:v>17</c:v>
                </c:pt>
                <c:pt idx="6">
                  <c:v>32</c:v>
                </c:pt>
                <c:pt idx="7">
                  <c:v>20</c:v>
                </c:pt>
                <c:pt idx="8">
                  <c:v>23</c:v>
                </c:pt>
                <c:pt idx="9">
                  <c:v>21</c:v>
                </c:pt>
              </c:numCache>
            </c:numRef>
          </c:val>
          <c:extLst>
            <c:ext xmlns:c16="http://schemas.microsoft.com/office/drawing/2014/chart" uri="{C3380CC4-5D6E-409C-BE32-E72D297353CC}">
              <c16:uniqueId val="{00000001-79C8-40C1-B398-8A74D9CD91F9}"/>
            </c:ext>
          </c:extLst>
        </c:ser>
        <c:ser>
          <c:idx val="2"/>
          <c:order val="2"/>
          <c:tx>
            <c:strRef>
              <c:f>'KPI CAL'!$D$43:$D$44</c:f>
              <c:strCache>
                <c:ptCount val="1"/>
                <c:pt idx="0">
                  <c:v>High-Income Professionals</c:v>
                </c:pt>
              </c:strCache>
            </c:strRef>
          </c:tx>
          <c:spPr>
            <a:solidFill>
              <a:schemeClr val="accent3"/>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CAL'!$D$45:$D$54</c:f>
              <c:numCache>
                <c:formatCode>General</c:formatCode>
                <c:ptCount val="10"/>
                <c:pt idx="0">
                  <c:v>12</c:v>
                </c:pt>
                <c:pt idx="1">
                  <c:v>11</c:v>
                </c:pt>
                <c:pt idx="2">
                  <c:v>6</c:v>
                </c:pt>
                <c:pt idx="3">
                  <c:v>14</c:v>
                </c:pt>
                <c:pt idx="4">
                  <c:v>10</c:v>
                </c:pt>
                <c:pt idx="5">
                  <c:v>3</c:v>
                </c:pt>
                <c:pt idx="6">
                  <c:v>18</c:v>
                </c:pt>
                <c:pt idx="7">
                  <c:v>13</c:v>
                </c:pt>
                <c:pt idx="8">
                  <c:v>13</c:v>
                </c:pt>
                <c:pt idx="9">
                  <c:v>10</c:v>
                </c:pt>
              </c:numCache>
            </c:numRef>
          </c:val>
          <c:extLst>
            <c:ext xmlns:c16="http://schemas.microsoft.com/office/drawing/2014/chart" uri="{C3380CC4-5D6E-409C-BE32-E72D297353CC}">
              <c16:uniqueId val="{00000002-79C8-40C1-B398-8A74D9CD91F9}"/>
            </c:ext>
          </c:extLst>
        </c:ser>
        <c:ser>
          <c:idx val="3"/>
          <c:order val="3"/>
          <c:tx>
            <c:strRef>
              <c:f>'KPI CAL'!$E$43:$E$44</c:f>
              <c:strCache>
                <c:ptCount val="1"/>
                <c:pt idx="0">
                  <c:v>Retirees</c:v>
                </c:pt>
              </c:strCache>
            </c:strRef>
          </c:tx>
          <c:spPr>
            <a:solidFill>
              <a:schemeClr val="accent4"/>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CAL'!$E$45:$E$54</c:f>
              <c:numCache>
                <c:formatCode>General</c:formatCode>
                <c:ptCount val="10"/>
                <c:pt idx="0">
                  <c:v>6</c:v>
                </c:pt>
                <c:pt idx="1">
                  <c:v>8</c:v>
                </c:pt>
                <c:pt idx="2">
                  <c:v>6</c:v>
                </c:pt>
                <c:pt idx="3">
                  <c:v>3</c:v>
                </c:pt>
                <c:pt idx="4">
                  <c:v>1</c:v>
                </c:pt>
                <c:pt idx="5">
                  <c:v>9</c:v>
                </c:pt>
                <c:pt idx="6">
                  <c:v>6</c:v>
                </c:pt>
                <c:pt idx="7">
                  <c:v>9</c:v>
                </c:pt>
                <c:pt idx="8">
                  <c:v>5</c:v>
                </c:pt>
                <c:pt idx="9">
                  <c:v>10</c:v>
                </c:pt>
              </c:numCache>
            </c:numRef>
          </c:val>
          <c:extLst>
            <c:ext xmlns:c16="http://schemas.microsoft.com/office/drawing/2014/chart" uri="{C3380CC4-5D6E-409C-BE32-E72D297353CC}">
              <c16:uniqueId val="{00000003-79C8-40C1-B398-8A74D9CD91F9}"/>
            </c:ext>
          </c:extLst>
        </c:ser>
        <c:ser>
          <c:idx val="4"/>
          <c:order val="4"/>
          <c:tx>
            <c:strRef>
              <c:f>'KPI CAL'!$F$43:$F$44</c:f>
              <c:strCache>
                <c:ptCount val="1"/>
                <c:pt idx="0">
                  <c:v>Small Business Owners</c:v>
                </c:pt>
              </c:strCache>
            </c:strRef>
          </c:tx>
          <c:spPr>
            <a:solidFill>
              <a:schemeClr val="accent5"/>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CAL'!$F$45:$F$54</c:f>
              <c:numCache>
                <c:formatCode>General</c:formatCode>
                <c:ptCount val="10"/>
                <c:pt idx="0">
                  <c:v>16</c:v>
                </c:pt>
                <c:pt idx="1">
                  <c:v>15</c:v>
                </c:pt>
                <c:pt idx="2">
                  <c:v>13</c:v>
                </c:pt>
                <c:pt idx="3">
                  <c:v>16</c:v>
                </c:pt>
                <c:pt idx="4">
                  <c:v>14</c:v>
                </c:pt>
                <c:pt idx="5">
                  <c:v>14</c:v>
                </c:pt>
                <c:pt idx="6">
                  <c:v>37</c:v>
                </c:pt>
                <c:pt idx="7">
                  <c:v>17</c:v>
                </c:pt>
                <c:pt idx="8">
                  <c:v>22</c:v>
                </c:pt>
                <c:pt idx="9">
                  <c:v>14</c:v>
                </c:pt>
              </c:numCache>
            </c:numRef>
          </c:val>
          <c:extLst>
            <c:ext xmlns:c16="http://schemas.microsoft.com/office/drawing/2014/chart" uri="{C3380CC4-5D6E-409C-BE32-E72D297353CC}">
              <c16:uniqueId val="{00000004-79C8-40C1-B398-8A74D9CD91F9}"/>
            </c:ext>
          </c:extLst>
        </c:ser>
        <c:ser>
          <c:idx val="5"/>
          <c:order val="5"/>
          <c:tx>
            <c:strRef>
              <c:f>'KPI CAL'!$G$43:$G$44</c:f>
              <c:strCache>
                <c:ptCount val="1"/>
                <c:pt idx="0">
                  <c:v>Students</c:v>
                </c:pt>
              </c:strCache>
            </c:strRef>
          </c:tx>
          <c:spPr>
            <a:solidFill>
              <a:schemeClr val="accent6"/>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CAL'!$G$45:$G$54</c:f>
              <c:numCache>
                <c:formatCode>General</c:formatCode>
                <c:ptCount val="10"/>
                <c:pt idx="0">
                  <c:v>17</c:v>
                </c:pt>
                <c:pt idx="1">
                  <c:v>22</c:v>
                </c:pt>
                <c:pt idx="2">
                  <c:v>14</c:v>
                </c:pt>
                <c:pt idx="3">
                  <c:v>24</c:v>
                </c:pt>
                <c:pt idx="4">
                  <c:v>13</c:v>
                </c:pt>
                <c:pt idx="5">
                  <c:v>19</c:v>
                </c:pt>
                <c:pt idx="6">
                  <c:v>46</c:v>
                </c:pt>
                <c:pt idx="7">
                  <c:v>30</c:v>
                </c:pt>
                <c:pt idx="8">
                  <c:v>26</c:v>
                </c:pt>
                <c:pt idx="9">
                  <c:v>21</c:v>
                </c:pt>
              </c:numCache>
            </c:numRef>
          </c:val>
          <c:extLst>
            <c:ext xmlns:c16="http://schemas.microsoft.com/office/drawing/2014/chart" uri="{C3380CC4-5D6E-409C-BE32-E72D297353CC}">
              <c16:uniqueId val="{00000005-79C8-40C1-B398-8A74D9CD91F9}"/>
            </c:ext>
          </c:extLst>
        </c:ser>
        <c:ser>
          <c:idx val="6"/>
          <c:order val="6"/>
          <c:tx>
            <c:strRef>
              <c:f>'KPI CAL'!$H$43:$H$44</c:f>
              <c:strCache>
                <c:ptCount val="1"/>
                <c:pt idx="0">
                  <c:v>Young Professionals</c:v>
                </c:pt>
              </c:strCache>
            </c:strRef>
          </c:tx>
          <c:spPr>
            <a:solidFill>
              <a:schemeClr val="accent1">
                <a:lumMod val="60000"/>
              </a:schemeClr>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CAL'!$H$45:$H$54</c:f>
              <c:numCache>
                <c:formatCode>General</c:formatCode>
                <c:ptCount val="10"/>
                <c:pt idx="0">
                  <c:v>49</c:v>
                </c:pt>
                <c:pt idx="1">
                  <c:v>47</c:v>
                </c:pt>
                <c:pt idx="2">
                  <c:v>18</c:v>
                </c:pt>
                <c:pt idx="3">
                  <c:v>22</c:v>
                </c:pt>
                <c:pt idx="4">
                  <c:v>30</c:v>
                </c:pt>
                <c:pt idx="5">
                  <c:v>18</c:v>
                </c:pt>
                <c:pt idx="6">
                  <c:v>59</c:v>
                </c:pt>
                <c:pt idx="7">
                  <c:v>32</c:v>
                </c:pt>
                <c:pt idx="8">
                  <c:v>56</c:v>
                </c:pt>
                <c:pt idx="9">
                  <c:v>45</c:v>
                </c:pt>
              </c:numCache>
            </c:numRef>
          </c:val>
          <c:extLst>
            <c:ext xmlns:c16="http://schemas.microsoft.com/office/drawing/2014/chart" uri="{C3380CC4-5D6E-409C-BE32-E72D297353CC}">
              <c16:uniqueId val="{00000006-79C8-40C1-B398-8A74D9CD91F9}"/>
            </c:ext>
          </c:extLst>
        </c:ser>
        <c:dLbls>
          <c:showLegendKey val="0"/>
          <c:showVal val="0"/>
          <c:showCatName val="0"/>
          <c:showSerName val="0"/>
          <c:showPercent val="0"/>
          <c:showBubbleSize val="0"/>
        </c:dLbls>
        <c:gapWidth val="211"/>
        <c:overlap val="14"/>
        <c:axId val="1749604272"/>
        <c:axId val="667574944"/>
      </c:barChart>
      <c:catAx>
        <c:axId val="174960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667574944"/>
        <c:crosses val="autoZero"/>
        <c:auto val="1"/>
        <c:lblAlgn val="ctr"/>
        <c:lblOffset val="100"/>
        <c:noMultiLvlLbl val="0"/>
      </c:catAx>
      <c:valAx>
        <c:axId val="667574944"/>
        <c:scaling>
          <c:orientation val="minMax"/>
        </c:scaling>
        <c:delete val="1"/>
        <c:axPos val="l"/>
        <c:numFmt formatCode="General" sourceLinked="1"/>
        <c:majorTickMark val="none"/>
        <c:minorTickMark val="none"/>
        <c:tickLblPos val="nextTo"/>
        <c:crossAx val="174960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CAL'!$K$60</c:f>
              <c:strCache>
                <c:ptCount val="1"/>
                <c:pt idx="0">
                  <c:v>Families</c:v>
                </c:pt>
              </c:strCache>
            </c:strRef>
          </c:tx>
          <c:spPr>
            <a:solidFill>
              <a:schemeClr val="accent1"/>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CAL'!$K$61:$K$70</c:f>
              <c:numCache>
                <c:formatCode>0.00%</c:formatCode>
                <c:ptCount val="10"/>
                <c:pt idx="0">
                  <c:v>0.36842105263157893</c:v>
                </c:pt>
                <c:pt idx="1">
                  <c:v>0.32</c:v>
                </c:pt>
                <c:pt idx="2">
                  <c:v>0.26315789473684209</c:v>
                </c:pt>
                <c:pt idx="3">
                  <c:v>0.19047619047619047</c:v>
                </c:pt>
                <c:pt idx="4">
                  <c:v>0.33333333333333331</c:v>
                </c:pt>
                <c:pt idx="5">
                  <c:v>0.05</c:v>
                </c:pt>
                <c:pt idx="6">
                  <c:v>0.12</c:v>
                </c:pt>
                <c:pt idx="7">
                  <c:v>0.24</c:v>
                </c:pt>
                <c:pt idx="8">
                  <c:v>0.25</c:v>
                </c:pt>
                <c:pt idx="9">
                  <c:v>0.17647058823529413</c:v>
                </c:pt>
              </c:numCache>
            </c:numRef>
          </c:val>
          <c:extLst>
            <c:ext xmlns:c16="http://schemas.microsoft.com/office/drawing/2014/chart" uri="{C3380CC4-5D6E-409C-BE32-E72D297353CC}">
              <c16:uniqueId val="{00000000-BB36-4755-A53C-701824070D48}"/>
            </c:ext>
          </c:extLst>
        </c:ser>
        <c:ser>
          <c:idx val="1"/>
          <c:order val="1"/>
          <c:tx>
            <c:strRef>
              <c:f>'KPI CAL'!$L$60</c:f>
              <c:strCache>
                <c:ptCount val="1"/>
                <c:pt idx="0">
                  <c:v>Gig Workers</c:v>
                </c:pt>
              </c:strCache>
            </c:strRef>
          </c:tx>
          <c:spPr>
            <a:solidFill>
              <a:schemeClr val="accent2"/>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CAL'!$L$61:$L$70</c:f>
              <c:numCache>
                <c:formatCode>0.00%</c:formatCode>
                <c:ptCount val="10"/>
                <c:pt idx="0">
                  <c:v>0.16666666666666666</c:v>
                </c:pt>
                <c:pt idx="1">
                  <c:v>0.14285714285714285</c:v>
                </c:pt>
                <c:pt idx="2">
                  <c:v>0</c:v>
                </c:pt>
                <c:pt idx="3">
                  <c:v>0.10526315789473684</c:v>
                </c:pt>
                <c:pt idx="4">
                  <c:v>0.375</c:v>
                </c:pt>
                <c:pt idx="5">
                  <c:v>0.11764705882352941</c:v>
                </c:pt>
                <c:pt idx="6">
                  <c:v>0.21875</c:v>
                </c:pt>
                <c:pt idx="7">
                  <c:v>0.3</c:v>
                </c:pt>
                <c:pt idx="8">
                  <c:v>0.21739130434782608</c:v>
                </c:pt>
                <c:pt idx="9">
                  <c:v>0.19047619047619047</c:v>
                </c:pt>
              </c:numCache>
            </c:numRef>
          </c:val>
          <c:extLst>
            <c:ext xmlns:c16="http://schemas.microsoft.com/office/drawing/2014/chart" uri="{C3380CC4-5D6E-409C-BE32-E72D297353CC}">
              <c16:uniqueId val="{00000001-BB36-4755-A53C-701824070D48}"/>
            </c:ext>
          </c:extLst>
        </c:ser>
        <c:ser>
          <c:idx val="2"/>
          <c:order val="2"/>
          <c:tx>
            <c:strRef>
              <c:f>'KPI CAL'!$M$60</c:f>
              <c:strCache>
                <c:ptCount val="1"/>
                <c:pt idx="0">
                  <c:v>High-Income Professionals</c:v>
                </c:pt>
              </c:strCache>
            </c:strRef>
          </c:tx>
          <c:spPr>
            <a:solidFill>
              <a:schemeClr val="accent3"/>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CAL'!$M$61:$M$70</c:f>
              <c:numCache>
                <c:formatCode>0.00%</c:formatCode>
                <c:ptCount val="10"/>
                <c:pt idx="0">
                  <c:v>0.33333333333333331</c:v>
                </c:pt>
                <c:pt idx="1">
                  <c:v>0.18181818181818182</c:v>
                </c:pt>
                <c:pt idx="2">
                  <c:v>0.16666666666666666</c:v>
                </c:pt>
                <c:pt idx="3">
                  <c:v>0.14285714285714285</c:v>
                </c:pt>
                <c:pt idx="4">
                  <c:v>0.2</c:v>
                </c:pt>
                <c:pt idx="5">
                  <c:v>0.33333333333333331</c:v>
                </c:pt>
                <c:pt idx="6">
                  <c:v>0.27777777777777779</c:v>
                </c:pt>
                <c:pt idx="7">
                  <c:v>0.30769230769230771</c:v>
                </c:pt>
                <c:pt idx="8">
                  <c:v>0.38461538461538464</c:v>
                </c:pt>
                <c:pt idx="9">
                  <c:v>0.1</c:v>
                </c:pt>
              </c:numCache>
            </c:numRef>
          </c:val>
          <c:extLst>
            <c:ext xmlns:c16="http://schemas.microsoft.com/office/drawing/2014/chart" uri="{C3380CC4-5D6E-409C-BE32-E72D297353CC}">
              <c16:uniqueId val="{00000002-BB36-4755-A53C-701824070D48}"/>
            </c:ext>
          </c:extLst>
        </c:ser>
        <c:ser>
          <c:idx val="3"/>
          <c:order val="3"/>
          <c:tx>
            <c:strRef>
              <c:f>'KPI CAL'!$N$60</c:f>
              <c:strCache>
                <c:ptCount val="1"/>
                <c:pt idx="0">
                  <c:v>Retirees</c:v>
                </c:pt>
              </c:strCache>
            </c:strRef>
          </c:tx>
          <c:spPr>
            <a:solidFill>
              <a:schemeClr val="accent4"/>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CAL'!$N$61:$N$70</c:f>
              <c:numCache>
                <c:formatCode>0.00%</c:formatCode>
                <c:ptCount val="10"/>
                <c:pt idx="0">
                  <c:v>0</c:v>
                </c:pt>
                <c:pt idx="1">
                  <c:v>0</c:v>
                </c:pt>
                <c:pt idx="2">
                  <c:v>0</c:v>
                </c:pt>
                <c:pt idx="3">
                  <c:v>0.33333333333333331</c:v>
                </c:pt>
                <c:pt idx="4">
                  <c:v>0</c:v>
                </c:pt>
                <c:pt idx="5">
                  <c:v>0</c:v>
                </c:pt>
                <c:pt idx="6">
                  <c:v>0</c:v>
                </c:pt>
                <c:pt idx="7">
                  <c:v>0</c:v>
                </c:pt>
                <c:pt idx="8">
                  <c:v>0.2</c:v>
                </c:pt>
                <c:pt idx="9">
                  <c:v>0.1</c:v>
                </c:pt>
              </c:numCache>
            </c:numRef>
          </c:val>
          <c:extLst>
            <c:ext xmlns:c16="http://schemas.microsoft.com/office/drawing/2014/chart" uri="{C3380CC4-5D6E-409C-BE32-E72D297353CC}">
              <c16:uniqueId val="{00000003-BB36-4755-A53C-701824070D48}"/>
            </c:ext>
          </c:extLst>
        </c:ser>
        <c:ser>
          <c:idx val="4"/>
          <c:order val="4"/>
          <c:tx>
            <c:strRef>
              <c:f>'KPI CAL'!$O$60</c:f>
              <c:strCache>
                <c:ptCount val="1"/>
                <c:pt idx="0">
                  <c:v>Small Business Owners</c:v>
                </c:pt>
              </c:strCache>
            </c:strRef>
          </c:tx>
          <c:spPr>
            <a:solidFill>
              <a:schemeClr val="accent5"/>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CAL'!$O$61:$O$70</c:f>
              <c:numCache>
                <c:formatCode>0.00%</c:formatCode>
                <c:ptCount val="10"/>
                <c:pt idx="0">
                  <c:v>0.1875</c:v>
                </c:pt>
                <c:pt idx="1">
                  <c:v>0.2</c:v>
                </c:pt>
                <c:pt idx="2">
                  <c:v>0.30769230769230771</c:v>
                </c:pt>
                <c:pt idx="3">
                  <c:v>0.3125</c:v>
                </c:pt>
                <c:pt idx="4">
                  <c:v>0.21428571428571427</c:v>
                </c:pt>
                <c:pt idx="5">
                  <c:v>7.1428571428571425E-2</c:v>
                </c:pt>
                <c:pt idx="6">
                  <c:v>5.4054054054054057E-2</c:v>
                </c:pt>
                <c:pt idx="7">
                  <c:v>0.29411764705882354</c:v>
                </c:pt>
                <c:pt idx="8">
                  <c:v>0.27272727272727271</c:v>
                </c:pt>
                <c:pt idx="9">
                  <c:v>0.14285714285714285</c:v>
                </c:pt>
              </c:numCache>
            </c:numRef>
          </c:val>
          <c:extLst>
            <c:ext xmlns:c16="http://schemas.microsoft.com/office/drawing/2014/chart" uri="{C3380CC4-5D6E-409C-BE32-E72D297353CC}">
              <c16:uniqueId val="{00000004-BB36-4755-A53C-701824070D48}"/>
            </c:ext>
          </c:extLst>
        </c:ser>
        <c:ser>
          <c:idx val="5"/>
          <c:order val="5"/>
          <c:tx>
            <c:strRef>
              <c:f>'KPI CAL'!$P$60</c:f>
              <c:strCache>
                <c:ptCount val="1"/>
                <c:pt idx="0">
                  <c:v>Students</c:v>
                </c:pt>
              </c:strCache>
            </c:strRef>
          </c:tx>
          <c:spPr>
            <a:solidFill>
              <a:schemeClr val="accent6"/>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CAL'!$P$61:$P$70</c:f>
              <c:numCache>
                <c:formatCode>0.00%</c:formatCode>
                <c:ptCount val="10"/>
                <c:pt idx="0">
                  <c:v>0.17647058823529413</c:v>
                </c:pt>
                <c:pt idx="1">
                  <c:v>0.36363636363636365</c:v>
                </c:pt>
                <c:pt idx="2">
                  <c:v>7.1428571428571425E-2</c:v>
                </c:pt>
                <c:pt idx="3">
                  <c:v>8.3333333333333329E-2</c:v>
                </c:pt>
                <c:pt idx="4">
                  <c:v>0.15384615384615385</c:v>
                </c:pt>
                <c:pt idx="5">
                  <c:v>0.15789473684210525</c:v>
                </c:pt>
                <c:pt idx="6">
                  <c:v>0.17391304347826086</c:v>
                </c:pt>
                <c:pt idx="7">
                  <c:v>0.33333333333333331</c:v>
                </c:pt>
                <c:pt idx="8">
                  <c:v>0.11538461538461539</c:v>
                </c:pt>
                <c:pt idx="9">
                  <c:v>0.14285714285714285</c:v>
                </c:pt>
              </c:numCache>
            </c:numRef>
          </c:val>
          <c:extLst>
            <c:ext xmlns:c16="http://schemas.microsoft.com/office/drawing/2014/chart" uri="{C3380CC4-5D6E-409C-BE32-E72D297353CC}">
              <c16:uniqueId val="{00000005-BB36-4755-A53C-701824070D48}"/>
            </c:ext>
          </c:extLst>
        </c:ser>
        <c:ser>
          <c:idx val="6"/>
          <c:order val="6"/>
          <c:tx>
            <c:strRef>
              <c:f>'KPI CAL'!$Q$60</c:f>
              <c:strCache>
                <c:ptCount val="1"/>
                <c:pt idx="0">
                  <c:v>Young Professionals</c:v>
                </c:pt>
              </c:strCache>
            </c:strRef>
          </c:tx>
          <c:spPr>
            <a:solidFill>
              <a:schemeClr val="accent1">
                <a:lumMod val="60000"/>
              </a:schemeClr>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CAL'!$Q$61:$Q$70</c:f>
              <c:numCache>
                <c:formatCode>0.00%</c:formatCode>
                <c:ptCount val="10"/>
                <c:pt idx="0">
                  <c:v>0.26530612244897961</c:v>
                </c:pt>
                <c:pt idx="1">
                  <c:v>0.21276595744680851</c:v>
                </c:pt>
                <c:pt idx="2">
                  <c:v>5.5555555555555552E-2</c:v>
                </c:pt>
                <c:pt idx="3">
                  <c:v>0.14285714285714285</c:v>
                </c:pt>
                <c:pt idx="4">
                  <c:v>0.36666666666666664</c:v>
                </c:pt>
                <c:pt idx="5">
                  <c:v>0.1111111111111111</c:v>
                </c:pt>
                <c:pt idx="6">
                  <c:v>0.10169491525423729</c:v>
                </c:pt>
                <c:pt idx="7">
                  <c:v>0.15625</c:v>
                </c:pt>
                <c:pt idx="8">
                  <c:v>0.14285714285714285</c:v>
                </c:pt>
                <c:pt idx="9">
                  <c:v>2.2222222222222223E-2</c:v>
                </c:pt>
              </c:numCache>
            </c:numRef>
          </c:val>
          <c:extLst>
            <c:ext xmlns:c16="http://schemas.microsoft.com/office/drawing/2014/chart" uri="{C3380CC4-5D6E-409C-BE32-E72D297353CC}">
              <c16:uniqueId val="{00000006-BB36-4755-A53C-701824070D48}"/>
            </c:ext>
          </c:extLst>
        </c:ser>
        <c:dLbls>
          <c:showLegendKey val="0"/>
          <c:showVal val="0"/>
          <c:showCatName val="0"/>
          <c:showSerName val="0"/>
          <c:showPercent val="0"/>
          <c:showBubbleSize val="0"/>
        </c:dLbls>
        <c:gapWidth val="219"/>
        <c:overlap val="-27"/>
        <c:axId val="1562019504"/>
        <c:axId val="1296992288"/>
      </c:barChart>
      <c:catAx>
        <c:axId val="156201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296992288"/>
        <c:crosses val="autoZero"/>
        <c:auto val="1"/>
        <c:lblAlgn val="ctr"/>
        <c:lblOffset val="100"/>
        <c:noMultiLvlLbl val="0"/>
      </c:catAx>
      <c:valAx>
        <c:axId val="1296992288"/>
        <c:scaling>
          <c:orientation val="minMax"/>
        </c:scaling>
        <c:delete val="1"/>
        <c:axPos val="l"/>
        <c:numFmt formatCode="0.00%" sourceLinked="1"/>
        <c:majorTickMark val="none"/>
        <c:minorTickMark val="none"/>
        <c:tickLblPos val="nextTo"/>
        <c:crossAx val="1562019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'KPI CAL'!$B$85</c:f>
              <c:strCache>
                <c:ptCount val="1"/>
                <c:pt idx="0">
                  <c:v>Families</c:v>
                </c:pt>
              </c:strCache>
            </c:strRef>
          </c:tx>
          <c:spPr>
            <a:solidFill>
              <a:schemeClr val="accent1"/>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CAL'!$B$86:$B$96</c:f>
              <c:numCache>
                <c:formatCode>0.00%</c:formatCode>
                <c:ptCount val="11"/>
                <c:pt idx="0">
                  <c:v>0.55000000000000004</c:v>
                </c:pt>
                <c:pt idx="1">
                  <c:v>0.56000000000000005</c:v>
                </c:pt>
                <c:pt idx="2">
                  <c:v>0.89473684210526316</c:v>
                </c:pt>
                <c:pt idx="3">
                  <c:v>0.38095238095238093</c:v>
                </c:pt>
                <c:pt idx="4">
                  <c:v>0.55000000000000004</c:v>
                </c:pt>
                <c:pt idx="5">
                  <c:v>0.61111111111111116</c:v>
                </c:pt>
                <c:pt idx="6">
                  <c:v>0.78</c:v>
                </c:pt>
                <c:pt idx="7">
                  <c:v>0.48</c:v>
                </c:pt>
                <c:pt idx="8">
                  <c:v>0.6071428571428571</c:v>
                </c:pt>
                <c:pt idx="9">
                  <c:v>0.79411764705882348</c:v>
                </c:pt>
              </c:numCache>
            </c:numRef>
          </c:val>
          <c:extLst>
            <c:ext xmlns:c16="http://schemas.microsoft.com/office/drawing/2014/chart" uri="{C3380CC4-5D6E-409C-BE32-E72D297353CC}">
              <c16:uniqueId val="{00000000-4A48-4308-B390-97C904029A9A}"/>
            </c:ext>
          </c:extLst>
        </c:ser>
        <c:ser>
          <c:idx val="1"/>
          <c:order val="1"/>
          <c:tx>
            <c:strRef>
              <c:f>'KPI CAL'!$C$85</c:f>
              <c:strCache>
                <c:ptCount val="1"/>
                <c:pt idx="0">
                  <c:v>Gig Workers</c:v>
                </c:pt>
              </c:strCache>
            </c:strRef>
          </c:tx>
          <c:spPr>
            <a:solidFill>
              <a:schemeClr val="accent2"/>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CAL'!$C$86:$C$96</c:f>
              <c:numCache>
                <c:formatCode>0.00%</c:formatCode>
                <c:ptCount val="11"/>
                <c:pt idx="0">
                  <c:v>0.5</c:v>
                </c:pt>
                <c:pt idx="1">
                  <c:v>0.45454545454545453</c:v>
                </c:pt>
                <c:pt idx="2">
                  <c:v>0.76923076923076927</c:v>
                </c:pt>
                <c:pt idx="3">
                  <c:v>0.63157894736842102</c:v>
                </c:pt>
                <c:pt idx="4">
                  <c:v>0.375</c:v>
                </c:pt>
                <c:pt idx="5">
                  <c:v>0.6470588235294118</c:v>
                </c:pt>
                <c:pt idx="6">
                  <c:v>0.6875</c:v>
                </c:pt>
                <c:pt idx="7">
                  <c:v>0.5</c:v>
                </c:pt>
                <c:pt idx="8">
                  <c:v>0.82608695652173914</c:v>
                </c:pt>
                <c:pt idx="9">
                  <c:v>0.65</c:v>
                </c:pt>
              </c:numCache>
            </c:numRef>
          </c:val>
          <c:extLst>
            <c:ext xmlns:c16="http://schemas.microsoft.com/office/drawing/2014/chart" uri="{C3380CC4-5D6E-409C-BE32-E72D297353CC}">
              <c16:uniqueId val="{00000001-4A48-4308-B390-97C904029A9A}"/>
            </c:ext>
          </c:extLst>
        </c:ser>
        <c:ser>
          <c:idx val="2"/>
          <c:order val="2"/>
          <c:tx>
            <c:strRef>
              <c:f>'KPI CAL'!$D$85</c:f>
              <c:strCache>
                <c:ptCount val="1"/>
                <c:pt idx="0">
                  <c:v>High-Income Professionals</c:v>
                </c:pt>
              </c:strCache>
            </c:strRef>
          </c:tx>
          <c:spPr>
            <a:solidFill>
              <a:schemeClr val="accent3"/>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CAL'!$D$86:$D$96</c:f>
              <c:numCache>
                <c:formatCode>0.00%</c:formatCode>
                <c:ptCount val="11"/>
                <c:pt idx="0">
                  <c:v>0.63636363636363635</c:v>
                </c:pt>
                <c:pt idx="1">
                  <c:v>0.72727272727272729</c:v>
                </c:pt>
                <c:pt idx="2">
                  <c:v>0.83333333333333337</c:v>
                </c:pt>
                <c:pt idx="3">
                  <c:v>0.5</c:v>
                </c:pt>
                <c:pt idx="4">
                  <c:v>0.7</c:v>
                </c:pt>
                <c:pt idx="5">
                  <c:v>0.66666666666666663</c:v>
                </c:pt>
                <c:pt idx="6">
                  <c:v>0.5</c:v>
                </c:pt>
                <c:pt idx="7">
                  <c:v>0.69230769230769229</c:v>
                </c:pt>
                <c:pt idx="8">
                  <c:v>0.38461538461538464</c:v>
                </c:pt>
                <c:pt idx="9">
                  <c:v>0.6</c:v>
                </c:pt>
              </c:numCache>
            </c:numRef>
          </c:val>
          <c:extLst>
            <c:ext xmlns:c16="http://schemas.microsoft.com/office/drawing/2014/chart" uri="{C3380CC4-5D6E-409C-BE32-E72D297353CC}">
              <c16:uniqueId val="{00000002-4A48-4308-B390-97C904029A9A}"/>
            </c:ext>
          </c:extLst>
        </c:ser>
        <c:ser>
          <c:idx val="3"/>
          <c:order val="3"/>
          <c:tx>
            <c:strRef>
              <c:f>'KPI CAL'!$E$85</c:f>
              <c:strCache>
                <c:ptCount val="1"/>
                <c:pt idx="0">
                  <c:v>Retirees</c:v>
                </c:pt>
              </c:strCache>
            </c:strRef>
          </c:tx>
          <c:spPr>
            <a:solidFill>
              <a:schemeClr val="accent4"/>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CAL'!$E$86:$E$96</c:f>
              <c:numCache>
                <c:formatCode>0.00%</c:formatCode>
                <c:ptCount val="11"/>
                <c:pt idx="0">
                  <c:v>0.6</c:v>
                </c:pt>
                <c:pt idx="1">
                  <c:v>0.75</c:v>
                </c:pt>
                <c:pt idx="2">
                  <c:v>1</c:v>
                </c:pt>
                <c:pt idx="3">
                  <c:v>0.33333333333333331</c:v>
                </c:pt>
                <c:pt idx="4">
                  <c:v>0</c:v>
                </c:pt>
                <c:pt idx="5">
                  <c:v>0.77777777777777779</c:v>
                </c:pt>
                <c:pt idx="6">
                  <c:v>0.83333333333333337</c:v>
                </c:pt>
                <c:pt idx="7">
                  <c:v>0.55555555555555558</c:v>
                </c:pt>
                <c:pt idx="8">
                  <c:v>0.6</c:v>
                </c:pt>
                <c:pt idx="9">
                  <c:v>0.6</c:v>
                </c:pt>
              </c:numCache>
            </c:numRef>
          </c:val>
          <c:extLst>
            <c:ext xmlns:c16="http://schemas.microsoft.com/office/drawing/2014/chart" uri="{C3380CC4-5D6E-409C-BE32-E72D297353CC}">
              <c16:uniqueId val="{00000003-4A48-4308-B390-97C904029A9A}"/>
            </c:ext>
          </c:extLst>
        </c:ser>
        <c:ser>
          <c:idx val="4"/>
          <c:order val="4"/>
          <c:tx>
            <c:strRef>
              <c:f>'KPI CAL'!$F$85</c:f>
              <c:strCache>
                <c:ptCount val="1"/>
                <c:pt idx="0">
                  <c:v>Small Business Owners</c:v>
                </c:pt>
              </c:strCache>
            </c:strRef>
          </c:tx>
          <c:spPr>
            <a:solidFill>
              <a:schemeClr val="accent5"/>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CAL'!$F$86:$F$96</c:f>
              <c:numCache>
                <c:formatCode>0.00%</c:formatCode>
                <c:ptCount val="11"/>
                <c:pt idx="0">
                  <c:v>0.6875</c:v>
                </c:pt>
                <c:pt idx="1">
                  <c:v>0.46666666666666667</c:v>
                </c:pt>
                <c:pt idx="2">
                  <c:v>0.76923076923076927</c:v>
                </c:pt>
                <c:pt idx="3">
                  <c:v>0.6</c:v>
                </c:pt>
                <c:pt idx="4">
                  <c:v>0.21428571428571427</c:v>
                </c:pt>
                <c:pt idx="5">
                  <c:v>0.8571428571428571</c:v>
                </c:pt>
                <c:pt idx="6">
                  <c:v>0.86486486486486491</c:v>
                </c:pt>
                <c:pt idx="7">
                  <c:v>0.58823529411764708</c:v>
                </c:pt>
                <c:pt idx="8">
                  <c:v>0.63636363636363635</c:v>
                </c:pt>
                <c:pt idx="9">
                  <c:v>0.5714285714285714</c:v>
                </c:pt>
              </c:numCache>
            </c:numRef>
          </c:val>
          <c:extLst>
            <c:ext xmlns:c16="http://schemas.microsoft.com/office/drawing/2014/chart" uri="{C3380CC4-5D6E-409C-BE32-E72D297353CC}">
              <c16:uniqueId val="{00000004-4A48-4308-B390-97C904029A9A}"/>
            </c:ext>
          </c:extLst>
        </c:ser>
        <c:ser>
          <c:idx val="5"/>
          <c:order val="5"/>
          <c:tx>
            <c:strRef>
              <c:f>'KPI CAL'!$G$85</c:f>
              <c:strCache>
                <c:ptCount val="1"/>
                <c:pt idx="0">
                  <c:v>Students</c:v>
                </c:pt>
              </c:strCache>
            </c:strRef>
          </c:tx>
          <c:spPr>
            <a:solidFill>
              <a:schemeClr val="accent6"/>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CAL'!$G$86:$G$96</c:f>
              <c:numCache>
                <c:formatCode>0.00%</c:formatCode>
                <c:ptCount val="11"/>
                <c:pt idx="0">
                  <c:v>0.29411764705882354</c:v>
                </c:pt>
                <c:pt idx="1">
                  <c:v>0.5</c:v>
                </c:pt>
                <c:pt idx="2">
                  <c:v>0.7142857142857143</c:v>
                </c:pt>
                <c:pt idx="3">
                  <c:v>0.5</c:v>
                </c:pt>
                <c:pt idx="4">
                  <c:v>0.66666666666666663</c:v>
                </c:pt>
                <c:pt idx="5">
                  <c:v>0.83333333333333337</c:v>
                </c:pt>
                <c:pt idx="6">
                  <c:v>0.80434782608695654</c:v>
                </c:pt>
                <c:pt idx="7">
                  <c:v>0.46666666666666667</c:v>
                </c:pt>
                <c:pt idx="8">
                  <c:v>0.5</c:v>
                </c:pt>
                <c:pt idx="9">
                  <c:v>0.80952380952380953</c:v>
                </c:pt>
              </c:numCache>
            </c:numRef>
          </c:val>
          <c:extLst>
            <c:ext xmlns:c16="http://schemas.microsoft.com/office/drawing/2014/chart" uri="{C3380CC4-5D6E-409C-BE32-E72D297353CC}">
              <c16:uniqueId val="{00000005-4A48-4308-B390-97C904029A9A}"/>
            </c:ext>
          </c:extLst>
        </c:ser>
        <c:ser>
          <c:idx val="6"/>
          <c:order val="6"/>
          <c:tx>
            <c:strRef>
              <c:f>'KPI CAL'!$H$85</c:f>
              <c:strCache>
                <c:ptCount val="1"/>
                <c:pt idx="0">
                  <c:v>Young Professionals</c:v>
                </c:pt>
              </c:strCache>
            </c:strRef>
          </c:tx>
          <c:spPr>
            <a:solidFill>
              <a:schemeClr val="accent1">
                <a:lumMod val="60000"/>
              </a:schemeClr>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CAL'!$H$86:$H$96</c:f>
              <c:numCache>
                <c:formatCode>0.00%</c:formatCode>
                <c:ptCount val="11"/>
                <c:pt idx="0">
                  <c:v>0.59183673469387754</c:v>
                </c:pt>
                <c:pt idx="1">
                  <c:v>0.53333333333333333</c:v>
                </c:pt>
                <c:pt idx="2">
                  <c:v>0.66666666666666663</c:v>
                </c:pt>
                <c:pt idx="3">
                  <c:v>0.47619047619047616</c:v>
                </c:pt>
                <c:pt idx="4">
                  <c:v>0.43333333333333335</c:v>
                </c:pt>
                <c:pt idx="5">
                  <c:v>0.70588235294117652</c:v>
                </c:pt>
                <c:pt idx="6">
                  <c:v>0.72881355932203384</c:v>
                </c:pt>
                <c:pt idx="7">
                  <c:v>0.5</c:v>
                </c:pt>
                <c:pt idx="8">
                  <c:v>0.6964285714285714</c:v>
                </c:pt>
                <c:pt idx="9">
                  <c:v>0.77272727272727271</c:v>
                </c:pt>
              </c:numCache>
            </c:numRef>
          </c:val>
          <c:extLst>
            <c:ext xmlns:c16="http://schemas.microsoft.com/office/drawing/2014/chart" uri="{C3380CC4-5D6E-409C-BE32-E72D297353CC}">
              <c16:uniqueId val="{00000006-4A48-4308-B390-97C904029A9A}"/>
            </c:ext>
          </c:extLst>
        </c:ser>
        <c:dLbls>
          <c:showLegendKey val="0"/>
          <c:showVal val="0"/>
          <c:showCatName val="0"/>
          <c:showSerName val="0"/>
          <c:showPercent val="0"/>
          <c:showBubbleSize val="0"/>
        </c:dLbls>
        <c:gapWidth val="150"/>
        <c:overlap val="100"/>
        <c:axId val="1825812912"/>
        <c:axId val="1178493248"/>
      </c:barChart>
      <c:catAx>
        <c:axId val="182581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78493248"/>
        <c:crosses val="autoZero"/>
        <c:auto val="1"/>
        <c:lblAlgn val="ctr"/>
        <c:lblOffset val="100"/>
        <c:noMultiLvlLbl val="0"/>
      </c:catAx>
      <c:valAx>
        <c:axId val="117849324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2581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'KPI CAL'!$B$112</c:f>
              <c:strCache>
                <c:ptCount val="1"/>
                <c:pt idx="0">
                  <c:v>Families</c:v>
                </c:pt>
              </c:strCache>
            </c:strRef>
          </c:tx>
          <c:spPr>
            <a:solidFill>
              <a:schemeClr val="accent1"/>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CAL'!$B$113:$B$122</c:f>
              <c:numCache>
                <c:formatCode>General</c:formatCode>
                <c:ptCount val="10"/>
                <c:pt idx="0">
                  <c:v>1.72</c:v>
                </c:pt>
                <c:pt idx="1">
                  <c:v>0.88000000000000012</c:v>
                </c:pt>
                <c:pt idx="2">
                  <c:v>1.1099999999999999</c:v>
                </c:pt>
                <c:pt idx="3">
                  <c:v>1.22</c:v>
                </c:pt>
                <c:pt idx="4">
                  <c:v>18.14</c:v>
                </c:pt>
                <c:pt idx="5">
                  <c:v>1.08</c:v>
                </c:pt>
                <c:pt idx="6">
                  <c:v>12.95</c:v>
                </c:pt>
                <c:pt idx="7">
                  <c:v>25.540000000000003</c:v>
                </c:pt>
                <c:pt idx="8">
                  <c:v>2.1900000000000004</c:v>
                </c:pt>
                <c:pt idx="9">
                  <c:v>17.110000000000003</c:v>
                </c:pt>
              </c:numCache>
            </c:numRef>
          </c:val>
          <c:extLst>
            <c:ext xmlns:c16="http://schemas.microsoft.com/office/drawing/2014/chart" uri="{C3380CC4-5D6E-409C-BE32-E72D297353CC}">
              <c16:uniqueId val="{00000000-97B2-444D-B2A3-EE141E9B9A78}"/>
            </c:ext>
          </c:extLst>
        </c:ser>
        <c:ser>
          <c:idx val="1"/>
          <c:order val="1"/>
          <c:tx>
            <c:strRef>
              <c:f>'KPI CAL'!$C$112</c:f>
              <c:strCache>
                <c:ptCount val="1"/>
                <c:pt idx="0">
                  <c:v>Gig Workers</c:v>
                </c:pt>
              </c:strCache>
            </c:strRef>
          </c:tx>
          <c:spPr>
            <a:solidFill>
              <a:schemeClr val="accent2"/>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CAL'!$C$113:$C$122</c:f>
              <c:numCache>
                <c:formatCode>General</c:formatCode>
                <c:ptCount val="10"/>
                <c:pt idx="0">
                  <c:v>1.47</c:v>
                </c:pt>
                <c:pt idx="1">
                  <c:v>1.08</c:v>
                </c:pt>
                <c:pt idx="2">
                  <c:v>0.17</c:v>
                </c:pt>
                <c:pt idx="3">
                  <c:v>0.51</c:v>
                </c:pt>
                <c:pt idx="4">
                  <c:v>5.91</c:v>
                </c:pt>
                <c:pt idx="5">
                  <c:v>2.4699999999999998</c:v>
                </c:pt>
                <c:pt idx="6">
                  <c:v>7.8300000000000018</c:v>
                </c:pt>
                <c:pt idx="7">
                  <c:v>13.169999999999998</c:v>
                </c:pt>
                <c:pt idx="8">
                  <c:v>0.91</c:v>
                </c:pt>
                <c:pt idx="9">
                  <c:v>8.02</c:v>
                </c:pt>
              </c:numCache>
            </c:numRef>
          </c:val>
          <c:extLst>
            <c:ext xmlns:c16="http://schemas.microsoft.com/office/drawing/2014/chart" uri="{C3380CC4-5D6E-409C-BE32-E72D297353CC}">
              <c16:uniqueId val="{00000001-97B2-444D-B2A3-EE141E9B9A78}"/>
            </c:ext>
          </c:extLst>
        </c:ser>
        <c:ser>
          <c:idx val="2"/>
          <c:order val="2"/>
          <c:tx>
            <c:strRef>
              <c:f>'KPI CAL'!$D$112</c:f>
              <c:strCache>
                <c:ptCount val="1"/>
                <c:pt idx="0">
                  <c:v>High-Income Professionals</c:v>
                </c:pt>
              </c:strCache>
            </c:strRef>
          </c:tx>
          <c:spPr>
            <a:solidFill>
              <a:schemeClr val="accent3"/>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CAL'!$D$113:$D$122</c:f>
              <c:numCache>
                <c:formatCode>General</c:formatCode>
                <c:ptCount val="10"/>
                <c:pt idx="0">
                  <c:v>1.37</c:v>
                </c:pt>
                <c:pt idx="1">
                  <c:v>0.17</c:v>
                </c:pt>
                <c:pt idx="2">
                  <c:v>0.91</c:v>
                </c:pt>
                <c:pt idx="3">
                  <c:v>0.71000000000000008</c:v>
                </c:pt>
                <c:pt idx="4">
                  <c:v>9.98</c:v>
                </c:pt>
                <c:pt idx="5">
                  <c:v>0</c:v>
                </c:pt>
                <c:pt idx="6">
                  <c:v>3.4</c:v>
                </c:pt>
                <c:pt idx="7">
                  <c:v>22.21</c:v>
                </c:pt>
                <c:pt idx="8">
                  <c:v>0.68</c:v>
                </c:pt>
                <c:pt idx="9">
                  <c:v>3.7800000000000002</c:v>
                </c:pt>
              </c:numCache>
            </c:numRef>
          </c:val>
          <c:extLst>
            <c:ext xmlns:c16="http://schemas.microsoft.com/office/drawing/2014/chart" uri="{C3380CC4-5D6E-409C-BE32-E72D297353CC}">
              <c16:uniqueId val="{00000002-97B2-444D-B2A3-EE141E9B9A78}"/>
            </c:ext>
          </c:extLst>
        </c:ser>
        <c:ser>
          <c:idx val="3"/>
          <c:order val="3"/>
          <c:tx>
            <c:strRef>
              <c:f>'KPI CAL'!$E$112</c:f>
              <c:strCache>
                <c:ptCount val="1"/>
                <c:pt idx="0">
                  <c:v>Retirees</c:v>
                </c:pt>
              </c:strCache>
            </c:strRef>
          </c:tx>
          <c:spPr>
            <a:solidFill>
              <a:schemeClr val="accent4"/>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CAL'!$E$113:$E$122</c:f>
              <c:numCache>
                <c:formatCode>General</c:formatCode>
                <c:ptCount val="10"/>
                <c:pt idx="0">
                  <c:v>0.66</c:v>
                </c:pt>
                <c:pt idx="1">
                  <c:v>0.17</c:v>
                </c:pt>
                <c:pt idx="2">
                  <c:v>0.71000000000000008</c:v>
                </c:pt>
                <c:pt idx="3">
                  <c:v>0</c:v>
                </c:pt>
                <c:pt idx="4">
                  <c:v>3.37</c:v>
                </c:pt>
                <c:pt idx="5">
                  <c:v>0.71</c:v>
                </c:pt>
                <c:pt idx="6">
                  <c:v>1.0900000000000001</c:v>
                </c:pt>
                <c:pt idx="7">
                  <c:v>21.099999999999998</c:v>
                </c:pt>
                <c:pt idx="8">
                  <c:v>0.54</c:v>
                </c:pt>
                <c:pt idx="9">
                  <c:v>3.6399999999999997</c:v>
                </c:pt>
              </c:numCache>
            </c:numRef>
          </c:val>
          <c:extLst>
            <c:ext xmlns:c16="http://schemas.microsoft.com/office/drawing/2014/chart" uri="{C3380CC4-5D6E-409C-BE32-E72D297353CC}">
              <c16:uniqueId val="{00000003-97B2-444D-B2A3-EE141E9B9A78}"/>
            </c:ext>
          </c:extLst>
        </c:ser>
        <c:ser>
          <c:idx val="4"/>
          <c:order val="4"/>
          <c:tx>
            <c:strRef>
              <c:f>'KPI CAL'!$F$112</c:f>
              <c:strCache>
                <c:ptCount val="1"/>
                <c:pt idx="0">
                  <c:v>Small Business Owners</c:v>
                </c:pt>
              </c:strCache>
            </c:strRef>
          </c:tx>
          <c:spPr>
            <a:solidFill>
              <a:schemeClr val="accent5"/>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CAL'!$F$113:$F$122</c:f>
              <c:numCache>
                <c:formatCode>General</c:formatCode>
                <c:ptCount val="10"/>
                <c:pt idx="0">
                  <c:v>0.88</c:v>
                </c:pt>
                <c:pt idx="1">
                  <c:v>1.65</c:v>
                </c:pt>
                <c:pt idx="2">
                  <c:v>0.34</c:v>
                </c:pt>
                <c:pt idx="3">
                  <c:v>0.37</c:v>
                </c:pt>
                <c:pt idx="4">
                  <c:v>18.84</c:v>
                </c:pt>
                <c:pt idx="5">
                  <c:v>1.79</c:v>
                </c:pt>
                <c:pt idx="6">
                  <c:v>7.39</c:v>
                </c:pt>
                <c:pt idx="7">
                  <c:v>16.309999999999999</c:v>
                </c:pt>
                <c:pt idx="8">
                  <c:v>1.22</c:v>
                </c:pt>
                <c:pt idx="9">
                  <c:v>3.9000000000000004</c:v>
                </c:pt>
              </c:numCache>
            </c:numRef>
          </c:val>
          <c:extLst>
            <c:ext xmlns:c16="http://schemas.microsoft.com/office/drawing/2014/chart" uri="{C3380CC4-5D6E-409C-BE32-E72D297353CC}">
              <c16:uniqueId val="{00000004-97B2-444D-B2A3-EE141E9B9A78}"/>
            </c:ext>
          </c:extLst>
        </c:ser>
        <c:ser>
          <c:idx val="5"/>
          <c:order val="5"/>
          <c:tx>
            <c:strRef>
              <c:f>'KPI CAL'!$G$112</c:f>
              <c:strCache>
                <c:ptCount val="1"/>
                <c:pt idx="0">
                  <c:v>Students</c:v>
                </c:pt>
              </c:strCache>
            </c:strRef>
          </c:tx>
          <c:spPr>
            <a:solidFill>
              <a:schemeClr val="accent6"/>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CAL'!$G$113:$G$122</c:f>
              <c:numCache>
                <c:formatCode>General</c:formatCode>
                <c:ptCount val="10"/>
                <c:pt idx="0">
                  <c:v>1.2999999999999998</c:v>
                </c:pt>
                <c:pt idx="1">
                  <c:v>0.71</c:v>
                </c:pt>
                <c:pt idx="2">
                  <c:v>1.28</c:v>
                </c:pt>
                <c:pt idx="3">
                  <c:v>0.54</c:v>
                </c:pt>
                <c:pt idx="4">
                  <c:v>9.19</c:v>
                </c:pt>
                <c:pt idx="5">
                  <c:v>0.54</c:v>
                </c:pt>
                <c:pt idx="6">
                  <c:v>10.030000000000001</c:v>
                </c:pt>
                <c:pt idx="7">
                  <c:v>30.910000000000004</c:v>
                </c:pt>
                <c:pt idx="8">
                  <c:v>1.05</c:v>
                </c:pt>
                <c:pt idx="9">
                  <c:v>10.370000000000001</c:v>
                </c:pt>
              </c:numCache>
            </c:numRef>
          </c:val>
          <c:extLst>
            <c:ext xmlns:c16="http://schemas.microsoft.com/office/drawing/2014/chart" uri="{C3380CC4-5D6E-409C-BE32-E72D297353CC}">
              <c16:uniqueId val="{00000005-97B2-444D-B2A3-EE141E9B9A78}"/>
            </c:ext>
          </c:extLst>
        </c:ser>
        <c:ser>
          <c:idx val="6"/>
          <c:order val="6"/>
          <c:tx>
            <c:strRef>
              <c:f>'KPI CAL'!$H$112</c:f>
              <c:strCache>
                <c:ptCount val="1"/>
                <c:pt idx="0">
                  <c:v>Young Professionals</c:v>
                </c:pt>
              </c:strCache>
            </c:strRef>
          </c:tx>
          <c:spPr>
            <a:solidFill>
              <a:schemeClr val="accent1">
                <a:lumMod val="60000"/>
              </a:schemeClr>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CAL'!$H$113:$H$122</c:f>
              <c:numCache>
                <c:formatCode>General</c:formatCode>
                <c:ptCount val="10"/>
                <c:pt idx="0">
                  <c:v>3.8300000000000005</c:v>
                </c:pt>
                <c:pt idx="1">
                  <c:v>-8.81</c:v>
                </c:pt>
                <c:pt idx="2">
                  <c:v>0.88</c:v>
                </c:pt>
                <c:pt idx="3">
                  <c:v>1.22</c:v>
                </c:pt>
                <c:pt idx="4">
                  <c:v>28.43</c:v>
                </c:pt>
                <c:pt idx="5">
                  <c:v>0</c:v>
                </c:pt>
                <c:pt idx="6">
                  <c:v>13.94</c:v>
                </c:pt>
                <c:pt idx="7">
                  <c:v>40.300000000000004</c:v>
                </c:pt>
                <c:pt idx="8">
                  <c:v>2.8099999999999996</c:v>
                </c:pt>
                <c:pt idx="9">
                  <c:v>22.740000000000006</c:v>
                </c:pt>
              </c:numCache>
            </c:numRef>
          </c:val>
          <c:extLst>
            <c:ext xmlns:c16="http://schemas.microsoft.com/office/drawing/2014/chart" uri="{C3380CC4-5D6E-409C-BE32-E72D297353CC}">
              <c16:uniqueId val="{00000006-97B2-444D-B2A3-EE141E9B9A78}"/>
            </c:ext>
          </c:extLst>
        </c:ser>
        <c:dLbls>
          <c:showLegendKey val="0"/>
          <c:showVal val="0"/>
          <c:showCatName val="0"/>
          <c:showSerName val="0"/>
          <c:showPercent val="0"/>
          <c:showBubbleSize val="0"/>
        </c:dLbls>
        <c:gapWidth val="150"/>
        <c:overlap val="100"/>
        <c:axId val="1392529280"/>
        <c:axId val="1403549184"/>
      </c:barChart>
      <c:catAx>
        <c:axId val="1392529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403549184"/>
        <c:crosses val="autoZero"/>
        <c:auto val="1"/>
        <c:lblAlgn val="ctr"/>
        <c:lblOffset val="100"/>
        <c:noMultiLvlLbl val="0"/>
      </c:catAx>
      <c:valAx>
        <c:axId val="1403549184"/>
        <c:scaling>
          <c:orientation val="minMax"/>
        </c:scaling>
        <c:delete val="1"/>
        <c:axPos val="b"/>
        <c:numFmt formatCode="General" sourceLinked="1"/>
        <c:majorTickMark val="out"/>
        <c:minorTickMark val="none"/>
        <c:tickLblPos val="nextTo"/>
        <c:crossAx val="1392529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Fintech 102(AutoRecovered).xlsx]KPI CAL!PivotTable4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latin typeface="Lucida Console" panose="020B0609040504020204" pitchFamily="49" charset="0"/>
              </a:rPr>
              <a:t>Feature Interactions</a:t>
            </a:r>
            <a:r>
              <a:rPr lang="en-US" sz="1100" b="1" baseline="0">
                <a:solidFill>
                  <a:sysClr val="windowText" lastClr="000000"/>
                </a:solidFill>
                <a:latin typeface="Lucida Console" panose="020B0609040504020204" pitchFamily="49" charset="0"/>
              </a:rPr>
              <a:t> By Subscription Plan</a:t>
            </a:r>
            <a:endParaRPr lang="en-US" sz="11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CAL'!$B$156:$B$157</c:f>
              <c:strCache>
                <c:ptCount val="1"/>
                <c:pt idx="0">
                  <c:v>Basic</c:v>
                </c:pt>
              </c:strCache>
            </c:strRef>
          </c:tx>
          <c:spPr>
            <a:solidFill>
              <a:schemeClr val="accent1"/>
            </a:solidFill>
            <a:ln>
              <a:noFill/>
            </a:ln>
            <a:effectLst/>
          </c:spPr>
          <c:invertIfNegative val="0"/>
          <c:cat>
            <c:strRef>
              <c:f>'KPI CAL'!$A$158:$A$167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CAL'!$B$158:$B$167</c:f>
              <c:numCache>
                <c:formatCode>General</c:formatCode>
                <c:ptCount val="10"/>
                <c:pt idx="0">
                  <c:v>3</c:v>
                </c:pt>
                <c:pt idx="1">
                  <c:v>3</c:v>
                </c:pt>
                <c:pt idx="2">
                  <c:v>3</c:v>
                </c:pt>
                <c:pt idx="3">
                  <c:v>4</c:v>
                </c:pt>
                <c:pt idx="4">
                  <c:v>6</c:v>
                </c:pt>
                <c:pt idx="5">
                  <c:v>3</c:v>
                </c:pt>
                <c:pt idx="6">
                  <c:v>12</c:v>
                </c:pt>
                <c:pt idx="7">
                  <c:v>7</c:v>
                </c:pt>
                <c:pt idx="8">
                  <c:v>5</c:v>
                </c:pt>
                <c:pt idx="9">
                  <c:v>7</c:v>
                </c:pt>
              </c:numCache>
            </c:numRef>
          </c:val>
          <c:extLst>
            <c:ext xmlns:c16="http://schemas.microsoft.com/office/drawing/2014/chart" uri="{C3380CC4-5D6E-409C-BE32-E72D297353CC}">
              <c16:uniqueId val="{00000000-F91C-4CE6-9520-2B30B65E14FB}"/>
            </c:ext>
          </c:extLst>
        </c:ser>
        <c:ser>
          <c:idx val="1"/>
          <c:order val="1"/>
          <c:tx>
            <c:strRef>
              <c:f>'KPI CAL'!$C$156:$C$157</c:f>
              <c:strCache>
                <c:ptCount val="1"/>
                <c:pt idx="0">
                  <c:v>Free</c:v>
                </c:pt>
              </c:strCache>
            </c:strRef>
          </c:tx>
          <c:spPr>
            <a:solidFill>
              <a:schemeClr val="accent2"/>
            </a:solidFill>
            <a:ln>
              <a:noFill/>
            </a:ln>
            <a:effectLst/>
          </c:spPr>
          <c:invertIfNegative val="0"/>
          <c:cat>
            <c:strRef>
              <c:f>'KPI CAL'!$A$158:$A$167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CAL'!$C$158:$C$167</c:f>
              <c:numCache>
                <c:formatCode>General</c:formatCode>
                <c:ptCount val="10"/>
                <c:pt idx="0">
                  <c:v>81</c:v>
                </c:pt>
                <c:pt idx="1">
                  <c:v>98</c:v>
                </c:pt>
                <c:pt idx="2">
                  <c:v>59</c:v>
                </c:pt>
                <c:pt idx="3">
                  <c:v>80</c:v>
                </c:pt>
                <c:pt idx="4">
                  <c:v>52</c:v>
                </c:pt>
                <c:pt idx="5">
                  <c:v>65</c:v>
                </c:pt>
                <c:pt idx="6">
                  <c:v>150</c:v>
                </c:pt>
                <c:pt idx="7">
                  <c:v>97</c:v>
                </c:pt>
                <c:pt idx="8">
                  <c:v>111</c:v>
                </c:pt>
                <c:pt idx="9">
                  <c:v>102</c:v>
                </c:pt>
              </c:numCache>
            </c:numRef>
          </c:val>
          <c:extLst>
            <c:ext xmlns:c16="http://schemas.microsoft.com/office/drawing/2014/chart" uri="{C3380CC4-5D6E-409C-BE32-E72D297353CC}">
              <c16:uniqueId val="{00000001-F91C-4CE6-9520-2B30B65E14FB}"/>
            </c:ext>
          </c:extLst>
        </c:ser>
        <c:ser>
          <c:idx val="2"/>
          <c:order val="2"/>
          <c:tx>
            <c:strRef>
              <c:f>'KPI CAL'!$D$156:$D$157</c:f>
              <c:strCache>
                <c:ptCount val="1"/>
                <c:pt idx="0">
                  <c:v>Plus</c:v>
                </c:pt>
              </c:strCache>
            </c:strRef>
          </c:tx>
          <c:spPr>
            <a:solidFill>
              <a:schemeClr val="accent3"/>
            </a:solidFill>
            <a:ln>
              <a:noFill/>
            </a:ln>
            <a:effectLst/>
          </c:spPr>
          <c:invertIfNegative val="0"/>
          <c:cat>
            <c:strRef>
              <c:f>'KPI CAL'!$A$158:$A$167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CAL'!$D$158:$D$167</c:f>
              <c:numCache>
                <c:formatCode>General</c:formatCode>
                <c:ptCount val="10"/>
                <c:pt idx="0">
                  <c:v>34</c:v>
                </c:pt>
                <c:pt idx="1">
                  <c:v>30</c:v>
                </c:pt>
                <c:pt idx="2">
                  <c:v>13</c:v>
                </c:pt>
                <c:pt idx="3">
                  <c:v>26</c:v>
                </c:pt>
                <c:pt idx="4">
                  <c:v>28</c:v>
                </c:pt>
                <c:pt idx="5">
                  <c:v>22</c:v>
                </c:pt>
                <c:pt idx="6">
                  <c:v>50</c:v>
                </c:pt>
                <c:pt idx="7">
                  <c:v>24</c:v>
                </c:pt>
                <c:pt idx="8">
                  <c:v>41</c:v>
                </c:pt>
                <c:pt idx="9">
                  <c:v>30</c:v>
                </c:pt>
              </c:numCache>
            </c:numRef>
          </c:val>
          <c:extLst>
            <c:ext xmlns:c16="http://schemas.microsoft.com/office/drawing/2014/chart" uri="{C3380CC4-5D6E-409C-BE32-E72D297353CC}">
              <c16:uniqueId val="{00000002-F91C-4CE6-9520-2B30B65E14FB}"/>
            </c:ext>
          </c:extLst>
        </c:ser>
        <c:ser>
          <c:idx val="3"/>
          <c:order val="3"/>
          <c:tx>
            <c:strRef>
              <c:f>'KPI CAL'!$E$156:$E$157</c:f>
              <c:strCache>
                <c:ptCount val="1"/>
                <c:pt idx="0">
                  <c:v>Premium</c:v>
                </c:pt>
              </c:strCache>
            </c:strRef>
          </c:tx>
          <c:spPr>
            <a:solidFill>
              <a:schemeClr val="accent4"/>
            </a:solidFill>
            <a:ln>
              <a:noFill/>
            </a:ln>
            <a:effectLst/>
          </c:spPr>
          <c:invertIfNegative val="0"/>
          <c:cat>
            <c:strRef>
              <c:f>'KPI CAL'!$A$158:$A$167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CAL'!$E$158:$E$167</c:f>
              <c:numCache>
                <c:formatCode>General</c:formatCode>
                <c:ptCount val="10"/>
                <c:pt idx="0">
                  <c:v>13</c:v>
                </c:pt>
                <c:pt idx="1">
                  <c:v>20</c:v>
                </c:pt>
                <c:pt idx="2">
                  <c:v>11</c:v>
                </c:pt>
                <c:pt idx="3">
                  <c:v>7</c:v>
                </c:pt>
                <c:pt idx="4">
                  <c:v>10</c:v>
                </c:pt>
                <c:pt idx="5">
                  <c:v>11</c:v>
                </c:pt>
                <c:pt idx="6">
                  <c:v>36</c:v>
                </c:pt>
                <c:pt idx="7">
                  <c:v>18</c:v>
                </c:pt>
                <c:pt idx="8">
                  <c:v>17</c:v>
                </c:pt>
                <c:pt idx="9">
                  <c:v>16</c:v>
                </c:pt>
              </c:numCache>
            </c:numRef>
          </c:val>
          <c:extLst>
            <c:ext xmlns:c16="http://schemas.microsoft.com/office/drawing/2014/chart" uri="{C3380CC4-5D6E-409C-BE32-E72D297353CC}">
              <c16:uniqueId val="{00000003-F91C-4CE6-9520-2B30B65E14FB}"/>
            </c:ext>
          </c:extLst>
        </c:ser>
        <c:ser>
          <c:idx val="4"/>
          <c:order val="4"/>
          <c:tx>
            <c:strRef>
              <c:f>'KPI CAL'!$F$156:$F$157</c:f>
              <c:strCache>
                <c:ptCount val="1"/>
                <c:pt idx="0">
                  <c:v>Pro</c:v>
                </c:pt>
              </c:strCache>
            </c:strRef>
          </c:tx>
          <c:spPr>
            <a:solidFill>
              <a:schemeClr val="accent5"/>
            </a:solidFill>
            <a:ln>
              <a:noFill/>
            </a:ln>
            <a:effectLst/>
          </c:spPr>
          <c:invertIfNegative val="0"/>
          <c:cat>
            <c:strRef>
              <c:f>'KPI CAL'!$A$158:$A$167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CAL'!$F$158:$F$167</c:f>
              <c:numCache>
                <c:formatCode>General</c:formatCode>
                <c:ptCount val="10"/>
                <c:pt idx="0">
                  <c:v>1</c:v>
                </c:pt>
                <c:pt idx="1">
                  <c:v>1</c:v>
                </c:pt>
                <c:pt idx="2">
                  <c:v>3</c:v>
                </c:pt>
                <c:pt idx="3">
                  <c:v>2</c:v>
                </c:pt>
                <c:pt idx="6">
                  <c:v>1</c:v>
                </c:pt>
              </c:numCache>
            </c:numRef>
          </c:val>
          <c:extLst>
            <c:ext xmlns:c16="http://schemas.microsoft.com/office/drawing/2014/chart" uri="{C3380CC4-5D6E-409C-BE32-E72D297353CC}">
              <c16:uniqueId val="{00000004-F91C-4CE6-9520-2B30B65E14FB}"/>
            </c:ext>
          </c:extLst>
        </c:ser>
        <c:dLbls>
          <c:showLegendKey val="0"/>
          <c:showVal val="0"/>
          <c:showCatName val="0"/>
          <c:showSerName val="0"/>
          <c:showPercent val="0"/>
          <c:showBubbleSize val="0"/>
        </c:dLbls>
        <c:gapWidth val="150"/>
        <c:overlap val="100"/>
        <c:axId val="1190582048"/>
        <c:axId val="1983246080"/>
      </c:barChart>
      <c:catAx>
        <c:axId val="11905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83246080"/>
        <c:crosses val="autoZero"/>
        <c:auto val="1"/>
        <c:lblAlgn val="ctr"/>
        <c:lblOffset val="100"/>
        <c:noMultiLvlLbl val="0"/>
      </c:catAx>
      <c:valAx>
        <c:axId val="1983246080"/>
        <c:scaling>
          <c:orientation val="minMax"/>
        </c:scaling>
        <c:delete val="1"/>
        <c:axPos val="l"/>
        <c:numFmt formatCode="General" sourceLinked="1"/>
        <c:majorTickMark val="none"/>
        <c:minorTickMark val="none"/>
        <c:tickLblPos val="nextTo"/>
        <c:crossAx val="119058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Total Revenue By Subscription Plan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3597322073871201E-2"/>
          <c:y val="6.3415053467661534E-2"/>
          <c:w val="0.93859120734908141"/>
          <c:h val="0.55213365636987688"/>
        </c:manualLayout>
      </c:layout>
      <c:barChart>
        <c:barDir val="col"/>
        <c:grouping val="clustered"/>
        <c:varyColors val="0"/>
        <c:ser>
          <c:idx val="0"/>
          <c:order val="0"/>
          <c:tx>
            <c:strRef>
              <c:f>'KPI CAL'!$B$188</c:f>
              <c:strCache>
                <c:ptCount val="1"/>
                <c:pt idx="0">
                  <c:v>Basic</c:v>
                </c:pt>
              </c:strCache>
            </c:strRef>
          </c:tx>
          <c:spPr>
            <a:solidFill>
              <a:schemeClr val="accent1"/>
            </a:solidFill>
            <a:ln>
              <a:noFill/>
            </a:ln>
            <a:effectLst/>
          </c:spPr>
          <c:invertIfNegative val="0"/>
          <c:cat>
            <c:strRef>
              <c:f>'KPI CAL'!$A$189:$A$198</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CAL'!$B$189:$B$198</c:f>
              <c:numCache>
                <c:formatCode>[$£-809]#,##0.00</c:formatCode>
                <c:ptCount val="10"/>
                <c:pt idx="0">
                  <c:v>0.22</c:v>
                </c:pt>
                <c:pt idx="1">
                  <c:v>0</c:v>
                </c:pt>
                <c:pt idx="2">
                  <c:v>0</c:v>
                </c:pt>
                <c:pt idx="3">
                  <c:v>0</c:v>
                </c:pt>
                <c:pt idx="4">
                  <c:v>3.26</c:v>
                </c:pt>
                <c:pt idx="5">
                  <c:v>0</c:v>
                </c:pt>
                <c:pt idx="6">
                  <c:v>1.7799999999999998</c:v>
                </c:pt>
                <c:pt idx="7">
                  <c:v>2.4700000000000002</c:v>
                </c:pt>
                <c:pt idx="8">
                  <c:v>0</c:v>
                </c:pt>
                <c:pt idx="9">
                  <c:v>3.0599999999999996</c:v>
                </c:pt>
              </c:numCache>
            </c:numRef>
          </c:val>
          <c:extLst>
            <c:ext xmlns:c16="http://schemas.microsoft.com/office/drawing/2014/chart" uri="{C3380CC4-5D6E-409C-BE32-E72D297353CC}">
              <c16:uniqueId val="{00000000-AE92-4735-A5ED-2F2A9DF82AD5}"/>
            </c:ext>
          </c:extLst>
        </c:ser>
        <c:ser>
          <c:idx val="1"/>
          <c:order val="1"/>
          <c:tx>
            <c:strRef>
              <c:f>'KPI CAL'!$C$188</c:f>
              <c:strCache>
                <c:ptCount val="1"/>
                <c:pt idx="0">
                  <c:v>Free</c:v>
                </c:pt>
              </c:strCache>
            </c:strRef>
          </c:tx>
          <c:spPr>
            <a:solidFill>
              <a:schemeClr val="accent2"/>
            </a:solidFill>
            <a:ln>
              <a:noFill/>
            </a:ln>
            <a:effectLst/>
          </c:spPr>
          <c:invertIfNegative val="0"/>
          <c:cat>
            <c:strRef>
              <c:f>'KPI CAL'!$A$189:$A$198</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CAL'!$C$189:$C$198</c:f>
              <c:numCache>
                <c:formatCode>[$£-809]#,##0.00</c:formatCode>
                <c:ptCount val="10"/>
                <c:pt idx="0">
                  <c:v>4.29</c:v>
                </c:pt>
                <c:pt idx="1">
                  <c:v>-10</c:v>
                </c:pt>
                <c:pt idx="2">
                  <c:v>0</c:v>
                </c:pt>
                <c:pt idx="3">
                  <c:v>0</c:v>
                </c:pt>
                <c:pt idx="4">
                  <c:v>47.879999999999995</c:v>
                </c:pt>
                <c:pt idx="5">
                  <c:v>0</c:v>
                </c:pt>
                <c:pt idx="6">
                  <c:v>23.110000000000007</c:v>
                </c:pt>
                <c:pt idx="7">
                  <c:v>112</c:v>
                </c:pt>
                <c:pt idx="8">
                  <c:v>0</c:v>
                </c:pt>
                <c:pt idx="9">
                  <c:v>38.450000000000003</c:v>
                </c:pt>
              </c:numCache>
            </c:numRef>
          </c:val>
          <c:extLst>
            <c:ext xmlns:c16="http://schemas.microsoft.com/office/drawing/2014/chart" uri="{C3380CC4-5D6E-409C-BE32-E72D297353CC}">
              <c16:uniqueId val="{00000001-AE92-4735-A5ED-2F2A9DF82AD5}"/>
            </c:ext>
          </c:extLst>
        </c:ser>
        <c:ser>
          <c:idx val="2"/>
          <c:order val="2"/>
          <c:tx>
            <c:strRef>
              <c:f>'KPI CAL'!$D$188</c:f>
              <c:strCache>
                <c:ptCount val="1"/>
                <c:pt idx="0">
                  <c:v>Plus</c:v>
                </c:pt>
              </c:strCache>
            </c:strRef>
          </c:tx>
          <c:spPr>
            <a:solidFill>
              <a:schemeClr val="accent3"/>
            </a:solidFill>
            <a:ln>
              <a:noFill/>
            </a:ln>
            <a:effectLst/>
          </c:spPr>
          <c:invertIfNegative val="0"/>
          <c:cat>
            <c:strRef>
              <c:f>'KPI CAL'!$A$189:$A$198</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CAL'!$D$189:$D$198</c:f>
              <c:numCache>
                <c:formatCode>[$£-809]#,##0.00</c:formatCode>
                <c:ptCount val="10"/>
                <c:pt idx="0">
                  <c:v>3.54</c:v>
                </c:pt>
                <c:pt idx="1">
                  <c:v>2.8899999999999992</c:v>
                </c:pt>
                <c:pt idx="2">
                  <c:v>1.6999999999999997</c:v>
                </c:pt>
                <c:pt idx="3">
                  <c:v>2.7199999999999993</c:v>
                </c:pt>
                <c:pt idx="4">
                  <c:v>28.440000000000005</c:v>
                </c:pt>
                <c:pt idx="5">
                  <c:v>2.8899999999999992</c:v>
                </c:pt>
                <c:pt idx="6">
                  <c:v>13.49</c:v>
                </c:pt>
                <c:pt idx="7">
                  <c:v>31.259999999999998</c:v>
                </c:pt>
                <c:pt idx="8">
                  <c:v>4.7599999999999989</c:v>
                </c:pt>
                <c:pt idx="9">
                  <c:v>16.059999999999999</c:v>
                </c:pt>
              </c:numCache>
            </c:numRef>
          </c:val>
          <c:extLst>
            <c:ext xmlns:c16="http://schemas.microsoft.com/office/drawing/2014/chart" uri="{C3380CC4-5D6E-409C-BE32-E72D297353CC}">
              <c16:uniqueId val="{00000002-AE92-4735-A5ED-2F2A9DF82AD5}"/>
            </c:ext>
          </c:extLst>
        </c:ser>
        <c:ser>
          <c:idx val="3"/>
          <c:order val="3"/>
          <c:tx>
            <c:strRef>
              <c:f>'KPI CAL'!$E$188</c:f>
              <c:strCache>
                <c:ptCount val="1"/>
                <c:pt idx="0">
                  <c:v>Premium</c:v>
                </c:pt>
              </c:strCache>
            </c:strRef>
          </c:tx>
          <c:spPr>
            <a:solidFill>
              <a:schemeClr val="accent4"/>
            </a:solidFill>
            <a:ln>
              <a:noFill/>
            </a:ln>
            <a:effectLst/>
          </c:spPr>
          <c:invertIfNegative val="0"/>
          <c:cat>
            <c:strRef>
              <c:f>'KPI CAL'!$A$189:$A$198</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CAL'!$E$189:$E$198</c:f>
              <c:numCache>
                <c:formatCode>[$£-809]#,##0.00</c:formatCode>
                <c:ptCount val="10"/>
                <c:pt idx="0">
                  <c:v>2.83</c:v>
                </c:pt>
                <c:pt idx="1">
                  <c:v>2.9600000000000004</c:v>
                </c:pt>
                <c:pt idx="2">
                  <c:v>2.9600000000000004</c:v>
                </c:pt>
                <c:pt idx="3">
                  <c:v>1.48</c:v>
                </c:pt>
                <c:pt idx="4">
                  <c:v>14.28</c:v>
                </c:pt>
                <c:pt idx="5">
                  <c:v>3.7000000000000006</c:v>
                </c:pt>
                <c:pt idx="6">
                  <c:v>17.679999999999993</c:v>
                </c:pt>
                <c:pt idx="7">
                  <c:v>23.810000000000002</c:v>
                </c:pt>
                <c:pt idx="8">
                  <c:v>4.8100000000000005</c:v>
                </c:pt>
                <c:pt idx="9">
                  <c:v>11.990000000000002</c:v>
                </c:pt>
              </c:numCache>
            </c:numRef>
          </c:val>
          <c:extLst>
            <c:ext xmlns:c16="http://schemas.microsoft.com/office/drawing/2014/chart" uri="{C3380CC4-5D6E-409C-BE32-E72D297353CC}">
              <c16:uniqueId val="{00000003-AE92-4735-A5ED-2F2A9DF82AD5}"/>
            </c:ext>
          </c:extLst>
        </c:ser>
        <c:ser>
          <c:idx val="4"/>
          <c:order val="4"/>
          <c:tx>
            <c:strRef>
              <c:f>'KPI CAL'!$F$188</c:f>
              <c:strCache>
                <c:ptCount val="1"/>
                <c:pt idx="0">
                  <c:v>Pro</c:v>
                </c:pt>
              </c:strCache>
            </c:strRef>
          </c:tx>
          <c:spPr>
            <a:solidFill>
              <a:schemeClr val="accent5"/>
            </a:solidFill>
            <a:ln>
              <a:noFill/>
            </a:ln>
            <a:effectLst/>
          </c:spPr>
          <c:invertIfNegative val="0"/>
          <c:cat>
            <c:strRef>
              <c:f>'KPI CAL'!$A$189:$A$198</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CAL'!$F$189:$F$198</c:f>
              <c:numCache>
                <c:formatCode>[$£-809]#,##0.00</c:formatCode>
                <c:ptCount val="10"/>
                <c:pt idx="0">
                  <c:v>0.45999999999999996</c:v>
                </c:pt>
                <c:pt idx="1">
                  <c:v>0</c:v>
                </c:pt>
                <c:pt idx="2">
                  <c:v>0.74</c:v>
                </c:pt>
                <c:pt idx="3">
                  <c:v>0.37</c:v>
                </c:pt>
                <c:pt idx="4">
                  <c:v>0</c:v>
                </c:pt>
                <c:pt idx="5">
                  <c:v>0</c:v>
                </c:pt>
                <c:pt idx="6">
                  <c:v>0.57000000000000006</c:v>
                </c:pt>
                <c:pt idx="7">
                  <c:v>0</c:v>
                </c:pt>
                <c:pt idx="8">
                  <c:v>0</c:v>
                </c:pt>
                <c:pt idx="9">
                  <c:v>0</c:v>
                </c:pt>
              </c:numCache>
            </c:numRef>
          </c:val>
          <c:extLst>
            <c:ext xmlns:c16="http://schemas.microsoft.com/office/drawing/2014/chart" uri="{C3380CC4-5D6E-409C-BE32-E72D297353CC}">
              <c16:uniqueId val="{00000004-AE92-4735-A5ED-2F2A9DF82AD5}"/>
            </c:ext>
          </c:extLst>
        </c:ser>
        <c:dLbls>
          <c:showLegendKey val="0"/>
          <c:showVal val="0"/>
          <c:showCatName val="0"/>
          <c:showSerName val="0"/>
          <c:showPercent val="0"/>
          <c:showBubbleSize val="0"/>
        </c:dLbls>
        <c:gapWidth val="223"/>
        <c:overlap val="-22"/>
        <c:axId val="1190460016"/>
        <c:axId val="1983231200"/>
      </c:barChart>
      <c:catAx>
        <c:axId val="119046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83231200"/>
        <c:crosses val="autoZero"/>
        <c:auto val="1"/>
        <c:lblAlgn val="ctr"/>
        <c:lblOffset val="100"/>
        <c:noMultiLvlLbl val="0"/>
      </c:catAx>
      <c:valAx>
        <c:axId val="1983231200"/>
        <c:scaling>
          <c:orientation val="minMax"/>
        </c:scaling>
        <c:delete val="1"/>
        <c:axPos val="l"/>
        <c:numFmt formatCode="[$£-809]#,##0.00" sourceLinked="1"/>
        <c:majorTickMark val="none"/>
        <c:minorTickMark val="none"/>
        <c:tickLblPos val="nextTo"/>
        <c:crossAx val="1190460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Lucida Console" panose="020B0609040504020204" pitchFamily="49" charset="0"/>
              </a:rPr>
              <a:t>Error</a:t>
            </a:r>
            <a:r>
              <a:rPr lang="en-US" b="1" baseline="0">
                <a:solidFill>
                  <a:sysClr val="windowText" lastClr="000000"/>
                </a:solidFill>
                <a:latin typeface="Lucida Console" panose="020B0609040504020204" pitchFamily="49" charset="0"/>
              </a:rPr>
              <a:t> Rate By Subscription Plan</a:t>
            </a:r>
            <a:endParaRPr lang="en-US"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071456692913385"/>
          <c:y val="0.11620370370370373"/>
          <c:w val="0.74872987751531062"/>
          <c:h val="0.81043708078156895"/>
        </c:manualLayout>
      </c:layout>
      <c:barChart>
        <c:barDir val="bar"/>
        <c:grouping val="stacked"/>
        <c:varyColors val="0"/>
        <c:ser>
          <c:idx val="0"/>
          <c:order val="0"/>
          <c:tx>
            <c:strRef>
              <c:f>'KPI CAL'!$B$217</c:f>
              <c:strCache>
                <c:ptCount val="1"/>
                <c:pt idx="0">
                  <c:v>Basic</c:v>
                </c:pt>
              </c:strCache>
            </c:strRef>
          </c:tx>
          <c:spPr>
            <a:solidFill>
              <a:schemeClr val="accent1"/>
            </a:solidFill>
            <a:ln>
              <a:noFill/>
            </a:ln>
            <a:effectLst/>
          </c:spPr>
          <c:invertIfNegative val="0"/>
          <c:cat>
            <c:strRef>
              <c:f>'KPI CAL'!$A$218:$A$227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CAL'!$B$218:$B$227</c:f>
              <c:numCache>
                <c:formatCode>0.00%</c:formatCode>
                <c:ptCount val="10"/>
                <c:pt idx="0">
                  <c:v>0</c:v>
                </c:pt>
                <c:pt idx="1">
                  <c:v>0.33333333333333331</c:v>
                </c:pt>
                <c:pt idx="2">
                  <c:v>0</c:v>
                </c:pt>
                <c:pt idx="3">
                  <c:v>0.25</c:v>
                </c:pt>
                <c:pt idx="4">
                  <c:v>0.33333333333333331</c:v>
                </c:pt>
                <c:pt idx="5">
                  <c:v>0</c:v>
                </c:pt>
                <c:pt idx="6">
                  <c:v>0.25</c:v>
                </c:pt>
                <c:pt idx="7">
                  <c:v>0.2857142857142857</c:v>
                </c:pt>
                <c:pt idx="8">
                  <c:v>0.4</c:v>
                </c:pt>
                <c:pt idx="9">
                  <c:v>0.2857142857142857</c:v>
                </c:pt>
              </c:numCache>
            </c:numRef>
          </c:val>
          <c:extLst>
            <c:ext xmlns:c16="http://schemas.microsoft.com/office/drawing/2014/chart" uri="{C3380CC4-5D6E-409C-BE32-E72D297353CC}">
              <c16:uniqueId val="{00000000-7AF0-45B4-A6B2-56BAA8D464A9}"/>
            </c:ext>
          </c:extLst>
        </c:ser>
        <c:ser>
          <c:idx val="1"/>
          <c:order val="1"/>
          <c:tx>
            <c:strRef>
              <c:f>'KPI CAL'!$C$217</c:f>
              <c:strCache>
                <c:ptCount val="1"/>
                <c:pt idx="0">
                  <c:v>Free</c:v>
                </c:pt>
              </c:strCache>
            </c:strRef>
          </c:tx>
          <c:spPr>
            <a:solidFill>
              <a:schemeClr val="accent2"/>
            </a:solidFill>
            <a:ln>
              <a:noFill/>
            </a:ln>
            <a:effectLst/>
          </c:spPr>
          <c:invertIfNegative val="0"/>
          <c:cat>
            <c:strRef>
              <c:f>'KPI CAL'!$A$218:$A$227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CAL'!$C$218:$C$227</c:f>
              <c:numCache>
                <c:formatCode>0.00%</c:formatCode>
                <c:ptCount val="10"/>
                <c:pt idx="0">
                  <c:v>0.23456790123456789</c:v>
                </c:pt>
                <c:pt idx="1">
                  <c:v>0.26530612244897961</c:v>
                </c:pt>
                <c:pt idx="2">
                  <c:v>8.4745762711864403E-2</c:v>
                </c:pt>
                <c:pt idx="3">
                  <c:v>0.1875</c:v>
                </c:pt>
                <c:pt idx="4">
                  <c:v>0.23076923076923078</c:v>
                </c:pt>
                <c:pt idx="5">
                  <c:v>0.1076923076923077</c:v>
                </c:pt>
                <c:pt idx="6">
                  <c:v>0.16666666666666666</c:v>
                </c:pt>
                <c:pt idx="7">
                  <c:v>0.23711340206185566</c:v>
                </c:pt>
                <c:pt idx="8">
                  <c:v>0.1891891891891892</c:v>
                </c:pt>
                <c:pt idx="9">
                  <c:v>8.8235294117647065E-2</c:v>
                </c:pt>
              </c:numCache>
            </c:numRef>
          </c:val>
          <c:extLst>
            <c:ext xmlns:c16="http://schemas.microsoft.com/office/drawing/2014/chart" uri="{C3380CC4-5D6E-409C-BE32-E72D297353CC}">
              <c16:uniqueId val="{00000001-7AF0-45B4-A6B2-56BAA8D464A9}"/>
            </c:ext>
          </c:extLst>
        </c:ser>
        <c:ser>
          <c:idx val="2"/>
          <c:order val="2"/>
          <c:tx>
            <c:strRef>
              <c:f>'KPI CAL'!$D$217</c:f>
              <c:strCache>
                <c:ptCount val="1"/>
                <c:pt idx="0">
                  <c:v>Plus</c:v>
                </c:pt>
              </c:strCache>
            </c:strRef>
          </c:tx>
          <c:spPr>
            <a:solidFill>
              <a:schemeClr val="accent3"/>
            </a:solidFill>
            <a:ln>
              <a:noFill/>
            </a:ln>
            <a:effectLst/>
          </c:spPr>
          <c:invertIfNegative val="0"/>
          <c:cat>
            <c:strRef>
              <c:f>'KPI CAL'!$A$218:$A$227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CAL'!$D$218:$D$227</c:f>
              <c:numCache>
                <c:formatCode>0.00%</c:formatCode>
                <c:ptCount val="10"/>
                <c:pt idx="0">
                  <c:v>0.30303030303030304</c:v>
                </c:pt>
                <c:pt idx="1">
                  <c:v>0.1</c:v>
                </c:pt>
                <c:pt idx="2">
                  <c:v>0.15384615384615385</c:v>
                </c:pt>
                <c:pt idx="3">
                  <c:v>0.08</c:v>
                </c:pt>
                <c:pt idx="4">
                  <c:v>0.39285714285714285</c:v>
                </c:pt>
                <c:pt idx="5">
                  <c:v>4.5454545454545456E-2</c:v>
                </c:pt>
                <c:pt idx="6">
                  <c:v>0.08</c:v>
                </c:pt>
                <c:pt idx="7">
                  <c:v>0.29166666666666669</c:v>
                </c:pt>
                <c:pt idx="8">
                  <c:v>0.21951219512195122</c:v>
                </c:pt>
                <c:pt idx="9">
                  <c:v>0.1</c:v>
                </c:pt>
              </c:numCache>
            </c:numRef>
          </c:val>
          <c:extLst>
            <c:ext xmlns:c16="http://schemas.microsoft.com/office/drawing/2014/chart" uri="{C3380CC4-5D6E-409C-BE32-E72D297353CC}">
              <c16:uniqueId val="{00000002-7AF0-45B4-A6B2-56BAA8D464A9}"/>
            </c:ext>
          </c:extLst>
        </c:ser>
        <c:ser>
          <c:idx val="3"/>
          <c:order val="3"/>
          <c:tx>
            <c:strRef>
              <c:f>'KPI CAL'!$E$217</c:f>
              <c:strCache>
                <c:ptCount val="1"/>
                <c:pt idx="0">
                  <c:v>Premium</c:v>
                </c:pt>
              </c:strCache>
            </c:strRef>
          </c:tx>
          <c:spPr>
            <a:solidFill>
              <a:schemeClr val="accent4"/>
            </a:solidFill>
            <a:ln>
              <a:noFill/>
            </a:ln>
            <a:effectLst/>
          </c:spPr>
          <c:invertIfNegative val="0"/>
          <c:cat>
            <c:strRef>
              <c:f>'KPI CAL'!$A$218:$A$227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CAL'!$E$218:$E$227</c:f>
              <c:numCache>
                <c:formatCode>0.00%</c:formatCode>
                <c:ptCount val="10"/>
                <c:pt idx="0">
                  <c:v>0.15384615384615385</c:v>
                </c:pt>
                <c:pt idx="1">
                  <c:v>0.15789473684210525</c:v>
                </c:pt>
                <c:pt idx="2">
                  <c:v>0.45454545454545453</c:v>
                </c:pt>
                <c:pt idx="3">
                  <c:v>0.14285714285714285</c:v>
                </c:pt>
                <c:pt idx="4">
                  <c:v>0.2</c:v>
                </c:pt>
                <c:pt idx="5">
                  <c:v>0.18181818181818182</c:v>
                </c:pt>
                <c:pt idx="6">
                  <c:v>5.7142857142857141E-2</c:v>
                </c:pt>
                <c:pt idx="7">
                  <c:v>0.22222222222222221</c:v>
                </c:pt>
                <c:pt idx="8">
                  <c:v>0.17647058823529413</c:v>
                </c:pt>
                <c:pt idx="9">
                  <c:v>0.25</c:v>
                </c:pt>
              </c:numCache>
            </c:numRef>
          </c:val>
          <c:extLst>
            <c:ext xmlns:c16="http://schemas.microsoft.com/office/drawing/2014/chart" uri="{C3380CC4-5D6E-409C-BE32-E72D297353CC}">
              <c16:uniqueId val="{00000003-7AF0-45B4-A6B2-56BAA8D464A9}"/>
            </c:ext>
          </c:extLst>
        </c:ser>
        <c:ser>
          <c:idx val="4"/>
          <c:order val="4"/>
          <c:tx>
            <c:strRef>
              <c:f>'KPI CAL'!$F$217</c:f>
              <c:strCache>
                <c:ptCount val="1"/>
                <c:pt idx="0">
                  <c:v>Pro</c:v>
                </c:pt>
              </c:strCache>
            </c:strRef>
          </c:tx>
          <c:spPr>
            <a:solidFill>
              <a:schemeClr val="accent5"/>
            </a:solidFill>
            <a:ln>
              <a:noFill/>
            </a:ln>
            <a:effectLst/>
          </c:spPr>
          <c:invertIfNegative val="0"/>
          <c:cat>
            <c:strRef>
              <c:f>'KPI CAL'!$A$218:$A$227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CAL'!$F$218:$F$227</c:f>
              <c:numCache>
                <c:formatCode>0.00%</c:formatCode>
                <c:ptCount val="10"/>
                <c:pt idx="0">
                  <c:v>0</c:v>
                </c:pt>
                <c:pt idx="1">
                  <c:v>1</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4-7AF0-45B4-A6B2-56BAA8D464A9}"/>
            </c:ext>
          </c:extLst>
        </c:ser>
        <c:dLbls>
          <c:showLegendKey val="0"/>
          <c:showVal val="0"/>
          <c:showCatName val="0"/>
          <c:showSerName val="0"/>
          <c:showPercent val="0"/>
          <c:showBubbleSize val="0"/>
        </c:dLbls>
        <c:gapWidth val="150"/>
        <c:overlap val="100"/>
        <c:axId val="1170054800"/>
        <c:axId val="1560562272"/>
      </c:barChart>
      <c:catAx>
        <c:axId val="11700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560562272"/>
        <c:crosses val="autoZero"/>
        <c:auto val="1"/>
        <c:lblAlgn val="ctr"/>
        <c:lblOffset val="100"/>
        <c:noMultiLvlLbl val="0"/>
      </c:catAx>
      <c:valAx>
        <c:axId val="1560562272"/>
        <c:scaling>
          <c:orientation val="minMax"/>
        </c:scaling>
        <c:delete val="1"/>
        <c:axPos val="b"/>
        <c:numFmt formatCode="0.00%" sourceLinked="1"/>
        <c:majorTickMark val="none"/>
        <c:minorTickMark val="none"/>
        <c:tickLblPos val="nextTo"/>
        <c:crossAx val="1170054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30-Days Retention By Subscription</a:t>
            </a:r>
            <a:r>
              <a:rPr lang="en-US" sz="1200" b="1" baseline="0">
                <a:solidFill>
                  <a:sysClr val="windowText" lastClr="000000"/>
                </a:solidFill>
                <a:latin typeface="Lucida Console" panose="020B0609040504020204" pitchFamily="49" charset="0"/>
              </a:rPr>
              <a:t> Plan</a:t>
            </a:r>
            <a:endParaRPr lang="en-US" sz="12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878678517458044E-2"/>
          <c:y val="0.19953051643192488"/>
          <c:w val="0.92339909926031971"/>
          <c:h val="0.40848582307493247"/>
        </c:manualLayout>
      </c:layout>
      <c:barChart>
        <c:barDir val="col"/>
        <c:grouping val="clustered"/>
        <c:varyColors val="0"/>
        <c:ser>
          <c:idx val="0"/>
          <c:order val="0"/>
          <c:tx>
            <c:strRef>
              <c:f>'KPI CAL'!$B$246</c:f>
              <c:strCache>
                <c:ptCount val="1"/>
                <c:pt idx="0">
                  <c:v>Basic</c:v>
                </c:pt>
              </c:strCache>
            </c:strRef>
          </c:tx>
          <c:spPr>
            <a:solidFill>
              <a:schemeClr val="accent1"/>
            </a:solidFill>
            <a:ln>
              <a:noFill/>
            </a:ln>
            <a:effectLst/>
          </c:spPr>
          <c:invertIfNegative val="0"/>
          <c:cat>
            <c:strRef>
              <c:f>'KPI CAL'!$A$247:$A$256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CAL'!$B$247:$B$256</c:f>
              <c:numCache>
                <c:formatCode>0.00%</c:formatCode>
                <c:ptCount val="10"/>
                <c:pt idx="0">
                  <c:v>0.66666666666666663</c:v>
                </c:pt>
                <c:pt idx="1">
                  <c:v>0.33333333333333331</c:v>
                </c:pt>
                <c:pt idx="2">
                  <c:v>0.33333333333333331</c:v>
                </c:pt>
                <c:pt idx="3">
                  <c:v>0.5</c:v>
                </c:pt>
                <c:pt idx="4">
                  <c:v>0.33333333333333331</c:v>
                </c:pt>
                <c:pt idx="5">
                  <c:v>0.66666666666666663</c:v>
                </c:pt>
                <c:pt idx="6">
                  <c:v>0.5</c:v>
                </c:pt>
                <c:pt idx="7">
                  <c:v>0.5714285714285714</c:v>
                </c:pt>
                <c:pt idx="8">
                  <c:v>0.2</c:v>
                </c:pt>
                <c:pt idx="9">
                  <c:v>0.5714285714285714</c:v>
                </c:pt>
              </c:numCache>
            </c:numRef>
          </c:val>
          <c:extLst>
            <c:ext xmlns:c16="http://schemas.microsoft.com/office/drawing/2014/chart" uri="{C3380CC4-5D6E-409C-BE32-E72D297353CC}">
              <c16:uniqueId val="{00000000-6ADC-478B-ACE5-0094457A69F5}"/>
            </c:ext>
          </c:extLst>
        </c:ser>
        <c:ser>
          <c:idx val="1"/>
          <c:order val="1"/>
          <c:tx>
            <c:strRef>
              <c:f>'KPI CAL'!$C$246</c:f>
              <c:strCache>
                <c:ptCount val="1"/>
                <c:pt idx="0">
                  <c:v>Free</c:v>
                </c:pt>
              </c:strCache>
            </c:strRef>
          </c:tx>
          <c:spPr>
            <a:solidFill>
              <a:schemeClr val="accent2"/>
            </a:solidFill>
            <a:ln>
              <a:noFill/>
            </a:ln>
            <a:effectLst/>
          </c:spPr>
          <c:invertIfNegative val="0"/>
          <c:cat>
            <c:strRef>
              <c:f>'KPI CAL'!$A$247:$A$256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CAL'!$C$247:$C$256</c:f>
              <c:numCache>
                <c:formatCode>0.00%</c:formatCode>
                <c:ptCount val="10"/>
                <c:pt idx="0">
                  <c:v>0.5625</c:v>
                </c:pt>
                <c:pt idx="1">
                  <c:v>0.54166666666666663</c:v>
                </c:pt>
                <c:pt idx="2">
                  <c:v>0.83050847457627119</c:v>
                </c:pt>
                <c:pt idx="3">
                  <c:v>0.47435897435897434</c:v>
                </c:pt>
                <c:pt idx="4">
                  <c:v>0.5</c:v>
                </c:pt>
                <c:pt idx="5">
                  <c:v>0.75</c:v>
                </c:pt>
                <c:pt idx="6">
                  <c:v>0.77852348993288589</c:v>
                </c:pt>
                <c:pt idx="7">
                  <c:v>0.49484536082474229</c:v>
                </c:pt>
                <c:pt idx="8">
                  <c:v>0.69369369369369371</c:v>
                </c:pt>
                <c:pt idx="9">
                  <c:v>0.72</c:v>
                </c:pt>
              </c:numCache>
            </c:numRef>
          </c:val>
          <c:extLst>
            <c:ext xmlns:c16="http://schemas.microsoft.com/office/drawing/2014/chart" uri="{C3380CC4-5D6E-409C-BE32-E72D297353CC}">
              <c16:uniqueId val="{00000001-6ADC-478B-ACE5-0094457A69F5}"/>
            </c:ext>
          </c:extLst>
        </c:ser>
        <c:ser>
          <c:idx val="2"/>
          <c:order val="2"/>
          <c:tx>
            <c:strRef>
              <c:f>'KPI CAL'!$D$246</c:f>
              <c:strCache>
                <c:ptCount val="1"/>
                <c:pt idx="0">
                  <c:v>Plus</c:v>
                </c:pt>
              </c:strCache>
            </c:strRef>
          </c:tx>
          <c:spPr>
            <a:solidFill>
              <a:schemeClr val="accent3"/>
            </a:solidFill>
            <a:ln>
              <a:noFill/>
            </a:ln>
            <a:effectLst/>
          </c:spPr>
          <c:invertIfNegative val="0"/>
          <c:cat>
            <c:strRef>
              <c:f>'KPI CAL'!$A$247:$A$256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CAL'!$D$247:$D$256</c:f>
              <c:numCache>
                <c:formatCode>0.00%</c:formatCode>
                <c:ptCount val="10"/>
                <c:pt idx="0">
                  <c:v>0.58823529411764708</c:v>
                </c:pt>
                <c:pt idx="1">
                  <c:v>0.53333333333333333</c:v>
                </c:pt>
                <c:pt idx="2">
                  <c:v>0.61538461538461542</c:v>
                </c:pt>
                <c:pt idx="3">
                  <c:v>0.53846153846153844</c:v>
                </c:pt>
                <c:pt idx="4">
                  <c:v>0.42857142857142855</c:v>
                </c:pt>
                <c:pt idx="5">
                  <c:v>0.61904761904761907</c:v>
                </c:pt>
                <c:pt idx="6">
                  <c:v>0.76</c:v>
                </c:pt>
                <c:pt idx="7">
                  <c:v>0.45833333333333331</c:v>
                </c:pt>
                <c:pt idx="8">
                  <c:v>0.48780487804878048</c:v>
                </c:pt>
                <c:pt idx="9">
                  <c:v>0.73333333333333328</c:v>
                </c:pt>
              </c:numCache>
            </c:numRef>
          </c:val>
          <c:extLst>
            <c:ext xmlns:c16="http://schemas.microsoft.com/office/drawing/2014/chart" uri="{C3380CC4-5D6E-409C-BE32-E72D297353CC}">
              <c16:uniqueId val="{00000002-6ADC-478B-ACE5-0094457A69F5}"/>
            </c:ext>
          </c:extLst>
        </c:ser>
        <c:ser>
          <c:idx val="3"/>
          <c:order val="3"/>
          <c:tx>
            <c:strRef>
              <c:f>'KPI CAL'!$E$246</c:f>
              <c:strCache>
                <c:ptCount val="1"/>
                <c:pt idx="0">
                  <c:v>Prenium</c:v>
                </c:pt>
              </c:strCache>
            </c:strRef>
          </c:tx>
          <c:spPr>
            <a:solidFill>
              <a:schemeClr val="accent4"/>
            </a:solidFill>
            <a:ln>
              <a:noFill/>
            </a:ln>
            <a:effectLst/>
          </c:spPr>
          <c:invertIfNegative val="0"/>
          <c:cat>
            <c:strRef>
              <c:f>'KPI CAL'!$A$247:$A$256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CAL'!$E$247:$E$256</c:f>
              <c:numCache>
                <c:formatCode>0.00%</c:formatCode>
                <c:ptCount val="10"/>
                <c:pt idx="0">
                  <c:v>0.33333333333333331</c:v>
                </c:pt>
                <c:pt idx="1">
                  <c:v>0.55000000000000004</c:v>
                </c:pt>
                <c:pt idx="2">
                  <c:v>0.90909090909090906</c:v>
                </c:pt>
                <c:pt idx="3">
                  <c:v>0.7142857142857143</c:v>
                </c:pt>
                <c:pt idx="4">
                  <c:v>0.5</c:v>
                </c:pt>
                <c:pt idx="5">
                  <c:v>0.77777777777777779</c:v>
                </c:pt>
                <c:pt idx="6">
                  <c:v>0.75</c:v>
                </c:pt>
                <c:pt idx="7">
                  <c:v>0.72222222222222221</c:v>
                </c:pt>
                <c:pt idx="8">
                  <c:v>0.70588235294117652</c:v>
                </c:pt>
                <c:pt idx="9">
                  <c:v>0.8125</c:v>
                </c:pt>
              </c:numCache>
            </c:numRef>
          </c:val>
          <c:extLst>
            <c:ext xmlns:c16="http://schemas.microsoft.com/office/drawing/2014/chart" uri="{C3380CC4-5D6E-409C-BE32-E72D297353CC}">
              <c16:uniqueId val="{00000003-6ADC-478B-ACE5-0094457A69F5}"/>
            </c:ext>
          </c:extLst>
        </c:ser>
        <c:ser>
          <c:idx val="4"/>
          <c:order val="4"/>
          <c:tx>
            <c:strRef>
              <c:f>'KPI CAL'!$F$246</c:f>
              <c:strCache>
                <c:ptCount val="1"/>
                <c:pt idx="0">
                  <c:v>Pro</c:v>
                </c:pt>
              </c:strCache>
            </c:strRef>
          </c:tx>
          <c:spPr>
            <a:solidFill>
              <a:schemeClr val="accent5"/>
            </a:solidFill>
            <a:ln>
              <a:noFill/>
            </a:ln>
            <a:effectLst/>
          </c:spPr>
          <c:invertIfNegative val="0"/>
          <c:cat>
            <c:strRef>
              <c:f>'KPI CAL'!$A$247:$A$256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CAL'!$F$247:$F$256</c:f>
              <c:numCache>
                <c:formatCode>0.00%</c:formatCode>
                <c:ptCount val="10"/>
                <c:pt idx="0">
                  <c:v>1</c:v>
                </c:pt>
                <c:pt idx="1">
                  <c:v>0</c:v>
                </c:pt>
                <c:pt idx="2">
                  <c:v>0.66666666666666663</c:v>
                </c:pt>
                <c:pt idx="3">
                  <c:v>0.5</c:v>
                </c:pt>
                <c:pt idx="4">
                  <c:v>0</c:v>
                </c:pt>
                <c:pt idx="5">
                  <c:v>0</c:v>
                </c:pt>
                <c:pt idx="6">
                  <c:v>0</c:v>
                </c:pt>
                <c:pt idx="7">
                  <c:v>0</c:v>
                </c:pt>
                <c:pt idx="8">
                  <c:v>0</c:v>
                </c:pt>
                <c:pt idx="9">
                  <c:v>0</c:v>
                </c:pt>
              </c:numCache>
            </c:numRef>
          </c:val>
          <c:extLst>
            <c:ext xmlns:c16="http://schemas.microsoft.com/office/drawing/2014/chart" uri="{C3380CC4-5D6E-409C-BE32-E72D297353CC}">
              <c16:uniqueId val="{00000004-6ADC-478B-ACE5-0094457A69F5}"/>
            </c:ext>
          </c:extLst>
        </c:ser>
        <c:dLbls>
          <c:showLegendKey val="0"/>
          <c:showVal val="0"/>
          <c:showCatName val="0"/>
          <c:showSerName val="0"/>
          <c:showPercent val="0"/>
          <c:showBubbleSize val="0"/>
        </c:dLbls>
        <c:gapWidth val="182"/>
        <c:axId val="2056786640"/>
        <c:axId val="1954634176"/>
      </c:barChart>
      <c:catAx>
        <c:axId val="20567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54634176"/>
        <c:crosses val="autoZero"/>
        <c:auto val="1"/>
        <c:lblAlgn val="ctr"/>
        <c:lblOffset val="100"/>
        <c:noMultiLvlLbl val="0"/>
      </c:catAx>
      <c:valAx>
        <c:axId val="1954634176"/>
        <c:scaling>
          <c:orientation val="minMax"/>
        </c:scaling>
        <c:delete val="1"/>
        <c:axPos val="l"/>
        <c:numFmt formatCode="0.00%" sourceLinked="1"/>
        <c:majorTickMark val="none"/>
        <c:minorTickMark val="none"/>
        <c:tickLblPos val="nextTo"/>
        <c:crossAx val="2056786640"/>
        <c:crosses val="autoZero"/>
        <c:crossBetween val="between"/>
      </c:valAx>
      <c:spPr>
        <a:noFill/>
        <a:ln>
          <a:noFill/>
        </a:ln>
        <a:effectLst/>
      </c:spPr>
    </c:plotArea>
    <c:legend>
      <c:legendPos val="b"/>
      <c:layout>
        <c:manualLayout>
          <c:xMode val="edge"/>
          <c:yMode val="edge"/>
          <c:x val="0.27785855603276866"/>
          <c:y val="0.91935556911019922"/>
          <c:w val="0.44428263938598583"/>
          <c:h val="8.0644430889800764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Fintech 102(AutoRecovered).xlsx]KPI CAL!PivotTable15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Lucida Console" panose="020B0609040504020204" pitchFamily="49" charset="0"/>
              </a:rPr>
              <a:t>Feature Interactions</a:t>
            </a:r>
            <a:r>
              <a:rPr lang="en-US" b="1" baseline="0">
                <a:solidFill>
                  <a:sysClr val="windowText" lastClr="000000"/>
                </a:solidFill>
                <a:latin typeface="Lucida Console" panose="020B0609040504020204" pitchFamily="49" charset="0"/>
              </a:rPr>
              <a:t> By Gender</a:t>
            </a:r>
            <a:endParaRPr lang="en-US"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AD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CAL'!$B$261:$B$262</c:f>
              <c:strCache>
                <c:ptCount val="1"/>
                <c:pt idx="0">
                  <c:v>Female</c:v>
                </c:pt>
              </c:strCache>
            </c:strRef>
          </c:tx>
          <c:spPr>
            <a:solidFill>
              <a:srgbClr val="FFAD3D"/>
            </a:solidFill>
            <a:ln>
              <a:noFill/>
            </a:ln>
            <a:effectLst/>
          </c:spPr>
          <c:invertIfNegative val="0"/>
          <c:cat>
            <c:strRef>
              <c:f>'KPI CAL'!$A$263:$A$272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CAL'!$B$263:$B$272</c:f>
              <c:numCache>
                <c:formatCode>General</c:formatCode>
                <c:ptCount val="10"/>
                <c:pt idx="0">
                  <c:v>68</c:v>
                </c:pt>
                <c:pt idx="1">
                  <c:v>72</c:v>
                </c:pt>
                <c:pt idx="2">
                  <c:v>35</c:v>
                </c:pt>
                <c:pt idx="3">
                  <c:v>53</c:v>
                </c:pt>
                <c:pt idx="4">
                  <c:v>54</c:v>
                </c:pt>
                <c:pt idx="5">
                  <c:v>55</c:v>
                </c:pt>
                <c:pt idx="6">
                  <c:v>109</c:v>
                </c:pt>
                <c:pt idx="7">
                  <c:v>74</c:v>
                </c:pt>
                <c:pt idx="8">
                  <c:v>95</c:v>
                </c:pt>
                <c:pt idx="9">
                  <c:v>82</c:v>
                </c:pt>
              </c:numCache>
            </c:numRef>
          </c:val>
          <c:extLst>
            <c:ext xmlns:c16="http://schemas.microsoft.com/office/drawing/2014/chart" uri="{C3380CC4-5D6E-409C-BE32-E72D297353CC}">
              <c16:uniqueId val="{00000000-F35F-4505-88BD-FCD0DA00F309}"/>
            </c:ext>
          </c:extLst>
        </c:ser>
        <c:ser>
          <c:idx val="1"/>
          <c:order val="1"/>
          <c:tx>
            <c:strRef>
              <c:f>'KPI CAL'!$C$261:$C$262</c:f>
              <c:strCache>
                <c:ptCount val="1"/>
                <c:pt idx="0">
                  <c:v>Male</c:v>
                </c:pt>
              </c:strCache>
            </c:strRef>
          </c:tx>
          <c:spPr>
            <a:solidFill>
              <a:srgbClr val="00B050"/>
            </a:solidFill>
            <a:ln>
              <a:noFill/>
            </a:ln>
            <a:effectLst/>
          </c:spPr>
          <c:invertIfNegative val="0"/>
          <c:cat>
            <c:strRef>
              <c:f>'KPI CAL'!$A$263:$A$272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CAL'!$C$263:$C$272</c:f>
              <c:numCache>
                <c:formatCode>General</c:formatCode>
                <c:ptCount val="10"/>
                <c:pt idx="0">
                  <c:v>61</c:v>
                </c:pt>
                <c:pt idx="1">
                  <c:v>75</c:v>
                </c:pt>
                <c:pt idx="2">
                  <c:v>49</c:v>
                </c:pt>
                <c:pt idx="3">
                  <c:v>62</c:v>
                </c:pt>
                <c:pt idx="4">
                  <c:v>41</c:v>
                </c:pt>
                <c:pt idx="5">
                  <c:v>41</c:v>
                </c:pt>
                <c:pt idx="6">
                  <c:v>131</c:v>
                </c:pt>
                <c:pt idx="7">
                  <c:v>70</c:v>
                </c:pt>
                <c:pt idx="8">
                  <c:v>71</c:v>
                </c:pt>
                <c:pt idx="9">
                  <c:v>68</c:v>
                </c:pt>
              </c:numCache>
            </c:numRef>
          </c:val>
          <c:extLst>
            <c:ext xmlns:c16="http://schemas.microsoft.com/office/drawing/2014/chart" uri="{C3380CC4-5D6E-409C-BE32-E72D297353CC}">
              <c16:uniqueId val="{00000001-F35F-4505-88BD-FCD0DA00F309}"/>
            </c:ext>
          </c:extLst>
        </c:ser>
        <c:dLbls>
          <c:showLegendKey val="0"/>
          <c:showVal val="0"/>
          <c:showCatName val="0"/>
          <c:showSerName val="0"/>
          <c:showPercent val="0"/>
          <c:showBubbleSize val="0"/>
        </c:dLbls>
        <c:gapWidth val="207"/>
        <c:overlap val="-13"/>
        <c:axId val="1166793216"/>
        <c:axId val="1983234080"/>
      </c:barChart>
      <c:catAx>
        <c:axId val="116679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983234080"/>
        <c:crosses val="autoZero"/>
        <c:auto val="1"/>
        <c:lblAlgn val="ctr"/>
        <c:lblOffset val="100"/>
        <c:noMultiLvlLbl val="0"/>
      </c:catAx>
      <c:valAx>
        <c:axId val="1983234080"/>
        <c:scaling>
          <c:orientation val="minMax"/>
        </c:scaling>
        <c:delete val="1"/>
        <c:axPos val="l"/>
        <c:numFmt formatCode="General" sourceLinked="1"/>
        <c:majorTickMark val="none"/>
        <c:minorTickMark val="none"/>
        <c:tickLblPos val="nextTo"/>
        <c:crossAx val="1166793216"/>
        <c:crosses val="autoZero"/>
        <c:crossBetween val="between"/>
      </c:valAx>
      <c:spPr>
        <a:noFill/>
        <a:ln>
          <a:noFill/>
        </a:ln>
        <a:effectLst/>
      </c:spPr>
    </c:plotArea>
    <c:legend>
      <c:legendPos val="r"/>
      <c:layout>
        <c:manualLayout>
          <c:xMode val="edge"/>
          <c:yMode val="edge"/>
          <c:x val="0.88435501618998646"/>
          <c:y val="0.42662479289960714"/>
          <c:w val="9.846285322582099E-2"/>
          <c:h val="0.18558950937790908"/>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Success Rate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564282589676291"/>
          <c:y val="0.11157407407407409"/>
          <c:w val="0.62864829396325461"/>
          <c:h val="0.86527777777777781"/>
        </c:manualLayout>
      </c:layout>
      <c:barChart>
        <c:barDir val="bar"/>
        <c:grouping val="stacked"/>
        <c:varyColors val="0"/>
        <c:ser>
          <c:idx val="0"/>
          <c:order val="0"/>
          <c:tx>
            <c:strRef>
              <c:f>'KPI CAL'!$B$292</c:f>
              <c:strCache>
                <c:ptCount val="1"/>
                <c:pt idx="0">
                  <c:v>Female</c:v>
                </c:pt>
              </c:strCache>
            </c:strRef>
          </c:tx>
          <c:spPr>
            <a:solidFill>
              <a:srgbClr val="FFAD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CAL'!$A$293:$A$302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CAL'!$B$293:$B$302</c:f>
              <c:numCache>
                <c:formatCode>0.00%</c:formatCode>
                <c:ptCount val="10"/>
                <c:pt idx="0">
                  <c:v>0.54545454545454541</c:v>
                </c:pt>
                <c:pt idx="1">
                  <c:v>0.40277777777777779</c:v>
                </c:pt>
                <c:pt idx="2">
                  <c:v>0.77142857142857146</c:v>
                </c:pt>
                <c:pt idx="3">
                  <c:v>0.47169811320754718</c:v>
                </c:pt>
                <c:pt idx="4">
                  <c:v>0.27777777777777779</c:v>
                </c:pt>
                <c:pt idx="5">
                  <c:v>0.81818181818181823</c:v>
                </c:pt>
                <c:pt idx="6">
                  <c:v>0.7407407407407407</c:v>
                </c:pt>
                <c:pt idx="7">
                  <c:v>0.5</c:v>
                </c:pt>
                <c:pt idx="8">
                  <c:v>0.75268817204301075</c:v>
                </c:pt>
                <c:pt idx="9">
                  <c:v>0.82926829268292679</c:v>
                </c:pt>
              </c:numCache>
            </c:numRef>
          </c:val>
          <c:extLst>
            <c:ext xmlns:c16="http://schemas.microsoft.com/office/drawing/2014/chart" uri="{C3380CC4-5D6E-409C-BE32-E72D297353CC}">
              <c16:uniqueId val="{00000000-3C09-4329-BE6E-C96C277A1C9B}"/>
            </c:ext>
          </c:extLst>
        </c:ser>
        <c:ser>
          <c:idx val="1"/>
          <c:order val="1"/>
          <c:tx>
            <c:strRef>
              <c:f>'KPI CAL'!$C$292</c:f>
              <c:strCache>
                <c:ptCount val="1"/>
                <c:pt idx="0">
                  <c:v>Male</c:v>
                </c:pt>
              </c:strCache>
            </c:strRef>
          </c:tx>
          <c:spPr>
            <a:solidFill>
              <a:srgbClr val="00B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CAL'!$A$293:$A$302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CAL'!$C$293:$C$302</c:f>
              <c:numCache>
                <c:formatCode>0.00%</c:formatCode>
                <c:ptCount val="10"/>
                <c:pt idx="0">
                  <c:v>0.45</c:v>
                </c:pt>
                <c:pt idx="1">
                  <c:v>0.50666666666666671</c:v>
                </c:pt>
                <c:pt idx="2">
                  <c:v>0.73469387755102045</c:v>
                </c:pt>
                <c:pt idx="3">
                  <c:v>0.67741935483870963</c:v>
                </c:pt>
                <c:pt idx="4">
                  <c:v>0.3902439024390244</c:v>
                </c:pt>
                <c:pt idx="5">
                  <c:v>0.75609756097560976</c:v>
                </c:pt>
                <c:pt idx="6">
                  <c:v>0.83206106870229013</c:v>
                </c:pt>
                <c:pt idx="7">
                  <c:v>0.39130434782608697</c:v>
                </c:pt>
                <c:pt idx="8">
                  <c:v>0.77464788732394363</c:v>
                </c:pt>
                <c:pt idx="9">
                  <c:v>0.76119402985074625</c:v>
                </c:pt>
              </c:numCache>
            </c:numRef>
          </c:val>
          <c:extLst>
            <c:ext xmlns:c16="http://schemas.microsoft.com/office/drawing/2014/chart" uri="{C3380CC4-5D6E-409C-BE32-E72D297353CC}">
              <c16:uniqueId val="{00000001-3C09-4329-BE6E-C96C277A1C9B}"/>
            </c:ext>
          </c:extLst>
        </c:ser>
        <c:dLbls>
          <c:dLblPos val="ctr"/>
          <c:showLegendKey val="0"/>
          <c:showVal val="1"/>
          <c:showCatName val="0"/>
          <c:showSerName val="0"/>
          <c:showPercent val="0"/>
          <c:showBubbleSize val="0"/>
        </c:dLbls>
        <c:gapWidth val="48"/>
        <c:overlap val="100"/>
        <c:axId val="1166605760"/>
        <c:axId val="1983246560"/>
      </c:barChart>
      <c:catAx>
        <c:axId val="116660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983246560"/>
        <c:crosses val="autoZero"/>
        <c:auto val="1"/>
        <c:lblAlgn val="ctr"/>
        <c:lblOffset val="100"/>
        <c:noMultiLvlLbl val="0"/>
      </c:catAx>
      <c:valAx>
        <c:axId val="1983246560"/>
        <c:scaling>
          <c:orientation val="minMax"/>
        </c:scaling>
        <c:delete val="1"/>
        <c:axPos val="b"/>
        <c:numFmt formatCode="0.00%" sourceLinked="1"/>
        <c:majorTickMark val="none"/>
        <c:minorTickMark val="none"/>
        <c:tickLblPos val="nextTo"/>
        <c:crossAx val="1166605760"/>
        <c:crosses val="autoZero"/>
        <c:crossBetween val="between"/>
      </c:valAx>
      <c:spPr>
        <a:noFill/>
        <a:ln>
          <a:noFill/>
        </a:ln>
        <a:effectLst/>
      </c:spPr>
    </c:plotArea>
    <c:legend>
      <c:legendPos val="b"/>
      <c:layout>
        <c:manualLayout>
          <c:xMode val="edge"/>
          <c:yMode val="edge"/>
          <c:x val="0.7414095057644422"/>
          <c:y val="0.88964541197056246"/>
          <c:w val="0.24038914514383924"/>
          <c:h val="8.01886755105837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Lucida Console" panose="020B0609040504020204" pitchFamily="49" charset="0"/>
              </a:rPr>
              <a:t>Error Rate</a:t>
            </a:r>
            <a:r>
              <a:rPr lang="en-US" b="1" baseline="0">
                <a:solidFill>
                  <a:sysClr val="windowText" lastClr="000000"/>
                </a:solidFill>
                <a:latin typeface="Lucida Console" panose="020B0609040504020204" pitchFamily="49" charset="0"/>
              </a:rPr>
              <a:t> By Gender</a:t>
            </a:r>
            <a:endParaRPr lang="en-US"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919072615923011E-2"/>
          <c:y val="0.10694444444444444"/>
          <c:w val="0.9090387139107613"/>
          <c:h val="0.57883056284631085"/>
        </c:manualLayout>
      </c:layout>
      <c:barChart>
        <c:barDir val="col"/>
        <c:grouping val="clustered"/>
        <c:varyColors val="0"/>
        <c:ser>
          <c:idx val="0"/>
          <c:order val="0"/>
          <c:tx>
            <c:strRef>
              <c:f>'KPI CAL'!$N$292</c:f>
              <c:strCache>
                <c:ptCount val="1"/>
                <c:pt idx="0">
                  <c:v>Female</c:v>
                </c:pt>
              </c:strCache>
            </c:strRef>
          </c:tx>
          <c:spPr>
            <a:solidFill>
              <a:srgbClr val="FFAD3D"/>
            </a:solidFill>
            <a:ln>
              <a:noFill/>
            </a:ln>
            <a:effectLst/>
          </c:spPr>
          <c:invertIfNegative val="0"/>
          <c:cat>
            <c:strRef>
              <c:f>'KPI CAL'!$M$293:$M$302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CAL'!$N$293:$N$302</c:f>
              <c:numCache>
                <c:formatCode>0.00%</c:formatCode>
                <c:ptCount val="10"/>
                <c:pt idx="0">
                  <c:v>0.3235294117647059</c:v>
                </c:pt>
                <c:pt idx="1">
                  <c:v>0.28169014084507044</c:v>
                </c:pt>
                <c:pt idx="2">
                  <c:v>8.5714285714285715E-2</c:v>
                </c:pt>
                <c:pt idx="3">
                  <c:v>0.15094339622641509</c:v>
                </c:pt>
                <c:pt idx="4">
                  <c:v>0.29629629629629628</c:v>
                </c:pt>
                <c:pt idx="5">
                  <c:v>3.6363636363636362E-2</c:v>
                </c:pt>
                <c:pt idx="6">
                  <c:v>9.2592592592592587E-2</c:v>
                </c:pt>
                <c:pt idx="7">
                  <c:v>0.21621621621621623</c:v>
                </c:pt>
                <c:pt idx="8">
                  <c:v>0.22105263157894736</c:v>
                </c:pt>
                <c:pt idx="9">
                  <c:v>0.13414634146341464</c:v>
                </c:pt>
              </c:numCache>
            </c:numRef>
          </c:val>
          <c:extLst>
            <c:ext xmlns:c16="http://schemas.microsoft.com/office/drawing/2014/chart" uri="{C3380CC4-5D6E-409C-BE32-E72D297353CC}">
              <c16:uniqueId val="{00000000-867B-4259-AB11-31B55AF3590A}"/>
            </c:ext>
          </c:extLst>
        </c:ser>
        <c:ser>
          <c:idx val="1"/>
          <c:order val="1"/>
          <c:tx>
            <c:strRef>
              <c:f>'KPI CAL'!$O$292</c:f>
              <c:strCache>
                <c:ptCount val="1"/>
                <c:pt idx="0">
                  <c:v>Male</c:v>
                </c:pt>
              </c:strCache>
            </c:strRef>
          </c:tx>
          <c:spPr>
            <a:solidFill>
              <a:srgbClr val="00B000"/>
            </a:solidFill>
            <a:ln>
              <a:noFill/>
            </a:ln>
            <a:effectLst/>
          </c:spPr>
          <c:invertIfNegative val="0"/>
          <c:cat>
            <c:strRef>
              <c:f>'KPI CAL'!$M$293:$M$302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CAL'!$O$293:$O$302</c:f>
              <c:numCache>
                <c:formatCode>0.00%</c:formatCode>
                <c:ptCount val="10"/>
                <c:pt idx="0">
                  <c:v>0.15</c:v>
                </c:pt>
                <c:pt idx="1">
                  <c:v>0.17333333333333334</c:v>
                </c:pt>
                <c:pt idx="2">
                  <c:v>0.18367346938775511</c:v>
                </c:pt>
                <c:pt idx="3">
                  <c:v>0.18032786885245902</c:v>
                </c:pt>
                <c:pt idx="4">
                  <c:v>0.26829268292682928</c:v>
                </c:pt>
                <c:pt idx="5">
                  <c:v>0.1951219512195122</c:v>
                </c:pt>
                <c:pt idx="6">
                  <c:v>0.16793893129770993</c:v>
                </c:pt>
                <c:pt idx="7">
                  <c:v>0.27142857142857141</c:v>
                </c:pt>
                <c:pt idx="8">
                  <c:v>0.18309859154929578</c:v>
                </c:pt>
                <c:pt idx="9">
                  <c:v>0.10294117647058823</c:v>
                </c:pt>
              </c:numCache>
            </c:numRef>
          </c:val>
          <c:extLst>
            <c:ext xmlns:c16="http://schemas.microsoft.com/office/drawing/2014/chart" uri="{C3380CC4-5D6E-409C-BE32-E72D297353CC}">
              <c16:uniqueId val="{00000001-867B-4259-AB11-31B55AF3590A}"/>
            </c:ext>
          </c:extLst>
        </c:ser>
        <c:dLbls>
          <c:showLegendKey val="0"/>
          <c:showVal val="0"/>
          <c:showCatName val="0"/>
          <c:showSerName val="0"/>
          <c:showPercent val="0"/>
          <c:showBubbleSize val="0"/>
        </c:dLbls>
        <c:gapWidth val="152"/>
        <c:overlap val="-18"/>
        <c:axId val="532100287"/>
        <c:axId val="1560564672"/>
      </c:barChart>
      <c:catAx>
        <c:axId val="53210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560564672"/>
        <c:crosses val="autoZero"/>
        <c:auto val="1"/>
        <c:lblAlgn val="ctr"/>
        <c:lblOffset val="100"/>
        <c:noMultiLvlLbl val="0"/>
      </c:catAx>
      <c:valAx>
        <c:axId val="1560564672"/>
        <c:scaling>
          <c:orientation val="minMax"/>
        </c:scaling>
        <c:delete val="1"/>
        <c:axPos val="l"/>
        <c:numFmt formatCode="0.00%" sourceLinked="1"/>
        <c:majorTickMark val="none"/>
        <c:minorTickMark val="none"/>
        <c:tickLblPos val="nextTo"/>
        <c:crossAx val="532100287"/>
        <c:crosses val="autoZero"/>
        <c:crossBetween val="between"/>
      </c:valAx>
      <c:spPr>
        <a:noFill/>
        <a:ln>
          <a:noFill/>
        </a:ln>
        <a:effectLst/>
      </c:spPr>
    </c:plotArea>
    <c:legend>
      <c:legendPos val="b"/>
      <c:layout>
        <c:manualLayout>
          <c:xMode val="edge"/>
          <c:yMode val="edge"/>
          <c:x val="0.72065769903762034"/>
          <c:y val="0.91227070574511515"/>
          <c:w val="0.26146216097987751"/>
          <c:h val="7.384040536599591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Lucida Console" panose="020B0609040504020204" pitchFamily="49" charset="0"/>
              </a:rPr>
              <a:t>30-Days Retention Rate</a:t>
            </a:r>
            <a:r>
              <a:rPr lang="en-US" b="1" baseline="0">
                <a:solidFill>
                  <a:sysClr val="windowText" lastClr="000000"/>
                </a:solidFill>
                <a:latin typeface="Lucida Console" panose="020B0609040504020204" pitchFamily="49" charset="0"/>
              </a:rPr>
              <a:t> By Gender</a:t>
            </a:r>
            <a:endParaRPr lang="en-US"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966994750656168"/>
          <c:y val="0.10231481481481482"/>
          <c:w val="0.73088560804899394"/>
          <c:h val="0.87477070574511517"/>
        </c:manualLayout>
      </c:layout>
      <c:barChart>
        <c:barDir val="bar"/>
        <c:grouping val="clustered"/>
        <c:varyColors val="0"/>
        <c:ser>
          <c:idx val="0"/>
          <c:order val="0"/>
          <c:tx>
            <c:strRef>
              <c:f>'KPI CAL'!$B$321</c:f>
              <c:strCache>
                <c:ptCount val="1"/>
                <c:pt idx="0">
                  <c:v>Female</c:v>
                </c:pt>
              </c:strCache>
            </c:strRef>
          </c:tx>
          <c:spPr>
            <a:solidFill>
              <a:srgbClr val="FFAD3D"/>
            </a:solidFill>
            <a:ln>
              <a:noFill/>
            </a:ln>
            <a:effectLst/>
          </c:spPr>
          <c:invertIfNegative val="0"/>
          <c:cat>
            <c:strRef>
              <c:f>'KPI CAL'!$A$322:$A$331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CAL'!$B$322:$B$331</c:f>
              <c:numCache>
                <c:formatCode>0.00%</c:formatCode>
                <c:ptCount val="10"/>
                <c:pt idx="0">
                  <c:v>0.56716417910447758</c:v>
                </c:pt>
                <c:pt idx="1">
                  <c:v>0.56944444444444442</c:v>
                </c:pt>
                <c:pt idx="2">
                  <c:v>0.8</c:v>
                </c:pt>
                <c:pt idx="3">
                  <c:v>0.50980392156862742</c:v>
                </c:pt>
                <c:pt idx="4">
                  <c:v>0.43396226415094341</c:v>
                </c:pt>
                <c:pt idx="5">
                  <c:v>0.69811320754716977</c:v>
                </c:pt>
                <c:pt idx="6">
                  <c:v>0.75229357798165142</c:v>
                </c:pt>
                <c:pt idx="7">
                  <c:v>0.55405405405405406</c:v>
                </c:pt>
                <c:pt idx="8">
                  <c:v>0.6</c:v>
                </c:pt>
                <c:pt idx="9">
                  <c:v>0.74390243902439024</c:v>
                </c:pt>
              </c:numCache>
            </c:numRef>
          </c:val>
          <c:extLst>
            <c:ext xmlns:c16="http://schemas.microsoft.com/office/drawing/2014/chart" uri="{C3380CC4-5D6E-409C-BE32-E72D297353CC}">
              <c16:uniqueId val="{00000000-4BD4-4C01-8848-9B754616D4AE}"/>
            </c:ext>
          </c:extLst>
        </c:ser>
        <c:ser>
          <c:idx val="1"/>
          <c:order val="1"/>
          <c:tx>
            <c:strRef>
              <c:f>'KPI CAL'!$C$321</c:f>
              <c:strCache>
                <c:ptCount val="1"/>
                <c:pt idx="0">
                  <c:v>Male</c:v>
                </c:pt>
              </c:strCache>
            </c:strRef>
          </c:tx>
          <c:spPr>
            <a:solidFill>
              <a:srgbClr val="00B000"/>
            </a:solidFill>
            <a:ln>
              <a:noFill/>
            </a:ln>
            <a:effectLst/>
          </c:spPr>
          <c:invertIfNegative val="0"/>
          <c:cat>
            <c:strRef>
              <c:f>'KPI CAL'!$A$322:$A$331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CAL'!$C$322:$C$331</c:f>
              <c:numCache>
                <c:formatCode>0.00%</c:formatCode>
                <c:ptCount val="10"/>
                <c:pt idx="0">
                  <c:v>0.56666666666666665</c:v>
                </c:pt>
                <c:pt idx="1">
                  <c:v>0.48648648648648651</c:v>
                </c:pt>
                <c:pt idx="2">
                  <c:v>0.79591836734693877</c:v>
                </c:pt>
                <c:pt idx="3">
                  <c:v>0.5161290322580645</c:v>
                </c:pt>
                <c:pt idx="4">
                  <c:v>0.5</c:v>
                </c:pt>
                <c:pt idx="5">
                  <c:v>0.74358974358974361</c:v>
                </c:pt>
                <c:pt idx="6">
                  <c:v>0.7615384615384615</c:v>
                </c:pt>
                <c:pt idx="7">
                  <c:v>0.48571428571428571</c:v>
                </c:pt>
                <c:pt idx="8">
                  <c:v>0.647887323943662</c:v>
                </c:pt>
                <c:pt idx="9">
                  <c:v>0.71212121212121215</c:v>
                </c:pt>
              </c:numCache>
            </c:numRef>
          </c:val>
          <c:extLst>
            <c:ext xmlns:c16="http://schemas.microsoft.com/office/drawing/2014/chart" uri="{C3380CC4-5D6E-409C-BE32-E72D297353CC}">
              <c16:uniqueId val="{00000001-4BD4-4C01-8848-9B754616D4AE}"/>
            </c:ext>
          </c:extLst>
        </c:ser>
        <c:dLbls>
          <c:showLegendKey val="0"/>
          <c:showVal val="0"/>
          <c:showCatName val="0"/>
          <c:showSerName val="0"/>
          <c:showPercent val="0"/>
          <c:showBubbleSize val="0"/>
        </c:dLbls>
        <c:gapWidth val="94"/>
        <c:axId val="1018567791"/>
        <c:axId val="536252575"/>
      </c:barChart>
      <c:catAx>
        <c:axId val="101856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36252575"/>
        <c:crosses val="autoZero"/>
        <c:auto val="1"/>
        <c:lblAlgn val="ctr"/>
        <c:lblOffset val="100"/>
        <c:noMultiLvlLbl val="0"/>
      </c:catAx>
      <c:valAx>
        <c:axId val="536252575"/>
        <c:scaling>
          <c:orientation val="minMax"/>
        </c:scaling>
        <c:delete val="1"/>
        <c:axPos val="b"/>
        <c:numFmt formatCode="0.00%" sourceLinked="1"/>
        <c:majorTickMark val="none"/>
        <c:minorTickMark val="none"/>
        <c:tickLblPos val="nextTo"/>
        <c:crossAx val="1018567791"/>
        <c:crosses val="autoZero"/>
        <c:crossBetween val="between"/>
      </c:valAx>
      <c:spPr>
        <a:noFill/>
        <a:ln>
          <a:noFill/>
        </a:ln>
        <a:effectLst/>
      </c:spPr>
    </c:plotArea>
    <c:legend>
      <c:legendPos val="b"/>
      <c:layout>
        <c:manualLayout>
          <c:xMode val="edge"/>
          <c:yMode val="edge"/>
          <c:x val="0.76510214348206473"/>
          <c:y val="0.93078922426363353"/>
          <c:w val="0.22535104986876642"/>
          <c:h val="6.45811461067366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Total</a:t>
            </a:r>
            <a:r>
              <a:rPr lang="en-US" sz="1200" b="1" baseline="0">
                <a:solidFill>
                  <a:sysClr val="windowText" lastClr="000000"/>
                </a:solidFill>
                <a:latin typeface="Lucida Console" panose="020B0609040504020204" pitchFamily="49" charset="0"/>
              </a:rPr>
              <a:t> Revenue By Gender</a:t>
            </a:r>
            <a:endParaRPr lang="en-US" sz="12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41119860017499"/>
          <c:y val="0.1243189697870233"/>
          <c:w val="0.87214435695538062"/>
          <c:h val="0.84126038851384288"/>
        </c:manualLayout>
      </c:layout>
      <c:barChart>
        <c:barDir val="bar"/>
        <c:grouping val="clustered"/>
        <c:varyColors val="0"/>
        <c:ser>
          <c:idx val="0"/>
          <c:order val="0"/>
          <c:tx>
            <c:strRef>
              <c:f>'KPI CAL'!$L$321</c:f>
              <c:strCache>
                <c:ptCount val="1"/>
                <c:pt idx="0">
                  <c:v>Female</c:v>
                </c:pt>
              </c:strCache>
            </c:strRef>
          </c:tx>
          <c:spPr>
            <a:solidFill>
              <a:srgbClr val="FFAD3D"/>
            </a:solidFill>
            <a:ln>
              <a:noFill/>
            </a:ln>
            <a:effectLst/>
          </c:spPr>
          <c:invertIfNegative val="0"/>
          <c:cat>
            <c:strRef>
              <c:f>'KPI CAL'!$K$322:$K$331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CAL'!$L$322:$L$331</c:f>
              <c:numCache>
                <c:formatCode>General</c:formatCode>
                <c:ptCount val="10"/>
                <c:pt idx="0">
                  <c:v>4.87</c:v>
                </c:pt>
                <c:pt idx="1">
                  <c:v>2.36</c:v>
                </c:pt>
                <c:pt idx="2">
                  <c:v>2.5300000000000002</c:v>
                </c:pt>
                <c:pt idx="3">
                  <c:v>1.22</c:v>
                </c:pt>
                <c:pt idx="4">
                  <c:v>43.51</c:v>
                </c:pt>
                <c:pt idx="5">
                  <c:v>4.97</c:v>
                </c:pt>
                <c:pt idx="6">
                  <c:v>23.68</c:v>
                </c:pt>
                <c:pt idx="7">
                  <c:v>96.039999999999992</c:v>
                </c:pt>
                <c:pt idx="8">
                  <c:v>4.7099999999999991</c:v>
                </c:pt>
                <c:pt idx="9">
                  <c:v>37.870000000000005</c:v>
                </c:pt>
              </c:numCache>
            </c:numRef>
          </c:val>
          <c:extLst>
            <c:ext xmlns:c16="http://schemas.microsoft.com/office/drawing/2014/chart" uri="{C3380CC4-5D6E-409C-BE32-E72D297353CC}">
              <c16:uniqueId val="{00000000-66F3-4D9A-8A61-244DF50B2129}"/>
            </c:ext>
          </c:extLst>
        </c:ser>
        <c:ser>
          <c:idx val="1"/>
          <c:order val="1"/>
          <c:tx>
            <c:strRef>
              <c:f>'KPI CAL'!$M$321</c:f>
              <c:strCache>
                <c:ptCount val="1"/>
                <c:pt idx="0">
                  <c:v>Male</c:v>
                </c:pt>
              </c:strCache>
            </c:strRef>
          </c:tx>
          <c:spPr>
            <a:solidFill>
              <a:srgbClr val="00B000"/>
            </a:solidFill>
            <a:ln>
              <a:noFill/>
            </a:ln>
            <a:effectLst/>
          </c:spPr>
          <c:invertIfNegative val="0"/>
          <c:cat>
            <c:strRef>
              <c:f>'KPI CAL'!$K$322:$K$331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CAL'!$M$322:$M$331</c:f>
              <c:numCache>
                <c:formatCode>General</c:formatCode>
                <c:ptCount val="10"/>
                <c:pt idx="0">
                  <c:v>6.01</c:v>
                </c:pt>
                <c:pt idx="1">
                  <c:v>-6.68</c:v>
                </c:pt>
                <c:pt idx="2">
                  <c:v>2.87</c:v>
                </c:pt>
                <c:pt idx="3">
                  <c:v>2.9799999999999995</c:v>
                </c:pt>
                <c:pt idx="4">
                  <c:v>50.349999999999994</c:v>
                </c:pt>
                <c:pt idx="5">
                  <c:v>1.62</c:v>
                </c:pt>
                <c:pt idx="6">
                  <c:v>31.230000000000008</c:v>
                </c:pt>
                <c:pt idx="7">
                  <c:v>70.929999999999993</c:v>
                </c:pt>
                <c:pt idx="8">
                  <c:v>4.32</c:v>
                </c:pt>
                <c:pt idx="9">
                  <c:v>29.050000000000004</c:v>
                </c:pt>
              </c:numCache>
            </c:numRef>
          </c:val>
          <c:extLst>
            <c:ext xmlns:c16="http://schemas.microsoft.com/office/drawing/2014/chart" uri="{C3380CC4-5D6E-409C-BE32-E72D297353CC}">
              <c16:uniqueId val="{00000001-66F3-4D9A-8A61-244DF50B2129}"/>
            </c:ext>
          </c:extLst>
        </c:ser>
        <c:dLbls>
          <c:showLegendKey val="0"/>
          <c:showVal val="0"/>
          <c:showCatName val="0"/>
          <c:showSerName val="0"/>
          <c:showPercent val="0"/>
          <c:showBubbleSize val="0"/>
        </c:dLbls>
        <c:gapWidth val="62"/>
        <c:axId val="1047542431"/>
        <c:axId val="536255455"/>
      </c:barChart>
      <c:catAx>
        <c:axId val="104754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36255455"/>
        <c:crosses val="autoZero"/>
        <c:auto val="1"/>
        <c:lblAlgn val="ctr"/>
        <c:lblOffset val="100"/>
        <c:noMultiLvlLbl val="0"/>
      </c:catAx>
      <c:valAx>
        <c:axId val="536255455"/>
        <c:scaling>
          <c:orientation val="minMax"/>
        </c:scaling>
        <c:delete val="1"/>
        <c:axPos val="b"/>
        <c:numFmt formatCode="General" sourceLinked="1"/>
        <c:majorTickMark val="none"/>
        <c:minorTickMark val="none"/>
        <c:tickLblPos val="nextTo"/>
        <c:crossAx val="1047542431"/>
        <c:crosses val="autoZero"/>
        <c:crossBetween val="between"/>
      </c:valAx>
      <c:spPr>
        <a:noFill/>
        <a:ln>
          <a:noFill/>
        </a:ln>
        <a:effectLst/>
      </c:spPr>
    </c:plotArea>
    <c:legend>
      <c:legendPos val="b"/>
      <c:layout>
        <c:manualLayout>
          <c:xMode val="edge"/>
          <c:yMode val="edge"/>
          <c:x val="0.61232436570428694"/>
          <c:y val="0.88633220624539322"/>
          <c:w val="0.35312882764654424"/>
          <c:h val="8.3950111733804442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Total Revenue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6493256262042388E-2"/>
          <c:y val="0.10501089324618738"/>
          <c:w val="0.94701348747591518"/>
          <c:h val="0.53559741306846453"/>
        </c:manualLayout>
      </c:layout>
      <c:barChart>
        <c:barDir val="col"/>
        <c:grouping val="clustered"/>
        <c:varyColors val="0"/>
        <c:ser>
          <c:idx val="0"/>
          <c:order val="0"/>
          <c:tx>
            <c:strRef>
              <c:f>'KPI CAL'!$B$351</c:f>
              <c:strCache>
                <c:ptCount val="1"/>
                <c:pt idx="0">
                  <c:v>Families</c:v>
                </c:pt>
              </c:strCache>
            </c:strRef>
          </c:tx>
          <c:spPr>
            <a:solidFill>
              <a:schemeClr val="accent1"/>
            </a:solidFill>
            <a:ln>
              <a:noFill/>
            </a:ln>
            <a:effectLst/>
          </c:spPr>
          <c:invertIfNegative val="0"/>
          <c:cat>
            <c:strRef>
              <c:f>'KPI CAL'!$A$352:$A$361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CAL'!$B$352:$B$361</c:f>
              <c:numCache>
                <c:formatCode>General</c:formatCode>
                <c:ptCount val="10"/>
                <c:pt idx="0">
                  <c:v>1.72</c:v>
                </c:pt>
                <c:pt idx="1">
                  <c:v>0.88000000000000012</c:v>
                </c:pt>
                <c:pt idx="2">
                  <c:v>1.1099999999999999</c:v>
                </c:pt>
                <c:pt idx="3">
                  <c:v>1.22</c:v>
                </c:pt>
                <c:pt idx="4">
                  <c:v>18.14</c:v>
                </c:pt>
                <c:pt idx="5">
                  <c:v>1.08</c:v>
                </c:pt>
                <c:pt idx="6">
                  <c:v>12.95</c:v>
                </c:pt>
                <c:pt idx="7">
                  <c:v>25.540000000000003</c:v>
                </c:pt>
                <c:pt idx="8">
                  <c:v>2.1900000000000004</c:v>
                </c:pt>
                <c:pt idx="9">
                  <c:v>17.110000000000003</c:v>
                </c:pt>
              </c:numCache>
            </c:numRef>
          </c:val>
          <c:extLst>
            <c:ext xmlns:c16="http://schemas.microsoft.com/office/drawing/2014/chart" uri="{C3380CC4-5D6E-409C-BE32-E72D297353CC}">
              <c16:uniqueId val="{00000000-B16C-4942-B874-7B465182D28C}"/>
            </c:ext>
          </c:extLst>
        </c:ser>
        <c:ser>
          <c:idx val="1"/>
          <c:order val="1"/>
          <c:tx>
            <c:strRef>
              <c:f>'KPI CAL'!$C$351</c:f>
              <c:strCache>
                <c:ptCount val="1"/>
                <c:pt idx="0">
                  <c:v>Gig Workers</c:v>
                </c:pt>
              </c:strCache>
            </c:strRef>
          </c:tx>
          <c:spPr>
            <a:solidFill>
              <a:schemeClr val="accent2"/>
            </a:solidFill>
            <a:ln>
              <a:noFill/>
            </a:ln>
            <a:effectLst/>
          </c:spPr>
          <c:invertIfNegative val="0"/>
          <c:cat>
            <c:strRef>
              <c:f>'KPI CAL'!$A$352:$A$361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CAL'!$C$352:$C$361</c:f>
              <c:numCache>
                <c:formatCode>General</c:formatCode>
                <c:ptCount val="10"/>
                <c:pt idx="0">
                  <c:v>1.47</c:v>
                </c:pt>
                <c:pt idx="1">
                  <c:v>1.08</c:v>
                </c:pt>
                <c:pt idx="2">
                  <c:v>0.17</c:v>
                </c:pt>
                <c:pt idx="3">
                  <c:v>0.51</c:v>
                </c:pt>
                <c:pt idx="4">
                  <c:v>5.91</c:v>
                </c:pt>
                <c:pt idx="5">
                  <c:v>2.4699999999999998</c:v>
                </c:pt>
                <c:pt idx="6">
                  <c:v>7.8300000000000018</c:v>
                </c:pt>
                <c:pt idx="7">
                  <c:v>13.169999999999998</c:v>
                </c:pt>
                <c:pt idx="8">
                  <c:v>0.91</c:v>
                </c:pt>
                <c:pt idx="9">
                  <c:v>8.02</c:v>
                </c:pt>
              </c:numCache>
            </c:numRef>
          </c:val>
          <c:extLst>
            <c:ext xmlns:c16="http://schemas.microsoft.com/office/drawing/2014/chart" uri="{C3380CC4-5D6E-409C-BE32-E72D297353CC}">
              <c16:uniqueId val="{00000001-B16C-4942-B874-7B465182D28C}"/>
            </c:ext>
          </c:extLst>
        </c:ser>
        <c:ser>
          <c:idx val="2"/>
          <c:order val="2"/>
          <c:tx>
            <c:strRef>
              <c:f>'KPI CAL'!$D$351</c:f>
              <c:strCache>
                <c:ptCount val="1"/>
                <c:pt idx="0">
                  <c:v>High-Income Professionals</c:v>
                </c:pt>
              </c:strCache>
            </c:strRef>
          </c:tx>
          <c:spPr>
            <a:solidFill>
              <a:schemeClr val="accent3"/>
            </a:solidFill>
            <a:ln>
              <a:noFill/>
            </a:ln>
            <a:effectLst/>
          </c:spPr>
          <c:invertIfNegative val="0"/>
          <c:cat>
            <c:strRef>
              <c:f>'KPI CAL'!$A$352:$A$361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CAL'!$D$352:$D$361</c:f>
              <c:numCache>
                <c:formatCode>General</c:formatCode>
                <c:ptCount val="10"/>
                <c:pt idx="0">
                  <c:v>1.37</c:v>
                </c:pt>
                <c:pt idx="1">
                  <c:v>0.17</c:v>
                </c:pt>
                <c:pt idx="2">
                  <c:v>0.91</c:v>
                </c:pt>
                <c:pt idx="3">
                  <c:v>0.71000000000000008</c:v>
                </c:pt>
                <c:pt idx="4">
                  <c:v>9.98</c:v>
                </c:pt>
                <c:pt idx="5">
                  <c:v>0</c:v>
                </c:pt>
                <c:pt idx="6">
                  <c:v>3.4</c:v>
                </c:pt>
                <c:pt idx="7">
                  <c:v>22.21</c:v>
                </c:pt>
                <c:pt idx="8">
                  <c:v>0.68</c:v>
                </c:pt>
                <c:pt idx="9">
                  <c:v>3.7800000000000002</c:v>
                </c:pt>
              </c:numCache>
            </c:numRef>
          </c:val>
          <c:extLst>
            <c:ext xmlns:c16="http://schemas.microsoft.com/office/drawing/2014/chart" uri="{C3380CC4-5D6E-409C-BE32-E72D297353CC}">
              <c16:uniqueId val="{00000002-B16C-4942-B874-7B465182D28C}"/>
            </c:ext>
          </c:extLst>
        </c:ser>
        <c:ser>
          <c:idx val="3"/>
          <c:order val="3"/>
          <c:tx>
            <c:strRef>
              <c:f>'KPI CAL'!$E$351</c:f>
              <c:strCache>
                <c:ptCount val="1"/>
                <c:pt idx="0">
                  <c:v>Retirees</c:v>
                </c:pt>
              </c:strCache>
            </c:strRef>
          </c:tx>
          <c:spPr>
            <a:solidFill>
              <a:schemeClr val="accent4"/>
            </a:solidFill>
            <a:ln>
              <a:noFill/>
            </a:ln>
            <a:effectLst/>
          </c:spPr>
          <c:invertIfNegative val="0"/>
          <c:cat>
            <c:strRef>
              <c:f>'KPI CAL'!$A$352:$A$361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CAL'!$E$352:$E$361</c:f>
              <c:numCache>
                <c:formatCode>General</c:formatCode>
                <c:ptCount val="10"/>
                <c:pt idx="0">
                  <c:v>0.66</c:v>
                </c:pt>
                <c:pt idx="1">
                  <c:v>0.17</c:v>
                </c:pt>
                <c:pt idx="2">
                  <c:v>0.71000000000000008</c:v>
                </c:pt>
                <c:pt idx="3">
                  <c:v>0</c:v>
                </c:pt>
                <c:pt idx="4">
                  <c:v>3.37</c:v>
                </c:pt>
                <c:pt idx="5">
                  <c:v>0.71</c:v>
                </c:pt>
                <c:pt idx="6">
                  <c:v>1.0900000000000001</c:v>
                </c:pt>
                <c:pt idx="7">
                  <c:v>21.099999999999998</c:v>
                </c:pt>
                <c:pt idx="8">
                  <c:v>0.54</c:v>
                </c:pt>
                <c:pt idx="9">
                  <c:v>3.6399999999999997</c:v>
                </c:pt>
              </c:numCache>
            </c:numRef>
          </c:val>
          <c:extLst>
            <c:ext xmlns:c16="http://schemas.microsoft.com/office/drawing/2014/chart" uri="{C3380CC4-5D6E-409C-BE32-E72D297353CC}">
              <c16:uniqueId val="{00000003-B16C-4942-B874-7B465182D28C}"/>
            </c:ext>
          </c:extLst>
        </c:ser>
        <c:ser>
          <c:idx val="4"/>
          <c:order val="4"/>
          <c:tx>
            <c:strRef>
              <c:f>'KPI CAL'!$F$351</c:f>
              <c:strCache>
                <c:ptCount val="1"/>
                <c:pt idx="0">
                  <c:v>Small Business Owners</c:v>
                </c:pt>
              </c:strCache>
            </c:strRef>
          </c:tx>
          <c:spPr>
            <a:solidFill>
              <a:schemeClr val="accent5"/>
            </a:solidFill>
            <a:ln>
              <a:noFill/>
            </a:ln>
            <a:effectLst/>
          </c:spPr>
          <c:invertIfNegative val="0"/>
          <c:cat>
            <c:strRef>
              <c:f>'KPI CAL'!$A$352:$A$361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CAL'!$F$352:$F$361</c:f>
              <c:numCache>
                <c:formatCode>General</c:formatCode>
                <c:ptCount val="10"/>
                <c:pt idx="0">
                  <c:v>0.88</c:v>
                </c:pt>
                <c:pt idx="1">
                  <c:v>1.65</c:v>
                </c:pt>
                <c:pt idx="2">
                  <c:v>0.34</c:v>
                </c:pt>
                <c:pt idx="3">
                  <c:v>0.37</c:v>
                </c:pt>
                <c:pt idx="4">
                  <c:v>18.84</c:v>
                </c:pt>
                <c:pt idx="5">
                  <c:v>1.79</c:v>
                </c:pt>
                <c:pt idx="6">
                  <c:v>7.39</c:v>
                </c:pt>
                <c:pt idx="7">
                  <c:v>16.309999999999999</c:v>
                </c:pt>
                <c:pt idx="8">
                  <c:v>1.22</c:v>
                </c:pt>
                <c:pt idx="9">
                  <c:v>3.9000000000000004</c:v>
                </c:pt>
              </c:numCache>
            </c:numRef>
          </c:val>
          <c:extLst>
            <c:ext xmlns:c16="http://schemas.microsoft.com/office/drawing/2014/chart" uri="{C3380CC4-5D6E-409C-BE32-E72D297353CC}">
              <c16:uniqueId val="{00000004-B16C-4942-B874-7B465182D28C}"/>
            </c:ext>
          </c:extLst>
        </c:ser>
        <c:ser>
          <c:idx val="5"/>
          <c:order val="5"/>
          <c:tx>
            <c:strRef>
              <c:f>'KPI CAL'!$G$351</c:f>
              <c:strCache>
                <c:ptCount val="1"/>
                <c:pt idx="0">
                  <c:v>Students</c:v>
                </c:pt>
              </c:strCache>
            </c:strRef>
          </c:tx>
          <c:spPr>
            <a:solidFill>
              <a:schemeClr val="accent6"/>
            </a:solidFill>
            <a:ln>
              <a:noFill/>
            </a:ln>
            <a:effectLst/>
          </c:spPr>
          <c:invertIfNegative val="0"/>
          <c:cat>
            <c:strRef>
              <c:f>'KPI CAL'!$A$352:$A$361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CAL'!$G$352:$G$361</c:f>
              <c:numCache>
                <c:formatCode>General</c:formatCode>
                <c:ptCount val="10"/>
                <c:pt idx="0">
                  <c:v>1.2999999999999998</c:v>
                </c:pt>
                <c:pt idx="1">
                  <c:v>0.71</c:v>
                </c:pt>
                <c:pt idx="2">
                  <c:v>1.28</c:v>
                </c:pt>
                <c:pt idx="3">
                  <c:v>0.54</c:v>
                </c:pt>
                <c:pt idx="4">
                  <c:v>9.19</c:v>
                </c:pt>
                <c:pt idx="5">
                  <c:v>0.54</c:v>
                </c:pt>
                <c:pt idx="6">
                  <c:v>10.030000000000001</c:v>
                </c:pt>
                <c:pt idx="7">
                  <c:v>30.910000000000004</c:v>
                </c:pt>
                <c:pt idx="8">
                  <c:v>1.05</c:v>
                </c:pt>
                <c:pt idx="9">
                  <c:v>10.370000000000001</c:v>
                </c:pt>
              </c:numCache>
            </c:numRef>
          </c:val>
          <c:extLst>
            <c:ext xmlns:c16="http://schemas.microsoft.com/office/drawing/2014/chart" uri="{C3380CC4-5D6E-409C-BE32-E72D297353CC}">
              <c16:uniqueId val="{00000005-B16C-4942-B874-7B465182D28C}"/>
            </c:ext>
          </c:extLst>
        </c:ser>
        <c:dLbls>
          <c:showLegendKey val="0"/>
          <c:showVal val="0"/>
          <c:showCatName val="0"/>
          <c:showSerName val="0"/>
          <c:showPercent val="0"/>
          <c:showBubbleSize val="0"/>
        </c:dLbls>
        <c:gapWidth val="219"/>
        <c:overlap val="-27"/>
        <c:axId val="499437759"/>
        <c:axId val="536252095"/>
      </c:barChart>
      <c:catAx>
        <c:axId val="49943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36252095"/>
        <c:crosses val="autoZero"/>
        <c:auto val="1"/>
        <c:lblAlgn val="ctr"/>
        <c:lblOffset val="100"/>
        <c:noMultiLvlLbl val="0"/>
      </c:catAx>
      <c:valAx>
        <c:axId val="536252095"/>
        <c:scaling>
          <c:orientation val="minMax"/>
        </c:scaling>
        <c:delete val="1"/>
        <c:axPos val="l"/>
        <c:numFmt formatCode="General" sourceLinked="1"/>
        <c:majorTickMark val="none"/>
        <c:minorTickMark val="none"/>
        <c:tickLblPos val="nextTo"/>
        <c:crossAx val="499437759"/>
        <c:crosses val="autoZero"/>
        <c:crossBetween val="between"/>
      </c:valAx>
      <c:spPr>
        <a:noFill/>
        <a:ln>
          <a:noFill/>
        </a:ln>
        <a:effectLst/>
      </c:spPr>
    </c:plotArea>
    <c:legend>
      <c:legendPos val="b"/>
      <c:layout>
        <c:manualLayout>
          <c:xMode val="edge"/>
          <c:yMode val="edge"/>
          <c:x val="9.0558766859344941E-3"/>
          <c:y val="0.91397903693410876"/>
          <c:w val="0.97947976878612719"/>
          <c:h val="5.9877172216218071E-2"/>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Fintech 102(AutoRecovered).xlsx]KPI CAL!PivotTable34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Lucida Console" panose="020B0609040504020204" pitchFamily="49" charset="0"/>
              </a:rPr>
              <a:t>Feature Interactions </a:t>
            </a:r>
          </a:p>
        </c:rich>
      </c:tx>
      <c:layout>
        <c:manualLayout>
          <c:xMode val="edge"/>
          <c:yMode val="edge"/>
          <c:x val="0.24614035087719302"/>
          <c:y val="3.2008078469358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4A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CAL'!$B$3</c:f>
              <c:strCache>
                <c:ptCount val="1"/>
                <c:pt idx="0">
                  <c:v>Total</c:v>
                </c:pt>
              </c:strCache>
            </c:strRef>
          </c:tx>
          <c:spPr>
            <a:solidFill>
              <a:srgbClr val="004A4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CAL'!$A$4:$A$13</c:f>
              <c:strCache>
                <c:ptCount val="10"/>
                <c:pt idx="0">
                  <c:v>Cashback Rewards</c:v>
                </c:pt>
                <c:pt idx="1">
                  <c:v>Credit Builder</c:v>
                </c:pt>
                <c:pt idx="2">
                  <c:v>Direct Debit Manager</c:v>
                </c:pt>
                <c:pt idx="3">
                  <c:v>Cashflow Insights</c:v>
                </c:pt>
                <c:pt idx="4">
                  <c:v>Bill Split</c:v>
                </c:pt>
                <c:pt idx="5">
                  <c:v>International Transfer</c:v>
                </c:pt>
                <c:pt idx="6">
                  <c:v>Budget Planner</c:v>
                </c:pt>
                <c:pt idx="7">
                  <c:v>Virtual Card</c:v>
                </c:pt>
                <c:pt idx="8">
                  <c:v>Savings Pots</c:v>
                </c:pt>
                <c:pt idx="9">
                  <c:v>Instant Bank Transfer</c:v>
                </c:pt>
              </c:strCache>
            </c:strRef>
          </c:cat>
          <c:val>
            <c:numRef>
              <c:f>'KPI CAL'!$B$4:$B$13</c:f>
              <c:numCache>
                <c:formatCode>General</c:formatCode>
                <c:ptCount val="10"/>
                <c:pt idx="0">
                  <c:v>89</c:v>
                </c:pt>
                <c:pt idx="1">
                  <c:v>97</c:v>
                </c:pt>
                <c:pt idx="2">
                  <c:v>101</c:v>
                </c:pt>
                <c:pt idx="3">
                  <c:v>119</c:v>
                </c:pt>
                <c:pt idx="4">
                  <c:v>133</c:v>
                </c:pt>
                <c:pt idx="5">
                  <c:v>146</c:v>
                </c:pt>
                <c:pt idx="6">
                  <c:v>152</c:v>
                </c:pt>
                <c:pt idx="7">
                  <c:v>155</c:v>
                </c:pt>
                <c:pt idx="8">
                  <c:v>174</c:v>
                </c:pt>
                <c:pt idx="9">
                  <c:v>249</c:v>
                </c:pt>
              </c:numCache>
            </c:numRef>
          </c:val>
          <c:extLst>
            <c:ext xmlns:c16="http://schemas.microsoft.com/office/drawing/2014/chart" uri="{C3380CC4-5D6E-409C-BE32-E72D297353CC}">
              <c16:uniqueId val="{00000000-3E66-4BF4-99A0-6BD39A8D1834}"/>
            </c:ext>
          </c:extLst>
        </c:ser>
        <c:dLbls>
          <c:showLegendKey val="0"/>
          <c:showVal val="0"/>
          <c:showCatName val="0"/>
          <c:showSerName val="0"/>
          <c:showPercent val="0"/>
          <c:showBubbleSize val="0"/>
        </c:dLbls>
        <c:gapWidth val="32"/>
        <c:overlap val="-37"/>
        <c:axId val="546338880"/>
        <c:axId val="1507900991"/>
      </c:barChart>
      <c:catAx>
        <c:axId val="54633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507900991"/>
        <c:crosses val="autoZero"/>
        <c:auto val="1"/>
        <c:lblAlgn val="ctr"/>
        <c:lblOffset val="100"/>
        <c:noMultiLvlLbl val="0"/>
      </c:catAx>
      <c:valAx>
        <c:axId val="1507900991"/>
        <c:scaling>
          <c:orientation val="minMax"/>
        </c:scaling>
        <c:delete val="1"/>
        <c:axPos val="b"/>
        <c:numFmt formatCode="General" sourceLinked="1"/>
        <c:majorTickMark val="none"/>
        <c:minorTickMark val="none"/>
        <c:tickLblPos val="nextTo"/>
        <c:crossAx val="54633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AD3D">
        <a:alpha val="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chemeClr val="tx1"/>
                </a:solidFill>
                <a:latin typeface="Lucida Console" panose="020B0609040504020204" pitchFamily="49" charset="0"/>
              </a:rPr>
              <a:t>Completion Flag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CAL'!$O$17</c:f>
              <c:strCache>
                <c:ptCount val="1"/>
                <c:pt idx="0">
                  <c:v>Completion Flag Rate</c:v>
                </c:pt>
              </c:strCache>
            </c:strRef>
          </c:tx>
          <c:spPr>
            <a:solidFill>
              <a:srgbClr val="004A43"/>
            </a:solidFill>
            <a:ln>
              <a:noFill/>
            </a:ln>
            <a:effectLst/>
          </c:spPr>
          <c:invertIfNegative val="0"/>
          <c:dLbls>
            <c:delete val="1"/>
          </c:dLbls>
          <c:cat>
            <c:strRef>
              <c:f>'KPI CAL'!$N$18:$N$27</c:f>
              <c:strCache>
                <c:ptCount val="10"/>
                <c:pt idx="0">
                  <c:v>Credit Builder</c:v>
                </c:pt>
                <c:pt idx="1">
                  <c:v>International Transfer</c:v>
                </c:pt>
                <c:pt idx="2">
                  <c:v>Bill Split</c:v>
                </c:pt>
                <c:pt idx="3">
                  <c:v>Budget Planner</c:v>
                </c:pt>
                <c:pt idx="4">
                  <c:v>Cashflow Insights</c:v>
                </c:pt>
                <c:pt idx="5">
                  <c:v>Cashback Rewards</c:v>
                </c:pt>
                <c:pt idx="6">
                  <c:v>Direct Debit Manager</c:v>
                </c:pt>
                <c:pt idx="7">
                  <c:v>Virtual Card</c:v>
                </c:pt>
                <c:pt idx="8">
                  <c:v>Savings Pots</c:v>
                </c:pt>
                <c:pt idx="9">
                  <c:v>Instant Bank Transfer</c:v>
                </c:pt>
              </c:strCache>
            </c:strRef>
          </c:cat>
          <c:val>
            <c:numRef>
              <c:f>'KPI CAL'!$O$18:$O$27</c:f>
              <c:numCache>
                <c:formatCode>0.00%</c:formatCode>
                <c:ptCount val="10"/>
                <c:pt idx="0">
                  <c:v>0.46391752577319589</c:v>
                </c:pt>
                <c:pt idx="1">
                  <c:v>0.5</c:v>
                </c:pt>
                <c:pt idx="2">
                  <c:v>0.51879699248120303</c:v>
                </c:pt>
                <c:pt idx="3">
                  <c:v>0.51973684210526316</c:v>
                </c:pt>
                <c:pt idx="4">
                  <c:v>0.52941176470588236</c:v>
                </c:pt>
                <c:pt idx="5">
                  <c:v>0.651685393258427</c:v>
                </c:pt>
                <c:pt idx="6">
                  <c:v>0.7722772277227723</c:v>
                </c:pt>
                <c:pt idx="7">
                  <c:v>0.78064516129032258</c:v>
                </c:pt>
                <c:pt idx="8">
                  <c:v>0.7931034482758621</c:v>
                </c:pt>
                <c:pt idx="9">
                  <c:v>0.82730923694779113</c:v>
                </c:pt>
              </c:numCache>
            </c:numRef>
          </c:val>
          <c:extLst>
            <c:ext xmlns:c16="http://schemas.microsoft.com/office/drawing/2014/chart" uri="{C3380CC4-5D6E-409C-BE32-E72D297353CC}">
              <c16:uniqueId val="{00000000-1E3D-4E92-B6E5-38ACF04CFAC5}"/>
            </c:ext>
          </c:extLst>
        </c:ser>
        <c:dLbls>
          <c:showLegendKey val="0"/>
          <c:showVal val="1"/>
          <c:showCatName val="0"/>
          <c:showSerName val="0"/>
          <c:showPercent val="0"/>
          <c:showBubbleSize val="0"/>
        </c:dLbls>
        <c:gapWidth val="86"/>
        <c:overlap val="-27"/>
        <c:axId val="1712919999"/>
        <c:axId val="1508938463"/>
      </c:barChart>
      <c:catAx>
        <c:axId val="171291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1508938463"/>
        <c:crosses val="autoZero"/>
        <c:auto val="1"/>
        <c:lblAlgn val="ctr"/>
        <c:lblOffset val="100"/>
        <c:noMultiLvlLbl val="0"/>
      </c:catAx>
      <c:valAx>
        <c:axId val="1508938463"/>
        <c:scaling>
          <c:orientation val="minMax"/>
        </c:scaling>
        <c:delete val="1"/>
        <c:axPos val="l"/>
        <c:numFmt formatCode="0.00%" sourceLinked="1"/>
        <c:majorTickMark val="none"/>
        <c:minorTickMark val="none"/>
        <c:tickLblPos val="nextTo"/>
        <c:crossAx val="1712919999"/>
        <c:crosses val="autoZero"/>
        <c:crossBetween val="between"/>
      </c:valAx>
      <c:spPr>
        <a:noFill/>
        <a:ln>
          <a:noFill/>
        </a:ln>
        <a:effectLst/>
      </c:spPr>
    </c:plotArea>
    <c:plotVisOnly val="1"/>
    <c:dispBlanksAs val="gap"/>
    <c:showDLblsOverMax val="0"/>
  </c:chart>
  <c:spPr>
    <a:solidFill>
      <a:srgbClr val="004A43">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Fintech 102(AutoRecovered).xlsx]KPI CAL!PivotTable50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Feature Interaction By Customer Segment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'KPI CAL'!$B$43:$B$44</c:f>
              <c:strCache>
                <c:ptCount val="1"/>
                <c:pt idx="0">
                  <c:v>Families</c:v>
                </c:pt>
              </c:strCache>
            </c:strRef>
          </c:tx>
          <c:spPr>
            <a:solidFill>
              <a:schemeClr val="accent1"/>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CAL'!$B$45:$B$54</c:f>
              <c:numCache>
                <c:formatCode>General</c:formatCode>
                <c:ptCount val="10"/>
                <c:pt idx="0">
                  <c:v>20</c:v>
                </c:pt>
                <c:pt idx="1">
                  <c:v>25</c:v>
                </c:pt>
                <c:pt idx="2">
                  <c:v>19</c:v>
                </c:pt>
                <c:pt idx="3">
                  <c:v>21</c:v>
                </c:pt>
                <c:pt idx="4">
                  <c:v>21</c:v>
                </c:pt>
                <c:pt idx="5">
                  <c:v>20</c:v>
                </c:pt>
                <c:pt idx="6">
                  <c:v>51</c:v>
                </c:pt>
                <c:pt idx="7">
                  <c:v>25</c:v>
                </c:pt>
                <c:pt idx="8">
                  <c:v>28</c:v>
                </c:pt>
                <c:pt idx="9">
                  <c:v>34</c:v>
                </c:pt>
              </c:numCache>
            </c:numRef>
          </c:val>
          <c:extLst>
            <c:ext xmlns:c16="http://schemas.microsoft.com/office/drawing/2014/chart" uri="{C3380CC4-5D6E-409C-BE32-E72D297353CC}">
              <c16:uniqueId val="{0000001C-2253-4FDB-9B97-684F41A4E2DE}"/>
            </c:ext>
          </c:extLst>
        </c:ser>
        <c:ser>
          <c:idx val="1"/>
          <c:order val="1"/>
          <c:tx>
            <c:strRef>
              <c:f>'KPI CAL'!$C$43:$C$44</c:f>
              <c:strCache>
                <c:ptCount val="1"/>
                <c:pt idx="0">
                  <c:v>Gig Workers</c:v>
                </c:pt>
              </c:strCache>
            </c:strRef>
          </c:tx>
          <c:spPr>
            <a:solidFill>
              <a:schemeClr val="accent2"/>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CAL'!$C$45:$C$54</c:f>
              <c:numCache>
                <c:formatCode>General</c:formatCode>
                <c:ptCount val="10"/>
                <c:pt idx="0">
                  <c:v>12</c:v>
                </c:pt>
                <c:pt idx="1">
                  <c:v>22</c:v>
                </c:pt>
                <c:pt idx="2">
                  <c:v>13</c:v>
                </c:pt>
                <c:pt idx="3">
                  <c:v>19</c:v>
                </c:pt>
                <c:pt idx="4">
                  <c:v>8</c:v>
                </c:pt>
                <c:pt idx="5">
                  <c:v>17</c:v>
                </c:pt>
                <c:pt idx="6">
                  <c:v>32</c:v>
                </c:pt>
                <c:pt idx="7">
                  <c:v>20</c:v>
                </c:pt>
                <c:pt idx="8">
                  <c:v>23</c:v>
                </c:pt>
                <c:pt idx="9">
                  <c:v>21</c:v>
                </c:pt>
              </c:numCache>
            </c:numRef>
          </c:val>
          <c:extLst>
            <c:ext xmlns:c16="http://schemas.microsoft.com/office/drawing/2014/chart" uri="{C3380CC4-5D6E-409C-BE32-E72D297353CC}">
              <c16:uniqueId val="{0000001D-2253-4FDB-9B97-684F41A4E2DE}"/>
            </c:ext>
          </c:extLst>
        </c:ser>
        <c:ser>
          <c:idx val="2"/>
          <c:order val="2"/>
          <c:tx>
            <c:strRef>
              <c:f>'KPI CAL'!$D$43:$D$44</c:f>
              <c:strCache>
                <c:ptCount val="1"/>
                <c:pt idx="0">
                  <c:v>High-Income Professionals</c:v>
                </c:pt>
              </c:strCache>
            </c:strRef>
          </c:tx>
          <c:spPr>
            <a:solidFill>
              <a:schemeClr val="accent3"/>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CAL'!$D$45:$D$54</c:f>
              <c:numCache>
                <c:formatCode>General</c:formatCode>
                <c:ptCount val="10"/>
                <c:pt idx="0">
                  <c:v>12</c:v>
                </c:pt>
                <c:pt idx="1">
                  <c:v>11</c:v>
                </c:pt>
                <c:pt idx="2">
                  <c:v>6</c:v>
                </c:pt>
                <c:pt idx="3">
                  <c:v>14</c:v>
                </c:pt>
                <c:pt idx="4">
                  <c:v>10</c:v>
                </c:pt>
                <c:pt idx="5">
                  <c:v>3</c:v>
                </c:pt>
                <c:pt idx="6">
                  <c:v>18</c:v>
                </c:pt>
                <c:pt idx="7">
                  <c:v>13</c:v>
                </c:pt>
                <c:pt idx="8">
                  <c:v>13</c:v>
                </c:pt>
                <c:pt idx="9">
                  <c:v>10</c:v>
                </c:pt>
              </c:numCache>
            </c:numRef>
          </c:val>
          <c:extLst>
            <c:ext xmlns:c16="http://schemas.microsoft.com/office/drawing/2014/chart" uri="{C3380CC4-5D6E-409C-BE32-E72D297353CC}">
              <c16:uniqueId val="{0000001E-2253-4FDB-9B97-684F41A4E2DE}"/>
            </c:ext>
          </c:extLst>
        </c:ser>
        <c:ser>
          <c:idx val="3"/>
          <c:order val="3"/>
          <c:tx>
            <c:strRef>
              <c:f>'KPI CAL'!$E$43:$E$44</c:f>
              <c:strCache>
                <c:ptCount val="1"/>
                <c:pt idx="0">
                  <c:v>Retirees</c:v>
                </c:pt>
              </c:strCache>
            </c:strRef>
          </c:tx>
          <c:spPr>
            <a:solidFill>
              <a:schemeClr val="accent4"/>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CAL'!$E$45:$E$54</c:f>
              <c:numCache>
                <c:formatCode>General</c:formatCode>
                <c:ptCount val="10"/>
                <c:pt idx="0">
                  <c:v>6</c:v>
                </c:pt>
                <c:pt idx="1">
                  <c:v>8</c:v>
                </c:pt>
                <c:pt idx="2">
                  <c:v>6</c:v>
                </c:pt>
                <c:pt idx="3">
                  <c:v>3</c:v>
                </c:pt>
                <c:pt idx="4">
                  <c:v>1</c:v>
                </c:pt>
                <c:pt idx="5">
                  <c:v>9</c:v>
                </c:pt>
                <c:pt idx="6">
                  <c:v>6</c:v>
                </c:pt>
                <c:pt idx="7">
                  <c:v>9</c:v>
                </c:pt>
                <c:pt idx="8">
                  <c:v>5</c:v>
                </c:pt>
                <c:pt idx="9">
                  <c:v>10</c:v>
                </c:pt>
              </c:numCache>
            </c:numRef>
          </c:val>
          <c:extLst>
            <c:ext xmlns:c16="http://schemas.microsoft.com/office/drawing/2014/chart" uri="{C3380CC4-5D6E-409C-BE32-E72D297353CC}">
              <c16:uniqueId val="{0000001F-2253-4FDB-9B97-684F41A4E2DE}"/>
            </c:ext>
          </c:extLst>
        </c:ser>
        <c:ser>
          <c:idx val="4"/>
          <c:order val="4"/>
          <c:tx>
            <c:strRef>
              <c:f>'KPI CAL'!$F$43:$F$44</c:f>
              <c:strCache>
                <c:ptCount val="1"/>
                <c:pt idx="0">
                  <c:v>Small Business Owners</c:v>
                </c:pt>
              </c:strCache>
            </c:strRef>
          </c:tx>
          <c:spPr>
            <a:solidFill>
              <a:schemeClr val="accent5"/>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CAL'!$F$45:$F$54</c:f>
              <c:numCache>
                <c:formatCode>General</c:formatCode>
                <c:ptCount val="10"/>
                <c:pt idx="0">
                  <c:v>16</c:v>
                </c:pt>
                <c:pt idx="1">
                  <c:v>15</c:v>
                </c:pt>
                <c:pt idx="2">
                  <c:v>13</c:v>
                </c:pt>
                <c:pt idx="3">
                  <c:v>16</c:v>
                </c:pt>
                <c:pt idx="4">
                  <c:v>14</c:v>
                </c:pt>
                <c:pt idx="5">
                  <c:v>14</c:v>
                </c:pt>
                <c:pt idx="6">
                  <c:v>37</c:v>
                </c:pt>
                <c:pt idx="7">
                  <c:v>17</c:v>
                </c:pt>
                <c:pt idx="8">
                  <c:v>22</c:v>
                </c:pt>
                <c:pt idx="9">
                  <c:v>14</c:v>
                </c:pt>
              </c:numCache>
            </c:numRef>
          </c:val>
          <c:extLst>
            <c:ext xmlns:c16="http://schemas.microsoft.com/office/drawing/2014/chart" uri="{C3380CC4-5D6E-409C-BE32-E72D297353CC}">
              <c16:uniqueId val="{00000020-2253-4FDB-9B97-684F41A4E2DE}"/>
            </c:ext>
          </c:extLst>
        </c:ser>
        <c:ser>
          <c:idx val="5"/>
          <c:order val="5"/>
          <c:tx>
            <c:strRef>
              <c:f>'KPI CAL'!$G$43:$G$44</c:f>
              <c:strCache>
                <c:ptCount val="1"/>
                <c:pt idx="0">
                  <c:v>Students</c:v>
                </c:pt>
              </c:strCache>
            </c:strRef>
          </c:tx>
          <c:spPr>
            <a:solidFill>
              <a:schemeClr val="accent6"/>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CAL'!$G$45:$G$54</c:f>
              <c:numCache>
                <c:formatCode>General</c:formatCode>
                <c:ptCount val="10"/>
                <c:pt idx="0">
                  <c:v>17</c:v>
                </c:pt>
                <c:pt idx="1">
                  <c:v>22</c:v>
                </c:pt>
                <c:pt idx="2">
                  <c:v>14</c:v>
                </c:pt>
                <c:pt idx="3">
                  <c:v>24</c:v>
                </c:pt>
                <c:pt idx="4">
                  <c:v>13</c:v>
                </c:pt>
                <c:pt idx="5">
                  <c:v>19</c:v>
                </c:pt>
                <c:pt idx="6">
                  <c:v>46</c:v>
                </c:pt>
                <c:pt idx="7">
                  <c:v>30</c:v>
                </c:pt>
                <c:pt idx="8">
                  <c:v>26</c:v>
                </c:pt>
                <c:pt idx="9">
                  <c:v>21</c:v>
                </c:pt>
              </c:numCache>
            </c:numRef>
          </c:val>
          <c:extLst>
            <c:ext xmlns:c16="http://schemas.microsoft.com/office/drawing/2014/chart" uri="{C3380CC4-5D6E-409C-BE32-E72D297353CC}">
              <c16:uniqueId val="{00000021-2253-4FDB-9B97-684F41A4E2DE}"/>
            </c:ext>
          </c:extLst>
        </c:ser>
        <c:ser>
          <c:idx val="6"/>
          <c:order val="6"/>
          <c:tx>
            <c:strRef>
              <c:f>'KPI CAL'!$H$43:$H$44</c:f>
              <c:strCache>
                <c:ptCount val="1"/>
                <c:pt idx="0">
                  <c:v>Young Professionals</c:v>
                </c:pt>
              </c:strCache>
            </c:strRef>
          </c:tx>
          <c:spPr>
            <a:solidFill>
              <a:schemeClr val="accent1">
                <a:lumMod val="60000"/>
              </a:schemeClr>
            </a:solidFill>
            <a:ln>
              <a:noFill/>
            </a:ln>
            <a:effectLst/>
          </c:spPr>
          <c:invertIfNegative val="0"/>
          <c:cat>
            <c:strRef>
              <c:f>'KPI CAL'!$A$45:$A$54</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CAL'!$H$45:$H$54</c:f>
              <c:numCache>
                <c:formatCode>General</c:formatCode>
                <c:ptCount val="10"/>
                <c:pt idx="0">
                  <c:v>49</c:v>
                </c:pt>
                <c:pt idx="1">
                  <c:v>47</c:v>
                </c:pt>
                <c:pt idx="2">
                  <c:v>18</c:v>
                </c:pt>
                <c:pt idx="3">
                  <c:v>22</c:v>
                </c:pt>
                <c:pt idx="4">
                  <c:v>30</c:v>
                </c:pt>
                <c:pt idx="5">
                  <c:v>18</c:v>
                </c:pt>
                <c:pt idx="6">
                  <c:v>59</c:v>
                </c:pt>
                <c:pt idx="7">
                  <c:v>32</c:v>
                </c:pt>
                <c:pt idx="8">
                  <c:v>56</c:v>
                </c:pt>
                <c:pt idx="9">
                  <c:v>45</c:v>
                </c:pt>
              </c:numCache>
            </c:numRef>
          </c:val>
          <c:extLst>
            <c:ext xmlns:c16="http://schemas.microsoft.com/office/drawing/2014/chart" uri="{C3380CC4-5D6E-409C-BE32-E72D297353CC}">
              <c16:uniqueId val="{00000022-2253-4FDB-9B97-684F41A4E2DE}"/>
            </c:ext>
          </c:extLst>
        </c:ser>
        <c:dLbls>
          <c:showLegendKey val="0"/>
          <c:showVal val="0"/>
          <c:showCatName val="0"/>
          <c:showSerName val="0"/>
          <c:showPercent val="0"/>
          <c:showBubbleSize val="0"/>
        </c:dLbls>
        <c:gapWidth val="219"/>
        <c:overlap val="-27"/>
        <c:axId val="1562019504"/>
        <c:axId val="1296992288"/>
      </c:barChart>
      <c:catAx>
        <c:axId val="156201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296992288"/>
        <c:crosses val="autoZero"/>
        <c:auto val="1"/>
        <c:lblAlgn val="ctr"/>
        <c:lblOffset val="100"/>
        <c:noMultiLvlLbl val="0"/>
      </c:catAx>
      <c:valAx>
        <c:axId val="1296992288"/>
        <c:scaling>
          <c:orientation val="minMax"/>
        </c:scaling>
        <c:delete val="1"/>
        <c:axPos val="l"/>
        <c:numFmt formatCode="General" sourceLinked="1"/>
        <c:majorTickMark val="none"/>
        <c:minorTickMark val="none"/>
        <c:tickLblPos val="nextTo"/>
        <c:crossAx val="1562019504"/>
        <c:crosses val="autoZero"/>
        <c:crossBetween val="between"/>
      </c:valAx>
      <c:spPr>
        <a:solidFill>
          <a:schemeClr val="lt1">
            <a:alpha val="0"/>
          </a:schemeClr>
        </a:solidFill>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lt1">
        <a:alpha val="85000"/>
      </a:schemeClr>
    </a:solidFill>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Error Rate By Customer</a:t>
            </a:r>
            <a:r>
              <a:rPr lang="en-US" sz="1200" b="1" baseline="0">
                <a:solidFill>
                  <a:sysClr val="windowText" lastClr="000000"/>
                </a:solidFill>
                <a:latin typeface="Lucida Console" panose="020B0609040504020204" pitchFamily="49" charset="0"/>
              </a:rPr>
              <a:t> Segment</a:t>
            </a:r>
            <a:endParaRPr lang="en-US" sz="12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 CAL'!$K$60</c:f>
              <c:strCache>
                <c:ptCount val="1"/>
                <c:pt idx="0">
                  <c:v>Families</c:v>
                </c:pt>
              </c:strCache>
            </c:strRef>
          </c:tx>
          <c:spPr>
            <a:solidFill>
              <a:schemeClr val="accent1"/>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CAL'!$K$61:$K$70</c:f>
              <c:numCache>
                <c:formatCode>0.00%</c:formatCode>
                <c:ptCount val="10"/>
                <c:pt idx="0">
                  <c:v>0.36842105263157893</c:v>
                </c:pt>
                <c:pt idx="1">
                  <c:v>0.32</c:v>
                </c:pt>
                <c:pt idx="2">
                  <c:v>0.26315789473684209</c:v>
                </c:pt>
                <c:pt idx="3">
                  <c:v>0.19047619047619047</c:v>
                </c:pt>
                <c:pt idx="4">
                  <c:v>0.33333333333333331</c:v>
                </c:pt>
                <c:pt idx="5">
                  <c:v>0.05</c:v>
                </c:pt>
                <c:pt idx="6">
                  <c:v>0.12</c:v>
                </c:pt>
                <c:pt idx="7">
                  <c:v>0.24</c:v>
                </c:pt>
                <c:pt idx="8">
                  <c:v>0.25</c:v>
                </c:pt>
                <c:pt idx="9">
                  <c:v>0.17647058823529413</c:v>
                </c:pt>
              </c:numCache>
            </c:numRef>
          </c:val>
          <c:extLst>
            <c:ext xmlns:c16="http://schemas.microsoft.com/office/drawing/2014/chart" uri="{C3380CC4-5D6E-409C-BE32-E72D297353CC}">
              <c16:uniqueId val="{00000000-03B4-4D66-ADA3-6D381F8E5704}"/>
            </c:ext>
          </c:extLst>
        </c:ser>
        <c:ser>
          <c:idx val="1"/>
          <c:order val="1"/>
          <c:tx>
            <c:strRef>
              <c:f>'KPI CAL'!$L$60</c:f>
              <c:strCache>
                <c:ptCount val="1"/>
                <c:pt idx="0">
                  <c:v>Gig Workers</c:v>
                </c:pt>
              </c:strCache>
            </c:strRef>
          </c:tx>
          <c:spPr>
            <a:solidFill>
              <a:schemeClr val="accent2"/>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CAL'!$L$61:$L$70</c:f>
              <c:numCache>
                <c:formatCode>0.00%</c:formatCode>
                <c:ptCount val="10"/>
                <c:pt idx="0">
                  <c:v>0.16666666666666666</c:v>
                </c:pt>
                <c:pt idx="1">
                  <c:v>0.14285714285714285</c:v>
                </c:pt>
                <c:pt idx="2">
                  <c:v>0</c:v>
                </c:pt>
                <c:pt idx="3">
                  <c:v>0.10526315789473684</c:v>
                </c:pt>
                <c:pt idx="4">
                  <c:v>0.375</c:v>
                </c:pt>
                <c:pt idx="5">
                  <c:v>0.11764705882352941</c:v>
                </c:pt>
                <c:pt idx="6">
                  <c:v>0.21875</c:v>
                </c:pt>
                <c:pt idx="7">
                  <c:v>0.3</c:v>
                </c:pt>
                <c:pt idx="8">
                  <c:v>0.21739130434782608</c:v>
                </c:pt>
                <c:pt idx="9">
                  <c:v>0.19047619047619047</c:v>
                </c:pt>
              </c:numCache>
            </c:numRef>
          </c:val>
          <c:extLst>
            <c:ext xmlns:c16="http://schemas.microsoft.com/office/drawing/2014/chart" uri="{C3380CC4-5D6E-409C-BE32-E72D297353CC}">
              <c16:uniqueId val="{00000001-03B4-4D66-ADA3-6D381F8E5704}"/>
            </c:ext>
          </c:extLst>
        </c:ser>
        <c:ser>
          <c:idx val="2"/>
          <c:order val="2"/>
          <c:tx>
            <c:strRef>
              <c:f>'KPI CAL'!$M$60</c:f>
              <c:strCache>
                <c:ptCount val="1"/>
                <c:pt idx="0">
                  <c:v>High-Income Professionals</c:v>
                </c:pt>
              </c:strCache>
            </c:strRef>
          </c:tx>
          <c:spPr>
            <a:solidFill>
              <a:schemeClr val="accent3"/>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CAL'!$M$61:$M$70</c:f>
              <c:numCache>
                <c:formatCode>0.00%</c:formatCode>
                <c:ptCount val="10"/>
                <c:pt idx="0">
                  <c:v>0.33333333333333331</c:v>
                </c:pt>
                <c:pt idx="1">
                  <c:v>0.18181818181818182</c:v>
                </c:pt>
                <c:pt idx="2">
                  <c:v>0.16666666666666666</c:v>
                </c:pt>
                <c:pt idx="3">
                  <c:v>0.14285714285714285</c:v>
                </c:pt>
                <c:pt idx="4">
                  <c:v>0.2</c:v>
                </c:pt>
                <c:pt idx="5">
                  <c:v>0.33333333333333331</c:v>
                </c:pt>
                <c:pt idx="6">
                  <c:v>0.27777777777777779</c:v>
                </c:pt>
                <c:pt idx="7">
                  <c:v>0.30769230769230771</c:v>
                </c:pt>
                <c:pt idx="8">
                  <c:v>0.38461538461538464</c:v>
                </c:pt>
                <c:pt idx="9">
                  <c:v>0.1</c:v>
                </c:pt>
              </c:numCache>
            </c:numRef>
          </c:val>
          <c:extLst>
            <c:ext xmlns:c16="http://schemas.microsoft.com/office/drawing/2014/chart" uri="{C3380CC4-5D6E-409C-BE32-E72D297353CC}">
              <c16:uniqueId val="{00000002-03B4-4D66-ADA3-6D381F8E5704}"/>
            </c:ext>
          </c:extLst>
        </c:ser>
        <c:ser>
          <c:idx val="3"/>
          <c:order val="3"/>
          <c:tx>
            <c:strRef>
              <c:f>'KPI CAL'!$N$60</c:f>
              <c:strCache>
                <c:ptCount val="1"/>
                <c:pt idx="0">
                  <c:v>Retirees</c:v>
                </c:pt>
              </c:strCache>
            </c:strRef>
          </c:tx>
          <c:spPr>
            <a:solidFill>
              <a:schemeClr val="accent4"/>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CAL'!$N$61:$N$70</c:f>
              <c:numCache>
                <c:formatCode>0.00%</c:formatCode>
                <c:ptCount val="10"/>
                <c:pt idx="0">
                  <c:v>0</c:v>
                </c:pt>
                <c:pt idx="1">
                  <c:v>0</c:v>
                </c:pt>
                <c:pt idx="2">
                  <c:v>0</c:v>
                </c:pt>
                <c:pt idx="3">
                  <c:v>0.33333333333333331</c:v>
                </c:pt>
                <c:pt idx="4">
                  <c:v>0</c:v>
                </c:pt>
                <c:pt idx="5">
                  <c:v>0</c:v>
                </c:pt>
                <c:pt idx="6">
                  <c:v>0</c:v>
                </c:pt>
                <c:pt idx="7">
                  <c:v>0</c:v>
                </c:pt>
                <c:pt idx="8">
                  <c:v>0.2</c:v>
                </c:pt>
                <c:pt idx="9">
                  <c:v>0.1</c:v>
                </c:pt>
              </c:numCache>
            </c:numRef>
          </c:val>
          <c:extLst>
            <c:ext xmlns:c16="http://schemas.microsoft.com/office/drawing/2014/chart" uri="{C3380CC4-5D6E-409C-BE32-E72D297353CC}">
              <c16:uniqueId val="{00000003-03B4-4D66-ADA3-6D381F8E5704}"/>
            </c:ext>
          </c:extLst>
        </c:ser>
        <c:ser>
          <c:idx val="4"/>
          <c:order val="4"/>
          <c:tx>
            <c:strRef>
              <c:f>'KPI CAL'!$O$60</c:f>
              <c:strCache>
                <c:ptCount val="1"/>
                <c:pt idx="0">
                  <c:v>Small Business Owners</c:v>
                </c:pt>
              </c:strCache>
            </c:strRef>
          </c:tx>
          <c:spPr>
            <a:solidFill>
              <a:schemeClr val="accent5"/>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CAL'!$O$61:$O$70</c:f>
              <c:numCache>
                <c:formatCode>0.00%</c:formatCode>
                <c:ptCount val="10"/>
                <c:pt idx="0">
                  <c:v>0.1875</c:v>
                </c:pt>
                <c:pt idx="1">
                  <c:v>0.2</c:v>
                </c:pt>
                <c:pt idx="2">
                  <c:v>0.30769230769230771</c:v>
                </c:pt>
                <c:pt idx="3">
                  <c:v>0.3125</c:v>
                </c:pt>
                <c:pt idx="4">
                  <c:v>0.21428571428571427</c:v>
                </c:pt>
                <c:pt idx="5">
                  <c:v>7.1428571428571425E-2</c:v>
                </c:pt>
                <c:pt idx="6">
                  <c:v>5.4054054054054057E-2</c:v>
                </c:pt>
                <c:pt idx="7">
                  <c:v>0.29411764705882354</c:v>
                </c:pt>
                <c:pt idx="8">
                  <c:v>0.27272727272727271</c:v>
                </c:pt>
                <c:pt idx="9">
                  <c:v>0.14285714285714285</c:v>
                </c:pt>
              </c:numCache>
            </c:numRef>
          </c:val>
          <c:extLst>
            <c:ext xmlns:c16="http://schemas.microsoft.com/office/drawing/2014/chart" uri="{C3380CC4-5D6E-409C-BE32-E72D297353CC}">
              <c16:uniqueId val="{00000004-03B4-4D66-ADA3-6D381F8E5704}"/>
            </c:ext>
          </c:extLst>
        </c:ser>
        <c:ser>
          <c:idx val="5"/>
          <c:order val="5"/>
          <c:tx>
            <c:strRef>
              <c:f>'KPI CAL'!$P$60</c:f>
              <c:strCache>
                <c:ptCount val="1"/>
                <c:pt idx="0">
                  <c:v>Students</c:v>
                </c:pt>
              </c:strCache>
            </c:strRef>
          </c:tx>
          <c:spPr>
            <a:solidFill>
              <a:schemeClr val="accent6"/>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CAL'!$P$61:$P$70</c:f>
              <c:numCache>
                <c:formatCode>0.00%</c:formatCode>
                <c:ptCount val="10"/>
                <c:pt idx="0">
                  <c:v>0.17647058823529413</c:v>
                </c:pt>
                <c:pt idx="1">
                  <c:v>0.36363636363636365</c:v>
                </c:pt>
                <c:pt idx="2">
                  <c:v>7.1428571428571425E-2</c:v>
                </c:pt>
                <c:pt idx="3">
                  <c:v>8.3333333333333329E-2</c:v>
                </c:pt>
                <c:pt idx="4">
                  <c:v>0.15384615384615385</c:v>
                </c:pt>
                <c:pt idx="5">
                  <c:v>0.15789473684210525</c:v>
                </c:pt>
                <c:pt idx="6">
                  <c:v>0.17391304347826086</c:v>
                </c:pt>
                <c:pt idx="7">
                  <c:v>0.33333333333333331</c:v>
                </c:pt>
                <c:pt idx="8">
                  <c:v>0.11538461538461539</c:v>
                </c:pt>
                <c:pt idx="9">
                  <c:v>0.14285714285714285</c:v>
                </c:pt>
              </c:numCache>
            </c:numRef>
          </c:val>
          <c:extLst>
            <c:ext xmlns:c16="http://schemas.microsoft.com/office/drawing/2014/chart" uri="{C3380CC4-5D6E-409C-BE32-E72D297353CC}">
              <c16:uniqueId val="{00000005-03B4-4D66-ADA3-6D381F8E5704}"/>
            </c:ext>
          </c:extLst>
        </c:ser>
        <c:ser>
          <c:idx val="6"/>
          <c:order val="6"/>
          <c:tx>
            <c:strRef>
              <c:f>'KPI CAL'!$Q$60</c:f>
              <c:strCache>
                <c:ptCount val="1"/>
                <c:pt idx="0">
                  <c:v>Young Professionals</c:v>
                </c:pt>
              </c:strCache>
            </c:strRef>
          </c:tx>
          <c:spPr>
            <a:solidFill>
              <a:schemeClr val="accent1">
                <a:lumMod val="60000"/>
              </a:schemeClr>
            </a:solidFill>
            <a:ln>
              <a:noFill/>
            </a:ln>
            <a:effectLst/>
          </c:spPr>
          <c:invertIfNegative val="0"/>
          <c:cat>
            <c:strRef>
              <c:f>'KPI CAL'!$J$61:$J$70</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CAL'!$Q$61:$Q$70</c:f>
              <c:numCache>
                <c:formatCode>0.00%</c:formatCode>
                <c:ptCount val="10"/>
                <c:pt idx="0">
                  <c:v>0.26530612244897961</c:v>
                </c:pt>
                <c:pt idx="1">
                  <c:v>0.21276595744680851</c:v>
                </c:pt>
                <c:pt idx="2">
                  <c:v>5.5555555555555552E-2</c:v>
                </c:pt>
                <c:pt idx="3">
                  <c:v>0.14285714285714285</c:v>
                </c:pt>
                <c:pt idx="4">
                  <c:v>0.36666666666666664</c:v>
                </c:pt>
                <c:pt idx="5">
                  <c:v>0.1111111111111111</c:v>
                </c:pt>
                <c:pt idx="6">
                  <c:v>0.10169491525423729</c:v>
                </c:pt>
                <c:pt idx="7">
                  <c:v>0.15625</c:v>
                </c:pt>
                <c:pt idx="8">
                  <c:v>0.14285714285714285</c:v>
                </c:pt>
                <c:pt idx="9">
                  <c:v>2.2222222222222223E-2</c:v>
                </c:pt>
              </c:numCache>
            </c:numRef>
          </c:val>
          <c:extLst>
            <c:ext xmlns:c16="http://schemas.microsoft.com/office/drawing/2014/chart" uri="{C3380CC4-5D6E-409C-BE32-E72D297353CC}">
              <c16:uniqueId val="{00000006-03B4-4D66-ADA3-6D381F8E5704}"/>
            </c:ext>
          </c:extLst>
        </c:ser>
        <c:dLbls>
          <c:showLegendKey val="0"/>
          <c:showVal val="0"/>
          <c:showCatName val="0"/>
          <c:showSerName val="0"/>
          <c:showPercent val="0"/>
          <c:showBubbleSize val="0"/>
        </c:dLbls>
        <c:gapWidth val="219"/>
        <c:overlap val="-27"/>
        <c:axId val="1562019504"/>
        <c:axId val="1296992288"/>
      </c:barChart>
      <c:catAx>
        <c:axId val="156201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296992288"/>
        <c:crosses val="autoZero"/>
        <c:auto val="1"/>
        <c:lblAlgn val="ctr"/>
        <c:lblOffset val="100"/>
        <c:noMultiLvlLbl val="0"/>
      </c:catAx>
      <c:valAx>
        <c:axId val="1296992288"/>
        <c:scaling>
          <c:orientation val="minMax"/>
        </c:scaling>
        <c:delete val="1"/>
        <c:axPos val="l"/>
        <c:numFmt formatCode="0.00%" sourceLinked="1"/>
        <c:majorTickMark val="none"/>
        <c:minorTickMark val="none"/>
        <c:tickLblPos val="nextTo"/>
        <c:crossAx val="1562019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Retention</a:t>
            </a:r>
            <a:r>
              <a:rPr lang="en-US" sz="1200" b="1" baseline="0">
                <a:solidFill>
                  <a:sysClr val="windowText" lastClr="000000"/>
                </a:solidFill>
                <a:latin typeface="Lucida Console" panose="020B0609040504020204" pitchFamily="49" charset="0"/>
              </a:rPr>
              <a:t> Rate By Customer Segment</a:t>
            </a:r>
            <a:endParaRPr lang="en-US" sz="12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7342351436839623E-2"/>
          <c:y val="9.7352024922118377E-2"/>
          <c:w val="0.93131861722412901"/>
          <c:h val="0.49646037235999696"/>
        </c:manualLayout>
      </c:layout>
      <c:barChart>
        <c:barDir val="col"/>
        <c:grouping val="stacked"/>
        <c:varyColors val="0"/>
        <c:ser>
          <c:idx val="0"/>
          <c:order val="0"/>
          <c:tx>
            <c:strRef>
              <c:f>'KPI CAL'!$B$85</c:f>
              <c:strCache>
                <c:ptCount val="1"/>
                <c:pt idx="0">
                  <c:v>Families</c:v>
                </c:pt>
              </c:strCache>
            </c:strRef>
          </c:tx>
          <c:spPr>
            <a:solidFill>
              <a:schemeClr val="accent1"/>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CAL'!$B$86:$B$96</c:f>
              <c:numCache>
                <c:formatCode>0.00%</c:formatCode>
                <c:ptCount val="11"/>
                <c:pt idx="0">
                  <c:v>0.55000000000000004</c:v>
                </c:pt>
                <c:pt idx="1">
                  <c:v>0.56000000000000005</c:v>
                </c:pt>
                <c:pt idx="2">
                  <c:v>0.89473684210526316</c:v>
                </c:pt>
                <c:pt idx="3">
                  <c:v>0.38095238095238093</c:v>
                </c:pt>
                <c:pt idx="4">
                  <c:v>0.55000000000000004</c:v>
                </c:pt>
                <c:pt idx="5">
                  <c:v>0.61111111111111116</c:v>
                </c:pt>
                <c:pt idx="6">
                  <c:v>0.78</c:v>
                </c:pt>
                <c:pt idx="7">
                  <c:v>0.48</c:v>
                </c:pt>
                <c:pt idx="8">
                  <c:v>0.6071428571428571</c:v>
                </c:pt>
                <c:pt idx="9">
                  <c:v>0.79411764705882348</c:v>
                </c:pt>
              </c:numCache>
            </c:numRef>
          </c:val>
          <c:extLst>
            <c:ext xmlns:c16="http://schemas.microsoft.com/office/drawing/2014/chart" uri="{C3380CC4-5D6E-409C-BE32-E72D297353CC}">
              <c16:uniqueId val="{00000000-E134-4498-856C-BAB9A8806823}"/>
            </c:ext>
          </c:extLst>
        </c:ser>
        <c:ser>
          <c:idx val="1"/>
          <c:order val="1"/>
          <c:tx>
            <c:strRef>
              <c:f>'KPI CAL'!$C$85</c:f>
              <c:strCache>
                <c:ptCount val="1"/>
                <c:pt idx="0">
                  <c:v>Gig Workers</c:v>
                </c:pt>
              </c:strCache>
            </c:strRef>
          </c:tx>
          <c:spPr>
            <a:solidFill>
              <a:schemeClr val="accent2"/>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CAL'!$C$86:$C$96</c:f>
              <c:numCache>
                <c:formatCode>0.00%</c:formatCode>
                <c:ptCount val="11"/>
                <c:pt idx="0">
                  <c:v>0.5</c:v>
                </c:pt>
                <c:pt idx="1">
                  <c:v>0.45454545454545453</c:v>
                </c:pt>
                <c:pt idx="2">
                  <c:v>0.76923076923076927</c:v>
                </c:pt>
                <c:pt idx="3">
                  <c:v>0.63157894736842102</c:v>
                </c:pt>
                <c:pt idx="4">
                  <c:v>0.375</c:v>
                </c:pt>
                <c:pt idx="5">
                  <c:v>0.6470588235294118</c:v>
                </c:pt>
                <c:pt idx="6">
                  <c:v>0.6875</c:v>
                </c:pt>
                <c:pt idx="7">
                  <c:v>0.5</c:v>
                </c:pt>
                <c:pt idx="8">
                  <c:v>0.82608695652173914</c:v>
                </c:pt>
                <c:pt idx="9">
                  <c:v>0.65</c:v>
                </c:pt>
              </c:numCache>
            </c:numRef>
          </c:val>
          <c:extLst>
            <c:ext xmlns:c16="http://schemas.microsoft.com/office/drawing/2014/chart" uri="{C3380CC4-5D6E-409C-BE32-E72D297353CC}">
              <c16:uniqueId val="{00000001-E134-4498-856C-BAB9A8806823}"/>
            </c:ext>
          </c:extLst>
        </c:ser>
        <c:ser>
          <c:idx val="2"/>
          <c:order val="2"/>
          <c:tx>
            <c:strRef>
              <c:f>'KPI CAL'!$D$85</c:f>
              <c:strCache>
                <c:ptCount val="1"/>
                <c:pt idx="0">
                  <c:v>High-Income Professionals</c:v>
                </c:pt>
              </c:strCache>
            </c:strRef>
          </c:tx>
          <c:spPr>
            <a:solidFill>
              <a:schemeClr val="accent3"/>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CAL'!$D$86:$D$96</c:f>
              <c:numCache>
                <c:formatCode>0.00%</c:formatCode>
                <c:ptCount val="11"/>
                <c:pt idx="0">
                  <c:v>0.63636363636363635</c:v>
                </c:pt>
                <c:pt idx="1">
                  <c:v>0.72727272727272729</c:v>
                </c:pt>
                <c:pt idx="2">
                  <c:v>0.83333333333333337</c:v>
                </c:pt>
                <c:pt idx="3">
                  <c:v>0.5</c:v>
                </c:pt>
                <c:pt idx="4">
                  <c:v>0.7</c:v>
                </c:pt>
                <c:pt idx="5">
                  <c:v>0.66666666666666663</c:v>
                </c:pt>
                <c:pt idx="6">
                  <c:v>0.5</c:v>
                </c:pt>
                <c:pt idx="7">
                  <c:v>0.69230769230769229</c:v>
                </c:pt>
                <c:pt idx="8">
                  <c:v>0.38461538461538464</c:v>
                </c:pt>
                <c:pt idx="9">
                  <c:v>0.6</c:v>
                </c:pt>
              </c:numCache>
            </c:numRef>
          </c:val>
          <c:extLst>
            <c:ext xmlns:c16="http://schemas.microsoft.com/office/drawing/2014/chart" uri="{C3380CC4-5D6E-409C-BE32-E72D297353CC}">
              <c16:uniqueId val="{00000002-E134-4498-856C-BAB9A8806823}"/>
            </c:ext>
          </c:extLst>
        </c:ser>
        <c:ser>
          <c:idx val="3"/>
          <c:order val="3"/>
          <c:tx>
            <c:strRef>
              <c:f>'KPI CAL'!$E$85</c:f>
              <c:strCache>
                <c:ptCount val="1"/>
                <c:pt idx="0">
                  <c:v>Retirees</c:v>
                </c:pt>
              </c:strCache>
            </c:strRef>
          </c:tx>
          <c:spPr>
            <a:solidFill>
              <a:schemeClr val="accent4"/>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CAL'!$E$86:$E$96</c:f>
              <c:numCache>
                <c:formatCode>0.00%</c:formatCode>
                <c:ptCount val="11"/>
                <c:pt idx="0">
                  <c:v>0.6</c:v>
                </c:pt>
                <c:pt idx="1">
                  <c:v>0.75</c:v>
                </c:pt>
                <c:pt idx="2">
                  <c:v>1</c:v>
                </c:pt>
                <c:pt idx="3">
                  <c:v>0.33333333333333331</c:v>
                </c:pt>
                <c:pt idx="4">
                  <c:v>0</c:v>
                </c:pt>
                <c:pt idx="5">
                  <c:v>0.77777777777777779</c:v>
                </c:pt>
                <c:pt idx="6">
                  <c:v>0.83333333333333337</c:v>
                </c:pt>
                <c:pt idx="7">
                  <c:v>0.55555555555555558</c:v>
                </c:pt>
                <c:pt idx="8">
                  <c:v>0.6</c:v>
                </c:pt>
                <c:pt idx="9">
                  <c:v>0.6</c:v>
                </c:pt>
              </c:numCache>
            </c:numRef>
          </c:val>
          <c:extLst>
            <c:ext xmlns:c16="http://schemas.microsoft.com/office/drawing/2014/chart" uri="{C3380CC4-5D6E-409C-BE32-E72D297353CC}">
              <c16:uniqueId val="{00000003-E134-4498-856C-BAB9A8806823}"/>
            </c:ext>
          </c:extLst>
        </c:ser>
        <c:ser>
          <c:idx val="4"/>
          <c:order val="4"/>
          <c:tx>
            <c:strRef>
              <c:f>'KPI CAL'!$F$85</c:f>
              <c:strCache>
                <c:ptCount val="1"/>
                <c:pt idx="0">
                  <c:v>Small Business Owners</c:v>
                </c:pt>
              </c:strCache>
            </c:strRef>
          </c:tx>
          <c:spPr>
            <a:solidFill>
              <a:schemeClr val="accent5"/>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CAL'!$F$86:$F$96</c:f>
              <c:numCache>
                <c:formatCode>0.00%</c:formatCode>
                <c:ptCount val="11"/>
                <c:pt idx="0">
                  <c:v>0.6875</c:v>
                </c:pt>
                <c:pt idx="1">
                  <c:v>0.46666666666666667</c:v>
                </c:pt>
                <c:pt idx="2">
                  <c:v>0.76923076923076927</c:v>
                </c:pt>
                <c:pt idx="3">
                  <c:v>0.6</c:v>
                </c:pt>
                <c:pt idx="4">
                  <c:v>0.21428571428571427</c:v>
                </c:pt>
                <c:pt idx="5">
                  <c:v>0.8571428571428571</c:v>
                </c:pt>
                <c:pt idx="6">
                  <c:v>0.86486486486486491</c:v>
                </c:pt>
                <c:pt idx="7">
                  <c:v>0.58823529411764708</c:v>
                </c:pt>
                <c:pt idx="8">
                  <c:v>0.63636363636363635</c:v>
                </c:pt>
                <c:pt idx="9">
                  <c:v>0.5714285714285714</c:v>
                </c:pt>
              </c:numCache>
            </c:numRef>
          </c:val>
          <c:extLst>
            <c:ext xmlns:c16="http://schemas.microsoft.com/office/drawing/2014/chart" uri="{C3380CC4-5D6E-409C-BE32-E72D297353CC}">
              <c16:uniqueId val="{00000004-E134-4498-856C-BAB9A8806823}"/>
            </c:ext>
          </c:extLst>
        </c:ser>
        <c:ser>
          <c:idx val="5"/>
          <c:order val="5"/>
          <c:tx>
            <c:strRef>
              <c:f>'KPI CAL'!$G$85</c:f>
              <c:strCache>
                <c:ptCount val="1"/>
                <c:pt idx="0">
                  <c:v>Students</c:v>
                </c:pt>
              </c:strCache>
            </c:strRef>
          </c:tx>
          <c:spPr>
            <a:solidFill>
              <a:schemeClr val="accent6"/>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CAL'!$G$86:$G$96</c:f>
              <c:numCache>
                <c:formatCode>0.00%</c:formatCode>
                <c:ptCount val="11"/>
                <c:pt idx="0">
                  <c:v>0.29411764705882354</c:v>
                </c:pt>
                <c:pt idx="1">
                  <c:v>0.5</c:v>
                </c:pt>
                <c:pt idx="2">
                  <c:v>0.7142857142857143</c:v>
                </c:pt>
                <c:pt idx="3">
                  <c:v>0.5</c:v>
                </c:pt>
                <c:pt idx="4">
                  <c:v>0.66666666666666663</c:v>
                </c:pt>
                <c:pt idx="5">
                  <c:v>0.83333333333333337</c:v>
                </c:pt>
                <c:pt idx="6">
                  <c:v>0.80434782608695654</c:v>
                </c:pt>
                <c:pt idx="7">
                  <c:v>0.46666666666666667</c:v>
                </c:pt>
                <c:pt idx="8">
                  <c:v>0.5</c:v>
                </c:pt>
                <c:pt idx="9">
                  <c:v>0.80952380952380953</c:v>
                </c:pt>
              </c:numCache>
            </c:numRef>
          </c:val>
          <c:extLst>
            <c:ext xmlns:c16="http://schemas.microsoft.com/office/drawing/2014/chart" uri="{C3380CC4-5D6E-409C-BE32-E72D297353CC}">
              <c16:uniqueId val="{00000005-E134-4498-856C-BAB9A8806823}"/>
            </c:ext>
          </c:extLst>
        </c:ser>
        <c:ser>
          <c:idx val="6"/>
          <c:order val="6"/>
          <c:tx>
            <c:strRef>
              <c:f>'KPI CAL'!$H$85</c:f>
              <c:strCache>
                <c:ptCount val="1"/>
                <c:pt idx="0">
                  <c:v>Young Professionals</c:v>
                </c:pt>
              </c:strCache>
            </c:strRef>
          </c:tx>
          <c:spPr>
            <a:solidFill>
              <a:schemeClr val="accent1">
                <a:lumMod val="60000"/>
              </a:schemeClr>
            </a:solidFill>
            <a:ln>
              <a:noFill/>
            </a:ln>
            <a:effectLst/>
          </c:spPr>
          <c:invertIfNegative val="0"/>
          <c:cat>
            <c:strRef>
              <c:f>'KPI CAL'!$A$86:$A$96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CAL'!$H$86:$H$96</c:f>
              <c:numCache>
                <c:formatCode>0.00%</c:formatCode>
                <c:ptCount val="11"/>
                <c:pt idx="0">
                  <c:v>0.59183673469387754</c:v>
                </c:pt>
                <c:pt idx="1">
                  <c:v>0.53333333333333333</c:v>
                </c:pt>
                <c:pt idx="2">
                  <c:v>0.66666666666666663</c:v>
                </c:pt>
                <c:pt idx="3">
                  <c:v>0.47619047619047616</c:v>
                </c:pt>
                <c:pt idx="4">
                  <c:v>0.43333333333333335</c:v>
                </c:pt>
                <c:pt idx="5">
                  <c:v>0.70588235294117652</c:v>
                </c:pt>
                <c:pt idx="6">
                  <c:v>0.72881355932203384</c:v>
                </c:pt>
                <c:pt idx="7">
                  <c:v>0.5</c:v>
                </c:pt>
                <c:pt idx="8">
                  <c:v>0.6964285714285714</c:v>
                </c:pt>
                <c:pt idx="9">
                  <c:v>0.77272727272727271</c:v>
                </c:pt>
              </c:numCache>
            </c:numRef>
          </c:val>
          <c:extLst>
            <c:ext xmlns:c16="http://schemas.microsoft.com/office/drawing/2014/chart" uri="{C3380CC4-5D6E-409C-BE32-E72D297353CC}">
              <c16:uniqueId val="{00000006-E134-4498-856C-BAB9A8806823}"/>
            </c:ext>
          </c:extLst>
        </c:ser>
        <c:dLbls>
          <c:showLegendKey val="0"/>
          <c:showVal val="0"/>
          <c:showCatName val="0"/>
          <c:showSerName val="0"/>
          <c:showPercent val="0"/>
          <c:showBubbleSize val="0"/>
        </c:dLbls>
        <c:gapWidth val="150"/>
        <c:overlap val="100"/>
        <c:axId val="1825812912"/>
        <c:axId val="1178493248"/>
      </c:barChart>
      <c:catAx>
        <c:axId val="182581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178493248"/>
        <c:crosses val="autoZero"/>
        <c:auto val="1"/>
        <c:lblAlgn val="ctr"/>
        <c:lblOffset val="100"/>
        <c:noMultiLvlLbl val="0"/>
      </c:catAx>
      <c:valAx>
        <c:axId val="1178493248"/>
        <c:scaling>
          <c:orientation val="minMax"/>
        </c:scaling>
        <c:delete val="1"/>
        <c:axPos val="l"/>
        <c:numFmt formatCode="0.00%" sourceLinked="1"/>
        <c:majorTickMark val="none"/>
        <c:minorTickMark val="none"/>
        <c:tickLblPos val="nextTo"/>
        <c:crossAx val="1825812912"/>
        <c:crosses val="autoZero"/>
        <c:crossBetween val="between"/>
      </c:valAx>
      <c:spPr>
        <a:noFill/>
        <a:ln>
          <a:noFill/>
        </a:ln>
        <a:effectLst/>
      </c:spPr>
    </c:plotArea>
    <c:legend>
      <c:legendPos val="b"/>
      <c:layout>
        <c:manualLayout>
          <c:xMode val="edge"/>
          <c:yMode val="edge"/>
          <c:x val="4.3529241649468281E-2"/>
          <c:y val="0.84920002698260844"/>
          <c:w val="0.89346439165888913"/>
          <c:h val="0.12354140603919837"/>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alpha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Revenue By Customer Segment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3657898740918253E-2"/>
          <c:y val="0.10265151515151515"/>
          <c:w val="0.91312954087260834"/>
          <c:h val="0.74627893104271059"/>
        </c:manualLayout>
      </c:layout>
      <c:barChart>
        <c:barDir val="bar"/>
        <c:grouping val="stacked"/>
        <c:varyColors val="0"/>
        <c:ser>
          <c:idx val="0"/>
          <c:order val="0"/>
          <c:tx>
            <c:strRef>
              <c:f>'KPI CAL'!$B$112</c:f>
              <c:strCache>
                <c:ptCount val="1"/>
                <c:pt idx="0">
                  <c:v>Families</c:v>
                </c:pt>
              </c:strCache>
            </c:strRef>
          </c:tx>
          <c:spPr>
            <a:solidFill>
              <a:schemeClr val="accent1"/>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CAL'!$B$113:$B$122</c:f>
              <c:numCache>
                <c:formatCode>General</c:formatCode>
                <c:ptCount val="10"/>
                <c:pt idx="0">
                  <c:v>1.72</c:v>
                </c:pt>
                <c:pt idx="1">
                  <c:v>0.88000000000000012</c:v>
                </c:pt>
                <c:pt idx="2">
                  <c:v>1.1099999999999999</c:v>
                </c:pt>
                <c:pt idx="3">
                  <c:v>1.22</c:v>
                </c:pt>
                <c:pt idx="4">
                  <c:v>18.14</c:v>
                </c:pt>
                <c:pt idx="5">
                  <c:v>1.08</c:v>
                </c:pt>
                <c:pt idx="6">
                  <c:v>12.95</c:v>
                </c:pt>
                <c:pt idx="7">
                  <c:v>25.540000000000003</c:v>
                </c:pt>
                <c:pt idx="8">
                  <c:v>2.1900000000000004</c:v>
                </c:pt>
                <c:pt idx="9">
                  <c:v>17.110000000000003</c:v>
                </c:pt>
              </c:numCache>
            </c:numRef>
          </c:val>
          <c:extLst>
            <c:ext xmlns:c16="http://schemas.microsoft.com/office/drawing/2014/chart" uri="{C3380CC4-5D6E-409C-BE32-E72D297353CC}">
              <c16:uniqueId val="{00000000-BC7F-4823-B9BC-F17ED9D8265B}"/>
            </c:ext>
          </c:extLst>
        </c:ser>
        <c:ser>
          <c:idx val="1"/>
          <c:order val="1"/>
          <c:tx>
            <c:strRef>
              <c:f>'KPI CAL'!$C$112</c:f>
              <c:strCache>
                <c:ptCount val="1"/>
                <c:pt idx="0">
                  <c:v>Gig Workers</c:v>
                </c:pt>
              </c:strCache>
            </c:strRef>
          </c:tx>
          <c:spPr>
            <a:solidFill>
              <a:schemeClr val="accent2"/>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CAL'!$C$113:$C$122</c:f>
              <c:numCache>
                <c:formatCode>General</c:formatCode>
                <c:ptCount val="10"/>
                <c:pt idx="0">
                  <c:v>1.47</c:v>
                </c:pt>
                <c:pt idx="1">
                  <c:v>1.08</c:v>
                </c:pt>
                <c:pt idx="2">
                  <c:v>0.17</c:v>
                </c:pt>
                <c:pt idx="3">
                  <c:v>0.51</c:v>
                </c:pt>
                <c:pt idx="4">
                  <c:v>5.91</c:v>
                </c:pt>
                <c:pt idx="5">
                  <c:v>2.4699999999999998</c:v>
                </c:pt>
                <c:pt idx="6">
                  <c:v>7.8300000000000018</c:v>
                </c:pt>
                <c:pt idx="7">
                  <c:v>13.169999999999998</c:v>
                </c:pt>
                <c:pt idx="8">
                  <c:v>0.91</c:v>
                </c:pt>
                <c:pt idx="9">
                  <c:v>8.02</c:v>
                </c:pt>
              </c:numCache>
            </c:numRef>
          </c:val>
          <c:extLst>
            <c:ext xmlns:c16="http://schemas.microsoft.com/office/drawing/2014/chart" uri="{C3380CC4-5D6E-409C-BE32-E72D297353CC}">
              <c16:uniqueId val="{00000001-BC7F-4823-B9BC-F17ED9D8265B}"/>
            </c:ext>
          </c:extLst>
        </c:ser>
        <c:ser>
          <c:idx val="2"/>
          <c:order val="2"/>
          <c:tx>
            <c:strRef>
              <c:f>'KPI CAL'!$D$112</c:f>
              <c:strCache>
                <c:ptCount val="1"/>
                <c:pt idx="0">
                  <c:v>High-Income Professionals</c:v>
                </c:pt>
              </c:strCache>
            </c:strRef>
          </c:tx>
          <c:spPr>
            <a:solidFill>
              <a:schemeClr val="accent3"/>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CAL'!$D$113:$D$122</c:f>
              <c:numCache>
                <c:formatCode>General</c:formatCode>
                <c:ptCount val="10"/>
                <c:pt idx="0">
                  <c:v>1.37</c:v>
                </c:pt>
                <c:pt idx="1">
                  <c:v>0.17</c:v>
                </c:pt>
                <c:pt idx="2">
                  <c:v>0.91</c:v>
                </c:pt>
                <c:pt idx="3">
                  <c:v>0.71000000000000008</c:v>
                </c:pt>
                <c:pt idx="4">
                  <c:v>9.98</c:v>
                </c:pt>
                <c:pt idx="5">
                  <c:v>0</c:v>
                </c:pt>
                <c:pt idx="6">
                  <c:v>3.4</c:v>
                </c:pt>
                <c:pt idx="7">
                  <c:v>22.21</c:v>
                </c:pt>
                <c:pt idx="8">
                  <c:v>0.68</c:v>
                </c:pt>
                <c:pt idx="9">
                  <c:v>3.7800000000000002</c:v>
                </c:pt>
              </c:numCache>
            </c:numRef>
          </c:val>
          <c:extLst>
            <c:ext xmlns:c16="http://schemas.microsoft.com/office/drawing/2014/chart" uri="{C3380CC4-5D6E-409C-BE32-E72D297353CC}">
              <c16:uniqueId val="{00000002-BC7F-4823-B9BC-F17ED9D8265B}"/>
            </c:ext>
          </c:extLst>
        </c:ser>
        <c:ser>
          <c:idx val="3"/>
          <c:order val="3"/>
          <c:tx>
            <c:strRef>
              <c:f>'KPI CAL'!$E$112</c:f>
              <c:strCache>
                <c:ptCount val="1"/>
                <c:pt idx="0">
                  <c:v>Retirees</c:v>
                </c:pt>
              </c:strCache>
            </c:strRef>
          </c:tx>
          <c:spPr>
            <a:solidFill>
              <a:schemeClr val="accent4"/>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CAL'!$E$113:$E$122</c:f>
              <c:numCache>
                <c:formatCode>General</c:formatCode>
                <c:ptCount val="10"/>
                <c:pt idx="0">
                  <c:v>0.66</c:v>
                </c:pt>
                <c:pt idx="1">
                  <c:v>0.17</c:v>
                </c:pt>
                <c:pt idx="2">
                  <c:v>0.71000000000000008</c:v>
                </c:pt>
                <c:pt idx="3">
                  <c:v>0</c:v>
                </c:pt>
                <c:pt idx="4">
                  <c:v>3.37</c:v>
                </c:pt>
                <c:pt idx="5">
                  <c:v>0.71</c:v>
                </c:pt>
                <c:pt idx="6">
                  <c:v>1.0900000000000001</c:v>
                </c:pt>
                <c:pt idx="7">
                  <c:v>21.099999999999998</c:v>
                </c:pt>
                <c:pt idx="8">
                  <c:v>0.54</c:v>
                </c:pt>
                <c:pt idx="9">
                  <c:v>3.6399999999999997</c:v>
                </c:pt>
              </c:numCache>
            </c:numRef>
          </c:val>
          <c:extLst>
            <c:ext xmlns:c16="http://schemas.microsoft.com/office/drawing/2014/chart" uri="{C3380CC4-5D6E-409C-BE32-E72D297353CC}">
              <c16:uniqueId val="{00000003-BC7F-4823-B9BC-F17ED9D8265B}"/>
            </c:ext>
          </c:extLst>
        </c:ser>
        <c:ser>
          <c:idx val="4"/>
          <c:order val="4"/>
          <c:tx>
            <c:strRef>
              <c:f>'KPI CAL'!$F$112</c:f>
              <c:strCache>
                <c:ptCount val="1"/>
                <c:pt idx="0">
                  <c:v>Small Business Owners</c:v>
                </c:pt>
              </c:strCache>
            </c:strRef>
          </c:tx>
          <c:spPr>
            <a:solidFill>
              <a:schemeClr val="accent5"/>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CAL'!$F$113:$F$122</c:f>
              <c:numCache>
                <c:formatCode>General</c:formatCode>
                <c:ptCount val="10"/>
                <c:pt idx="0">
                  <c:v>0.88</c:v>
                </c:pt>
                <c:pt idx="1">
                  <c:v>1.65</c:v>
                </c:pt>
                <c:pt idx="2">
                  <c:v>0.34</c:v>
                </c:pt>
                <c:pt idx="3">
                  <c:v>0.37</c:v>
                </c:pt>
                <c:pt idx="4">
                  <c:v>18.84</c:v>
                </c:pt>
                <c:pt idx="5">
                  <c:v>1.79</c:v>
                </c:pt>
                <c:pt idx="6">
                  <c:v>7.39</c:v>
                </c:pt>
                <c:pt idx="7">
                  <c:v>16.309999999999999</c:v>
                </c:pt>
                <c:pt idx="8">
                  <c:v>1.22</c:v>
                </c:pt>
                <c:pt idx="9">
                  <c:v>3.9000000000000004</c:v>
                </c:pt>
              </c:numCache>
            </c:numRef>
          </c:val>
          <c:extLst>
            <c:ext xmlns:c16="http://schemas.microsoft.com/office/drawing/2014/chart" uri="{C3380CC4-5D6E-409C-BE32-E72D297353CC}">
              <c16:uniqueId val="{00000004-BC7F-4823-B9BC-F17ED9D8265B}"/>
            </c:ext>
          </c:extLst>
        </c:ser>
        <c:ser>
          <c:idx val="5"/>
          <c:order val="5"/>
          <c:tx>
            <c:strRef>
              <c:f>'KPI CAL'!$G$112</c:f>
              <c:strCache>
                <c:ptCount val="1"/>
                <c:pt idx="0">
                  <c:v>Students</c:v>
                </c:pt>
              </c:strCache>
            </c:strRef>
          </c:tx>
          <c:spPr>
            <a:solidFill>
              <a:schemeClr val="accent6"/>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CAL'!$G$113:$G$122</c:f>
              <c:numCache>
                <c:formatCode>General</c:formatCode>
                <c:ptCount val="10"/>
                <c:pt idx="0">
                  <c:v>1.2999999999999998</c:v>
                </c:pt>
                <c:pt idx="1">
                  <c:v>0.71</c:v>
                </c:pt>
                <c:pt idx="2">
                  <c:v>1.28</c:v>
                </c:pt>
                <c:pt idx="3">
                  <c:v>0.54</c:v>
                </c:pt>
                <c:pt idx="4">
                  <c:v>9.19</c:v>
                </c:pt>
                <c:pt idx="5">
                  <c:v>0.54</c:v>
                </c:pt>
                <c:pt idx="6">
                  <c:v>10.030000000000001</c:v>
                </c:pt>
                <c:pt idx="7">
                  <c:v>30.910000000000004</c:v>
                </c:pt>
                <c:pt idx="8">
                  <c:v>1.05</c:v>
                </c:pt>
                <c:pt idx="9">
                  <c:v>10.370000000000001</c:v>
                </c:pt>
              </c:numCache>
            </c:numRef>
          </c:val>
          <c:extLst>
            <c:ext xmlns:c16="http://schemas.microsoft.com/office/drawing/2014/chart" uri="{C3380CC4-5D6E-409C-BE32-E72D297353CC}">
              <c16:uniqueId val="{00000005-BC7F-4823-B9BC-F17ED9D8265B}"/>
            </c:ext>
          </c:extLst>
        </c:ser>
        <c:ser>
          <c:idx val="6"/>
          <c:order val="6"/>
          <c:tx>
            <c:strRef>
              <c:f>'KPI CAL'!$H$112</c:f>
              <c:strCache>
                <c:ptCount val="1"/>
                <c:pt idx="0">
                  <c:v>Young Professionals</c:v>
                </c:pt>
              </c:strCache>
            </c:strRef>
          </c:tx>
          <c:spPr>
            <a:solidFill>
              <a:schemeClr val="accent1">
                <a:lumMod val="60000"/>
              </a:schemeClr>
            </a:solidFill>
            <a:ln>
              <a:noFill/>
            </a:ln>
            <a:effectLst/>
          </c:spPr>
          <c:invertIfNegative val="0"/>
          <c:cat>
            <c:strRef>
              <c:f>'KPI CAL'!$A$113:$A$122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CAL'!$H$113:$H$122</c:f>
              <c:numCache>
                <c:formatCode>General</c:formatCode>
                <c:ptCount val="10"/>
                <c:pt idx="0">
                  <c:v>3.8300000000000005</c:v>
                </c:pt>
                <c:pt idx="1">
                  <c:v>-8.81</c:v>
                </c:pt>
                <c:pt idx="2">
                  <c:v>0.88</c:v>
                </c:pt>
                <c:pt idx="3">
                  <c:v>1.22</c:v>
                </c:pt>
                <c:pt idx="4">
                  <c:v>28.43</c:v>
                </c:pt>
                <c:pt idx="5">
                  <c:v>0</c:v>
                </c:pt>
                <c:pt idx="6">
                  <c:v>13.94</c:v>
                </c:pt>
                <c:pt idx="7">
                  <c:v>40.300000000000004</c:v>
                </c:pt>
                <c:pt idx="8">
                  <c:v>2.8099999999999996</c:v>
                </c:pt>
                <c:pt idx="9">
                  <c:v>22.740000000000006</c:v>
                </c:pt>
              </c:numCache>
            </c:numRef>
          </c:val>
          <c:extLst>
            <c:ext xmlns:c16="http://schemas.microsoft.com/office/drawing/2014/chart" uri="{C3380CC4-5D6E-409C-BE32-E72D297353CC}">
              <c16:uniqueId val="{00000006-BC7F-4823-B9BC-F17ED9D8265B}"/>
            </c:ext>
          </c:extLst>
        </c:ser>
        <c:dLbls>
          <c:showLegendKey val="0"/>
          <c:showVal val="0"/>
          <c:showCatName val="0"/>
          <c:showSerName val="0"/>
          <c:showPercent val="0"/>
          <c:showBubbleSize val="0"/>
        </c:dLbls>
        <c:gapWidth val="150"/>
        <c:overlap val="100"/>
        <c:axId val="1392529280"/>
        <c:axId val="1403549184"/>
      </c:barChart>
      <c:catAx>
        <c:axId val="1392529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403549184"/>
        <c:crosses val="autoZero"/>
        <c:auto val="1"/>
        <c:lblAlgn val="ctr"/>
        <c:lblOffset val="100"/>
        <c:noMultiLvlLbl val="0"/>
      </c:catAx>
      <c:valAx>
        <c:axId val="1403549184"/>
        <c:scaling>
          <c:orientation val="minMax"/>
        </c:scaling>
        <c:delete val="1"/>
        <c:axPos val="b"/>
        <c:numFmt formatCode="General" sourceLinked="1"/>
        <c:majorTickMark val="out"/>
        <c:minorTickMark val="none"/>
        <c:tickLblPos val="nextTo"/>
        <c:crossAx val="1392529280"/>
        <c:crosses val="autoZero"/>
        <c:crossBetween val="between"/>
      </c:valAx>
      <c:spPr>
        <a:noFill/>
        <a:ln>
          <a:noFill/>
        </a:ln>
        <a:effectLst/>
      </c:spPr>
    </c:plotArea>
    <c:legend>
      <c:legendPos val="b"/>
      <c:layout>
        <c:manualLayout>
          <c:xMode val="edge"/>
          <c:yMode val="edge"/>
          <c:x val="3.609018981322986E-2"/>
          <c:y val="0.87165771892149846"/>
          <c:w val="0.91574232568754976"/>
          <c:h val="0.1056150083512288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2">
        <a:alpha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Success</a:t>
            </a:r>
            <a:r>
              <a:rPr lang="en-US" sz="1200" b="1" baseline="0">
                <a:solidFill>
                  <a:sysClr val="windowText" lastClr="000000"/>
                </a:solidFill>
                <a:latin typeface="Lucida Console" panose="020B0609040504020204" pitchFamily="49" charset="0"/>
              </a:rPr>
              <a:t> Rate By Subscription Plan</a:t>
            </a:r>
            <a:endParaRPr lang="en-US" sz="12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0103995621237001E-2"/>
          <c:y val="0.12471655328798185"/>
          <c:w val="0.939792008757526"/>
          <c:h val="0.39666023889870905"/>
        </c:manualLayout>
      </c:layout>
      <c:barChart>
        <c:barDir val="col"/>
        <c:grouping val="clustered"/>
        <c:varyColors val="0"/>
        <c:ser>
          <c:idx val="0"/>
          <c:order val="0"/>
          <c:tx>
            <c:strRef>
              <c:f>'KPI CAL'!$B$141</c:f>
              <c:strCache>
                <c:ptCount val="1"/>
                <c:pt idx="0">
                  <c:v>Basic</c:v>
                </c:pt>
              </c:strCache>
            </c:strRef>
          </c:tx>
          <c:spPr>
            <a:solidFill>
              <a:schemeClr val="accent1"/>
            </a:solidFill>
            <a:ln>
              <a:noFill/>
            </a:ln>
            <a:effectLst/>
          </c:spPr>
          <c:invertIfNegative val="0"/>
          <c:cat>
            <c:strRef>
              <c:f>'KPI CAL'!$A$142:$A$151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CAL'!$B$142:$B$151</c:f>
              <c:numCache>
                <c:formatCode>0.0%</c:formatCode>
                <c:ptCount val="10"/>
                <c:pt idx="0">
                  <c:v>0.66666666666666663</c:v>
                </c:pt>
                <c:pt idx="1">
                  <c:v>0.66666666666666663</c:v>
                </c:pt>
                <c:pt idx="2">
                  <c:v>1</c:v>
                </c:pt>
                <c:pt idx="3">
                  <c:v>0.75</c:v>
                </c:pt>
                <c:pt idx="4">
                  <c:v>0.16666666666666666</c:v>
                </c:pt>
                <c:pt idx="5">
                  <c:v>1</c:v>
                </c:pt>
                <c:pt idx="6">
                  <c:v>0.75</c:v>
                </c:pt>
                <c:pt idx="7">
                  <c:v>0.14285714285714285</c:v>
                </c:pt>
                <c:pt idx="8">
                  <c:v>0.4</c:v>
                </c:pt>
                <c:pt idx="9">
                  <c:v>0.8571428571428571</c:v>
                </c:pt>
              </c:numCache>
            </c:numRef>
          </c:val>
          <c:extLst>
            <c:ext xmlns:c16="http://schemas.microsoft.com/office/drawing/2014/chart" uri="{C3380CC4-5D6E-409C-BE32-E72D297353CC}">
              <c16:uniqueId val="{00000000-CEDB-4B6E-9614-97357E25F1FC}"/>
            </c:ext>
          </c:extLst>
        </c:ser>
        <c:ser>
          <c:idx val="1"/>
          <c:order val="1"/>
          <c:tx>
            <c:strRef>
              <c:f>'KPI CAL'!$C$141</c:f>
              <c:strCache>
                <c:ptCount val="1"/>
                <c:pt idx="0">
                  <c:v>Free</c:v>
                </c:pt>
              </c:strCache>
            </c:strRef>
          </c:tx>
          <c:spPr>
            <a:solidFill>
              <a:schemeClr val="accent2"/>
            </a:solidFill>
            <a:ln>
              <a:noFill/>
            </a:ln>
            <a:effectLst/>
          </c:spPr>
          <c:invertIfNegative val="0"/>
          <c:cat>
            <c:strRef>
              <c:f>'KPI CAL'!$A$142:$A$151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CAL'!$C$142:$C$151</c:f>
              <c:numCache>
                <c:formatCode>0.0%</c:formatCode>
                <c:ptCount val="10"/>
                <c:pt idx="0">
                  <c:v>0.53846153846153844</c:v>
                </c:pt>
                <c:pt idx="1">
                  <c:v>0.44897959183673469</c:v>
                </c:pt>
                <c:pt idx="2">
                  <c:v>0.72881355932203384</c:v>
                </c:pt>
                <c:pt idx="3">
                  <c:v>0.57499999999999996</c:v>
                </c:pt>
                <c:pt idx="4">
                  <c:v>0.32692307692307693</c:v>
                </c:pt>
                <c:pt idx="5">
                  <c:v>0.7846153846153846</c:v>
                </c:pt>
                <c:pt idx="6">
                  <c:v>0.77852348993288589</c:v>
                </c:pt>
                <c:pt idx="7">
                  <c:v>0.45833333333333331</c:v>
                </c:pt>
                <c:pt idx="8">
                  <c:v>0.80180180180180183</c:v>
                </c:pt>
                <c:pt idx="9">
                  <c:v>0.79207920792079212</c:v>
                </c:pt>
              </c:numCache>
            </c:numRef>
          </c:val>
          <c:extLst>
            <c:ext xmlns:c16="http://schemas.microsoft.com/office/drawing/2014/chart" uri="{C3380CC4-5D6E-409C-BE32-E72D297353CC}">
              <c16:uniqueId val="{00000001-CEDB-4B6E-9614-97357E25F1FC}"/>
            </c:ext>
          </c:extLst>
        </c:ser>
        <c:ser>
          <c:idx val="2"/>
          <c:order val="2"/>
          <c:tx>
            <c:strRef>
              <c:f>'KPI CAL'!$D$141</c:f>
              <c:strCache>
                <c:ptCount val="1"/>
                <c:pt idx="0">
                  <c:v>Plus</c:v>
                </c:pt>
              </c:strCache>
            </c:strRef>
          </c:tx>
          <c:spPr>
            <a:solidFill>
              <a:schemeClr val="accent3"/>
            </a:solidFill>
            <a:ln>
              <a:noFill/>
            </a:ln>
            <a:effectLst/>
          </c:spPr>
          <c:invertIfNegative val="0"/>
          <c:cat>
            <c:strRef>
              <c:f>'KPI CAL'!$A$142:$A$151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CAL'!$D$142:$D$151</c:f>
              <c:numCache>
                <c:formatCode>0.0%</c:formatCode>
                <c:ptCount val="10"/>
                <c:pt idx="0">
                  <c:v>0.38235294117647056</c:v>
                </c:pt>
                <c:pt idx="1">
                  <c:v>0.56666666666666665</c:v>
                </c:pt>
                <c:pt idx="2">
                  <c:v>0.76923076923076927</c:v>
                </c:pt>
                <c:pt idx="3">
                  <c:v>0.61538461538461542</c:v>
                </c:pt>
                <c:pt idx="4">
                  <c:v>0.32142857142857145</c:v>
                </c:pt>
                <c:pt idx="5">
                  <c:v>0.77272727272727271</c:v>
                </c:pt>
                <c:pt idx="6">
                  <c:v>0.72</c:v>
                </c:pt>
                <c:pt idx="7">
                  <c:v>0.5</c:v>
                </c:pt>
                <c:pt idx="8">
                  <c:v>0.66666666666666663</c:v>
                </c:pt>
                <c:pt idx="9">
                  <c:v>0.8</c:v>
                </c:pt>
              </c:numCache>
            </c:numRef>
          </c:val>
          <c:extLst>
            <c:ext xmlns:c16="http://schemas.microsoft.com/office/drawing/2014/chart" uri="{C3380CC4-5D6E-409C-BE32-E72D297353CC}">
              <c16:uniqueId val="{00000002-CEDB-4B6E-9614-97357E25F1FC}"/>
            </c:ext>
          </c:extLst>
        </c:ser>
        <c:ser>
          <c:idx val="3"/>
          <c:order val="3"/>
          <c:tx>
            <c:strRef>
              <c:f>'KPI CAL'!$E$141</c:f>
              <c:strCache>
                <c:ptCount val="1"/>
                <c:pt idx="0">
                  <c:v>Premium</c:v>
                </c:pt>
              </c:strCache>
            </c:strRef>
          </c:tx>
          <c:spPr>
            <a:solidFill>
              <a:schemeClr val="accent4"/>
            </a:solidFill>
            <a:ln>
              <a:noFill/>
            </a:ln>
            <a:effectLst/>
          </c:spPr>
          <c:invertIfNegative val="0"/>
          <c:cat>
            <c:strRef>
              <c:f>'KPI CAL'!$A$142:$A$151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CAL'!$E$142:$E$151</c:f>
              <c:numCache>
                <c:formatCode>0.0%</c:formatCode>
                <c:ptCount val="10"/>
                <c:pt idx="0">
                  <c:v>0.46153846153846156</c:v>
                </c:pt>
                <c:pt idx="1">
                  <c:v>0.4</c:v>
                </c:pt>
                <c:pt idx="2">
                  <c:v>0.72727272727272729</c:v>
                </c:pt>
                <c:pt idx="3">
                  <c:v>0.5714285714285714</c:v>
                </c:pt>
                <c:pt idx="4">
                  <c:v>0.4</c:v>
                </c:pt>
                <c:pt idx="5">
                  <c:v>0.90909090909090906</c:v>
                </c:pt>
                <c:pt idx="6">
                  <c:v>0.86111111111111116</c:v>
                </c:pt>
                <c:pt idx="7">
                  <c:v>0.44444444444444442</c:v>
                </c:pt>
                <c:pt idx="8">
                  <c:v>0.76470588235294112</c:v>
                </c:pt>
                <c:pt idx="9">
                  <c:v>0.875</c:v>
                </c:pt>
              </c:numCache>
            </c:numRef>
          </c:val>
          <c:extLst>
            <c:ext xmlns:c16="http://schemas.microsoft.com/office/drawing/2014/chart" uri="{C3380CC4-5D6E-409C-BE32-E72D297353CC}">
              <c16:uniqueId val="{00000003-CEDB-4B6E-9614-97357E25F1FC}"/>
            </c:ext>
          </c:extLst>
        </c:ser>
        <c:ser>
          <c:idx val="4"/>
          <c:order val="4"/>
          <c:tx>
            <c:strRef>
              <c:f>'KPI CAL'!$F$141</c:f>
              <c:strCache>
                <c:ptCount val="1"/>
                <c:pt idx="0">
                  <c:v>Pro</c:v>
                </c:pt>
              </c:strCache>
            </c:strRef>
          </c:tx>
          <c:spPr>
            <a:solidFill>
              <a:schemeClr val="accent5"/>
            </a:solidFill>
            <a:ln>
              <a:noFill/>
            </a:ln>
            <a:effectLst/>
          </c:spPr>
          <c:invertIfNegative val="0"/>
          <c:cat>
            <c:strRef>
              <c:f>'KPI CAL'!$A$142:$A$151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CAL'!$F$142:$F$151</c:f>
              <c:numCache>
                <c:formatCode>0.0%</c:formatCode>
                <c:ptCount val="10"/>
                <c:pt idx="0">
                  <c:v>1</c:v>
                </c:pt>
                <c:pt idx="1">
                  <c:v>0</c:v>
                </c:pt>
                <c:pt idx="2">
                  <c:v>0.66666666666666663</c:v>
                </c:pt>
                <c:pt idx="3">
                  <c:v>0.5</c:v>
                </c:pt>
                <c:pt idx="4">
                  <c:v>0</c:v>
                </c:pt>
                <c:pt idx="5">
                  <c:v>0</c:v>
                </c:pt>
                <c:pt idx="6">
                  <c:v>1</c:v>
                </c:pt>
                <c:pt idx="7">
                  <c:v>0</c:v>
                </c:pt>
                <c:pt idx="8">
                  <c:v>0</c:v>
                </c:pt>
                <c:pt idx="9">
                  <c:v>0</c:v>
                </c:pt>
              </c:numCache>
            </c:numRef>
          </c:val>
          <c:extLst>
            <c:ext xmlns:c16="http://schemas.microsoft.com/office/drawing/2014/chart" uri="{C3380CC4-5D6E-409C-BE32-E72D297353CC}">
              <c16:uniqueId val="{00000004-CEDB-4B6E-9614-97357E25F1FC}"/>
            </c:ext>
          </c:extLst>
        </c:ser>
        <c:dLbls>
          <c:showLegendKey val="0"/>
          <c:showVal val="0"/>
          <c:showCatName val="0"/>
          <c:showSerName val="0"/>
          <c:showPercent val="0"/>
          <c:showBubbleSize val="0"/>
        </c:dLbls>
        <c:gapWidth val="118"/>
        <c:overlap val="-26"/>
        <c:axId val="1190441920"/>
        <c:axId val="1983250880"/>
      </c:barChart>
      <c:catAx>
        <c:axId val="11904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83250880"/>
        <c:crosses val="autoZero"/>
        <c:auto val="1"/>
        <c:lblAlgn val="ctr"/>
        <c:lblOffset val="100"/>
        <c:noMultiLvlLbl val="0"/>
      </c:catAx>
      <c:valAx>
        <c:axId val="1983250880"/>
        <c:scaling>
          <c:orientation val="minMax"/>
        </c:scaling>
        <c:delete val="1"/>
        <c:axPos val="l"/>
        <c:numFmt formatCode="0.0%" sourceLinked="1"/>
        <c:majorTickMark val="none"/>
        <c:minorTickMark val="none"/>
        <c:tickLblPos val="nextTo"/>
        <c:crossAx val="1190441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Fintech 102(AutoRecovered).xlsx]KPI CAL!PivotTable4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latin typeface="Lucida Console" panose="020B0609040504020204" pitchFamily="49" charset="0"/>
              </a:rPr>
              <a:t>Feature Interactions</a:t>
            </a:r>
            <a:r>
              <a:rPr lang="en-US" sz="1100" b="1" baseline="0">
                <a:solidFill>
                  <a:sysClr val="windowText" lastClr="000000"/>
                </a:solidFill>
                <a:latin typeface="Lucida Console" panose="020B0609040504020204" pitchFamily="49" charset="0"/>
              </a:rPr>
              <a:t> By Subscription Plan</a:t>
            </a:r>
            <a:endParaRPr lang="en-US" sz="11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77674972326076E-2"/>
          <c:y val="0.24561403508771928"/>
          <c:w val="0.70737170784686387"/>
          <c:h val="0.38255237832113093"/>
        </c:manualLayout>
      </c:layout>
      <c:barChart>
        <c:barDir val="col"/>
        <c:grouping val="stacked"/>
        <c:varyColors val="0"/>
        <c:ser>
          <c:idx val="0"/>
          <c:order val="0"/>
          <c:tx>
            <c:strRef>
              <c:f>'KPI CAL'!$B$156:$B$157</c:f>
              <c:strCache>
                <c:ptCount val="1"/>
                <c:pt idx="0">
                  <c:v>Basic</c:v>
                </c:pt>
              </c:strCache>
            </c:strRef>
          </c:tx>
          <c:spPr>
            <a:solidFill>
              <a:schemeClr val="accent1"/>
            </a:solidFill>
            <a:ln>
              <a:noFill/>
            </a:ln>
            <a:effectLst/>
          </c:spPr>
          <c:invertIfNegative val="0"/>
          <c:cat>
            <c:strRef>
              <c:f>'KPI CAL'!$A$158:$A$167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CAL'!$B$158:$B$167</c:f>
              <c:numCache>
                <c:formatCode>General</c:formatCode>
                <c:ptCount val="10"/>
                <c:pt idx="0">
                  <c:v>3</c:v>
                </c:pt>
                <c:pt idx="1">
                  <c:v>3</c:v>
                </c:pt>
                <c:pt idx="2">
                  <c:v>3</c:v>
                </c:pt>
                <c:pt idx="3">
                  <c:v>4</c:v>
                </c:pt>
                <c:pt idx="4">
                  <c:v>6</c:v>
                </c:pt>
                <c:pt idx="5">
                  <c:v>3</c:v>
                </c:pt>
                <c:pt idx="6">
                  <c:v>12</c:v>
                </c:pt>
                <c:pt idx="7">
                  <c:v>7</c:v>
                </c:pt>
                <c:pt idx="8">
                  <c:v>5</c:v>
                </c:pt>
                <c:pt idx="9">
                  <c:v>7</c:v>
                </c:pt>
              </c:numCache>
            </c:numRef>
          </c:val>
          <c:extLst>
            <c:ext xmlns:c16="http://schemas.microsoft.com/office/drawing/2014/chart" uri="{C3380CC4-5D6E-409C-BE32-E72D297353CC}">
              <c16:uniqueId val="{00000000-D349-4164-93A6-575900FCF13B}"/>
            </c:ext>
          </c:extLst>
        </c:ser>
        <c:ser>
          <c:idx val="1"/>
          <c:order val="1"/>
          <c:tx>
            <c:strRef>
              <c:f>'KPI CAL'!$C$156:$C$157</c:f>
              <c:strCache>
                <c:ptCount val="1"/>
                <c:pt idx="0">
                  <c:v>Free</c:v>
                </c:pt>
              </c:strCache>
            </c:strRef>
          </c:tx>
          <c:spPr>
            <a:solidFill>
              <a:schemeClr val="accent2"/>
            </a:solidFill>
            <a:ln>
              <a:noFill/>
            </a:ln>
            <a:effectLst/>
          </c:spPr>
          <c:invertIfNegative val="0"/>
          <c:cat>
            <c:strRef>
              <c:f>'KPI CAL'!$A$158:$A$167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CAL'!$C$158:$C$167</c:f>
              <c:numCache>
                <c:formatCode>General</c:formatCode>
                <c:ptCount val="10"/>
                <c:pt idx="0">
                  <c:v>81</c:v>
                </c:pt>
                <c:pt idx="1">
                  <c:v>98</c:v>
                </c:pt>
                <c:pt idx="2">
                  <c:v>59</c:v>
                </c:pt>
                <c:pt idx="3">
                  <c:v>80</c:v>
                </c:pt>
                <c:pt idx="4">
                  <c:v>52</c:v>
                </c:pt>
                <c:pt idx="5">
                  <c:v>65</c:v>
                </c:pt>
                <c:pt idx="6">
                  <c:v>150</c:v>
                </c:pt>
                <c:pt idx="7">
                  <c:v>97</c:v>
                </c:pt>
                <c:pt idx="8">
                  <c:v>111</c:v>
                </c:pt>
                <c:pt idx="9">
                  <c:v>102</c:v>
                </c:pt>
              </c:numCache>
            </c:numRef>
          </c:val>
          <c:extLst>
            <c:ext xmlns:c16="http://schemas.microsoft.com/office/drawing/2014/chart" uri="{C3380CC4-5D6E-409C-BE32-E72D297353CC}">
              <c16:uniqueId val="{00000001-D349-4164-93A6-575900FCF13B}"/>
            </c:ext>
          </c:extLst>
        </c:ser>
        <c:ser>
          <c:idx val="2"/>
          <c:order val="2"/>
          <c:tx>
            <c:strRef>
              <c:f>'KPI CAL'!$D$156:$D$157</c:f>
              <c:strCache>
                <c:ptCount val="1"/>
                <c:pt idx="0">
                  <c:v>Plus</c:v>
                </c:pt>
              </c:strCache>
            </c:strRef>
          </c:tx>
          <c:spPr>
            <a:solidFill>
              <a:schemeClr val="accent3"/>
            </a:solidFill>
            <a:ln>
              <a:noFill/>
            </a:ln>
            <a:effectLst/>
          </c:spPr>
          <c:invertIfNegative val="0"/>
          <c:cat>
            <c:strRef>
              <c:f>'KPI CAL'!$A$158:$A$167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CAL'!$D$158:$D$167</c:f>
              <c:numCache>
                <c:formatCode>General</c:formatCode>
                <c:ptCount val="10"/>
                <c:pt idx="0">
                  <c:v>34</c:v>
                </c:pt>
                <c:pt idx="1">
                  <c:v>30</c:v>
                </c:pt>
                <c:pt idx="2">
                  <c:v>13</c:v>
                </c:pt>
                <c:pt idx="3">
                  <c:v>26</c:v>
                </c:pt>
                <c:pt idx="4">
                  <c:v>28</c:v>
                </c:pt>
                <c:pt idx="5">
                  <c:v>22</c:v>
                </c:pt>
                <c:pt idx="6">
                  <c:v>50</c:v>
                </c:pt>
                <c:pt idx="7">
                  <c:v>24</c:v>
                </c:pt>
                <c:pt idx="8">
                  <c:v>41</c:v>
                </c:pt>
                <c:pt idx="9">
                  <c:v>30</c:v>
                </c:pt>
              </c:numCache>
            </c:numRef>
          </c:val>
          <c:extLst>
            <c:ext xmlns:c16="http://schemas.microsoft.com/office/drawing/2014/chart" uri="{C3380CC4-5D6E-409C-BE32-E72D297353CC}">
              <c16:uniqueId val="{00000002-D349-4164-93A6-575900FCF13B}"/>
            </c:ext>
          </c:extLst>
        </c:ser>
        <c:ser>
          <c:idx val="3"/>
          <c:order val="3"/>
          <c:tx>
            <c:strRef>
              <c:f>'KPI CAL'!$E$156:$E$157</c:f>
              <c:strCache>
                <c:ptCount val="1"/>
                <c:pt idx="0">
                  <c:v>Premium</c:v>
                </c:pt>
              </c:strCache>
            </c:strRef>
          </c:tx>
          <c:spPr>
            <a:solidFill>
              <a:schemeClr val="accent4"/>
            </a:solidFill>
            <a:ln>
              <a:noFill/>
            </a:ln>
            <a:effectLst/>
          </c:spPr>
          <c:invertIfNegative val="0"/>
          <c:cat>
            <c:strRef>
              <c:f>'KPI CAL'!$A$158:$A$167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CAL'!$E$158:$E$167</c:f>
              <c:numCache>
                <c:formatCode>General</c:formatCode>
                <c:ptCount val="10"/>
                <c:pt idx="0">
                  <c:v>13</c:v>
                </c:pt>
                <c:pt idx="1">
                  <c:v>20</c:v>
                </c:pt>
                <c:pt idx="2">
                  <c:v>11</c:v>
                </c:pt>
                <c:pt idx="3">
                  <c:v>7</c:v>
                </c:pt>
                <c:pt idx="4">
                  <c:v>10</c:v>
                </c:pt>
                <c:pt idx="5">
                  <c:v>11</c:v>
                </c:pt>
                <c:pt idx="6">
                  <c:v>36</c:v>
                </c:pt>
                <c:pt idx="7">
                  <c:v>18</c:v>
                </c:pt>
                <c:pt idx="8">
                  <c:v>17</c:v>
                </c:pt>
                <c:pt idx="9">
                  <c:v>16</c:v>
                </c:pt>
              </c:numCache>
            </c:numRef>
          </c:val>
          <c:extLst>
            <c:ext xmlns:c16="http://schemas.microsoft.com/office/drawing/2014/chart" uri="{C3380CC4-5D6E-409C-BE32-E72D297353CC}">
              <c16:uniqueId val="{00000003-D349-4164-93A6-575900FCF13B}"/>
            </c:ext>
          </c:extLst>
        </c:ser>
        <c:ser>
          <c:idx val="4"/>
          <c:order val="4"/>
          <c:tx>
            <c:strRef>
              <c:f>'KPI CAL'!$F$156:$F$157</c:f>
              <c:strCache>
                <c:ptCount val="1"/>
                <c:pt idx="0">
                  <c:v>Pro</c:v>
                </c:pt>
              </c:strCache>
            </c:strRef>
          </c:tx>
          <c:spPr>
            <a:solidFill>
              <a:schemeClr val="accent5"/>
            </a:solidFill>
            <a:ln>
              <a:noFill/>
            </a:ln>
            <a:effectLst/>
          </c:spPr>
          <c:invertIfNegative val="0"/>
          <c:cat>
            <c:strRef>
              <c:f>'KPI CAL'!$A$158:$A$167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CAL'!$F$158:$F$167</c:f>
              <c:numCache>
                <c:formatCode>General</c:formatCode>
                <c:ptCount val="10"/>
                <c:pt idx="0">
                  <c:v>1</c:v>
                </c:pt>
                <c:pt idx="1">
                  <c:v>1</c:v>
                </c:pt>
                <c:pt idx="2">
                  <c:v>3</c:v>
                </c:pt>
                <c:pt idx="3">
                  <c:v>2</c:v>
                </c:pt>
                <c:pt idx="6">
                  <c:v>1</c:v>
                </c:pt>
              </c:numCache>
            </c:numRef>
          </c:val>
          <c:extLst>
            <c:ext xmlns:c16="http://schemas.microsoft.com/office/drawing/2014/chart" uri="{C3380CC4-5D6E-409C-BE32-E72D297353CC}">
              <c16:uniqueId val="{00000004-D349-4164-93A6-575900FCF13B}"/>
            </c:ext>
          </c:extLst>
        </c:ser>
        <c:dLbls>
          <c:showLegendKey val="0"/>
          <c:showVal val="0"/>
          <c:showCatName val="0"/>
          <c:showSerName val="0"/>
          <c:showPercent val="0"/>
          <c:showBubbleSize val="0"/>
        </c:dLbls>
        <c:gapWidth val="100"/>
        <c:overlap val="100"/>
        <c:axId val="1190582048"/>
        <c:axId val="1983246080"/>
      </c:barChart>
      <c:catAx>
        <c:axId val="11905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83246080"/>
        <c:crosses val="autoZero"/>
        <c:auto val="1"/>
        <c:lblAlgn val="ctr"/>
        <c:lblOffset val="100"/>
        <c:noMultiLvlLbl val="0"/>
      </c:catAx>
      <c:valAx>
        <c:axId val="1983246080"/>
        <c:scaling>
          <c:orientation val="minMax"/>
        </c:scaling>
        <c:delete val="1"/>
        <c:axPos val="l"/>
        <c:numFmt formatCode="General" sourceLinked="1"/>
        <c:majorTickMark val="none"/>
        <c:minorTickMark val="none"/>
        <c:tickLblPos val="nextTo"/>
        <c:crossAx val="1190582048"/>
        <c:crosses val="autoZero"/>
        <c:crossBetween val="between"/>
      </c:valAx>
      <c:spPr>
        <a:noFill/>
        <a:ln>
          <a:noFill/>
        </a:ln>
        <a:effectLst/>
      </c:spPr>
    </c:plotArea>
    <c:legend>
      <c:legendPos val="r"/>
      <c:layout>
        <c:manualLayout>
          <c:xMode val="edge"/>
          <c:yMode val="edge"/>
          <c:x val="0.81855371526835008"/>
          <c:y val="0.40728323433255054"/>
          <c:w val="0.18144628473164992"/>
          <c:h val="0.40180733987198969"/>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Total Revenue By Subscription Plan </a:t>
            </a:r>
          </a:p>
        </c:rich>
      </c:tx>
      <c:layout>
        <c:manualLayout>
          <c:xMode val="edge"/>
          <c:yMode val="edge"/>
          <c:x val="0.11916992704394279"/>
          <c:y val="3.3557046979865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0853237095363081E-2"/>
          <c:y val="0.1076923076923077"/>
          <c:w val="0.93859120734908141"/>
          <c:h val="0.55213365636987688"/>
        </c:manualLayout>
      </c:layout>
      <c:barChart>
        <c:barDir val="col"/>
        <c:grouping val="clustered"/>
        <c:varyColors val="0"/>
        <c:ser>
          <c:idx val="0"/>
          <c:order val="0"/>
          <c:tx>
            <c:strRef>
              <c:f>'KPI CAL'!$B$188</c:f>
              <c:strCache>
                <c:ptCount val="1"/>
                <c:pt idx="0">
                  <c:v>Basic</c:v>
                </c:pt>
              </c:strCache>
            </c:strRef>
          </c:tx>
          <c:spPr>
            <a:solidFill>
              <a:schemeClr val="accent1"/>
            </a:solidFill>
            <a:ln>
              <a:noFill/>
            </a:ln>
            <a:effectLst/>
          </c:spPr>
          <c:invertIfNegative val="0"/>
          <c:cat>
            <c:strRef>
              <c:f>'KPI CAL'!$A$189:$A$198</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CAL'!$B$189:$B$198</c:f>
              <c:numCache>
                <c:formatCode>[$£-809]#,##0.00</c:formatCode>
                <c:ptCount val="10"/>
                <c:pt idx="0">
                  <c:v>0.22</c:v>
                </c:pt>
                <c:pt idx="1">
                  <c:v>0</c:v>
                </c:pt>
                <c:pt idx="2">
                  <c:v>0</c:v>
                </c:pt>
                <c:pt idx="3">
                  <c:v>0</c:v>
                </c:pt>
                <c:pt idx="4">
                  <c:v>3.26</c:v>
                </c:pt>
                <c:pt idx="5">
                  <c:v>0</c:v>
                </c:pt>
                <c:pt idx="6">
                  <c:v>1.7799999999999998</c:v>
                </c:pt>
                <c:pt idx="7">
                  <c:v>2.4700000000000002</c:v>
                </c:pt>
                <c:pt idx="8">
                  <c:v>0</c:v>
                </c:pt>
                <c:pt idx="9">
                  <c:v>3.0599999999999996</c:v>
                </c:pt>
              </c:numCache>
            </c:numRef>
          </c:val>
          <c:extLst>
            <c:ext xmlns:c16="http://schemas.microsoft.com/office/drawing/2014/chart" uri="{C3380CC4-5D6E-409C-BE32-E72D297353CC}">
              <c16:uniqueId val="{00000000-E0A9-4A81-9902-A9AFE993BC5C}"/>
            </c:ext>
          </c:extLst>
        </c:ser>
        <c:ser>
          <c:idx val="1"/>
          <c:order val="1"/>
          <c:tx>
            <c:strRef>
              <c:f>'KPI CAL'!$C$188</c:f>
              <c:strCache>
                <c:ptCount val="1"/>
                <c:pt idx="0">
                  <c:v>Free</c:v>
                </c:pt>
              </c:strCache>
            </c:strRef>
          </c:tx>
          <c:spPr>
            <a:solidFill>
              <a:schemeClr val="accent2"/>
            </a:solidFill>
            <a:ln>
              <a:noFill/>
            </a:ln>
            <a:effectLst/>
          </c:spPr>
          <c:invertIfNegative val="0"/>
          <c:cat>
            <c:strRef>
              <c:f>'KPI CAL'!$A$189:$A$198</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CAL'!$C$189:$C$198</c:f>
              <c:numCache>
                <c:formatCode>[$£-809]#,##0.00</c:formatCode>
                <c:ptCount val="10"/>
                <c:pt idx="0">
                  <c:v>4.29</c:v>
                </c:pt>
                <c:pt idx="1">
                  <c:v>-10</c:v>
                </c:pt>
                <c:pt idx="2">
                  <c:v>0</c:v>
                </c:pt>
                <c:pt idx="3">
                  <c:v>0</c:v>
                </c:pt>
                <c:pt idx="4">
                  <c:v>47.879999999999995</c:v>
                </c:pt>
                <c:pt idx="5">
                  <c:v>0</c:v>
                </c:pt>
                <c:pt idx="6">
                  <c:v>23.110000000000007</c:v>
                </c:pt>
                <c:pt idx="7">
                  <c:v>112</c:v>
                </c:pt>
                <c:pt idx="8">
                  <c:v>0</c:v>
                </c:pt>
                <c:pt idx="9">
                  <c:v>38.450000000000003</c:v>
                </c:pt>
              </c:numCache>
            </c:numRef>
          </c:val>
          <c:extLst>
            <c:ext xmlns:c16="http://schemas.microsoft.com/office/drawing/2014/chart" uri="{C3380CC4-5D6E-409C-BE32-E72D297353CC}">
              <c16:uniqueId val="{00000001-E0A9-4A81-9902-A9AFE993BC5C}"/>
            </c:ext>
          </c:extLst>
        </c:ser>
        <c:ser>
          <c:idx val="2"/>
          <c:order val="2"/>
          <c:tx>
            <c:strRef>
              <c:f>'KPI CAL'!$D$188</c:f>
              <c:strCache>
                <c:ptCount val="1"/>
                <c:pt idx="0">
                  <c:v>Plus</c:v>
                </c:pt>
              </c:strCache>
            </c:strRef>
          </c:tx>
          <c:spPr>
            <a:solidFill>
              <a:schemeClr val="accent3"/>
            </a:solidFill>
            <a:ln>
              <a:noFill/>
            </a:ln>
            <a:effectLst/>
          </c:spPr>
          <c:invertIfNegative val="0"/>
          <c:cat>
            <c:strRef>
              <c:f>'KPI CAL'!$A$189:$A$198</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CAL'!$D$189:$D$198</c:f>
              <c:numCache>
                <c:formatCode>[$£-809]#,##0.00</c:formatCode>
                <c:ptCount val="10"/>
                <c:pt idx="0">
                  <c:v>3.54</c:v>
                </c:pt>
                <c:pt idx="1">
                  <c:v>2.8899999999999992</c:v>
                </c:pt>
                <c:pt idx="2">
                  <c:v>1.6999999999999997</c:v>
                </c:pt>
                <c:pt idx="3">
                  <c:v>2.7199999999999993</c:v>
                </c:pt>
                <c:pt idx="4">
                  <c:v>28.440000000000005</c:v>
                </c:pt>
                <c:pt idx="5">
                  <c:v>2.8899999999999992</c:v>
                </c:pt>
                <c:pt idx="6">
                  <c:v>13.49</c:v>
                </c:pt>
                <c:pt idx="7">
                  <c:v>31.259999999999998</c:v>
                </c:pt>
                <c:pt idx="8">
                  <c:v>4.7599999999999989</c:v>
                </c:pt>
                <c:pt idx="9">
                  <c:v>16.059999999999999</c:v>
                </c:pt>
              </c:numCache>
            </c:numRef>
          </c:val>
          <c:extLst>
            <c:ext xmlns:c16="http://schemas.microsoft.com/office/drawing/2014/chart" uri="{C3380CC4-5D6E-409C-BE32-E72D297353CC}">
              <c16:uniqueId val="{00000002-E0A9-4A81-9902-A9AFE993BC5C}"/>
            </c:ext>
          </c:extLst>
        </c:ser>
        <c:ser>
          <c:idx val="3"/>
          <c:order val="3"/>
          <c:tx>
            <c:strRef>
              <c:f>'KPI CAL'!$E$188</c:f>
              <c:strCache>
                <c:ptCount val="1"/>
                <c:pt idx="0">
                  <c:v>Premium</c:v>
                </c:pt>
              </c:strCache>
            </c:strRef>
          </c:tx>
          <c:spPr>
            <a:solidFill>
              <a:schemeClr val="accent4"/>
            </a:solidFill>
            <a:ln>
              <a:noFill/>
            </a:ln>
            <a:effectLst/>
          </c:spPr>
          <c:invertIfNegative val="0"/>
          <c:cat>
            <c:strRef>
              <c:f>'KPI CAL'!$A$189:$A$198</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CAL'!$E$189:$E$198</c:f>
              <c:numCache>
                <c:formatCode>[$£-809]#,##0.00</c:formatCode>
                <c:ptCount val="10"/>
                <c:pt idx="0">
                  <c:v>2.83</c:v>
                </c:pt>
                <c:pt idx="1">
                  <c:v>2.9600000000000004</c:v>
                </c:pt>
                <c:pt idx="2">
                  <c:v>2.9600000000000004</c:v>
                </c:pt>
                <c:pt idx="3">
                  <c:v>1.48</c:v>
                </c:pt>
                <c:pt idx="4">
                  <c:v>14.28</c:v>
                </c:pt>
                <c:pt idx="5">
                  <c:v>3.7000000000000006</c:v>
                </c:pt>
                <c:pt idx="6">
                  <c:v>17.679999999999993</c:v>
                </c:pt>
                <c:pt idx="7">
                  <c:v>23.810000000000002</c:v>
                </c:pt>
                <c:pt idx="8">
                  <c:v>4.8100000000000005</c:v>
                </c:pt>
                <c:pt idx="9">
                  <c:v>11.990000000000002</c:v>
                </c:pt>
              </c:numCache>
            </c:numRef>
          </c:val>
          <c:extLst>
            <c:ext xmlns:c16="http://schemas.microsoft.com/office/drawing/2014/chart" uri="{C3380CC4-5D6E-409C-BE32-E72D297353CC}">
              <c16:uniqueId val="{00000003-E0A9-4A81-9902-A9AFE993BC5C}"/>
            </c:ext>
          </c:extLst>
        </c:ser>
        <c:ser>
          <c:idx val="4"/>
          <c:order val="4"/>
          <c:tx>
            <c:strRef>
              <c:f>'KPI CAL'!$F$188</c:f>
              <c:strCache>
                <c:ptCount val="1"/>
                <c:pt idx="0">
                  <c:v>Pro</c:v>
                </c:pt>
              </c:strCache>
            </c:strRef>
          </c:tx>
          <c:spPr>
            <a:solidFill>
              <a:schemeClr val="accent5"/>
            </a:solidFill>
            <a:ln>
              <a:noFill/>
            </a:ln>
            <a:effectLst/>
          </c:spPr>
          <c:invertIfNegative val="0"/>
          <c:cat>
            <c:strRef>
              <c:f>'KPI CAL'!$A$189:$A$198</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CAL'!$F$189:$F$198</c:f>
              <c:numCache>
                <c:formatCode>[$£-809]#,##0.00</c:formatCode>
                <c:ptCount val="10"/>
                <c:pt idx="0">
                  <c:v>0.45999999999999996</c:v>
                </c:pt>
                <c:pt idx="1">
                  <c:v>0</c:v>
                </c:pt>
                <c:pt idx="2">
                  <c:v>0.74</c:v>
                </c:pt>
                <c:pt idx="3">
                  <c:v>0.37</c:v>
                </c:pt>
                <c:pt idx="4">
                  <c:v>0</c:v>
                </c:pt>
                <c:pt idx="5">
                  <c:v>0</c:v>
                </c:pt>
                <c:pt idx="6">
                  <c:v>0.57000000000000006</c:v>
                </c:pt>
                <c:pt idx="7">
                  <c:v>0</c:v>
                </c:pt>
                <c:pt idx="8">
                  <c:v>0</c:v>
                </c:pt>
                <c:pt idx="9">
                  <c:v>0</c:v>
                </c:pt>
              </c:numCache>
            </c:numRef>
          </c:val>
          <c:extLst>
            <c:ext xmlns:c16="http://schemas.microsoft.com/office/drawing/2014/chart" uri="{C3380CC4-5D6E-409C-BE32-E72D297353CC}">
              <c16:uniqueId val="{00000004-E0A9-4A81-9902-A9AFE993BC5C}"/>
            </c:ext>
          </c:extLst>
        </c:ser>
        <c:dLbls>
          <c:showLegendKey val="0"/>
          <c:showVal val="0"/>
          <c:showCatName val="0"/>
          <c:showSerName val="0"/>
          <c:showPercent val="0"/>
          <c:showBubbleSize val="0"/>
        </c:dLbls>
        <c:gapWidth val="223"/>
        <c:overlap val="-22"/>
        <c:axId val="1190460016"/>
        <c:axId val="1983231200"/>
      </c:barChart>
      <c:catAx>
        <c:axId val="119046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83231200"/>
        <c:crosses val="autoZero"/>
        <c:auto val="1"/>
        <c:lblAlgn val="ctr"/>
        <c:lblOffset val="100"/>
        <c:noMultiLvlLbl val="0"/>
      </c:catAx>
      <c:valAx>
        <c:axId val="1983231200"/>
        <c:scaling>
          <c:orientation val="minMax"/>
        </c:scaling>
        <c:delete val="1"/>
        <c:axPos val="l"/>
        <c:numFmt formatCode="[$£-809]#,##0.00" sourceLinked="1"/>
        <c:majorTickMark val="none"/>
        <c:minorTickMark val="none"/>
        <c:tickLblPos val="nextTo"/>
        <c:crossAx val="1190460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Lucida Console" panose="020B0609040504020204" pitchFamily="49" charset="0"/>
              </a:rPr>
              <a:t>Error</a:t>
            </a:r>
            <a:r>
              <a:rPr lang="en-US" b="1" baseline="0">
                <a:solidFill>
                  <a:sysClr val="windowText" lastClr="000000"/>
                </a:solidFill>
                <a:latin typeface="Lucida Console" panose="020B0609040504020204" pitchFamily="49" charset="0"/>
              </a:rPr>
              <a:t> Rate By Subscription Plan</a:t>
            </a:r>
            <a:endParaRPr lang="en-US"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071456692913385"/>
          <c:y val="0.16138451443569554"/>
          <c:w val="0.74872987751531062"/>
          <c:h val="0.7652563007937262"/>
        </c:manualLayout>
      </c:layout>
      <c:barChart>
        <c:barDir val="bar"/>
        <c:grouping val="stacked"/>
        <c:varyColors val="0"/>
        <c:ser>
          <c:idx val="0"/>
          <c:order val="0"/>
          <c:tx>
            <c:strRef>
              <c:f>'KPI CAL'!$B$217</c:f>
              <c:strCache>
                <c:ptCount val="1"/>
                <c:pt idx="0">
                  <c:v>Basic</c:v>
                </c:pt>
              </c:strCache>
            </c:strRef>
          </c:tx>
          <c:spPr>
            <a:solidFill>
              <a:schemeClr val="accent1"/>
            </a:solidFill>
            <a:ln>
              <a:noFill/>
            </a:ln>
            <a:effectLst/>
          </c:spPr>
          <c:invertIfNegative val="0"/>
          <c:cat>
            <c:strRef>
              <c:f>'KPI CAL'!$A$218:$A$227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CAL'!$B$218:$B$227</c:f>
              <c:numCache>
                <c:formatCode>0.00%</c:formatCode>
                <c:ptCount val="10"/>
                <c:pt idx="0">
                  <c:v>0</c:v>
                </c:pt>
                <c:pt idx="1">
                  <c:v>0.33333333333333331</c:v>
                </c:pt>
                <c:pt idx="2">
                  <c:v>0</c:v>
                </c:pt>
                <c:pt idx="3">
                  <c:v>0.25</c:v>
                </c:pt>
                <c:pt idx="4">
                  <c:v>0.33333333333333331</c:v>
                </c:pt>
                <c:pt idx="5">
                  <c:v>0</c:v>
                </c:pt>
                <c:pt idx="6">
                  <c:v>0.25</c:v>
                </c:pt>
                <c:pt idx="7">
                  <c:v>0.2857142857142857</c:v>
                </c:pt>
                <c:pt idx="8">
                  <c:v>0.4</c:v>
                </c:pt>
                <c:pt idx="9">
                  <c:v>0.2857142857142857</c:v>
                </c:pt>
              </c:numCache>
            </c:numRef>
          </c:val>
          <c:extLst>
            <c:ext xmlns:c16="http://schemas.microsoft.com/office/drawing/2014/chart" uri="{C3380CC4-5D6E-409C-BE32-E72D297353CC}">
              <c16:uniqueId val="{00000000-1CA7-4BE2-A0DC-78EBED41C05C}"/>
            </c:ext>
          </c:extLst>
        </c:ser>
        <c:ser>
          <c:idx val="1"/>
          <c:order val="1"/>
          <c:tx>
            <c:strRef>
              <c:f>'KPI CAL'!$C$217</c:f>
              <c:strCache>
                <c:ptCount val="1"/>
                <c:pt idx="0">
                  <c:v>Free</c:v>
                </c:pt>
              </c:strCache>
            </c:strRef>
          </c:tx>
          <c:spPr>
            <a:solidFill>
              <a:schemeClr val="accent2"/>
            </a:solidFill>
            <a:ln>
              <a:noFill/>
            </a:ln>
            <a:effectLst/>
          </c:spPr>
          <c:invertIfNegative val="0"/>
          <c:cat>
            <c:strRef>
              <c:f>'KPI CAL'!$A$218:$A$227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CAL'!$C$218:$C$227</c:f>
              <c:numCache>
                <c:formatCode>0.00%</c:formatCode>
                <c:ptCount val="10"/>
                <c:pt idx="0">
                  <c:v>0.23456790123456789</c:v>
                </c:pt>
                <c:pt idx="1">
                  <c:v>0.26530612244897961</c:v>
                </c:pt>
                <c:pt idx="2">
                  <c:v>8.4745762711864403E-2</c:v>
                </c:pt>
                <c:pt idx="3">
                  <c:v>0.1875</c:v>
                </c:pt>
                <c:pt idx="4">
                  <c:v>0.23076923076923078</c:v>
                </c:pt>
                <c:pt idx="5">
                  <c:v>0.1076923076923077</c:v>
                </c:pt>
                <c:pt idx="6">
                  <c:v>0.16666666666666666</c:v>
                </c:pt>
                <c:pt idx="7">
                  <c:v>0.23711340206185566</c:v>
                </c:pt>
                <c:pt idx="8">
                  <c:v>0.1891891891891892</c:v>
                </c:pt>
                <c:pt idx="9">
                  <c:v>8.8235294117647065E-2</c:v>
                </c:pt>
              </c:numCache>
            </c:numRef>
          </c:val>
          <c:extLst>
            <c:ext xmlns:c16="http://schemas.microsoft.com/office/drawing/2014/chart" uri="{C3380CC4-5D6E-409C-BE32-E72D297353CC}">
              <c16:uniqueId val="{00000001-1CA7-4BE2-A0DC-78EBED41C05C}"/>
            </c:ext>
          </c:extLst>
        </c:ser>
        <c:ser>
          <c:idx val="2"/>
          <c:order val="2"/>
          <c:tx>
            <c:strRef>
              <c:f>'KPI CAL'!$D$217</c:f>
              <c:strCache>
                <c:ptCount val="1"/>
                <c:pt idx="0">
                  <c:v>Plus</c:v>
                </c:pt>
              </c:strCache>
            </c:strRef>
          </c:tx>
          <c:spPr>
            <a:solidFill>
              <a:schemeClr val="accent3"/>
            </a:solidFill>
            <a:ln>
              <a:noFill/>
            </a:ln>
            <a:effectLst/>
          </c:spPr>
          <c:invertIfNegative val="0"/>
          <c:cat>
            <c:strRef>
              <c:f>'KPI CAL'!$A$218:$A$227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CAL'!$D$218:$D$227</c:f>
              <c:numCache>
                <c:formatCode>0.00%</c:formatCode>
                <c:ptCount val="10"/>
                <c:pt idx="0">
                  <c:v>0.30303030303030304</c:v>
                </c:pt>
                <c:pt idx="1">
                  <c:v>0.1</c:v>
                </c:pt>
                <c:pt idx="2">
                  <c:v>0.15384615384615385</c:v>
                </c:pt>
                <c:pt idx="3">
                  <c:v>0.08</c:v>
                </c:pt>
                <c:pt idx="4">
                  <c:v>0.39285714285714285</c:v>
                </c:pt>
                <c:pt idx="5">
                  <c:v>4.5454545454545456E-2</c:v>
                </c:pt>
                <c:pt idx="6">
                  <c:v>0.08</c:v>
                </c:pt>
                <c:pt idx="7">
                  <c:v>0.29166666666666669</c:v>
                </c:pt>
                <c:pt idx="8">
                  <c:v>0.21951219512195122</c:v>
                </c:pt>
                <c:pt idx="9">
                  <c:v>0.1</c:v>
                </c:pt>
              </c:numCache>
            </c:numRef>
          </c:val>
          <c:extLst>
            <c:ext xmlns:c16="http://schemas.microsoft.com/office/drawing/2014/chart" uri="{C3380CC4-5D6E-409C-BE32-E72D297353CC}">
              <c16:uniqueId val="{00000002-1CA7-4BE2-A0DC-78EBED41C05C}"/>
            </c:ext>
          </c:extLst>
        </c:ser>
        <c:ser>
          <c:idx val="3"/>
          <c:order val="3"/>
          <c:tx>
            <c:strRef>
              <c:f>'KPI CAL'!$E$217</c:f>
              <c:strCache>
                <c:ptCount val="1"/>
                <c:pt idx="0">
                  <c:v>Premium</c:v>
                </c:pt>
              </c:strCache>
            </c:strRef>
          </c:tx>
          <c:spPr>
            <a:solidFill>
              <a:schemeClr val="accent4"/>
            </a:solidFill>
            <a:ln>
              <a:noFill/>
            </a:ln>
            <a:effectLst/>
          </c:spPr>
          <c:invertIfNegative val="0"/>
          <c:cat>
            <c:strRef>
              <c:f>'KPI CAL'!$A$218:$A$227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CAL'!$E$218:$E$227</c:f>
              <c:numCache>
                <c:formatCode>0.00%</c:formatCode>
                <c:ptCount val="10"/>
                <c:pt idx="0">
                  <c:v>0.15384615384615385</c:v>
                </c:pt>
                <c:pt idx="1">
                  <c:v>0.15789473684210525</c:v>
                </c:pt>
                <c:pt idx="2">
                  <c:v>0.45454545454545453</c:v>
                </c:pt>
                <c:pt idx="3">
                  <c:v>0.14285714285714285</c:v>
                </c:pt>
                <c:pt idx="4">
                  <c:v>0.2</c:v>
                </c:pt>
                <c:pt idx="5">
                  <c:v>0.18181818181818182</c:v>
                </c:pt>
                <c:pt idx="6">
                  <c:v>5.7142857142857141E-2</c:v>
                </c:pt>
                <c:pt idx="7">
                  <c:v>0.22222222222222221</c:v>
                </c:pt>
                <c:pt idx="8">
                  <c:v>0.17647058823529413</c:v>
                </c:pt>
                <c:pt idx="9">
                  <c:v>0.25</c:v>
                </c:pt>
              </c:numCache>
            </c:numRef>
          </c:val>
          <c:extLst>
            <c:ext xmlns:c16="http://schemas.microsoft.com/office/drawing/2014/chart" uri="{C3380CC4-5D6E-409C-BE32-E72D297353CC}">
              <c16:uniqueId val="{00000003-1CA7-4BE2-A0DC-78EBED41C05C}"/>
            </c:ext>
          </c:extLst>
        </c:ser>
        <c:ser>
          <c:idx val="4"/>
          <c:order val="4"/>
          <c:tx>
            <c:strRef>
              <c:f>'KPI CAL'!$F$217</c:f>
              <c:strCache>
                <c:ptCount val="1"/>
                <c:pt idx="0">
                  <c:v>Pro</c:v>
                </c:pt>
              </c:strCache>
            </c:strRef>
          </c:tx>
          <c:spPr>
            <a:solidFill>
              <a:schemeClr val="accent5"/>
            </a:solidFill>
            <a:ln>
              <a:noFill/>
            </a:ln>
            <a:effectLst/>
          </c:spPr>
          <c:invertIfNegative val="0"/>
          <c:cat>
            <c:strRef>
              <c:f>'KPI CAL'!$A$218:$A$227</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CAL'!$F$218:$F$227</c:f>
              <c:numCache>
                <c:formatCode>0.00%</c:formatCode>
                <c:ptCount val="10"/>
                <c:pt idx="0">
                  <c:v>0</c:v>
                </c:pt>
                <c:pt idx="1">
                  <c:v>1</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4-1CA7-4BE2-A0DC-78EBED41C05C}"/>
            </c:ext>
          </c:extLst>
        </c:ser>
        <c:dLbls>
          <c:showLegendKey val="0"/>
          <c:showVal val="0"/>
          <c:showCatName val="0"/>
          <c:showSerName val="0"/>
          <c:showPercent val="0"/>
          <c:showBubbleSize val="0"/>
        </c:dLbls>
        <c:gapWidth val="90"/>
        <c:overlap val="100"/>
        <c:axId val="1170054800"/>
        <c:axId val="1560562272"/>
      </c:barChart>
      <c:catAx>
        <c:axId val="11700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560562272"/>
        <c:crosses val="autoZero"/>
        <c:auto val="1"/>
        <c:lblAlgn val="ctr"/>
        <c:lblOffset val="100"/>
        <c:noMultiLvlLbl val="0"/>
      </c:catAx>
      <c:valAx>
        <c:axId val="1560562272"/>
        <c:scaling>
          <c:orientation val="minMax"/>
        </c:scaling>
        <c:delete val="1"/>
        <c:axPos val="b"/>
        <c:numFmt formatCode="0.00%" sourceLinked="1"/>
        <c:majorTickMark val="none"/>
        <c:minorTickMark val="none"/>
        <c:tickLblPos val="nextTo"/>
        <c:crossAx val="1170054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30-Days Retention By Subscription</a:t>
            </a:r>
            <a:r>
              <a:rPr lang="en-US" sz="1200" b="1" baseline="0">
                <a:solidFill>
                  <a:sysClr val="windowText" lastClr="000000"/>
                </a:solidFill>
                <a:latin typeface="Lucida Console" panose="020B0609040504020204" pitchFamily="49" charset="0"/>
              </a:rPr>
              <a:t> Plan</a:t>
            </a:r>
            <a:endParaRPr lang="en-US" sz="12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878678517458044E-2"/>
          <c:y val="0.19953051643192488"/>
          <c:w val="0.92339909926031971"/>
          <c:h val="0.40848582307493247"/>
        </c:manualLayout>
      </c:layout>
      <c:barChart>
        <c:barDir val="col"/>
        <c:grouping val="clustered"/>
        <c:varyColors val="0"/>
        <c:ser>
          <c:idx val="0"/>
          <c:order val="0"/>
          <c:tx>
            <c:strRef>
              <c:f>'KPI CAL'!$B$246</c:f>
              <c:strCache>
                <c:ptCount val="1"/>
                <c:pt idx="0">
                  <c:v>Basic</c:v>
                </c:pt>
              </c:strCache>
            </c:strRef>
          </c:tx>
          <c:spPr>
            <a:solidFill>
              <a:schemeClr val="accent1"/>
            </a:solidFill>
            <a:ln>
              <a:noFill/>
            </a:ln>
            <a:effectLst/>
          </c:spPr>
          <c:invertIfNegative val="0"/>
          <c:cat>
            <c:strRef>
              <c:f>'KPI CAL'!$A$247:$A$256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CAL'!$B$247:$B$256</c:f>
              <c:numCache>
                <c:formatCode>0.00%</c:formatCode>
                <c:ptCount val="10"/>
                <c:pt idx="0">
                  <c:v>0.66666666666666663</c:v>
                </c:pt>
                <c:pt idx="1">
                  <c:v>0.33333333333333331</c:v>
                </c:pt>
                <c:pt idx="2">
                  <c:v>0.33333333333333331</c:v>
                </c:pt>
                <c:pt idx="3">
                  <c:v>0.5</c:v>
                </c:pt>
                <c:pt idx="4">
                  <c:v>0.33333333333333331</c:v>
                </c:pt>
                <c:pt idx="5">
                  <c:v>0.66666666666666663</c:v>
                </c:pt>
                <c:pt idx="6">
                  <c:v>0.5</c:v>
                </c:pt>
                <c:pt idx="7">
                  <c:v>0.5714285714285714</c:v>
                </c:pt>
                <c:pt idx="8">
                  <c:v>0.2</c:v>
                </c:pt>
                <c:pt idx="9">
                  <c:v>0.5714285714285714</c:v>
                </c:pt>
              </c:numCache>
            </c:numRef>
          </c:val>
          <c:extLst>
            <c:ext xmlns:c16="http://schemas.microsoft.com/office/drawing/2014/chart" uri="{C3380CC4-5D6E-409C-BE32-E72D297353CC}">
              <c16:uniqueId val="{00000000-AD22-49D2-A416-1C1CE0203F59}"/>
            </c:ext>
          </c:extLst>
        </c:ser>
        <c:ser>
          <c:idx val="1"/>
          <c:order val="1"/>
          <c:tx>
            <c:strRef>
              <c:f>'KPI CAL'!$C$246</c:f>
              <c:strCache>
                <c:ptCount val="1"/>
                <c:pt idx="0">
                  <c:v>Free</c:v>
                </c:pt>
              </c:strCache>
            </c:strRef>
          </c:tx>
          <c:spPr>
            <a:solidFill>
              <a:schemeClr val="accent2"/>
            </a:solidFill>
            <a:ln>
              <a:noFill/>
            </a:ln>
            <a:effectLst/>
          </c:spPr>
          <c:invertIfNegative val="0"/>
          <c:cat>
            <c:strRef>
              <c:f>'KPI CAL'!$A$247:$A$256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CAL'!$C$247:$C$256</c:f>
              <c:numCache>
                <c:formatCode>0.00%</c:formatCode>
                <c:ptCount val="10"/>
                <c:pt idx="0">
                  <c:v>0.5625</c:v>
                </c:pt>
                <c:pt idx="1">
                  <c:v>0.54166666666666663</c:v>
                </c:pt>
                <c:pt idx="2">
                  <c:v>0.83050847457627119</c:v>
                </c:pt>
                <c:pt idx="3">
                  <c:v>0.47435897435897434</c:v>
                </c:pt>
                <c:pt idx="4">
                  <c:v>0.5</c:v>
                </c:pt>
                <c:pt idx="5">
                  <c:v>0.75</c:v>
                </c:pt>
                <c:pt idx="6">
                  <c:v>0.77852348993288589</c:v>
                </c:pt>
                <c:pt idx="7">
                  <c:v>0.49484536082474229</c:v>
                </c:pt>
                <c:pt idx="8">
                  <c:v>0.69369369369369371</c:v>
                </c:pt>
                <c:pt idx="9">
                  <c:v>0.72</c:v>
                </c:pt>
              </c:numCache>
            </c:numRef>
          </c:val>
          <c:extLst>
            <c:ext xmlns:c16="http://schemas.microsoft.com/office/drawing/2014/chart" uri="{C3380CC4-5D6E-409C-BE32-E72D297353CC}">
              <c16:uniqueId val="{00000001-AD22-49D2-A416-1C1CE0203F59}"/>
            </c:ext>
          </c:extLst>
        </c:ser>
        <c:ser>
          <c:idx val="2"/>
          <c:order val="2"/>
          <c:tx>
            <c:strRef>
              <c:f>'KPI CAL'!$D$246</c:f>
              <c:strCache>
                <c:ptCount val="1"/>
                <c:pt idx="0">
                  <c:v>Plus</c:v>
                </c:pt>
              </c:strCache>
            </c:strRef>
          </c:tx>
          <c:spPr>
            <a:solidFill>
              <a:schemeClr val="accent3"/>
            </a:solidFill>
            <a:ln>
              <a:noFill/>
            </a:ln>
            <a:effectLst/>
          </c:spPr>
          <c:invertIfNegative val="0"/>
          <c:cat>
            <c:strRef>
              <c:f>'KPI CAL'!$A$247:$A$256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CAL'!$D$247:$D$256</c:f>
              <c:numCache>
                <c:formatCode>0.00%</c:formatCode>
                <c:ptCount val="10"/>
                <c:pt idx="0">
                  <c:v>0.58823529411764708</c:v>
                </c:pt>
                <c:pt idx="1">
                  <c:v>0.53333333333333333</c:v>
                </c:pt>
                <c:pt idx="2">
                  <c:v>0.61538461538461542</c:v>
                </c:pt>
                <c:pt idx="3">
                  <c:v>0.53846153846153844</c:v>
                </c:pt>
                <c:pt idx="4">
                  <c:v>0.42857142857142855</c:v>
                </c:pt>
                <c:pt idx="5">
                  <c:v>0.61904761904761907</c:v>
                </c:pt>
                <c:pt idx="6">
                  <c:v>0.76</c:v>
                </c:pt>
                <c:pt idx="7">
                  <c:v>0.45833333333333331</c:v>
                </c:pt>
                <c:pt idx="8">
                  <c:v>0.48780487804878048</c:v>
                </c:pt>
                <c:pt idx="9">
                  <c:v>0.73333333333333328</c:v>
                </c:pt>
              </c:numCache>
            </c:numRef>
          </c:val>
          <c:extLst>
            <c:ext xmlns:c16="http://schemas.microsoft.com/office/drawing/2014/chart" uri="{C3380CC4-5D6E-409C-BE32-E72D297353CC}">
              <c16:uniqueId val="{00000002-AD22-49D2-A416-1C1CE0203F59}"/>
            </c:ext>
          </c:extLst>
        </c:ser>
        <c:ser>
          <c:idx val="3"/>
          <c:order val="3"/>
          <c:tx>
            <c:strRef>
              <c:f>'KPI CAL'!$E$246</c:f>
              <c:strCache>
                <c:ptCount val="1"/>
                <c:pt idx="0">
                  <c:v>Prenium</c:v>
                </c:pt>
              </c:strCache>
            </c:strRef>
          </c:tx>
          <c:spPr>
            <a:solidFill>
              <a:schemeClr val="accent4"/>
            </a:solidFill>
            <a:ln>
              <a:noFill/>
            </a:ln>
            <a:effectLst/>
          </c:spPr>
          <c:invertIfNegative val="0"/>
          <c:cat>
            <c:strRef>
              <c:f>'KPI CAL'!$A$247:$A$256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CAL'!$E$247:$E$256</c:f>
              <c:numCache>
                <c:formatCode>0.00%</c:formatCode>
                <c:ptCount val="10"/>
                <c:pt idx="0">
                  <c:v>0.33333333333333331</c:v>
                </c:pt>
                <c:pt idx="1">
                  <c:v>0.55000000000000004</c:v>
                </c:pt>
                <c:pt idx="2">
                  <c:v>0.90909090909090906</c:v>
                </c:pt>
                <c:pt idx="3">
                  <c:v>0.7142857142857143</c:v>
                </c:pt>
                <c:pt idx="4">
                  <c:v>0.5</c:v>
                </c:pt>
                <c:pt idx="5">
                  <c:v>0.77777777777777779</c:v>
                </c:pt>
                <c:pt idx="6">
                  <c:v>0.75</c:v>
                </c:pt>
                <c:pt idx="7">
                  <c:v>0.72222222222222221</c:v>
                </c:pt>
                <c:pt idx="8">
                  <c:v>0.70588235294117652</c:v>
                </c:pt>
                <c:pt idx="9">
                  <c:v>0.8125</c:v>
                </c:pt>
              </c:numCache>
            </c:numRef>
          </c:val>
          <c:extLst>
            <c:ext xmlns:c16="http://schemas.microsoft.com/office/drawing/2014/chart" uri="{C3380CC4-5D6E-409C-BE32-E72D297353CC}">
              <c16:uniqueId val="{00000003-AD22-49D2-A416-1C1CE0203F59}"/>
            </c:ext>
          </c:extLst>
        </c:ser>
        <c:ser>
          <c:idx val="4"/>
          <c:order val="4"/>
          <c:tx>
            <c:strRef>
              <c:f>'KPI CAL'!$F$246</c:f>
              <c:strCache>
                <c:ptCount val="1"/>
                <c:pt idx="0">
                  <c:v>Pro</c:v>
                </c:pt>
              </c:strCache>
            </c:strRef>
          </c:tx>
          <c:spPr>
            <a:solidFill>
              <a:schemeClr val="accent5"/>
            </a:solidFill>
            <a:ln>
              <a:noFill/>
            </a:ln>
            <a:effectLst/>
          </c:spPr>
          <c:invertIfNegative val="0"/>
          <c:cat>
            <c:strRef>
              <c:f>'KPI CAL'!$A$247:$A$256</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CAL'!$F$247:$F$256</c:f>
              <c:numCache>
                <c:formatCode>0.00%</c:formatCode>
                <c:ptCount val="10"/>
                <c:pt idx="0">
                  <c:v>1</c:v>
                </c:pt>
                <c:pt idx="1">
                  <c:v>0</c:v>
                </c:pt>
                <c:pt idx="2">
                  <c:v>0.66666666666666663</c:v>
                </c:pt>
                <c:pt idx="3">
                  <c:v>0.5</c:v>
                </c:pt>
                <c:pt idx="4">
                  <c:v>0</c:v>
                </c:pt>
                <c:pt idx="5">
                  <c:v>0</c:v>
                </c:pt>
                <c:pt idx="6">
                  <c:v>0</c:v>
                </c:pt>
                <c:pt idx="7">
                  <c:v>0</c:v>
                </c:pt>
                <c:pt idx="8">
                  <c:v>0</c:v>
                </c:pt>
                <c:pt idx="9">
                  <c:v>0</c:v>
                </c:pt>
              </c:numCache>
            </c:numRef>
          </c:val>
          <c:extLst>
            <c:ext xmlns:c16="http://schemas.microsoft.com/office/drawing/2014/chart" uri="{C3380CC4-5D6E-409C-BE32-E72D297353CC}">
              <c16:uniqueId val="{00000004-AD22-49D2-A416-1C1CE0203F59}"/>
            </c:ext>
          </c:extLst>
        </c:ser>
        <c:dLbls>
          <c:showLegendKey val="0"/>
          <c:showVal val="0"/>
          <c:showCatName val="0"/>
          <c:showSerName val="0"/>
          <c:showPercent val="0"/>
          <c:showBubbleSize val="0"/>
        </c:dLbls>
        <c:gapWidth val="182"/>
        <c:axId val="2056786640"/>
        <c:axId val="1954634176"/>
      </c:barChart>
      <c:catAx>
        <c:axId val="20567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54634176"/>
        <c:crosses val="autoZero"/>
        <c:auto val="1"/>
        <c:lblAlgn val="ctr"/>
        <c:lblOffset val="100"/>
        <c:noMultiLvlLbl val="0"/>
      </c:catAx>
      <c:valAx>
        <c:axId val="1954634176"/>
        <c:scaling>
          <c:orientation val="minMax"/>
        </c:scaling>
        <c:delete val="1"/>
        <c:axPos val="l"/>
        <c:numFmt formatCode="0.00%" sourceLinked="1"/>
        <c:majorTickMark val="none"/>
        <c:minorTickMark val="none"/>
        <c:tickLblPos val="nextTo"/>
        <c:crossAx val="2056786640"/>
        <c:crosses val="autoZero"/>
        <c:crossBetween val="between"/>
      </c:valAx>
      <c:spPr>
        <a:noFill/>
        <a:ln>
          <a:noFill/>
        </a:ln>
        <a:effectLst/>
      </c:spPr>
    </c:plotArea>
    <c:legend>
      <c:legendPos val="b"/>
      <c:layout>
        <c:manualLayout>
          <c:xMode val="edge"/>
          <c:yMode val="edge"/>
          <c:x val="0.27785855603276866"/>
          <c:y val="0.91935556911019922"/>
          <c:w val="0.44428263938598583"/>
          <c:h val="8.0644430889800764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 Fintech 102(AutoRecovered).xlsx]KPI CAL!PivotTable15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Feature Interactions</a:t>
            </a:r>
            <a:r>
              <a:rPr lang="en-US" sz="1200" b="1" baseline="0">
                <a:solidFill>
                  <a:sysClr val="windowText" lastClr="000000"/>
                </a:solidFill>
                <a:latin typeface="Lucida Console" panose="020B0609040504020204" pitchFamily="49" charset="0"/>
              </a:rPr>
              <a:t> By Gender</a:t>
            </a:r>
            <a:endParaRPr lang="en-US" sz="12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AD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96908719743365E-2"/>
          <c:y val="0.12779150781334814"/>
          <c:w val="0.92543657042869643"/>
          <c:h val="0.59627373220683177"/>
        </c:manualLayout>
      </c:layout>
      <c:barChart>
        <c:barDir val="col"/>
        <c:grouping val="clustered"/>
        <c:varyColors val="0"/>
        <c:ser>
          <c:idx val="0"/>
          <c:order val="0"/>
          <c:tx>
            <c:strRef>
              <c:f>'KPI CAL'!$B$261:$B$262</c:f>
              <c:strCache>
                <c:ptCount val="1"/>
                <c:pt idx="0">
                  <c:v>Female</c:v>
                </c:pt>
              </c:strCache>
            </c:strRef>
          </c:tx>
          <c:spPr>
            <a:solidFill>
              <a:srgbClr val="FFAD3D"/>
            </a:solidFill>
            <a:ln>
              <a:noFill/>
            </a:ln>
            <a:effectLst/>
          </c:spPr>
          <c:invertIfNegative val="0"/>
          <c:cat>
            <c:strRef>
              <c:f>'KPI CAL'!$A$263:$A$272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CAL'!$B$263:$B$272</c:f>
              <c:numCache>
                <c:formatCode>General</c:formatCode>
                <c:ptCount val="10"/>
                <c:pt idx="0">
                  <c:v>68</c:v>
                </c:pt>
                <c:pt idx="1">
                  <c:v>72</c:v>
                </c:pt>
                <c:pt idx="2">
                  <c:v>35</c:v>
                </c:pt>
                <c:pt idx="3">
                  <c:v>53</c:v>
                </c:pt>
                <c:pt idx="4">
                  <c:v>54</c:v>
                </c:pt>
                <c:pt idx="5">
                  <c:v>55</c:v>
                </c:pt>
                <c:pt idx="6">
                  <c:v>109</c:v>
                </c:pt>
                <c:pt idx="7">
                  <c:v>74</c:v>
                </c:pt>
                <c:pt idx="8">
                  <c:v>95</c:v>
                </c:pt>
                <c:pt idx="9">
                  <c:v>82</c:v>
                </c:pt>
              </c:numCache>
            </c:numRef>
          </c:val>
          <c:extLst>
            <c:ext xmlns:c16="http://schemas.microsoft.com/office/drawing/2014/chart" uri="{C3380CC4-5D6E-409C-BE32-E72D297353CC}">
              <c16:uniqueId val="{00000000-7F24-4699-93D3-F2CEB884C729}"/>
            </c:ext>
          </c:extLst>
        </c:ser>
        <c:ser>
          <c:idx val="1"/>
          <c:order val="1"/>
          <c:tx>
            <c:strRef>
              <c:f>'KPI CAL'!$C$261:$C$262</c:f>
              <c:strCache>
                <c:ptCount val="1"/>
                <c:pt idx="0">
                  <c:v>Male</c:v>
                </c:pt>
              </c:strCache>
            </c:strRef>
          </c:tx>
          <c:spPr>
            <a:solidFill>
              <a:srgbClr val="00B000"/>
            </a:solidFill>
            <a:ln>
              <a:noFill/>
            </a:ln>
            <a:effectLst/>
          </c:spPr>
          <c:invertIfNegative val="0"/>
          <c:cat>
            <c:strRef>
              <c:f>'KPI CAL'!$A$263:$A$272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CAL'!$C$263:$C$272</c:f>
              <c:numCache>
                <c:formatCode>General</c:formatCode>
                <c:ptCount val="10"/>
                <c:pt idx="0">
                  <c:v>61</c:v>
                </c:pt>
                <c:pt idx="1">
                  <c:v>75</c:v>
                </c:pt>
                <c:pt idx="2">
                  <c:v>49</c:v>
                </c:pt>
                <c:pt idx="3">
                  <c:v>62</c:v>
                </c:pt>
                <c:pt idx="4">
                  <c:v>41</c:v>
                </c:pt>
                <c:pt idx="5">
                  <c:v>41</c:v>
                </c:pt>
                <c:pt idx="6">
                  <c:v>131</c:v>
                </c:pt>
                <c:pt idx="7">
                  <c:v>70</c:v>
                </c:pt>
                <c:pt idx="8">
                  <c:v>71</c:v>
                </c:pt>
                <c:pt idx="9">
                  <c:v>68</c:v>
                </c:pt>
              </c:numCache>
            </c:numRef>
          </c:val>
          <c:extLst>
            <c:ext xmlns:c16="http://schemas.microsoft.com/office/drawing/2014/chart" uri="{C3380CC4-5D6E-409C-BE32-E72D297353CC}">
              <c16:uniqueId val="{00000001-7F24-4699-93D3-F2CEB884C729}"/>
            </c:ext>
          </c:extLst>
        </c:ser>
        <c:dLbls>
          <c:showLegendKey val="0"/>
          <c:showVal val="0"/>
          <c:showCatName val="0"/>
          <c:showSerName val="0"/>
          <c:showPercent val="0"/>
          <c:showBubbleSize val="0"/>
        </c:dLbls>
        <c:gapWidth val="94"/>
        <c:axId val="1166793216"/>
        <c:axId val="1983234080"/>
      </c:barChart>
      <c:catAx>
        <c:axId val="116679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983234080"/>
        <c:crosses val="autoZero"/>
        <c:auto val="1"/>
        <c:lblAlgn val="ctr"/>
        <c:lblOffset val="100"/>
        <c:noMultiLvlLbl val="0"/>
      </c:catAx>
      <c:valAx>
        <c:axId val="1983234080"/>
        <c:scaling>
          <c:orientation val="minMax"/>
        </c:scaling>
        <c:delete val="1"/>
        <c:axPos val="l"/>
        <c:numFmt formatCode="General" sourceLinked="1"/>
        <c:majorTickMark val="none"/>
        <c:minorTickMark val="none"/>
        <c:tickLblPos val="nextTo"/>
        <c:crossAx val="1166793216"/>
        <c:crosses val="autoZero"/>
        <c:crossBetween val="between"/>
      </c:valAx>
      <c:spPr>
        <a:noFill/>
        <a:ln>
          <a:noFill/>
        </a:ln>
        <a:effectLst/>
      </c:spPr>
    </c:plotArea>
    <c:legend>
      <c:legendPos val="b"/>
      <c:layout>
        <c:manualLayout>
          <c:xMode val="edge"/>
          <c:yMode val="edge"/>
          <c:x val="0.65348964712744229"/>
          <c:y val="0.91994399422699902"/>
          <c:w val="0.34116885389326335"/>
          <c:h val="5.5725105529692003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Success Rate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564282589676291"/>
          <c:y val="0.11157407407407409"/>
          <c:w val="0.71576385214694016"/>
          <c:h val="0.86527777777777781"/>
        </c:manualLayout>
      </c:layout>
      <c:barChart>
        <c:barDir val="bar"/>
        <c:grouping val="stacked"/>
        <c:varyColors val="0"/>
        <c:ser>
          <c:idx val="0"/>
          <c:order val="0"/>
          <c:tx>
            <c:strRef>
              <c:f>'KPI CAL'!$B$292</c:f>
              <c:strCache>
                <c:ptCount val="1"/>
                <c:pt idx="0">
                  <c:v>Female</c:v>
                </c:pt>
              </c:strCache>
            </c:strRef>
          </c:tx>
          <c:spPr>
            <a:solidFill>
              <a:srgbClr val="FFAD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CAL'!$A$293:$A$302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CAL'!$B$293:$B$302</c:f>
              <c:numCache>
                <c:formatCode>0.00%</c:formatCode>
                <c:ptCount val="10"/>
                <c:pt idx="0">
                  <c:v>0.54545454545454541</c:v>
                </c:pt>
                <c:pt idx="1">
                  <c:v>0.40277777777777779</c:v>
                </c:pt>
                <c:pt idx="2">
                  <c:v>0.77142857142857146</c:v>
                </c:pt>
                <c:pt idx="3">
                  <c:v>0.47169811320754718</c:v>
                </c:pt>
                <c:pt idx="4">
                  <c:v>0.27777777777777779</c:v>
                </c:pt>
                <c:pt idx="5">
                  <c:v>0.81818181818181823</c:v>
                </c:pt>
                <c:pt idx="6">
                  <c:v>0.7407407407407407</c:v>
                </c:pt>
                <c:pt idx="7">
                  <c:v>0.5</c:v>
                </c:pt>
                <c:pt idx="8">
                  <c:v>0.75268817204301075</c:v>
                </c:pt>
                <c:pt idx="9">
                  <c:v>0.82926829268292679</c:v>
                </c:pt>
              </c:numCache>
            </c:numRef>
          </c:val>
          <c:extLst>
            <c:ext xmlns:c16="http://schemas.microsoft.com/office/drawing/2014/chart" uri="{C3380CC4-5D6E-409C-BE32-E72D297353CC}">
              <c16:uniqueId val="{00000000-E9F8-47F6-A410-E22217E71FFA}"/>
            </c:ext>
          </c:extLst>
        </c:ser>
        <c:ser>
          <c:idx val="1"/>
          <c:order val="1"/>
          <c:tx>
            <c:strRef>
              <c:f>'KPI CAL'!$C$292</c:f>
              <c:strCache>
                <c:ptCount val="1"/>
                <c:pt idx="0">
                  <c:v>Male</c:v>
                </c:pt>
              </c:strCache>
            </c:strRef>
          </c:tx>
          <c:spPr>
            <a:solidFill>
              <a:srgbClr val="00B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CAL'!$A$293:$A$302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CAL'!$C$293:$C$302</c:f>
              <c:numCache>
                <c:formatCode>0.00%</c:formatCode>
                <c:ptCount val="10"/>
                <c:pt idx="0">
                  <c:v>0.45</c:v>
                </c:pt>
                <c:pt idx="1">
                  <c:v>0.50666666666666671</c:v>
                </c:pt>
                <c:pt idx="2">
                  <c:v>0.73469387755102045</c:v>
                </c:pt>
                <c:pt idx="3">
                  <c:v>0.67741935483870963</c:v>
                </c:pt>
                <c:pt idx="4">
                  <c:v>0.3902439024390244</c:v>
                </c:pt>
                <c:pt idx="5">
                  <c:v>0.75609756097560976</c:v>
                </c:pt>
                <c:pt idx="6">
                  <c:v>0.83206106870229013</c:v>
                </c:pt>
                <c:pt idx="7">
                  <c:v>0.39130434782608697</c:v>
                </c:pt>
                <c:pt idx="8">
                  <c:v>0.77464788732394363</c:v>
                </c:pt>
                <c:pt idx="9">
                  <c:v>0.76119402985074625</c:v>
                </c:pt>
              </c:numCache>
            </c:numRef>
          </c:val>
          <c:extLst>
            <c:ext xmlns:c16="http://schemas.microsoft.com/office/drawing/2014/chart" uri="{C3380CC4-5D6E-409C-BE32-E72D297353CC}">
              <c16:uniqueId val="{00000001-E9F8-47F6-A410-E22217E71FFA}"/>
            </c:ext>
          </c:extLst>
        </c:ser>
        <c:dLbls>
          <c:dLblPos val="ctr"/>
          <c:showLegendKey val="0"/>
          <c:showVal val="1"/>
          <c:showCatName val="0"/>
          <c:showSerName val="0"/>
          <c:showPercent val="0"/>
          <c:showBubbleSize val="0"/>
        </c:dLbls>
        <c:gapWidth val="48"/>
        <c:overlap val="100"/>
        <c:axId val="1166605760"/>
        <c:axId val="1983246560"/>
      </c:barChart>
      <c:catAx>
        <c:axId val="116660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983246560"/>
        <c:crosses val="autoZero"/>
        <c:auto val="1"/>
        <c:lblAlgn val="ctr"/>
        <c:lblOffset val="100"/>
        <c:noMultiLvlLbl val="0"/>
      </c:catAx>
      <c:valAx>
        <c:axId val="1983246560"/>
        <c:scaling>
          <c:orientation val="minMax"/>
        </c:scaling>
        <c:delete val="1"/>
        <c:axPos val="b"/>
        <c:numFmt formatCode="0.00%" sourceLinked="1"/>
        <c:majorTickMark val="none"/>
        <c:minorTickMark val="none"/>
        <c:tickLblPos val="nextTo"/>
        <c:crossAx val="1166605760"/>
        <c:crosses val="autoZero"/>
        <c:crossBetween val="between"/>
      </c:valAx>
      <c:spPr>
        <a:noFill/>
        <a:ln>
          <a:noFill/>
        </a:ln>
        <a:effectLst/>
      </c:spPr>
    </c:plotArea>
    <c:legend>
      <c:legendPos val="b"/>
      <c:layout>
        <c:manualLayout>
          <c:xMode val="edge"/>
          <c:yMode val="edge"/>
          <c:x val="0.7414095057644422"/>
          <c:y val="0.88964541197056246"/>
          <c:w val="0.24038914514383924"/>
          <c:h val="8.01886755105837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Error Rate</a:t>
            </a:r>
            <a:r>
              <a:rPr lang="en-US" sz="1200" b="1" baseline="0">
                <a:solidFill>
                  <a:sysClr val="windowText" lastClr="000000"/>
                </a:solidFill>
                <a:latin typeface="Lucida Console" panose="020B0609040504020204" pitchFamily="49" charset="0"/>
              </a:rPr>
              <a:t> By Gender</a:t>
            </a:r>
            <a:endParaRPr lang="en-US" sz="1200" b="1">
              <a:solidFill>
                <a:sysClr val="windowText" lastClr="000000"/>
              </a:solidFill>
              <a:latin typeface="Lucida Console" panose="020B0609040504020204" pitchFamily="49" charset="0"/>
            </a:endParaRPr>
          </a:p>
        </c:rich>
      </c:tx>
      <c:layout>
        <c:manualLayout>
          <c:xMode val="edge"/>
          <c:yMode val="edge"/>
          <c:x val="0.23658830620855933"/>
          <c:y val="3.0441400304414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9244832989032273E-2"/>
          <c:y val="0.10694444444444444"/>
          <c:w val="0.94072432961089003"/>
          <c:h val="0.58389588801399828"/>
        </c:manualLayout>
      </c:layout>
      <c:barChart>
        <c:barDir val="col"/>
        <c:grouping val="clustered"/>
        <c:varyColors val="0"/>
        <c:ser>
          <c:idx val="0"/>
          <c:order val="0"/>
          <c:tx>
            <c:strRef>
              <c:f>'KPI CAL'!$N$292</c:f>
              <c:strCache>
                <c:ptCount val="1"/>
                <c:pt idx="0">
                  <c:v>Female</c:v>
                </c:pt>
              </c:strCache>
            </c:strRef>
          </c:tx>
          <c:spPr>
            <a:solidFill>
              <a:srgbClr val="FFAD3D"/>
            </a:solidFill>
            <a:ln>
              <a:noFill/>
            </a:ln>
            <a:effectLst/>
          </c:spPr>
          <c:invertIfNegative val="0"/>
          <c:cat>
            <c:strRef>
              <c:f>'KPI CAL'!$M$293:$M$302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CAL'!$N$293:$N$302</c:f>
              <c:numCache>
                <c:formatCode>0.00%</c:formatCode>
                <c:ptCount val="10"/>
                <c:pt idx="0">
                  <c:v>0.3235294117647059</c:v>
                </c:pt>
                <c:pt idx="1">
                  <c:v>0.28169014084507044</c:v>
                </c:pt>
                <c:pt idx="2">
                  <c:v>8.5714285714285715E-2</c:v>
                </c:pt>
                <c:pt idx="3">
                  <c:v>0.15094339622641509</c:v>
                </c:pt>
                <c:pt idx="4">
                  <c:v>0.29629629629629628</c:v>
                </c:pt>
                <c:pt idx="5">
                  <c:v>3.6363636363636362E-2</c:v>
                </c:pt>
                <c:pt idx="6">
                  <c:v>9.2592592592592587E-2</c:v>
                </c:pt>
                <c:pt idx="7">
                  <c:v>0.21621621621621623</c:v>
                </c:pt>
                <c:pt idx="8">
                  <c:v>0.22105263157894736</c:v>
                </c:pt>
                <c:pt idx="9">
                  <c:v>0.13414634146341464</c:v>
                </c:pt>
              </c:numCache>
            </c:numRef>
          </c:val>
          <c:extLst>
            <c:ext xmlns:c16="http://schemas.microsoft.com/office/drawing/2014/chart" uri="{C3380CC4-5D6E-409C-BE32-E72D297353CC}">
              <c16:uniqueId val="{00000000-AD97-4F00-953F-ECEB32D91B48}"/>
            </c:ext>
          </c:extLst>
        </c:ser>
        <c:ser>
          <c:idx val="1"/>
          <c:order val="1"/>
          <c:tx>
            <c:strRef>
              <c:f>'KPI CAL'!$O$292</c:f>
              <c:strCache>
                <c:ptCount val="1"/>
                <c:pt idx="0">
                  <c:v>Male</c:v>
                </c:pt>
              </c:strCache>
            </c:strRef>
          </c:tx>
          <c:spPr>
            <a:solidFill>
              <a:srgbClr val="00B000"/>
            </a:solidFill>
            <a:ln>
              <a:noFill/>
            </a:ln>
            <a:effectLst/>
          </c:spPr>
          <c:invertIfNegative val="0"/>
          <c:cat>
            <c:strRef>
              <c:f>'KPI CAL'!$M$293:$M$302</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CAL'!$O$293:$O$302</c:f>
              <c:numCache>
                <c:formatCode>0.00%</c:formatCode>
                <c:ptCount val="10"/>
                <c:pt idx="0">
                  <c:v>0.15</c:v>
                </c:pt>
                <c:pt idx="1">
                  <c:v>0.17333333333333334</c:v>
                </c:pt>
                <c:pt idx="2">
                  <c:v>0.18367346938775511</c:v>
                </c:pt>
                <c:pt idx="3">
                  <c:v>0.18032786885245902</c:v>
                </c:pt>
                <c:pt idx="4">
                  <c:v>0.26829268292682928</c:v>
                </c:pt>
                <c:pt idx="5">
                  <c:v>0.1951219512195122</c:v>
                </c:pt>
                <c:pt idx="6">
                  <c:v>0.16793893129770993</c:v>
                </c:pt>
                <c:pt idx="7">
                  <c:v>0.27142857142857141</c:v>
                </c:pt>
                <c:pt idx="8">
                  <c:v>0.18309859154929578</c:v>
                </c:pt>
                <c:pt idx="9">
                  <c:v>0.10294117647058823</c:v>
                </c:pt>
              </c:numCache>
            </c:numRef>
          </c:val>
          <c:extLst>
            <c:ext xmlns:c16="http://schemas.microsoft.com/office/drawing/2014/chart" uri="{C3380CC4-5D6E-409C-BE32-E72D297353CC}">
              <c16:uniqueId val="{00000001-AD97-4F00-953F-ECEB32D91B48}"/>
            </c:ext>
          </c:extLst>
        </c:ser>
        <c:dLbls>
          <c:showLegendKey val="0"/>
          <c:showVal val="0"/>
          <c:showCatName val="0"/>
          <c:showSerName val="0"/>
          <c:showPercent val="0"/>
          <c:showBubbleSize val="0"/>
        </c:dLbls>
        <c:gapWidth val="152"/>
        <c:overlap val="-18"/>
        <c:axId val="532100287"/>
        <c:axId val="1560564672"/>
      </c:barChart>
      <c:catAx>
        <c:axId val="53210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560564672"/>
        <c:crosses val="autoZero"/>
        <c:auto val="1"/>
        <c:lblAlgn val="ctr"/>
        <c:lblOffset val="100"/>
        <c:noMultiLvlLbl val="0"/>
      </c:catAx>
      <c:valAx>
        <c:axId val="1560564672"/>
        <c:scaling>
          <c:orientation val="minMax"/>
        </c:scaling>
        <c:delete val="1"/>
        <c:axPos val="l"/>
        <c:numFmt formatCode="0.00%" sourceLinked="1"/>
        <c:majorTickMark val="none"/>
        <c:minorTickMark val="none"/>
        <c:tickLblPos val="nextTo"/>
        <c:crossAx val="532100287"/>
        <c:crosses val="autoZero"/>
        <c:crossBetween val="between"/>
      </c:valAx>
      <c:spPr>
        <a:noFill/>
        <a:ln>
          <a:noFill/>
        </a:ln>
        <a:effectLst/>
      </c:spPr>
    </c:plotArea>
    <c:legend>
      <c:legendPos val="b"/>
      <c:layout>
        <c:manualLayout>
          <c:xMode val="edge"/>
          <c:yMode val="edge"/>
          <c:x val="0.72065769903762034"/>
          <c:y val="0.91227070574511515"/>
          <c:w val="0.26146216097987751"/>
          <c:h val="7.384040536599591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30-Days Retention Rate</a:t>
            </a:r>
            <a:r>
              <a:rPr lang="en-US" sz="1200" b="1" baseline="0">
                <a:solidFill>
                  <a:sysClr val="windowText" lastClr="000000"/>
                </a:solidFill>
                <a:latin typeface="Lucida Console" panose="020B0609040504020204" pitchFamily="49" charset="0"/>
              </a:rPr>
              <a:t> By Gender</a:t>
            </a:r>
            <a:endParaRPr lang="en-US" sz="12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966994750656168"/>
          <c:y val="0.12196893725548458"/>
          <c:w val="0.73088560804899394"/>
          <c:h val="0.85511656267023228"/>
        </c:manualLayout>
      </c:layout>
      <c:barChart>
        <c:barDir val="bar"/>
        <c:grouping val="clustered"/>
        <c:varyColors val="0"/>
        <c:ser>
          <c:idx val="0"/>
          <c:order val="0"/>
          <c:tx>
            <c:strRef>
              <c:f>'KPI CAL'!$B$321</c:f>
              <c:strCache>
                <c:ptCount val="1"/>
                <c:pt idx="0">
                  <c:v>Female</c:v>
                </c:pt>
              </c:strCache>
            </c:strRef>
          </c:tx>
          <c:spPr>
            <a:solidFill>
              <a:srgbClr val="FFAD3D"/>
            </a:solidFill>
            <a:ln>
              <a:noFill/>
            </a:ln>
            <a:effectLst/>
          </c:spPr>
          <c:invertIfNegative val="0"/>
          <c:cat>
            <c:strRef>
              <c:f>'KPI CAL'!$A$322:$A$331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CAL'!$B$322:$B$331</c:f>
              <c:numCache>
                <c:formatCode>0.00%</c:formatCode>
                <c:ptCount val="10"/>
                <c:pt idx="0">
                  <c:v>0.56716417910447758</c:v>
                </c:pt>
                <c:pt idx="1">
                  <c:v>0.56944444444444442</c:v>
                </c:pt>
                <c:pt idx="2">
                  <c:v>0.8</c:v>
                </c:pt>
                <c:pt idx="3">
                  <c:v>0.50980392156862742</c:v>
                </c:pt>
                <c:pt idx="4">
                  <c:v>0.43396226415094341</c:v>
                </c:pt>
                <c:pt idx="5">
                  <c:v>0.69811320754716977</c:v>
                </c:pt>
                <c:pt idx="6">
                  <c:v>0.75229357798165142</c:v>
                </c:pt>
                <c:pt idx="7">
                  <c:v>0.55405405405405406</c:v>
                </c:pt>
                <c:pt idx="8">
                  <c:v>0.6</c:v>
                </c:pt>
                <c:pt idx="9">
                  <c:v>0.74390243902439024</c:v>
                </c:pt>
              </c:numCache>
            </c:numRef>
          </c:val>
          <c:extLst>
            <c:ext xmlns:c16="http://schemas.microsoft.com/office/drawing/2014/chart" uri="{C3380CC4-5D6E-409C-BE32-E72D297353CC}">
              <c16:uniqueId val="{00000000-0555-41CE-8A4D-322257C8D08D}"/>
            </c:ext>
          </c:extLst>
        </c:ser>
        <c:ser>
          <c:idx val="1"/>
          <c:order val="1"/>
          <c:tx>
            <c:strRef>
              <c:f>'KPI CAL'!$C$321</c:f>
              <c:strCache>
                <c:ptCount val="1"/>
                <c:pt idx="0">
                  <c:v>Male</c:v>
                </c:pt>
              </c:strCache>
            </c:strRef>
          </c:tx>
          <c:spPr>
            <a:solidFill>
              <a:srgbClr val="00B000"/>
            </a:solidFill>
            <a:ln>
              <a:noFill/>
            </a:ln>
            <a:effectLst/>
          </c:spPr>
          <c:invertIfNegative val="0"/>
          <c:cat>
            <c:strRef>
              <c:f>'KPI CAL'!$A$322:$A$331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CAL'!$C$322:$C$331</c:f>
              <c:numCache>
                <c:formatCode>0.00%</c:formatCode>
                <c:ptCount val="10"/>
                <c:pt idx="0">
                  <c:v>0.56666666666666665</c:v>
                </c:pt>
                <c:pt idx="1">
                  <c:v>0.48648648648648651</c:v>
                </c:pt>
                <c:pt idx="2">
                  <c:v>0.79591836734693877</c:v>
                </c:pt>
                <c:pt idx="3">
                  <c:v>0.5161290322580645</c:v>
                </c:pt>
                <c:pt idx="4">
                  <c:v>0.5</c:v>
                </c:pt>
                <c:pt idx="5">
                  <c:v>0.74358974358974361</c:v>
                </c:pt>
                <c:pt idx="6">
                  <c:v>0.7615384615384615</c:v>
                </c:pt>
                <c:pt idx="7">
                  <c:v>0.48571428571428571</c:v>
                </c:pt>
                <c:pt idx="8">
                  <c:v>0.647887323943662</c:v>
                </c:pt>
                <c:pt idx="9">
                  <c:v>0.71212121212121215</c:v>
                </c:pt>
              </c:numCache>
            </c:numRef>
          </c:val>
          <c:extLst>
            <c:ext xmlns:c16="http://schemas.microsoft.com/office/drawing/2014/chart" uri="{C3380CC4-5D6E-409C-BE32-E72D297353CC}">
              <c16:uniqueId val="{00000001-0555-41CE-8A4D-322257C8D08D}"/>
            </c:ext>
          </c:extLst>
        </c:ser>
        <c:dLbls>
          <c:showLegendKey val="0"/>
          <c:showVal val="0"/>
          <c:showCatName val="0"/>
          <c:showSerName val="0"/>
          <c:showPercent val="0"/>
          <c:showBubbleSize val="0"/>
        </c:dLbls>
        <c:gapWidth val="94"/>
        <c:axId val="1018567791"/>
        <c:axId val="536252575"/>
      </c:barChart>
      <c:catAx>
        <c:axId val="101856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36252575"/>
        <c:crosses val="autoZero"/>
        <c:auto val="1"/>
        <c:lblAlgn val="ctr"/>
        <c:lblOffset val="100"/>
        <c:noMultiLvlLbl val="0"/>
      </c:catAx>
      <c:valAx>
        <c:axId val="536252575"/>
        <c:scaling>
          <c:orientation val="minMax"/>
        </c:scaling>
        <c:delete val="1"/>
        <c:axPos val="b"/>
        <c:numFmt formatCode="0.00%" sourceLinked="1"/>
        <c:majorTickMark val="none"/>
        <c:minorTickMark val="none"/>
        <c:tickLblPos val="nextTo"/>
        <c:crossAx val="1018567791"/>
        <c:crosses val="autoZero"/>
        <c:crossBetween val="between"/>
      </c:valAx>
      <c:spPr>
        <a:noFill/>
        <a:ln>
          <a:noFill/>
        </a:ln>
        <a:effectLst/>
      </c:spPr>
    </c:plotArea>
    <c:legend>
      <c:legendPos val="b"/>
      <c:layout>
        <c:manualLayout>
          <c:xMode val="edge"/>
          <c:yMode val="edge"/>
          <c:x val="0.66880577427821519"/>
          <c:y val="0.93078922426363353"/>
          <c:w val="0.32164741907261585"/>
          <c:h val="6.45811461067366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Lucida Console" panose="020B0609040504020204" pitchFamily="49" charset="0"/>
              </a:rPr>
              <a:t>Total</a:t>
            </a:r>
            <a:r>
              <a:rPr lang="en-US" sz="1200" b="1" baseline="0">
                <a:solidFill>
                  <a:sysClr val="windowText" lastClr="000000"/>
                </a:solidFill>
                <a:latin typeface="Lucida Console" panose="020B0609040504020204" pitchFamily="49" charset="0"/>
              </a:rPr>
              <a:t> Revenue By Gender</a:t>
            </a:r>
            <a:endParaRPr lang="en-US" sz="1200" b="1">
              <a:solidFill>
                <a:sysClr val="windowText" lastClr="000000"/>
              </a:solidFill>
              <a:latin typeface="Lucida Console" panose="020B060904050402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41119860017499"/>
          <c:y val="0.1243189697870233"/>
          <c:w val="0.87214435695538062"/>
          <c:h val="0.84126038851384288"/>
        </c:manualLayout>
      </c:layout>
      <c:barChart>
        <c:barDir val="bar"/>
        <c:grouping val="clustered"/>
        <c:varyColors val="0"/>
        <c:ser>
          <c:idx val="0"/>
          <c:order val="0"/>
          <c:tx>
            <c:strRef>
              <c:f>'KPI CAL'!$L$321</c:f>
              <c:strCache>
                <c:ptCount val="1"/>
                <c:pt idx="0">
                  <c:v>Female</c:v>
                </c:pt>
              </c:strCache>
            </c:strRef>
          </c:tx>
          <c:spPr>
            <a:solidFill>
              <a:srgbClr val="FFAD3D"/>
            </a:solidFill>
            <a:ln>
              <a:noFill/>
            </a:ln>
            <a:effectLst/>
          </c:spPr>
          <c:invertIfNegative val="0"/>
          <c:cat>
            <c:strRef>
              <c:f>'KPI CAL'!$K$322:$K$331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CAL'!$L$322:$L$331</c:f>
              <c:numCache>
                <c:formatCode>General</c:formatCode>
                <c:ptCount val="10"/>
                <c:pt idx="0">
                  <c:v>4.87</c:v>
                </c:pt>
                <c:pt idx="1">
                  <c:v>2.36</c:v>
                </c:pt>
                <c:pt idx="2">
                  <c:v>2.5300000000000002</c:v>
                </c:pt>
                <c:pt idx="3">
                  <c:v>1.22</c:v>
                </c:pt>
                <c:pt idx="4">
                  <c:v>43.51</c:v>
                </c:pt>
                <c:pt idx="5">
                  <c:v>4.97</c:v>
                </c:pt>
                <c:pt idx="6">
                  <c:v>23.68</c:v>
                </c:pt>
                <c:pt idx="7">
                  <c:v>96.039999999999992</c:v>
                </c:pt>
                <c:pt idx="8">
                  <c:v>4.7099999999999991</c:v>
                </c:pt>
                <c:pt idx="9">
                  <c:v>37.870000000000005</c:v>
                </c:pt>
              </c:numCache>
            </c:numRef>
          </c:val>
          <c:extLst>
            <c:ext xmlns:c16="http://schemas.microsoft.com/office/drawing/2014/chart" uri="{C3380CC4-5D6E-409C-BE32-E72D297353CC}">
              <c16:uniqueId val="{00000000-5950-4692-B5B9-B0C7C7F1A100}"/>
            </c:ext>
          </c:extLst>
        </c:ser>
        <c:ser>
          <c:idx val="1"/>
          <c:order val="1"/>
          <c:tx>
            <c:strRef>
              <c:f>'KPI CAL'!$M$321</c:f>
              <c:strCache>
                <c:ptCount val="1"/>
                <c:pt idx="0">
                  <c:v>Male</c:v>
                </c:pt>
              </c:strCache>
            </c:strRef>
          </c:tx>
          <c:spPr>
            <a:solidFill>
              <a:srgbClr val="00B000"/>
            </a:solidFill>
            <a:ln>
              <a:noFill/>
            </a:ln>
            <a:effectLst/>
          </c:spPr>
          <c:invertIfNegative val="0"/>
          <c:cat>
            <c:strRef>
              <c:f>'KPI CAL'!$K$322:$K$331</c:f>
              <c:strCache>
                <c:ptCount val="10"/>
                <c:pt idx="0">
                  <c:v>Bill Split</c:v>
                </c:pt>
                <c:pt idx="1">
                  <c:v>Budget Planner</c:v>
                </c:pt>
                <c:pt idx="2">
                  <c:v>Cashback Rewards</c:v>
                </c:pt>
                <c:pt idx="3">
                  <c:v>Cashflow Insights</c:v>
                </c:pt>
                <c:pt idx="4">
                  <c:v>Credit Builder</c:v>
                </c:pt>
                <c:pt idx="5">
                  <c:v>Direct Debit Manager</c:v>
                </c:pt>
                <c:pt idx="6">
                  <c:v>Instant Bank Transfer</c:v>
                </c:pt>
                <c:pt idx="7">
                  <c:v>International Transfer</c:v>
                </c:pt>
                <c:pt idx="8">
                  <c:v>Savings Pots</c:v>
                </c:pt>
                <c:pt idx="9">
                  <c:v>Virtual Card</c:v>
                </c:pt>
              </c:strCache>
            </c:strRef>
          </c:cat>
          <c:val>
            <c:numRef>
              <c:f>'KPI CAL'!$M$322:$M$331</c:f>
              <c:numCache>
                <c:formatCode>General</c:formatCode>
                <c:ptCount val="10"/>
                <c:pt idx="0">
                  <c:v>6.01</c:v>
                </c:pt>
                <c:pt idx="1">
                  <c:v>-6.68</c:v>
                </c:pt>
                <c:pt idx="2">
                  <c:v>2.87</c:v>
                </c:pt>
                <c:pt idx="3">
                  <c:v>2.9799999999999995</c:v>
                </c:pt>
                <c:pt idx="4">
                  <c:v>50.349999999999994</c:v>
                </c:pt>
                <c:pt idx="5">
                  <c:v>1.62</c:v>
                </c:pt>
                <c:pt idx="6">
                  <c:v>31.230000000000008</c:v>
                </c:pt>
                <c:pt idx="7">
                  <c:v>70.929999999999993</c:v>
                </c:pt>
                <c:pt idx="8">
                  <c:v>4.32</c:v>
                </c:pt>
                <c:pt idx="9">
                  <c:v>29.050000000000004</c:v>
                </c:pt>
              </c:numCache>
            </c:numRef>
          </c:val>
          <c:extLst>
            <c:ext xmlns:c16="http://schemas.microsoft.com/office/drawing/2014/chart" uri="{C3380CC4-5D6E-409C-BE32-E72D297353CC}">
              <c16:uniqueId val="{00000001-5950-4692-B5B9-B0C7C7F1A100}"/>
            </c:ext>
          </c:extLst>
        </c:ser>
        <c:dLbls>
          <c:showLegendKey val="0"/>
          <c:showVal val="0"/>
          <c:showCatName val="0"/>
          <c:showSerName val="0"/>
          <c:showPercent val="0"/>
          <c:showBubbleSize val="0"/>
        </c:dLbls>
        <c:gapWidth val="62"/>
        <c:axId val="1047542431"/>
        <c:axId val="536255455"/>
      </c:barChart>
      <c:catAx>
        <c:axId val="104754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36255455"/>
        <c:crosses val="autoZero"/>
        <c:auto val="1"/>
        <c:lblAlgn val="ctr"/>
        <c:lblOffset val="100"/>
        <c:noMultiLvlLbl val="0"/>
      </c:catAx>
      <c:valAx>
        <c:axId val="536255455"/>
        <c:scaling>
          <c:orientation val="minMax"/>
        </c:scaling>
        <c:delete val="1"/>
        <c:axPos val="b"/>
        <c:numFmt formatCode="General" sourceLinked="1"/>
        <c:majorTickMark val="none"/>
        <c:minorTickMark val="none"/>
        <c:tickLblPos val="nextTo"/>
        <c:crossAx val="1047542431"/>
        <c:crosses val="autoZero"/>
        <c:crossBetween val="between"/>
      </c:valAx>
      <c:spPr>
        <a:noFill/>
        <a:ln>
          <a:noFill/>
        </a:ln>
        <a:effectLst/>
      </c:spPr>
    </c:plotArea>
    <c:legend>
      <c:legendPos val="b"/>
      <c:layout>
        <c:manualLayout>
          <c:xMode val="edge"/>
          <c:yMode val="edge"/>
          <c:x val="0.61232436570428694"/>
          <c:y val="0.88633220624539322"/>
          <c:w val="0.35312882764654424"/>
          <c:h val="8.3950111733804442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7637B711-219D-46D5-8193-4174D6F2EFBB}">
          <cx:tx>
            <cx:txData>
              <cx:f>_xlchart.v2.1</cx:f>
              <cx:v>Total Revenue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Total Feature Revenue</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Lucida Console" panose="020B0609040504020204" pitchFamily="49" charset="0"/>
              <a:cs typeface="Arial"/>
            </a:rPr>
            <a:t>Total Feature Revenue</a:t>
          </a:r>
        </a:p>
      </cx:txPr>
    </cx:title>
    <cx:plotArea>
      <cx:plotAreaRegion>
        <cx:series layoutId="funnel" uniqueId="{7637B711-219D-46D5-8193-4174D6F2EFBB}">
          <cx:tx>
            <cx:txData>
              <cx:f>_xlchart.v2.4</cx:f>
              <cx:v>Total Revenue</cx:v>
            </cx:txData>
          </cx:tx>
          <cx:spPr>
            <a:solidFill>
              <a:srgbClr val="004A43"/>
            </a:solidFill>
          </cx:spPr>
          <cx:dataLabels>
            <cx:numFmt formatCode="[$€-x-euro2] #,##0.00" sourceLinked="0"/>
            <cx:visibility seriesName="0" categoryName="0" value="1"/>
            <cx:separator>, </cx:separator>
          </cx:dataLabels>
          <cx:dataId val="0"/>
        </cx:series>
      </cx:plotAreaRegion>
      <cx:axis id="0">
        <cx:catScaling gapWidth="0"/>
        <cx:tickLabels/>
        <cx:txPr>
          <a:bodyPr spcFirstLastPara="1" vertOverflow="ellipsis" horzOverflow="overflow" wrap="square" lIns="0" tIns="0" rIns="0" bIns="0" anchor="ctr" anchorCtr="1"/>
          <a:lstStyle/>
          <a:p>
            <a:pPr algn="ctr" rtl="0">
              <a:defRPr sz="700" b="1">
                <a:solidFill>
                  <a:schemeClr val="tx1"/>
                </a:solidFill>
              </a:defRPr>
            </a:pPr>
            <a:endParaRPr lang="en-US" sz="700" b="1" i="0" u="none" strike="noStrike" baseline="0">
              <a:solidFill>
                <a:schemeClr val="tx1"/>
              </a:solidFill>
              <a:latin typeface="Arial"/>
              <a:cs typeface="Arial"/>
            </a:endParaRPr>
          </a:p>
        </cx:txPr>
      </cx:axis>
    </cx:plotArea>
  </cx:chart>
  <cx:spPr>
    <a:solidFill>
      <a:srgbClr val="004A43">
        <a:alpha val="0"/>
      </a:srgb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1.xml"/><Relationship Id="rId16" Type="http://schemas.openxmlformats.org/officeDocument/2006/relationships/chart" Target="../charts/chart15.xml"/><Relationship Id="rId1" Type="http://schemas.microsoft.com/office/2014/relationships/chartEx" Target="../charts/chartEx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7.xml"/><Relationship Id="rId2" Type="http://schemas.microsoft.com/office/2014/relationships/chartEx" Target="../charts/chartEx2.xml"/><Relationship Id="rId1" Type="http://schemas.openxmlformats.org/officeDocument/2006/relationships/chart" Target="../charts/chart16.xml"/><Relationship Id="rId4"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11</xdr:col>
      <xdr:colOff>114300</xdr:colOff>
      <xdr:row>2</xdr:row>
      <xdr:rowOff>49530</xdr:rowOff>
    </xdr:from>
    <xdr:to>
      <xdr:col>12</xdr:col>
      <xdr:colOff>647700</xdr:colOff>
      <xdr:row>8</xdr:row>
      <xdr:rowOff>160020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6714992-1781-36BD-FDF9-8AE3B7D4BA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253180" y="384810"/>
              <a:ext cx="2385060" cy="11163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358140</xdr:colOff>
      <xdr:row>17</xdr:row>
      <xdr:rowOff>0</xdr:rowOff>
    </xdr:from>
    <xdr:to>
      <xdr:col>14</xdr:col>
      <xdr:colOff>1135380</xdr:colOff>
      <xdr:row>27</xdr:row>
      <xdr:rowOff>41910</xdr:rowOff>
    </xdr:to>
    <xdr:graphicFrame macro="">
      <xdr:nvGraphicFramePr>
        <xdr:cNvPr id="9" name="Chart 8">
          <a:extLst>
            <a:ext uri="{FF2B5EF4-FFF2-40B4-BE49-F238E27FC236}">
              <a16:creationId xmlns:a16="http://schemas.microsoft.com/office/drawing/2014/main" id="{EB9B7659-8364-44F5-C903-76545ABDE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784860</xdr:colOff>
      <xdr:row>43</xdr:row>
      <xdr:rowOff>45720</xdr:rowOff>
    </xdr:from>
    <xdr:to>
      <xdr:col>3</xdr:col>
      <xdr:colOff>60960</xdr:colOff>
      <xdr:row>53</xdr:row>
      <xdr:rowOff>45720</xdr:rowOff>
    </xdr:to>
    <xdr:graphicFrame macro="">
      <xdr:nvGraphicFramePr>
        <xdr:cNvPr id="16" name="Chart 15">
          <a:extLst>
            <a:ext uri="{FF2B5EF4-FFF2-40B4-BE49-F238E27FC236}">
              <a16:creationId xmlns:a16="http://schemas.microsoft.com/office/drawing/2014/main" id="{A963607B-40F5-10B2-1C01-C971D13D8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1280160</xdr:colOff>
      <xdr:row>62</xdr:row>
      <xdr:rowOff>15240</xdr:rowOff>
    </xdr:from>
    <xdr:to>
      <xdr:col>11</xdr:col>
      <xdr:colOff>1158240</xdr:colOff>
      <xdr:row>67</xdr:row>
      <xdr:rowOff>99060</xdr:rowOff>
    </xdr:to>
    <xdr:graphicFrame macro="">
      <xdr:nvGraphicFramePr>
        <xdr:cNvPr id="5" name="Chart 4">
          <a:extLst>
            <a:ext uri="{FF2B5EF4-FFF2-40B4-BE49-F238E27FC236}">
              <a16:creationId xmlns:a16="http://schemas.microsoft.com/office/drawing/2014/main" id="{0CA1778B-2ACE-45FE-F093-085A2B743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952500</xdr:colOff>
      <xdr:row>86</xdr:row>
      <xdr:rowOff>22860</xdr:rowOff>
    </xdr:from>
    <xdr:to>
      <xdr:col>5</xdr:col>
      <xdr:colOff>883920</xdr:colOff>
      <xdr:row>94</xdr:row>
      <xdr:rowOff>160020</xdr:rowOff>
    </xdr:to>
    <xdr:graphicFrame macro="">
      <xdr:nvGraphicFramePr>
        <xdr:cNvPr id="10" name="Chart 9">
          <a:extLst>
            <a:ext uri="{FF2B5EF4-FFF2-40B4-BE49-F238E27FC236}">
              <a16:creationId xmlns:a16="http://schemas.microsoft.com/office/drawing/2014/main" id="{81979D5D-4C6A-8284-8650-B21A77BEF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213360</xdr:colOff>
      <xdr:row>97</xdr:row>
      <xdr:rowOff>68580</xdr:rowOff>
    </xdr:from>
    <xdr:to>
      <xdr:col>8</xdr:col>
      <xdr:colOff>1828800</xdr:colOff>
      <xdr:row>109</xdr:row>
      <xdr:rowOff>30480</xdr:rowOff>
    </xdr:to>
    <xdr:graphicFrame macro="">
      <xdr:nvGraphicFramePr>
        <xdr:cNvPr id="14" name="Chart 13">
          <a:extLst>
            <a:ext uri="{FF2B5EF4-FFF2-40B4-BE49-F238E27FC236}">
              <a16:creationId xmlns:a16="http://schemas.microsoft.com/office/drawing/2014/main" id="{7BF32B78-30C7-FF9E-106F-1CDA2488B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76200</xdr:colOff>
      <xdr:row>155</xdr:row>
      <xdr:rowOff>144780</xdr:rowOff>
    </xdr:from>
    <xdr:to>
      <xdr:col>4</xdr:col>
      <xdr:colOff>320040</xdr:colOff>
      <xdr:row>166</xdr:row>
      <xdr:rowOff>99060</xdr:rowOff>
    </xdr:to>
    <xdr:graphicFrame macro="">
      <xdr:nvGraphicFramePr>
        <xdr:cNvPr id="3" name="Chart 2">
          <a:extLst>
            <a:ext uri="{FF2B5EF4-FFF2-40B4-BE49-F238E27FC236}">
              <a16:creationId xmlns:a16="http://schemas.microsoft.com/office/drawing/2014/main" id="{BD24BBA1-8782-E36B-F560-9771C1674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152400</xdr:colOff>
      <xdr:row>187</xdr:row>
      <xdr:rowOff>76200</xdr:rowOff>
    </xdr:from>
    <xdr:to>
      <xdr:col>3</xdr:col>
      <xdr:colOff>1463040</xdr:colOff>
      <xdr:row>197</xdr:row>
      <xdr:rowOff>144780</xdr:rowOff>
    </xdr:to>
    <xdr:graphicFrame macro="">
      <xdr:nvGraphicFramePr>
        <xdr:cNvPr id="4" name="Chart 3">
          <a:extLst>
            <a:ext uri="{FF2B5EF4-FFF2-40B4-BE49-F238E27FC236}">
              <a16:creationId xmlns:a16="http://schemas.microsoft.com/office/drawing/2014/main" id="{CF544423-B76C-DDD8-9D9E-18D35B804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769620</xdr:colOff>
      <xdr:row>214</xdr:row>
      <xdr:rowOff>80010</xdr:rowOff>
    </xdr:from>
    <xdr:to>
      <xdr:col>5</xdr:col>
      <xdr:colOff>457200</xdr:colOff>
      <xdr:row>226</xdr:row>
      <xdr:rowOff>121920</xdr:rowOff>
    </xdr:to>
    <xdr:graphicFrame macro="">
      <xdr:nvGraphicFramePr>
        <xdr:cNvPr id="6" name="Chart 5">
          <a:extLst>
            <a:ext uri="{FF2B5EF4-FFF2-40B4-BE49-F238E27FC236}">
              <a16:creationId xmlns:a16="http://schemas.microsoft.com/office/drawing/2014/main" id="{BF9740A5-961C-46C9-133D-19D25145F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266700</xdr:colOff>
      <xdr:row>230</xdr:row>
      <xdr:rowOff>30480</xdr:rowOff>
    </xdr:from>
    <xdr:to>
      <xdr:col>11</xdr:col>
      <xdr:colOff>236220</xdr:colOff>
      <xdr:row>243</xdr:row>
      <xdr:rowOff>15240</xdr:rowOff>
    </xdr:to>
    <xdr:graphicFrame macro="">
      <xdr:nvGraphicFramePr>
        <xdr:cNvPr id="7" name="Chart 6">
          <a:extLst>
            <a:ext uri="{FF2B5EF4-FFF2-40B4-BE49-F238E27FC236}">
              <a16:creationId xmlns:a16="http://schemas.microsoft.com/office/drawing/2014/main" id="{A1A20788-2B7A-B94F-EE2D-91F1C49E4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260</xdr:row>
      <xdr:rowOff>129540</xdr:rowOff>
    </xdr:from>
    <xdr:to>
      <xdr:col>3</xdr:col>
      <xdr:colOff>30480</xdr:colOff>
      <xdr:row>270</xdr:row>
      <xdr:rowOff>144780</xdr:rowOff>
    </xdr:to>
    <xdr:graphicFrame macro="">
      <xdr:nvGraphicFramePr>
        <xdr:cNvPr id="11" name="Chart 10">
          <a:extLst>
            <a:ext uri="{FF2B5EF4-FFF2-40B4-BE49-F238E27FC236}">
              <a16:creationId xmlns:a16="http://schemas.microsoft.com/office/drawing/2014/main" id="{F109547E-319B-3054-AECA-CB94736C3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114300</xdr:colOff>
      <xdr:row>276</xdr:row>
      <xdr:rowOff>45720</xdr:rowOff>
    </xdr:from>
    <xdr:to>
      <xdr:col>3</xdr:col>
      <xdr:colOff>259080</xdr:colOff>
      <xdr:row>288</xdr:row>
      <xdr:rowOff>137160</xdr:rowOff>
    </xdr:to>
    <xdr:graphicFrame macro="">
      <xdr:nvGraphicFramePr>
        <xdr:cNvPr id="12" name="Chart 11">
          <a:extLst>
            <a:ext uri="{FF2B5EF4-FFF2-40B4-BE49-F238E27FC236}">
              <a16:creationId xmlns:a16="http://schemas.microsoft.com/office/drawing/2014/main" id="{2D82FEE9-3805-AF9C-B449-232F145AB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662940</xdr:colOff>
      <xdr:row>275</xdr:row>
      <xdr:rowOff>129540</xdr:rowOff>
    </xdr:from>
    <xdr:to>
      <xdr:col>14</xdr:col>
      <xdr:colOff>83820</xdr:colOff>
      <xdr:row>288</xdr:row>
      <xdr:rowOff>72390</xdr:rowOff>
    </xdr:to>
    <xdr:graphicFrame macro="">
      <xdr:nvGraphicFramePr>
        <xdr:cNvPr id="13" name="Chart 12">
          <a:extLst>
            <a:ext uri="{FF2B5EF4-FFF2-40B4-BE49-F238E27FC236}">
              <a16:creationId xmlns:a16="http://schemas.microsoft.com/office/drawing/2014/main" id="{AD11E0F1-A42F-29D6-5750-2AA087611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541020</xdr:colOff>
      <xdr:row>304</xdr:row>
      <xdr:rowOff>41910</xdr:rowOff>
    </xdr:from>
    <xdr:to>
      <xdr:col>5</xdr:col>
      <xdr:colOff>106680</xdr:colOff>
      <xdr:row>317</xdr:row>
      <xdr:rowOff>144780</xdr:rowOff>
    </xdr:to>
    <xdr:graphicFrame macro="">
      <xdr:nvGraphicFramePr>
        <xdr:cNvPr id="15" name="Chart 14">
          <a:extLst>
            <a:ext uri="{FF2B5EF4-FFF2-40B4-BE49-F238E27FC236}">
              <a16:creationId xmlns:a16="http://schemas.microsoft.com/office/drawing/2014/main" id="{EFC19C53-07A2-CEF1-FD49-313C54C68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1059180</xdr:colOff>
      <xdr:row>306</xdr:row>
      <xdr:rowOff>72390</xdr:rowOff>
    </xdr:from>
    <xdr:to>
      <xdr:col>12</xdr:col>
      <xdr:colOff>1264920</xdr:colOff>
      <xdr:row>317</xdr:row>
      <xdr:rowOff>91440</xdr:rowOff>
    </xdr:to>
    <xdr:graphicFrame macro="">
      <xdr:nvGraphicFramePr>
        <xdr:cNvPr id="18" name="Chart 17">
          <a:extLst>
            <a:ext uri="{FF2B5EF4-FFF2-40B4-BE49-F238E27FC236}">
              <a16:creationId xmlns:a16="http://schemas.microsoft.com/office/drawing/2014/main" id="{92758D19-726A-BFF3-82C2-EFDAC2897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1203960</xdr:colOff>
      <xdr:row>337</xdr:row>
      <xdr:rowOff>121920</xdr:rowOff>
    </xdr:from>
    <xdr:to>
      <xdr:col>6</xdr:col>
      <xdr:colOff>685800</xdr:colOff>
      <xdr:row>355</xdr:row>
      <xdr:rowOff>19050</xdr:rowOff>
    </xdr:to>
    <xdr:graphicFrame macro="">
      <xdr:nvGraphicFramePr>
        <xdr:cNvPr id="20" name="Chart 19">
          <a:extLst>
            <a:ext uri="{FF2B5EF4-FFF2-40B4-BE49-F238E27FC236}">
              <a16:creationId xmlns:a16="http://schemas.microsoft.com/office/drawing/2014/main" id="{6C92198C-C977-CE7C-D9BB-A8DCF7850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350520</xdr:colOff>
      <xdr:row>0</xdr:row>
      <xdr:rowOff>45720</xdr:rowOff>
    </xdr:from>
    <xdr:to>
      <xdr:col>23</xdr:col>
      <xdr:colOff>388620</xdr:colOff>
      <xdr:row>36</xdr:row>
      <xdr:rowOff>83820</xdr:rowOff>
    </xdr:to>
    <xdr:sp macro="" textlink="">
      <xdr:nvSpPr>
        <xdr:cNvPr id="2" name="TextBox 1">
          <a:extLst>
            <a:ext uri="{FF2B5EF4-FFF2-40B4-BE49-F238E27FC236}">
              <a16:creationId xmlns:a16="http://schemas.microsoft.com/office/drawing/2014/main" id="{6A21530A-5396-0723-6987-1F0DBBF20B33}"/>
            </a:ext>
          </a:extLst>
        </xdr:cNvPr>
        <xdr:cNvSpPr txBox="1"/>
      </xdr:nvSpPr>
      <xdr:spPr>
        <a:xfrm>
          <a:off x="10104120" y="45720"/>
          <a:ext cx="4305300" cy="6080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ysClr val="windowText" lastClr="000000"/>
              </a:solidFill>
              <a:latin typeface="Lucida Console" panose="020B0609040504020204" pitchFamily="49" charset="0"/>
            </a:rPr>
            <a:t>RESEARCH QUESTION 1:</a:t>
          </a:r>
        </a:p>
        <a:p>
          <a:r>
            <a:rPr lang="en-US" sz="1050" b="0">
              <a:latin typeface="Lucida Console" panose="020B0609040504020204" pitchFamily="49" charset="0"/>
            </a:rPr>
            <a:t>How are the fintech product features performing ?</a:t>
          </a:r>
        </a:p>
        <a:p>
          <a:endParaRPr lang="en-US" sz="1050" b="0"/>
        </a:p>
        <a:p>
          <a:r>
            <a:rPr lang="en-US" sz="1000" b="1"/>
            <a:t>🔴 1. Credit Builder — Critical Underperformance</a:t>
          </a:r>
        </a:p>
        <a:p>
          <a:pPr lvl="0"/>
          <a:r>
            <a:rPr lang="en-US" sz="1000" b="1"/>
            <a:t>€93.86 revenue</a:t>
          </a:r>
          <a:r>
            <a:rPr lang="en-US" sz="1000"/>
            <a:t> ------Moderate</a:t>
          </a:r>
        </a:p>
        <a:p>
          <a:pPr lvl="0"/>
          <a:r>
            <a:rPr lang="en-US" sz="1000"/>
            <a:t>Lowest transaction success: </a:t>
          </a:r>
          <a:r>
            <a:rPr lang="en-US" sz="1000" b="1"/>
            <a:t>31.96%</a:t>
          </a:r>
          <a:r>
            <a:rPr lang="en-US" sz="1000"/>
            <a:t> </a:t>
          </a:r>
        </a:p>
        <a:p>
          <a:pPr lvl="0"/>
          <a:r>
            <a:rPr lang="en-US" sz="1000"/>
            <a:t>Highest error rate: </a:t>
          </a:r>
          <a:r>
            <a:rPr lang="en-US" sz="1000" b="1"/>
            <a:t>28.87%</a:t>
          </a:r>
          <a:r>
            <a:rPr lang="en-US" sz="1000"/>
            <a:t> </a:t>
          </a:r>
        </a:p>
        <a:p>
          <a:pPr lvl="0"/>
          <a:r>
            <a:rPr lang="en-US" sz="1000"/>
            <a:t>Lowest retention: </a:t>
          </a:r>
          <a:r>
            <a:rPr lang="en-US" sz="1000" b="1"/>
            <a:t>47.37%</a:t>
          </a:r>
          <a:r>
            <a:rPr lang="en-US" sz="1000"/>
            <a:t> </a:t>
          </a:r>
        </a:p>
        <a:p>
          <a:pPr lvl="0"/>
          <a:r>
            <a:rPr lang="en-US" sz="1000"/>
            <a:t>Lowest satisfaction: </a:t>
          </a:r>
          <a:r>
            <a:rPr lang="en-US" sz="1000" b="1"/>
            <a:t>2.84/5</a:t>
          </a:r>
          <a:r>
            <a:rPr lang="en-US" sz="1000"/>
            <a:t> </a:t>
          </a:r>
        </a:p>
        <a:p>
          <a:pPr lvl="0"/>
          <a:r>
            <a:rPr lang="en-US" sz="1000" b="1"/>
            <a:t>Priority: Fix/improve</a:t>
          </a:r>
          <a:r>
            <a:rPr lang="en-US" sz="1000"/>
            <a:t> </a:t>
          </a:r>
        </a:p>
        <a:p>
          <a:r>
            <a:rPr lang="en-US" sz="1000" b="1"/>
            <a:t>🟠 2. International Transfer — High Revenue, Poor</a:t>
          </a:r>
          <a:r>
            <a:rPr lang="en-US" sz="1000" b="1" baseline="0"/>
            <a:t> User </a:t>
          </a:r>
          <a:r>
            <a:rPr lang="en-US" sz="1000" b="1"/>
            <a:t> Experience</a:t>
          </a:r>
        </a:p>
        <a:p>
          <a:pPr lvl="0"/>
          <a:r>
            <a:rPr lang="en-US" sz="1000" b="1"/>
            <a:t>€169.54 revenue — highest</a:t>
          </a:r>
          <a:r>
            <a:rPr lang="en-US" sz="1000"/>
            <a:t> </a:t>
          </a:r>
        </a:p>
        <a:p>
          <a:pPr lvl="0"/>
          <a:r>
            <a:rPr lang="en-US" sz="1000"/>
            <a:t>Transaction success: </a:t>
          </a:r>
          <a:r>
            <a:rPr lang="en-US" sz="1000" b="1"/>
            <a:t>44.83%</a:t>
          </a:r>
          <a:r>
            <a:rPr lang="en-US" sz="1000"/>
            <a:t> </a:t>
          </a:r>
        </a:p>
        <a:p>
          <a:pPr lvl="0"/>
          <a:r>
            <a:rPr lang="en-US" sz="1000"/>
            <a:t>Error rate: </a:t>
          </a:r>
          <a:r>
            <a:rPr lang="en-US" sz="1000" b="1"/>
            <a:t>24.66%</a:t>
          </a:r>
          <a:r>
            <a:rPr lang="en-US" sz="1000"/>
            <a:t> </a:t>
          </a:r>
        </a:p>
        <a:p>
          <a:pPr lvl="0"/>
          <a:r>
            <a:rPr lang="en-US" sz="1000"/>
            <a:t>Retention: </a:t>
          </a:r>
          <a:r>
            <a:rPr lang="en-US" sz="1000" b="1"/>
            <a:t>52.05%</a:t>
          </a:r>
          <a:r>
            <a:rPr lang="en-US" sz="1000"/>
            <a:t> </a:t>
          </a:r>
        </a:p>
        <a:p>
          <a:pPr lvl="0"/>
          <a:r>
            <a:rPr lang="en-US" sz="1000"/>
            <a:t>Satisfaction: </a:t>
          </a:r>
          <a:r>
            <a:rPr lang="en-US" sz="1000" b="1"/>
            <a:t>3.08/5</a:t>
          </a:r>
          <a:r>
            <a:rPr lang="en-US" sz="1000"/>
            <a:t> </a:t>
          </a:r>
        </a:p>
        <a:p>
          <a:pPr lvl="0"/>
          <a:r>
            <a:rPr lang="en-US" sz="1000" b="1"/>
            <a:t>Priority: Optimize while protecting revenue</a:t>
          </a:r>
          <a:r>
            <a:rPr lang="en-US" sz="1000"/>
            <a:t> </a:t>
          </a:r>
        </a:p>
        <a:p>
          <a:r>
            <a:rPr lang="en-US" sz="1000" b="1"/>
            <a:t>🟢 3. Cashback Rewards — Low Adoption, Strong Performance</a:t>
          </a:r>
        </a:p>
        <a:p>
          <a:r>
            <a:rPr lang="en-US" sz="1000" b="1"/>
            <a:t>€5.40 revenue</a:t>
          </a:r>
          <a:r>
            <a:rPr lang="en-US" sz="1000"/>
            <a:t> </a:t>
          </a:r>
        </a:p>
        <a:p>
          <a:pPr lvl="0"/>
          <a:r>
            <a:rPr lang="en-US" sz="1000" b="1"/>
            <a:t>89 interactions — lowest</a:t>
          </a:r>
          <a:r>
            <a:rPr lang="en-US" sz="1000"/>
            <a:t> </a:t>
          </a:r>
        </a:p>
        <a:p>
          <a:pPr lvl="0"/>
          <a:r>
            <a:rPr lang="en-US" sz="1000"/>
            <a:t>Retention: </a:t>
          </a:r>
          <a:r>
            <a:rPr lang="en-US" sz="1000" b="1"/>
            <a:t>78.65% — highest</a:t>
          </a:r>
          <a:r>
            <a:rPr lang="en-US" sz="1000"/>
            <a:t> </a:t>
          </a:r>
        </a:p>
        <a:p>
          <a:pPr lvl="0"/>
          <a:r>
            <a:rPr lang="en-US" sz="1000"/>
            <a:t>Satisfaction: </a:t>
          </a:r>
          <a:r>
            <a:rPr lang="en-US" sz="1000" b="1"/>
            <a:t>3.97/5</a:t>
          </a:r>
          <a:r>
            <a:rPr lang="en-US" sz="1000"/>
            <a:t> </a:t>
          </a:r>
        </a:p>
        <a:p>
          <a:pPr lvl="0"/>
          <a:r>
            <a:rPr lang="en-US" sz="1000"/>
            <a:t>Transaction success: </a:t>
          </a:r>
          <a:r>
            <a:rPr lang="en-US" sz="1000" b="1"/>
            <a:t>74.16%</a:t>
          </a:r>
          <a:r>
            <a:rPr lang="en-US" sz="1000"/>
            <a:t> </a:t>
          </a:r>
        </a:p>
        <a:p>
          <a:pPr lvl="0"/>
          <a:r>
            <a:rPr lang="en-US" sz="1000" b="1"/>
            <a:t>Priority: Increase adoption</a:t>
          </a:r>
          <a:r>
            <a:rPr lang="en-US" sz="1000"/>
            <a:t> </a:t>
          </a:r>
        </a:p>
        <a:p>
          <a:r>
            <a:rPr lang="en-US" sz="1000" b="1"/>
            <a:t>🟢 4. Direct Debit Manager — Benchmark / Best Overall Experience</a:t>
          </a:r>
        </a:p>
        <a:p>
          <a:pPr lvl="0"/>
          <a:r>
            <a:rPr lang="en-US" sz="1000" b="1"/>
            <a:t>€6.59 revenue</a:t>
          </a:r>
          <a:r>
            <a:rPr lang="en-US" sz="1000"/>
            <a:t> -----Low</a:t>
          </a:r>
        </a:p>
        <a:p>
          <a:pPr lvl="0"/>
          <a:r>
            <a:rPr lang="en-US" sz="1000"/>
            <a:t>Transaction success: </a:t>
          </a:r>
          <a:r>
            <a:rPr lang="en-US" sz="1000" b="1"/>
            <a:t>80.20%</a:t>
          </a:r>
          <a:r>
            <a:rPr lang="en-US" sz="1000"/>
            <a:t> </a:t>
          </a:r>
        </a:p>
        <a:p>
          <a:pPr lvl="0"/>
          <a:r>
            <a:rPr lang="en-US" sz="1000"/>
            <a:t>Error rate: </a:t>
          </a:r>
          <a:r>
            <a:rPr lang="en-US" sz="1000" b="1"/>
            <a:t>9.90% — lowest</a:t>
          </a:r>
          <a:r>
            <a:rPr lang="en-US" sz="1000"/>
            <a:t> </a:t>
          </a:r>
        </a:p>
        <a:p>
          <a:pPr lvl="0"/>
          <a:r>
            <a:rPr lang="en-US" sz="1000"/>
            <a:t>Retention: </a:t>
          </a:r>
          <a:r>
            <a:rPr lang="en-US" sz="1000" b="1"/>
            <a:t>72.16%</a:t>
          </a:r>
          <a:r>
            <a:rPr lang="en-US" sz="1000"/>
            <a:t> </a:t>
          </a:r>
        </a:p>
        <a:p>
          <a:pPr lvl="0"/>
          <a:r>
            <a:rPr lang="en-US" sz="1000"/>
            <a:t>Satisfaction: </a:t>
          </a:r>
          <a:r>
            <a:rPr lang="en-US" sz="1000" b="1"/>
            <a:t>4.07/5 — highest</a:t>
          </a:r>
          <a:r>
            <a:rPr lang="en-US" sz="1000"/>
            <a:t> </a:t>
          </a:r>
        </a:p>
        <a:p>
          <a:pPr lvl="0"/>
          <a:r>
            <a:rPr lang="en-US" sz="1000" b="1"/>
            <a:t>Priority: Identify and replicate successful practices</a:t>
          </a:r>
        </a:p>
        <a:p>
          <a:pPr lvl="0"/>
          <a:endParaRPr lang="en-US" sz="1000" b="1"/>
        </a:p>
        <a:p>
          <a:pPr marL="0" marR="0" lvl="0" indent="0" defTabSz="914400" eaLnBrk="1" fontAlgn="auto" latinLnBrk="0" hangingPunct="1">
            <a:lnSpc>
              <a:spcPct val="100000"/>
            </a:lnSpc>
            <a:spcBef>
              <a:spcPts val="0"/>
            </a:spcBef>
            <a:spcAft>
              <a:spcPts val="0"/>
            </a:spcAft>
            <a:buClrTx/>
            <a:buSzTx/>
            <a:buFontTx/>
            <a:buNone/>
            <a:tabLst/>
            <a:defRPr/>
          </a:pPr>
          <a:r>
            <a:rPr lang="en-US" sz="1050"/>
            <a:t>Overall, fintech feature performance is </a:t>
          </a:r>
          <a:r>
            <a:rPr lang="en-US" sz="1050" b="1"/>
            <a:t>uneven</a:t>
          </a:r>
          <a:r>
            <a:rPr lang="en-US" sz="1050"/>
            <a:t>, with some features showing strong engagement, transaction success, retention, and satisfaction, while others experience high errors and low user success. </a:t>
          </a:r>
          <a:r>
            <a:rPr lang="en-US" sz="1050" b="1"/>
            <a:t>Credit Builder and International Transfer </a:t>
          </a:r>
          <a:r>
            <a:rPr lang="en-US" sz="1050" b="0"/>
            <a:t>require improvement, while features such as </a:t>
          </a:r>
          <a:r>
            <a:rPr lang="en-US" sz="1050" b="1"/>
            <a:t>Direct Debit Manager, Instant Bank Transfer, and Cashback Rewards </a:t>
          </a:r>
          <a:r>
            <a:rPr lang="en-US" sz="1050" b="0"/>
            <a:t>demonstrate stronger performance</a:t>
          </a:r>
          <a:r>
            <a:rPr lang="en-US" sz="1000" b="0"/>
            <a:t>.</a:t>
          </a:r>
        </a:p>
        <a:p>
          <a:pPr lvl="0"/>
          <a:endParaRPr lang="en-US" sz="1000" b="1"/>
        </a:p>
        <a:p>
          <a:endParaRPr lang="en-US"/>
        </a:p>
        <a:p>
          <a:endParaRPr lang="en-US" sz="1100" baseline="0"/>
        </a:p>
      </xdr:txBody>
    </xdr:sp>
    <xdr:clientData/>
  </xdr:twoCellAnchor>
  <xdr:twoCellAnchor>
    <xdr:from>
      <xdr:col>0</xdr:col>
      <xdr:colOff>106680</xdr:colOff>
      <xdr:row>22</xdr:row>
      <xdr:rowOff>42867</xdr:rowOff>
    </xdr:from>
    <xdr:to>
      <xdr:col>5</xdr:col>
      <xdr:colOff>434340</xdr:colOff>
      <xdr:row>36</xdr:row>
      <xdr:rowOff>53340</xdr:rowOff>
    </xdr:to>
    <xdr:grpSp>
      <xdr:nvGrpSpPr>
        <xdr:cNvPr id="37" name="Group 36">
          <a:extLst>
            <a:ext uri="{FF2B5EF4-FFF2-40B4-BE49-F238E27FC236}">
              <a16:creationId xmlns:a16="http://schemas.microsoft.com/office/drawing/2014/main" id="{BFF303B0-AFCD-DA24-DAC6-D24D83F58583}"/>
            </a:ext>
          </a:extLst>
        </xdr:cNvPr>
        <xdr:cNvGrpSpPr/>
      </xdr:nvGrpSpPr>
      <xdr:grpSpPr>
        <a:xfrm>
          <a:off x="106680" y="3738567"/>
          <a:ext cx="3375660" cy="2357433"/>
          <a:chOff x="106680" y="3738567"/>
          <a:chExt cx="3459480" cy="2357433"/>
        </a:xfrm>
      </xdr:grpSpPr>
      <xdr:sp macro="" textlink="">
        <xdr:nvSpPr>
          <xdr:cNvPr id="3" name="Rectangle: Top Corners Rounded 2">
            <a:extLst>
              <a:ext uri="{FF2B5EF4-FFF2-40B4-BE49-F238E27FC236}">
                <a16:creationId xmlns:a16="http://schemas.microsoft.com/office/drawing/2014/main" id="{2BF6B8EC-3E77-1459-EB33-DA2187DBC1BE}"/>
              </a:ext>
            </a:extLst>
          </xdr:cNvPr>
          <xdr:cNvSpPr/>
        </xdr:nvSpPr>
        <xdr:spPr>
          <a:xfrm>
            <a:off x="106680" y="3738567"/>
            <a:ext cx="3459480" cy="2357433"/>
          </a:xfrm>
          <a:prstGeom prst="round2SameRect">
            <a:avLst>
              <a:gd name="adj1" fmla="val 11353"/>
              <a:gd name="adj2" fmla="val 0"/>
            </a:avLst>
          </a:prstGeom>
          <a:solidFill>
            <a:srgbClr val="4047FF">
              <a:alpha val="0"/>
            </a:srgb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FA33F3C5-9536-4A19-A68D-B53DE6DF3F6F}"/>
              </a:ext>
            </a:extLst>
          </xdr:cNvPr>
          <xdr:cNvGraphicFramePr>
            <a:graphicFrameLocks/>
          </xdr:cNvGraphicFramePr>
        </xdr:nvGraphicFramePr>
        <xdr:xfrm>
          <a:off x="243305" y="3820917"/>
          <a:ext cx="3185695" cy="2206503"/>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5</xdr:col>
      <xdr:colOff>548640</xdr:colOff>
      <xdr:row>22</xdr:row>
      <xdr:rowOff>76200</xdr:rowOff>
    </xdr:from>
    <xdr:to>
      <xdr:col>11</xdr:col>
      <xdr:colOff>228600</xdr:colOff>
      <xdr:row>36</xdr:row>
      <xdr:rowOff>53340</xdr:rowOff>
    </xdr:to>
    <xdr:grpSp>
      <xdr:nvGrpSpPr>
        <xdr:cNvPr id="38" name="Group 37">
          <a:extLst>
            <a:ext uri="{FF2B5EF4-FFF2-40B4-BE49-F238E27FC236}">
              <a16:creationId xmlns:a16="http://schemas.microsoft.com/office/drawing/2014/main" id="{16DB9667-E0FF-19BA-EEBA-63E47176917D}"/>
            </a:ext>
          </a:extLst>
        </xdr:cNvPr>
        <xdr:cNvGrpSpPr/>
      </xdr:nvGrpSpPr>
      <xdr:grpSpPr>
        <a:xfrm>
          <a:off x="3596640" y="3771900"/>
          <a:ext cx="3337560" cy="2324100"/>
          <a:chOff x="3787140" y="3756660"/>
          <a:chExt cx="3451860" cy="2324100"/>
        </a:xfrm>
      </xdr:grpSpPr>
      <xdr:sp macro="" textlink="">
        <xdr:nvSpPr>
          <xdr:cNvPr id="12" name="Rectangle: Top Corners Rounded 11">
            <a:extLst>
              <a:ext uri="{FF2B5EF4-FFF2-40B4-BE49-F238E27FC236}">
                <a16:creationId xmlns:a16="http://schemas.microsoft.com/office/drawing/2014/main" id="{04AEEA85-DA1E-4678-96E5-128EC19A6627}"/>
              </a:ext>
            </a:extLst>
          </xdr:cNvPr>
          <xdr:cNvSpPr/>
        </xdr:nvSpPr>
        <xdr:spPr>
          <a:xfrm>
            <a:off x="3787140" y="3756660"/>
            <a:ext cx="3451860" cy="2324100"/>
          </a:xfrm>
          <a:prstGeom prst="round2SameRect">
            <a:avLst>
              <a:gd name="adj1" fmla="val 10802"/>
              <a:gd name="adj2" fmla="val 0"/>
            </a:avLst>
          </a:prstGeom>
          <a:solidFill>
            <a:srgbClr val="4047FF">
              <a:alpha val="0"/>
            </a:srgb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860C2531-0B37-41E1-BF9F-5428CBB98BFA}"/>
                  </a:ext>
                </a:extLst>
              </xdr:cNvPr>
              <xdr:cNvGraphicFramePr/>
            </xdr:nvGraphicFramePr>
            <xdr:xfrm>
              <a:off x="3802381" y="3817620"/>
              <a:ext cx="3307079" cy="217932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802381" y="3817620"/>
                <a:ext cx="3307079" cy="2179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11</xdr:col>
      <xdr:colOff>281940</xdr:colOff>
      <xdr:row>22</xdr:row>
      <xdr:rowOff>76200</xdr:rowOff>
    </xdr:from>
    <xdr:to>
      <xdr:col>16</xdr:col>
      <xdr:colOff>327660</xdr:colOff>
      <xdr:row>36</xdr:row>
      <xdr:rowOff>83820</xdr:rowOff>
    </xdr:to>
    <xdr:grpSp>
      <xdr:nvGrpSpPr>
        <xdr:cNvPr id="39" name="Group 38">
          <a:extLst>
            <a:ext uri="{FF2B5EF4-FFF2-40B4-BE49-F238E27FC236}">
              <a16:creationId xmlns:a16="http://schemas.microsoft.com/office/drawing/2014/main" id="{77A701B2-A18F-E550-C137-A832234E04C2}"/>
            </a:ext>
          </a:extLst>
        </xdr:cNvPr>
        <xdr:cNvGrpSpPr/>
      </xdr:nvGrpSpPr>
      <xdr:grpSpPr>
        <a:xfrm>
          <a:off x="6987540" y="3771900"/>
          <a:ext cx="3093720" cy="2354580"/>
          <a:chOff x="7284720" y="3741420"/>
          <a:chExt cx="3246120" cy="2331720"/>
        </a:xfrm>
      </xdr:grpSpPr>
      <xdr:sp macro="" textlink="">
        <xdr:nvSpPr>
          <xdr:cNvPr id="6" name="Rectangle: Top Corners Rounded 5">
            <a:extLst>
              <a:ext uri="{FF2B5EF4-FFF2-40B4-BE49-F238E27FC236}">
                <a16:creationId xmlns:a16="http://schemas.microsoft.com/office/drawing/2014/main" id="{86321D98-0FBC-4B69-9AC5-285ECEED155A}"/>
              </a:ext>
            </a:extLst>
          </xdr:cNvPr>
          <xdr:cNvSpPr/>
        </xdr:nvSpPr>
        <xdr:spPr>
          <a:xfrm>
            <a:off x="7284720" y="3741420"/>
            <a:ext cx="3246120" cy="2331720"/>
          </a:xfrm>
          <a:prstGeom prst="round2SameRect">
            <a:avLst>
              <a:gd name="adj1" fmla="val 10308"/>
              <a:gd name="adj2" fmla="val 0"/>
            </a:avLst>
          </a:prstGeom>
          <a:solidFill>
            <a:srgbClr val="4047FF">
              <a:alpha val="0"/>
            </a:srgb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9" name="Chart 18">
            <a:extLst>
              <a:ext uri="{FF2B5EF4-FFF2-40B4-BE49-F238E27FC236}">
                <a16:creationId xmlns:a16="http://schemas.microsoft.com/office/drawing/2014/main" id="{D64E0CD6-4ACC-4420-BCD2-BAD8E3E6D6C8}"/>
              </a:ext>
            </a:extLst>
          </xdr:cNvPr>
          <xdr:cNvGraphicFramePr>
            <a:graphicFrameLocks/>
          </xdr:cNvGraphicFramePr>
        </xdr:nvGraphicFramePr>
        <xdr:xfrm>
          <a:off x="7360921" y="3855719"/>
          <a:ext cx="3055620" cy="216408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0</xdr:col>
      <xdr:colOff>184039</xdr:colOff>
      <xdr:row>9</xdr:row>
      <xdr:rowOff>114300</xdr:rowOff>
    </xdr:from>
    <xdr:to>
      <xdr:col>16</xdr:col>
      <xdr:colOff>297180</xdr:colOff>
      <xdr:row>21</xdr:row>
      <xdr:rowOff>101600</xdr:rowOff>
    </xdr:to>
    <xdr:pic>
      <xdr:nvPicPr>
        <xdr:cNvPr id="20" name="Picture 19">
          <a:extLst>
            <a:ext uri="{FF2B5EF4-FFF2-40B4-BE49-F238E27FC236}">
              <a16:creationId xmlns:a16="http://schemas.microsoft.com/office/drawing/2014/main" id="{441B2C34-CC3B-4CCE-86CB-CC2B30272E5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4039" y="1630680"/>
          <a:ext cx="9866741" cy="1998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502920</xdr:colOff>
      <xdr:row>4</xdr:row>
      <xdr:rowOff>22860</xdr:rowOff>
    </xdr:from>
    <xdr:to>
      <xdr:col>10</xdr:col>
      <xdr:colOff>68580</xdr:colOff>
      <xdr:row>9</xdr:row>
      <xdr:rowOff>60960</xdr:rowOff>
    </xdr:to>
    <xdr:sp macro="" textlink="">
      <xdr:nvSpPr>
        <xdr:cNvPr id="23" name="Rectangle: Rounded Corners 22">
          <a:extLst>
            <a:ext uri="{FF2B5EF4-FFF2-40B4-BE49-F238E27FC236}">
              <a16:creationId xmlns:a16="http://schemas.microsoft.com/office/drawing/2014/main" id="{52C50CD4-BE61-4213-AD95-9BFB75A27ECC}"/>
            </a:ext>
          </a:extLst>
        </xdr:cNvPr>
        <xdr:cNvSpPr/>
      </xdr:nvSpPr>
      <xdr:spPr>
        <a:xfrm>
          <a:off x="4160520" y="693420"/>
          <a:ext cx="2004060" cy="883920"/>
        </a:xfrm>
        <a:prstGeom prst="roundRect">
          <a:avLst/>
        </a:prstGeom>
        <a:solidFill>
          <a:srgbClr val="004A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latin typeface="Lucida Console" panose="020B0609040504020204" pitchFamily="49" charset="0"/>
            </a:rPr>
            <a:t>Transaction</a:t>
          </a:r>
          <a:r>
            <a:rPr lang="en-US" sz="1300" b="1" baseline="0">
              <a:latin typeface="Lucida Console" panose="020B0609040504020204" pitchFamily="49" charset="0"/>
            </a:rPr>
            <a:t> Success Rate</a:t>
          </a:r>
        </a:p>
        <a:p>
          <a:pPr algn="ctr"/>
          <a:endParaRPr lang="en-US" sz="1300" b="1" baseline="0">
            <a:latin typeface="Lucida Console" panose="020B0609040504020204" pitchFamily="49" charset="0"/>
          </a:endParaRPr>
        </a:p>
        <a:p>
          <a:pPr algn="ctr"/>
          <a:r>
            <a:rPr lang="en-US" sz="1300" b="1" baseline="0">
              <a:latin typeface="Lucida Console" panose="020B0609040504020204" pitchFamily="49" charset="0"/>
            </a:rPr>
            <a:t>63.6%</a:t>
          </a:r>
        </a:p>
        <a:p>
          <a:pPr algn="l"/>
          <a:endParaRPr lang="en-US" sz="1100" baseline="0"/>
        </a:p>
        <a:p>
          <a:pPr algn="l"/>
          <a:endParaRPr lang="en-US" sz="1100"/>
        </a:p>
      </xdr:txBody>
    </xdr:sp>
    <xdr:clientData/>
  </xdr:twoCellAnchor>
  <xdr:twoCellAnchor>
    <xdr:from>
      <xdr:col>0</xdr:col>
      <xdr:colOff>144780</xdr:colOff>
      <xdr:row>0</xdr:row>
      <xdr:rowOff>121920</xdr:rowOff>
    </xdr:from>
    <xdr:to>
      <xdr:col>16</xdr:col>
      <xdr:colOff>228600</xdr:colOff>
      <xdr:row>3</xdr:row>
      <xdr:rowOff>121920</xdr:rowOff>
    </xdr:to>
    <xdr:sp macro="" textlink="">
      <xdr:nvSpPr>
        <xdr:cNvPr id="26" name="Rectangle: Rounded Corners 25">
          <a:extLst>
            <a:ext uri="{FF2B5EF4-FFF2-40B4-BE49-F238E27FC236}">
              <a16:creationId xmlns:a16="http://schemas.microsoft.com/office/drawing/2014/main" id="{225A03D2-B734-4084-AF2F-C0CE1826C640}"/>
            </a:ext>
          </a:extLst>
        </xdr:cNvPr>
        <xdr:cNvSpPr/>
      </xdr:nvSpPr>
      <xdr:spPr>
        <a:xfrm>
          <a:off x="144780" y="121920"/>
          <a:ext cx="9837420" cy="502920"/>
        </a:xfrm>
        <a:prstGeom prst="roundRect">
          <a:avLst/>
        </a:prstGeom>
        <a:solidFill>
          <a:srgbClr val="004A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136313</xdr:colOff>
      <xdr:row>4</xdr:row>
      <xdr:rowOff>16934</xdr:rowOff>
    </xdr:from>
    <xdr:to>
      <xdr:col>3</xdr:col>
      <xdr:colOff>83821</xdr:colOff>
      <xdr:row>9</xdr:row>
      <xdr:rowOff>76200</xdr:rowOff>
    </xdr:to>
    <xdr:grpSp>
      <xdr:nvGrpSpPr>
        <xdr:cNvPr id="34" name="Group 33">
          <a:extLst>
            <a:ext uri="{FF2B5EF4-FFF2-40B4-BE49-F238E27FC236}">
              <a16:creationId xmlns:a16="http://schemas.microsoft.com/office/drawing/2014/main" id="{C76868E8-DDB2-7D7F-9996-24700B88B395}"/>
            </a:ext>
          </a:extLst>
        </xdr:cNvPr>
        <xdr:cNvGrpSpPr/>
      </xdr:nvGrpSpPr>
      <xdr:grpSpPr>
        <a:xfrm>
          <a:off x="136313" y="687494"/>
          <a:ext cx="1776308" cy="905086"/>
          <a:chOff x="296332" y="679874"/>
          <a:chExt cx="1890607" cy="905086"/>
        </a:xfrm>
      </xdr:grpSpPr>
      <xdr:sp macro="" textlink="">
        <xdr:nvSpPr>
          <xdr:cNvPr id="21" name="Rectangle: Rounded Corners 20">
            <a:extLst>
              <a:ext uri="{FF2B5EF4-FFF2-40B4-BE49-F238E27FC236}">
                <a16:creationId xmlns:a16="http://schemas.microsoft.com/office/drawing/2014/main" id="{AD41A751-21EF-B659-ADE6-3D5C9B37DC5D}"/>
              </a:ext>
            </a:extLst>
          </xdr:cNvPr>
          <xdr:cNvSpPr/>
        </xdr:nvSpPr>
        <xdr:spPr>
          <a:xfrm>
            <a:off x="296332" y="679874"/>
            <a:ext cx="1890607" cy="905086"/>
          </a:xfrm>
          <a:prstGeom prst="roundRect">
            <a:avLst/>
          </a:prstGeom>
          <a:solidFill>
            <a:srgbClr val="004A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4A44A2F2-D2DE-02D1-2277-0B52B1C8351D}"/>
              </a:ext>
            </a:extLst>
          </xdr:cNvPr>
          <xdr:cNvSpPr txBox="1"/>
        </xdr:nvSpPr>
        <xdr:spPr>
          <a:xfrm>
            <a:off x="320040" y="716280"/>
            <a:ext cx="1805940" cy="80772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bg1"/>
                </a:solidFill>
                <a:latin typeface="Lucida Console" panose="020B0609040504020204" pitchFamily="49" charset="0"/>
              </a:rPr>
              <a:t>Total Feature Interactions</a:t>
            </a:r>
          </a:p>
          <a:p>
            <a:pPr algn="ctr"/>
            <a:endParaRPr lang="en-US" sz="1300" b="1">
              <a:solidFill>
                <a:schemeClr val="bg1"/>
              </a:solidFill>
              <a:latin typeface="Lucida Console" panose="020B0609040504020204" pitchFamily="49" charset="0"/>
            </a:endParaRPr>
          </a:p>
          <a:p>
            <a:pPr algn="ctr"/>
            <a:r>
              <a:rPr lang="en-US" sz="1300" b="1">
                <a:solidFill>
                  <a:schemeClr val="bg1"/>
                </a:solidFill>
                <a:latin typeface="Lucida Console" panose="020B0609040504020204" pitchFamily="49" charset="0"/>
              </a:rPr>
              <a:t>1420</a:t>
            </a:r>
          </a:p>
        </xdr:txBody>
      </xdr:sp>
    </xdr:grpSp>
    <xdr:clientData/>
  </xdr:twoCellAnchor>
  <xdr:twoCellAnchor>
    <xdr:from>
      <xdr:col>3</xdr:col>
      <xdr:colOff>112606</xdr:colOff>
      <xdr:row>4</xdr:row>
      <xdr:rowOff>13548</xdr:rowOff>
    </xdr:from>
    <xdr:to>
      <xdr:col>6</xdr:col>
      <xdr:colOff>457200</xdr:colOff>
      <xdr:row>9</xdr:row>
      <xdr:rowOff>53340</xdr:rowOff>
    </xdr:to>
    <xdr:grpSp>
      <xdr:nvGrpSpPr>
        <xdr:cNvPr id="35" name="Group 34">
          <a:extLst>
            <a:ext uri="{FF2B5EF4-FFF2-40B4-BE49-F238E27FC236}">
              <a16:creationId xmlns:a16="http://schemas.microsoft.com/office/drawing/2014/main" id="{A41FFF13-EFB6-9A16-1A8F-9AA84598925A}"/>
            </a:ext>
          </a:extLst>
        </xdr:cNvPr>
        <xdr:cNvGrpSpPr/>
      </xdr:nvGrpSpPr>
      <xdr:grpSpPr>
        <a:xfrm>
          <a:off x="1941406" y="684108"/>
          <a:ext cx="2173394" cy="885612"/>
          <a:chOff x="2330026" y="676488"/>
          <a:chExt cx="2150534" cy="916092"/>
        </a:xfrm>
      </xdr:grpSpPr>
      <xdr:sp macro="" textlink="">
        <xdr:nvSpPr>
          <xdr:cNvPr id="22" name="Rectangle: Rounded Corners 21">
            <a:extLst>
              <a:ext uri="{FF2B5EF4-FFF2-40B4-BE49-F238E27FC236}">
                <a16:creationId xmlns:a16="http://schemas.microsoft.com/office/drawing/2014/main" id="{7051B18F-7EA5-4901-92BE-409152A40F24}"/>
              </a:ext>
            </a:extLst>
          </xdr:cNvPr>
          <xdr:cNvSpPr/>
        </xdr:nvSpPr>
        <xdr:spPr>
          <a:xfrm>
            <a:off x="2330026" y="676488"/>
            <a:ext cx="2150534" cy="916092"/>
          </a:xfrm>
          <a:prstGeom prst="roundRect">
            <a:avLst/>
          </a:prstGeom>
          <a:solidFill>
            <a:srgbClr val="004A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74" name="Text Box 2">
            <a:extLst>
              <a:ext uri="{FF2B5EF4-FFF2-40B4-BE49-F238E27FC236}">
                <a16:creationId xmlns:a16="http://schemas.microsoft.com/office/drawing/2014/main" id="{B1D555BB-2B85-910A-6C5D-58FFD3CC9640}"/>
              </a:ext>
            </a:extLst>
          </xdr:cNvPr>
          <xdr:cNvSpPr txBox="1">
            <a:spLocks noChangeArrowheads="1"/>
          </xdr:cNvSpPr>
        </xdr:nvSpPr>
        <xdr:spPr bwMode="auto">
          <a:xfrm>
            <a:off x="2369820" y="731520"/>
            <a:ext cx="2072640" cy="754380"/>
          </a:xfrm>
          <a:prstGeom prst="rect">
            <a:avLst/>
          </a:prstGeom>
          <a:solidFill>
            <a:srgbClr val="FFFFFF">
              <a:alpha val="0"/>
            </a:srgbClr>
          </a:solidFill>
          <a:ln w="9525">
            <a:noFill/>
            <a:miter lim="800000"/>
            <a:headEnd/>
            <a:tailEnd/>
          </a:ln>
        </xdr:spPr>
        <xdr:txBody>
          <a:bodyPr vertOverflow="clip" wrap="square" lIns="36576" tIns="27432" rIns="0" bIns="0" anchor="t" upright="1"/>
          <a:lstStyle/>
          <a:p>
            <a:pPr algn="ctr" rtl="0">
              <a:lnSpc>
                <a:spcPts val="900"/>
              </a:lnSpc>
              <a:defRPr sz="1000"/>
            </a:pPr>
            <a:endParaRPr lang="en-US" sz="1300" b="1" i="0" u="none" strike="noStrike" baseline="0">
              <a:solidFill>
                <a:schemeClr val="bg1"/>
              </a:solidFill>
              <a:latin typeface="Lucida Console" panose="020B0609040504020204" pitchFamily="49" charset="0"/>
              <a:cs typeface="+mn-cs"/>
            </a:endParaRPr>
          </a:p>
          <a:p>
            <a:pPr lvl="0" algn="ctr" rtl="0">
              <a:lnSpc>
                <a:spcPts val="900"/>
              </a:lnSpc>
              <a:defRPr sz="1000"/>
            </a:pPr>
            <a:r>
              <a:rPr lang="en-US" sz="1300" b="1" i="0" u="none" strike="noStrike" baseline="0">
                <a:solidFill>
                  <a:schemeClr val="bg1"/>
                </a:solidFill>
                <a:latin typeface="Lucida Console" panose="020B0609040504020204" pitchFamily="49" charset="0"/>
                <a:cs typeface="+mn-cs"/>
              </a:rPr>
              <a:t>Task Completion Rate</a:t>
            </a:r>
          </a:p>
          <a:p>
            <a:pPr algn="ctr" rtl="0">
              <a:lnSpc>
                <a:spcPts val="900"/>
              </a:lnSpc>
              <a:defRPr sz="1000"/>
            </a:pPr>
            <a:endParaRPr lang="en-US" sz="1300" b="1" i="0" u="none" strike="noStrike" baseline="0">
              <a:solidFill>
                <a:schemeClr val="bg1"/>
              </a:solidFill>
              <a:latin typeface="Lucida Console" panose="020B0609040504020204" pitchFamily="49" charset="0"/>
              <a:cs typeface="+mn-cs"/>
            </a:endParaRPr>
          </a:p>
          <a:p>
            <a:pPr algn="ctr" rtl="0">
              <a:lnSpc>
                <a:spcPts val="900"/>
              </a:lnSpc>
              <a:defRPr sz="1000"/>
            </a:pPr>
            <a:endParaRPr lang="en-US" sz="1300" b="1" i="0" u="none" strike="noStrike" baseline="0">
              <a:solidFill>
                <a:schemeClr val="bg1"/>
              </a:solidFill>
              <a:latin typeface="Lucida Console" panose="020B0609040504020204" pitchFamily="49" charset="0"/>
              <a:cs typeface="+mn-cs"/>
            </a:endParaRPr>
          </a:p>
          <a:p>
            <a:pPr algn="ctr" rtl="0">
              <a:lnSpc>
                <a:spcPts val="900"/>
              </a:lnSpc>
              <a:defRPr sz="1000"/>
            </a:pPr>
            <a:endParaRPr lang="en-US" sz="1300" b="1" i="0" u="none" strike="noStrike" baseline="0">
              <a:solidFill>
                <a:schemeClr val="bg1"/>
              </a:solidFill>
              <a:latin typeface="Lucida Console" panose="020B0609040504020204" pitchFamily="49" charset="0"/>
              <a:cs typeface="+mn-cs"/>
            </a:endParaRPr>
          </a:p>
          <a:p>
            <a:pPr algn="ctr" rtl="0">
              <a:lnSpc>
                <a:spcPts val="900"/>
              </a:lnSpc>
              <a:defRPr sz="1000"/>
            </a:pPr>
            <a:r>
              <a:rPr lang="en-US" sz="1300" b="1" i="0" u="none" strike="noStrike" baseline="0">
                <a:solidFill>
                  <a:schemeClr val="bg1"/>
                </a:solidFill>
                <a:latin typeface="Lucida Console" panose="020B0609040504020204" pitchFamily="49" charset="0"/>
                <a:cs typeface="+mn-cs"/>
              </a:rPr>
              <a:t>65.7%</a:t>
            </a:r>
          </a:p>
        </xdr:txBody>
      </xdr:sp>
    </xdr:grpSp>
    <xdr:clientData/>
  </xdr:twoCellAnchor>
  <xdr:twoCellAnchor>
    <xdr:from>
      <xdr:col>10</xdr:col>
      <xdr:colOff>108372</xdr:colOff>
      <xdr:row>4</xdr:row>
      <xdr:rowOff>15240</xdr:rowOff>
    </xdr:from>
    <xdr:to>
      <xdr:col>13</xdr:col>
      <xdr:colOff>114300</xdr:colOff>
      <xdr:row>9</xdr:row>
      <xdr:rowOff>60960</xdr:rowOff>
    </xdr:to>
    <xdr:grpSp>
      <xdr:nvGrpSpPr>
        <xdr:cNvPr id="36" name="Group 35">
          <a:extLst>
            <a:ext uri="{FF2B5EF4-FFF2-40B4-BE49-F238E27FC236}">
              <a16:creationId xmlns:a16="http://schemas.microsoft.com/office/drawing/2014/main" id="{4B62EB9D-00F4-3A7A-1F45-D8FA2A111290}"/>
            </a:ext>
          </a:extLst>
        </xdr:cNvPr>
        <xdr:cNvGrpSpPr/>
      </xdr:nvGrpSpPr>
      <xdr:grpSpPr>
        <a:xfrm>
          <a:off x="6204372" y="685800"/>
          <a:ext cx="1834728" cy="891540"/>
          <a:chOff x="6791112" y="640080"/>
          <a:chExt cx="1987128" cy="922020"/>
        </a:xfrm>
      </xdr:grpSpPr>
      <xdr:sp macro="" textlink="">
        <xdr:nvSpPr>
          <xdr:cNvPr id="24" name="Rectangle: Rounded Corners 23">
            <a:extLst>
              <a:ext uri="{FF2B5EF4-FFF2-40B4-BE49-F238E27FC236}">
                <a16:creationId xmlns:a16="http://schemas.microsoft.com/office/drawing/2014/main" id="{58ED5045-4887-4973-854A-DFA90E4725C4}"/>
              </a:ext>
            </a:extLst>
          </xdr:cNvPr>
          <xdr:cNvSpPr/>
        </xdr:nvSpPr>
        <xdr:spPr>
          <a:xfrm>
            <a:off x="6791112" y="640080"/>
            <a:ext cx="1987128" cy="922020"/>
          </a:xfrm>
          <a:prstGeom prst="roundRect">
            <a:avLst/>
          </a:prstGeom>
          <a:solidFill>
            <a:srgbClr val="004A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Rounded Corners 29">
            <a:extLst>
              <a:ext uri="{FF2B5EF4-FFF2-40B4-BE49-F238E27FC236}">
                <a16:creationId xmlns:a16="http://schemas.microsoft.com/office/drawing/2014/main" id="{75595C0D-8493-4D26-AE0D-0C7336D3DFF6}"/>
              </a:ext>
            </a:extLst>
          </xdr:cNvPr>
          <xdr:cNvSpPr/>
        </xdr:nvSpPr>
        <xdr:spPr>
          <a:xfrm>
            <a:off x="6987540" y="685801"/>
            <a:ext cx="1684020" cy="845819"/>
          </a:xfrm>
          <a:prstGeom prst="roundRect">
            <a:avLst/>
          </a:prstGeom>
          <a:solidFill>
            <a:srgbClr val="004A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latin typeface="Lucida Console" panose="020B0609040504020204" pitchFamily="49" charset="0"/>
              </a:rPr>
              <a:t>Error Rate</a:t>
            </a:r>
          </a:p>
          <a:p>
            <a:pPr algn="ctr"/>
            <a:endParaRPr lang="en-US" sz="1300" b="1">
              <a:latin typeface="Lucida Console" panose="020B0609040504020204" pitchFamily="49" charset="0"/>
            </a:endParaRPr>
          </a:p>
          <a:p>
            <a:pPr algn="ctr"/>
            <a:r>
              <a:rPr lang="en-US" sz="1300" b="1">
                <a:latin typeface="Lucida Console" panose="020B0609040504020204" pitchFamily="49" charset="0"/>
              </a:rPr>
              <a:t>18.3%</a:t>
            </a:r>
          </a:p>
        </xdr:txBody>
      </xdr:sp>
    </xdr:grpSp>
    <xdr:clientData/>
  </xdr:twoCellAnchor>
  <xdr:twoCellAnchor>
    <xdr:from>
      <xdr:col>13</xdr:col>
      <xdr:colOff>160020</xdr:colOff>
      <xdr:row>4</xdr:row>
      <xdr:rowOff>0</xdr:rowOff>
    </xdr:from>
    <xdr:to>
      <xdr:col>16</xdr:col>
      <xdr:colOff>213360</xdr:colOff>
      <xdr:row>9</xdr:row>
      <xdr:rowOff>53340</xdr:rowOff>
    </xdr:to>
    <xdr:sp macro="" textlink="">
      <xdr:nvSpPr>
        <xdr:cNvPr id="31" name="Rectangle: Rounded Corners 30">
          <a:extLst>
            <a:ext uri="{FF2B5EF4-FFF2-40B4-BE49-F238E27FC236}">
              <a16:creationId xmlns:a16="http://schemas.microsoft.com/office/drawing/2014/main" id="{023F2911-B315-4EBE-BC7E-3FA2FA57A655}"/>
            </a:ext>
          </a:extLst>
        </xdr:cNvPr>
        <xdr:cNvSpPr/>
      </xdr:nvSpPr>
      <xdr:spPr>
        <a:xfrm>
          <a:off x="8084820" y="670560"/>
          <a:ext cx="1882140" cy="899160"/>
        </a:xfrm>
        <a:prstGeom prst="roundRect">
          <a:avLst/>
        </a:prstGeom>
        <a:solidFill>
          <a:srgbClr val="004A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latin typeface="Lucida Console" panose="020B0609040504020204" pitchFamily="49" charset="0"/>
            </a:rPr>
            <a:t>30-Days Retention</a:t>
          </a:r>
          <a:r>
            <a:rPr lang="en-US" sz="1300" b="1" baseline="0">
              <a:latin typeface="Lucida Console" panose="020B0609040504020204" pitchFamily="49" charset="0"/>
            </a:rPr>
            <a:t> Rate</a:t>
          </a:r>
        </a:p>
        <a:p>
          <a:pPr algn="ctr"/>
          <a:endParaRPr lang="en-US" sz="1300" b="1" baseline="0">
            <a:latin typeface="Lucida Console" panose="020B0609040504020204" pitchFamily="49" charset="0"/>
          </a:endParaRPr>
        </a:p>
        <a:p>
          <a:pPr algn="ctr"/>
          <a:r>
            <a:rPr lang="en-US" sz="1300" b="1">
              <a:latin typeface="Lucida Console" panose="020B0609040504020204" pitchFamily="49" charset="0"/>
            </a:rPr>
            <a:t>62.7%</a:t>
          </a:r>
        </a:p>
      </xdr:txBody>
    </xdr:sp>
    <xdr:clientData/>
  </xdr:twoCellAnchor>
  <xdr:twoCellAnchor>
    <xdr:from>
      <xdr:col>3</xdr:col>
      <xdr:colOff>434340</xdr:colOff>
      <xdr:row>1</xdr:row>
      <xdr:rowOff>83820</xdr:rowOff>
    </xdr:from>
    <xdr:to>
      <xdr:col>13</xdr:col>
      <xdr:colOff>144780</xdr:colOff>
      <xdr:row>3</xdr:row>
      <xdr:rowOff>30480</xdr:rowOff>
    </xdr:to>
    <xdr:sp macro="" textlink="">
      <xdr:nvSpPr>
        <xdr:cNvPr id="3078" name="Text Box 6">
          <a:extLst>
            <a:ext uri="{FF2B5EF4-FFF2-40B4-BE49-F238E27FC236}">
              <a16:creationId xmlns:a16="http://schemas.microsoft.com/office/drawing/2014/main" id="{75FA614E-0788-81FC-E160-99E13775BA7C}"/>
            </a:ext>
          </a:extLst>
        </xdr:cNvPr>
        <xdr:cNvSpPr txBox="1">
          <a:spLocks noChangeArrowheads="1"/>
        </xdr:cNvSpPr>
      </xdr:nvSpPr>
      <xdr:spPr bwMode="auto">
        <a:xfrm>
          <a:off x="2263140" y="251460"/>
          <a:ext cx="5806440" cy="281940"/>
        </a:xfrm>
        <a:prstGeom prst="rect">
          <a:avLst/>
        </a:prstGeom>
        <a:solidFill>
          <a:srgbClr val="FFFFFF">
            <a:alpha val="0"/>
          </a:srgbClr>
        </a:solidFill>
        <a:ln w="9525">
          <a:noFill/>
          <a:miter lim="800000"/>
          <a:headEnd/>
          <a:tailEnd/>
        </a:ln>
      </xdr:spPr>
      <xdr:txBody>
        <a:bodyPr vertOverflow="clip" wrap="square" lIns="36576" tIns="27432" rIns="0" bIns="0" anchor="t" upright="1"/>
        <a:lstStyle/>
        <a:p>
          <a:pPr algn="ctr" rtl="0">
            <a:defRPr sz="1000"/>
          </a:pPr>
          <a:r>
            <a:rPr lang="en-US" sz="1500" b="1" i="0" u="none" strike="noStrike" baseline="0">
              <a:solidFill>
                <a:schemeClr val="bg1"/>
              </a:solidFill>
              <a:latin typeface="Lucida Console" panose="020B0609040504020204" pitchFamily="49" charset="0"/>
              <a:cs typeface="Arial"/>
            </a:rPr>
            <a:t>Northstar Feature Performance Analysis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45720</xdr:colOff>
      <xdr:row>0</xdr:row>
      <xdr:rowOff>91440</xdr:rowOff>
    </xdr:from>
    <xdr:to>
      <xdr:col>23</xdr:col>
      <xdr:colOff>365760</xdr:colOff>
      <xdr:row>38</xdr:row>
      <xdr:rowOff>91440</xdr:rowOff>
    </xdr:to>
    <xdr:sp macro="" textlink="">
      <xdr:nvSpPr>
        <xdr:cNvPr id="2" name="TextBox 1">
          <a:extLst>
            <a:ext uri="{FF2B5EF4-FFF2-40B4-BE49-F238E27FC236}">
              <a16:creationId xmlns:a16="http://schemas.microsoft.com/office/drawing/2014/main" id="{2AE51FE9-E152-D37E-14A7-E0FBD4551243}"/>
            </a:ext>
          </a:extLst>
        </xdr:cNvPr>
        <xdr:cNvSpPr txBox="1"/>
      </xdr:nvSpPr>
      <xdr:spPr>
        <a:xfrm>
          <a:off x="11018520" y="91440"/>
          <a:ext cx="3368040" cy="6370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ysClr val="windowText" lastClr="000000"/>
              </a:solidFill>
              <a:effectLst/>
              <a:uLnTx/>
              <a:uFillTx/>
              <a:latin typeface="Lucida Console" panose="020B0609040504020204" pitchFamily="49" charset="0"/>
              <a:cs typeface="+mn-cs"/>
            </a:rPr>
            <a:t>RESEARCH QUESTION 2:</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srgbClr val="000000"/>
              </a:solidFill>
              <a:effectLst/>
              <a:uLnTx/>
              <a:uFillTx/>
              <a:latin typeface="Lucida Console" panose="020B0609040504020204" pitchFamily="49" charset="0"/>
              <a:cs typeface="+mn-cs"/>
            </a:rPr>
            <a:t>How does fintech product performance vary across customer groups and channels? </a:t>
          </a:r>
        </a:p>
        <a:p>
          <a:endParaRPr lang="en-US" sz="1100"/>
        </a:p>
      </xdr:txBody>
    </xdr:sp>
    <xdr:clientData/>
  </xdr:twoCellAnchor>
  <xdr:twoCellAnchor>
    <xdr:from>
      <xdr:col>0</xdr:col>
      <xdr:colOff>76200</xdr:colOff>
      <xdr:row>0</xdr:row>
      <xdr:rowOff>68580</xdr:rowOff>
    </xdr:from>
    <xdr:to>
      <xdr:col>3</xdr:col>
      <xdr:colOff>121920</xdr:colOff>
      <xdr:row>21</xdr:row>
      <xdr:rowOff>137160</xdr:rowOff>
    </xdr:to>
    <xdr:sp macro="" textlink="">
      <xdr:nvSpPr>
        <xdr:cNvPr id="3" name="Rectangle: Rounded Corners 2">
          <a:extLst>
            <a:ext uri="{FF2B5EF4-FFF2-40B4-BE49-F238E27FC236}">
              <a16:creationId xmlns:a16="http://schemas.microsoft.com/office/drawing/2014/main" id="{43D83888-E8E0-F254-5952-935AE16D7ED7}"/>
            </a:ext>
          </a:extLst>
        </xdr:cNvPr>
        <xdr:cNvSpPr/>
      </xdr:nvSpPr>
      <xdr:spPr>
        <a:xfrm>
          <a:off x="76200" y="68580"/>
          <a:ext cx="1874520" cy="3589020"/>
        </a:xfrm>
        <a:prstGeom prst="roundRect">
          <a:avLst>
            <a:gd name="adj" fmla="val 9566"/>
          </a:avLst>
        </a:prstGeom>
        <a:solidFill>
          <a:srgbClr val="004A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22</xdr:row>
      <xdr:rowOff>15240</xdr:rowOff>
    </xdr:from>
    <xdr:to>
      <xdr:col>18</xdr:col>
      <xdr:colOff>0</xdr:colOff>
      <xdr:row>38</xdr:row>
      <xdr:rowOff>144780</xdr:rowOff>
    </xdr:to>
    <xdr:grpSp>
      <xdr:nvGrpSpPr>
        <xdr:cNvPr id="19" name="Group 18">
          <a:extLst>
            <a:ext uri="{FF2B5EF4-FFF2-40B4-BE49-F238E27FC236}">
              <a16:creationId xmlns:a16="http://schemas.microsoft.com/office/drawing/2014/main" id="{83A902CB-69E1-B749-725B-A3BA9B3F2273}"/>
            </a:ext>
          </a:extLst>
        </xdr:cNvPr>
        <xdr:cNvGrpSpPr/>
      </xdr:nvGrpSpPr>
      <xdr:grpSpPr>
        <a:xfrm>
          <a:off x="83820" y="3703320"/>
          <a:ext cx="10888980" cy="2811780"/>
          <a:chOff x="76200" y="3573780"/>
          <a:chExt cx="11033760" cy="2872740"/>
        </a:xfrm>
      </xdr:grpSpPr>
      <xdr:sp macro="" textlink="">
        <xdr:nvSpPr>
          <xdr:cNvPr id="6" name="Rectangle: Rounded Corners 5">
            <a:extLst>
              <a:ext uri="{FF2B5EF4-FFF2-40B4-BE49-F238E27FC236}">
                <a16:creationId xmlns:a16="http://schemas.microsoft.com/office/drawing/2014/main" id="{BCB6C48C-7B4B-4EFF-8695-A90EE43BF40C}"/>
              </a:ext>
            </a:extLst>
          </xdr:cNvPr>
          <xdr:cNvSpPr/>
        </xdr:nvSpPr>
        <xdr:spPr>
          <a:xfrm>
            <a:off x="76200" y="3573780"/>
            <a:ext cx="11033760" cy="2872740"/>
          </a:xfrm>
          <a:prstGeom prst="roundRect">
            <a:avLst>
              <a:gd name="adj" fmla="val 9566"/>
            </a:avLst>
          </a:prstGeom>
          <a:solidFill>
            <a:srgbClr val="004A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 name="Chart 10">
            <a:extLst>
              <a:ext uri="{FF2B5EF4-FFF2-40B4-BE49-F238E27FC236}">
                <a16:creationId xmlns:a16="http://schemas.microsoft.com/office/drawing/2014/main" id="{38954FCD-18A4-4B1E-BB50-39C050102ED7}"/>
              </a:ext>
            </a:extLst>
          </xdr:cNvPr>
          <xdr:cNvGraphicFramePr>
            <a:graphicFrameLocks/>
          </xdr:cNvGraphicFramePr>
        </xdr:nvGraphicFramePr>
        <xdr:xfrm>
          <a:off x="122528" y="3634575"/>
          <a:ext cx="5500829" cy="27584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2" name="Chart 11">
            <a:extLst>
              <a:ext uri="{FF2B5EF4-FFF2-40B4-BE49-F238E27FC236}">
                <a16:creationId xmlns:a16="http://schemas.microsoft.com/office/drawing/2014/main" id="{F356748D-3D0C-478C-AC92-19A84DAD3530}"/>
              </a:ext>
            </a:extLst>
          </xdr:cNvPr>
          <xdr:cNvGraphicFramePr>
            <a:graphicFrameLocks/>
          </xdr:cNvGraphicFramePr>
        </xdr:nvGraphicFramePr>
        <xdr:xfrm>
          <a:off x="5707380" y="3627120"/>
          <a:ext cx="5334000" cy="276606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10</xdr:col>
      <xdr:colOff>350520</xdr:colOff>
      <xdr:row>2</xdr:row>
      <xdr:rowOff>49210</xdr:rowOff>
    </xdr:from>
    <xdr:to>
      <xdr:col>17</xdr:col>
      <xdr:colOff>541020</xdr:colOff>
      <xdr:row>21</xdr:row>
      <xdr:rowOff>121920</xdr:rowOff>
    </xdr:to>
    <xdr:sp macro="" textlink="">
      <xdr:nvSpPr>
        <xdr:cNvPr id="10" name="Rectangle: Rounded Corners 9">
          <a:extLst>
            <a:ext uri="{FF2B5EF4-FFF2-40B4-BE49-F238E27FC236}">
              <a16:creationId xmlns:a16="http://schemas.microsoft.com/office/drawing/2014/main" id="{F407B8EF-E602-404B-90EA-D42804F43FE9}"/>
            </a:ext>
          </a:extLst>
        </xdr:cNvPr>
        <xdr:cNvSpPr/>
      </xdr:nvSpPr>
      <xdr:spPr>
        <a:xfrm>
          <a:off x="6446520" y="384490"/>
          <a:ext cx="4457700" cy="3257870"/>
        </a:xfrm>
        <a:prstGeom prst="roundRect">
          <a:avLst>
            <a:gd name="adj" fmla="val 7772"/>
          </a:avLst>
        </a:prstGeom>
        <a:solidFill>
          <a:srgbClr val="004A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387957</xdr:colOff>
      <xdr:row>2</xdr:row>
      <xdr:rowOff>121920</xdr:rowOff>
    </xdr:from>
    <xdr:to>
      <xdr:col>17</xdr:col>
      <xdr:colOff>487680</xdr:colOff>
      <xdr:row>21</xdr:row>
      <xdr:rowOff>63147</xdr:rowOff>
    </xdr:to>
    <xdr:graphicFrame macro="">
      <xdr:nvGraphicFramePr>
        <xdr:cNvPr id="15" name="Chart 14">
          <a:extLst>
            <a:ext uri="{FF2B5EF4-FFF2-40B4-BE49-F238E27FC236}">
              <a16:creationId xmlns:a16="http://schemas.microsoft.com/office/drawing/2014/main" id="{8840FC6B-DB01-4A95-A7D8-BE2D8A6DA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160020</xdr:colOff>
      <xdr:row>2</xdr:row>
      <xdr:rowOff>30480</xdr:rowOff>
    </xdr:from>
    <xdr:to>
      <xdr:col>10</xdr:col>
      <xdr:colOff>274320</xdr:colOff>
      <xdr:row>21</xdr:row>
      <xdr:rowOff>121920</xdr:rowOff>
    </xdr:to>
    <xdr:grpSp>
      <xdr:nvGrpSpPr>
        <xdr:cNvPr id="21" name="Group 20">
          <a:extLst>
            <a:ext uri="{FF2B5EF4-FFF2-40B4-BE49-F238E27FC236}">
              <a16:creationId xmlns:a16="http://schemas.microsoft.com/office/drawing/2014/main" id="{5AEF4C39-6632-DDE9-C2CC-2DF2D5A6ACE2}"/>
            </a:ext>
          </a:extLst>
        </xdr:cNvPr>
        <xdr:cNvGrpSpPr/>
      </xdr:nvGrpSpPr>
      <xdr:grpSpPr>
        <a:xfrm>
          <a:off x="1988820" y="365760"/>
          <a:ext cx="4381500" cy="3276600"/>
          <a:chOff x="2186940" y="60960"/>
          <a:chExt cx="4335780" cy="3436620"/>
        </a:xfrm>
      </xdr:grpSpPr>
      <xdr:sp macro="" textlink="">
        <xdr:nvSpPr>
          <xdr:cNvPr id="5" name="Rectangle: Rounded Corners 4">
            <a:extLst>
              <a:ext uri="{FF2B5EF4-FFF2-40B4-BE49-F238E27FC236}">
                <a16:creationId xmlns:a16="http://schemas.microsoft.com/office/drawing/2014/main" id="{FACE2F15-48DD-445F-92F5-44D2E09DBD3C}"/>
              </a:ext>
            </a:extLst>
          </xdr:cNvPr>
          <xdr:cNvSpPr/>
        </xdr:nvSpPr>
        <xdr:spPr>
          <a:xfrm>
            <a:off x="2186940" y="60960"/>
            <a:ext cx="4335780" cy="3436620"/>
          </a:xfrm>
          <a:prstGeom prst="roundRect">
            <a:avLst>
              <a:gd name="adj" fmla="val 8457"/>
            </a:avLst>
          </a:prstGeom>
          <a:solidFill>
            <a:srgbClr val="004A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 name="Chart 16">
            <a:extLst>
              <a:ext uri="{FF2B5EF4-FFF2-40B4-BE49-F238E27FC236}">
                <a16:creationId xmlns:a16="http://schemas.microsoft.com/office/drawing/2014/main" id="{9E665B47-FA1E-43A8-BF0D-B2461EC007B3}"/>
              </a:ext>
            </a:extLst>
          </xdr:cNvPr>
          <xdr:cNvGraphicFramePr>
            <a:graphicFrameLocks/>
          </xdr:cNvGraphicFramePr>
        </xdr:nvGraphicFramePr>
        <xdr:xfrm>
          <a:off x="2247900" y="116905"/>
          <a:ext cx="4206240" cy="330447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114300</xdr:colOff>
      <xdr:row>10</xdr:row>
      <xdr:rowOff>160020</xdr:rowOff>
    </xdr:from>
    <xdr:to>
      <xdr:col>3</xdr:col>
      <xdr:colOff>60960</xdr:colOff>
      <xdr:row>21</xdr:row>
      <xdr:rowOff>38100</xdr:rowOff>
    </xdr:to>
    <mc:AlternateContent xmlns:mc="http://schemas.openxmlformats.org/markup-compatibility/2006" xmlns:tsle="http://schemas.microsoft.com/office/drawing/2012/timeslicer">
      <mc:Choice Requires="tsle">
        <xdr:graphicFrame macro="">
          <xdr:nvGraphicFramePr>
            <xdr:cNvPr id="23" name="Event_Date">
              <a:extLst>
                <a:ext uri="{FF2B5EF4-FFF2-40B4-BE49-F238E27FC236}">
                  <a16:creationId xmlns:a16="http://schemas.microsoft.com/office/drawing/2014/main" id="{7F085FDE-1FC3-78EE-F06C-CA988FC90C76}"/>
                </a:ext>
              </a:extLst>
            </xdr:cNvPr>
            <xdr:cNvGraphicFramePr/>
          </xdr:nvGraphicFramePr>
          <xdr:xfrm>
            <a:off x="0" y="0"/>
            <a:ext cx="0" cy="0"/>
          </xdr:xfrm>
          <a:graphic>
            <a:graphicData uri="http://schemas.microsoft.com/office/drawing/2012/timeslicer">
              <tsle:timeslicer name="Event_Date"/>
            </a:graphicData>
          </a:graphic>
        </xdr:graphicFrame>
      </mc:Choice>
      <mc:Fallback xmlns="">
        <xdr:sp macro="" textlink="">
          <xdr:nvSpPr>
            <xdr:cNvPr id="0" name=""/>
            <xdr:cNvSpPr>
              <a:spLocks noTextEdit="1"/>
            </xdr:cNvSpPr>
          </xdr:nvSpPr>
          <xdr:spPr>
            <a:xfrm>
              <a:off x="114300" y="1836420"/>
              <a:ext cx="1775460" cy="17221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114300</xdr:colOff>
      <xdr:row>0</xdr:row>
      <xdr:rowOff>144780</xdr:rowOff>
    </xdr:from>
    <xdr:to>
      <xdr:col>3</xdr:col>
      <xdr:colOff>68580</xdr:colOff>
      <xdr:row>10</xdr:row>
      <xdr:rowOff>121921</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AF56EAA2-CE34-259E-4401-FC39620A421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300" y="144780"/>
              <a:ext cx="1783080" cy="1653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160020</xdr:colOff>
      <xdr:row>0</xdr:row>
      <xdr:rowOff>53340</xdr:rowOff>
    </xdr:from>
    <xdr:to>
      <xdr:col>14</xdr:col>
      <xdr:colOff>198120</xdr:colOff>
      <xdr:row>1</xdr:row>
      <xdr:rowOff>137160</xdr:rowOff>
    </xdr:to>
    <xdr:sp macro="" textlink="">
      <xdr:nvSpPr>
        <xdr:cNvPr id="25" name="TextBox 24">
          <a:extLst>
            <a:ext uri="{FF2B5EF4-FFF2-40B4-BE49-F238E27FC236}">
              <a16:creationId xmlns:a16="http://schemas.microsoft.com/office/drawing/2014/main" id="{8A51DAE9-BFA6-F9F1-3913-52D5897AA6A7}"/>
            </a:ext>
          </a:extLst>
        </xdr:cNvPr>
        <xdr:cNvSpPr txBox="1"/>
      </xdr:nvSpPr>
      <xdr:spPr>
        <a:xfrm>
          <a:off x="3208020" y="53340"/>
          <a:ext cx="5524500" cy="2514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dk1"/>
              </a:solidFill>
              <a:effectLst/>
              <a:latin typeface="Lucida Console" panose="020B0609040504020204" pitchFamily="49" charset="0"/>
              <a:ea typeface="+mn-ea"/>
              <a:cs typeface="+mn-cs"/>
            </a:rPr>
            <a:t>Northstar Feature Performance By Customer Segment</a:t>
          </a:r>
          <a:endParaRPr lang="en-US" sz="1400" b="1">
            <a:effectLst/>
            <a:latin typeface="Lucida Console" panose="020B0609040504020204" pitchFamily="49" charset="0"/>
          </a:endParaRP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449580</xdr:colOff>
      <xdr:row>1</xdr:row>
      <xdr:rowOff>76200</xdr:rowOff>
    </xdr:from>
    <xdr:to>
      <xdr:col>6</xdr:col>
      <xdr:colOff>464820</xdr:colOff>
      <xdr:row>7</xdr:row>
      <xdr:rowOff>30480</xdr:rowOff>
    </xdr:to>
    <xdr:sp macro="" textlink="">
      <xdr:nvSpPr>
        <xdr:cNvPr id="2" name="Rectangle: Rounded Corners 1">
          <a:extLst>
            <a:ext uri="{FF2B5EF4-FFF2-40B4-BE49-F238E27FC236}">
              <a16:creationId xmlns:a16="http://schemas.microsoft.com/office/drawing/2014/main" id="{9DE2B972-3AD3-C927-3347-385C77B0C22E}"/>
            </a:ext>
          </a:extLst>
        </xdr:cNvPr>
        <xdr:cNvSpPr/>
      </xdr:nvSpPr>
      <xdr:spPr>
        <a:xfrm>
          <a:off x="2278380" y="243840"/>
          <a:ext cx="1844040" cy="960120"/>
        </a:xfrm>
        <a:prstGeom prst="roundRect">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Lucida Console" panose="020B0609040504020204" pitchFamily="49" charset="0"/>
            </a:rPr>
            <a:t>30-Days</a:t>
          </a:r>
          <a:r>
            <a:rPr lang="en-US" sz="1200" b="1" baseline="0">
              <a:solidFill>
                <a:sysClr val="windowText" lastClr="000000"/>
              </a:solidFill>
              <a:latin typeface="Lucida Console" panose="020B0609040504020204" pitchFamily="49" charset="0"/>
            </a:rPr>
            <a:t> Retention Rate </a:t>
          </a:r>
        </a:p>
        <a:p>
          <a:pPr algn="ctr"/>
          <a:r>
            <a:rPr lang="en-US" sz="1200" b="1" baseline="0">
              <a:solidFill>
                <a:sysClr val="windowText" lastClr="000000"/>
              </a:solidFill>
              <a:latin typeface="Lucida Console" panose="020B0609040504020204" pitchFamily="49" charset="0"/>
            </a:rPr>
            <a:t>[BASIC]</a:t>
          </a:r>
        </a:p>
        <a:p>
          <a:pPr algn="ctr"/>
          <a:endParaRPr lang="en-US" sz="1100" b="1" baseline="0">
            <a:solidFill>
              <a:sysClr val="windowText" lastClr="000000"/>
            </a:solidFill>
            <a:latin typeface="Lucida Console" panose="020B0609040504020204" pitchFamily="49" charset="0"/>
          </a:endParaRPr>
        </a:p>
        <a:p>
          <a:pPr algn="ctr"/>
          <a:r>
            <a:rPr lang="en-US" sz="1100" b="1" baseline="0">
              <a:solidFill>
                <a:sysClr val="windowText" lastClr="000000"/>
              </a:solidFill>
              <a:latin typeface="Lucida Console" panose="020B0609040504020204" pitchFamily="49" charset="0"/>
            </a:rPr>
            <a:t>46.76%</a:t>
          </a:r>
          <a:endParaRPr lang="en-US" sz="1100" b="1">
            <a:solidFill>
              <a:sysClr val="windowText" lastClr="000000"/>
            </a:solidFill>
            <a:latin typeface="Lucida Console" panose="020B0609040504020204" pitchFamily="49" charset="0"/>
          </a:endParaRPr>
        </a:p>
      </xdr:txBody>
    </xdr:sp>
    <xdr:clientData/>
  </xdr:twoCellAnchor>
  <xdr:twoCellAnchor>
    <xdr:from>
      <xdr:col>10</xdr:col>
      <xdr:colOff>15240</xdr:colOff>
      <xdr:row>1</xdr:row>
      <xdr:rowOff>68580</xdr:rowOff>
    </xdr:from>
    <xdr:to>
      <xdr:col>13</xdr:col>
      <xdr:colOff>45720</xdr:colOff>
      <xdr:row>7</xdr:row>
      <xdr:rowOff>22860</xdr:rowOff>
    </xdr:to>
    <xdr:sp macro="" textlink="">
      <xdr:nvSpPr>
        <xdr:cNvPr id="3" name="Rectangle: Rounded Corners 2">
          <a:extLst>
            <a:ext uri="{FF2B5EF4-FFF2-40B4-BE49-F238E27FC236}">
              <a16:creationId xmlns:a16="http://schemas.microsoft.com/office/drawing/2014/main" id="{36E8C2B8-33FC-4B43-8F14-D6A48D14E198}"/>
            </a:ext>
          </a:extLst>
        </xdr:cNvPr>
        <xdr:cNvSpPr/>
      </xdr:nvSpPr>
      <xdr:spPr>
        <a:xfrm>
          <a:off x="6111240" y="236220"/>
          <a:ext cx="1859280" cy="960120"/>
        </a:xfrm>
        <a:prstGeom prst="roundRect">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Lucida Console" panose="020B0609040504020204" pitchFamily="49" charset="0"/>
            </a:rPr>
            <a:t>30-Days Retention Rate</a:t>
          </a:r>
        </a:p>
        <a:p>
          <a:pPr algn="ctr"/>
          <a:r>
            <a:rPr lang="en-US" sz="1200" b="1">
              <a:solidFill>
                <a:sysClr val="windowText" lastClr="000000"/>
              </a:solidFill>
              <a:latin typeface="Lucida Console" panose="020B0609040504020204" pitchFamily="49" charset="0"/>
            </a:rPr>
            <a:t>[PLUS]</a:t>
          </a:r>
        </a:p>
        <a:p>
          <a:pPr algn="l"/>
          <a:endParaRPr lang="en-US" sz="1100"/>
        </a:p>
        <a:p>
          <a:pPr algn="ctr"/>
          <a:r>
            <a:rPr lang="en-US" sz="1100" b="1">
              <a:solidFill>
                <a:sysClr val="windowText" lastClr="000000"/>
              </a:solidFill>
              <a:latin typeface="Lucida Console" panose="020B0609040504020204" pitchFamily="49" charset="0"/>
            </a:rPr>
            <a:t>57.63%</a:t>
          </a:r>
        </a:p>
      </xdr:txBody>
    </xdr:sp>
    <xdr:clientData/>
  </xdr:twoCellAnchor>
  <xdr:twoCellAnchor>
    <xdr:from>
      <xdr:col>16</xdr:col>
      <xdr:colOff>236220</xdr:colOff>
      <xdr:row>1</xdr:row>
      <xdr:rowOff>76200</xdr:rowOff>
    </xdr:from>
    <xdr:to>
      <xdr:col>19</xdr:col>
      <xdr:colOff>259080</xdr:colOff>
      <xdr:row>7</xdr:row>
      <xdr:rowOff>22860</xdr:rowOff>
    </xdr:to>
    <xdr:sp macro="" textlink="">
      <xdr:nvSpPr>
        <xdr:cNvPr id="4" name="Rectangle: Rounded Corners 3">
          <a:extLst>
            <a:ext uri="{FF2B5EF4-FFF2-40B4-BE49-F238E27FC236}">
              <a16:creationId xmlns:a16="http://schemas.microsoft.com/office/drawing/2014/main" id="{80DE1528-43CD-4B2A-A95C-3C85359070EE}"/>
            </a:ext>
          </a:extLst>
        </xdr:cNvPr>
        <xdr:cNvSpPr/>
      </xdr:nvSpPr>
      <xdr:spPr>
        <a:xfrm>
          <a:off x="9989820" y="243840"/>
          <a:ext cx="1851660" cy="952500"/>
        </a:xfrm>
        <a:prstGeom prst="roundRect">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Lucida Console" panose="020B0609040504020204" pitchFamily="49" charset="0"/>
            </a:rPr>
            <a:t>30-Days Retention Rate</a:t>
          </a:r>
        </a:p>
        <a:p>
          <a:pPr algn="ctr"/>
          <a:r>
            <a:rPr lang="en-US" sz="1200" b="1">
              <a:solidFill>
                <a:sysClr val="windowText" lastClr="000000"/>
              </a:solidFill>
              <a:latin typeface="Lucida Console" panose="020B0609040504020204" pitchFamily="49" charset="0"/>
            </a:rPr>
            <a:t>[PRO]</a:t>
          </a:r>
        </a:p>
        <a:p>
          <a:pPr algn="l"/>
          <a:endParaRPr lang="en-US" sz="1100"/>
        </a:p>
        <a:p>
          <a:pPr algn="ctr"/>
          <a:r>
            <a:rPr lang="en-US" sz="1100" b="1">
              <a:solidFill>
                <a:sysClr val="windowText" lastClr="000000"/>
              </a:solidFill>
              <a:latin typeface="Lucida Console" panose="020B0609040504020204" pitchFamily="49" charset="0"/>
            </a:rPr>
            <a:t>21.67%</a:t>
          </a:r>
        </a:p>
      </xdr:txBody>
    </xdr:sp>
    <xdr:clientData/>
  </xdr:twoCellAnchor>
  <xdr:twoCellAnchor>
    <xdr:from>
      <xdr:col>11</xdr:col>
      <xdr:colOff>297180</xdr:colOff>
      <xdr:row>7</xdr:row>
      <xdr:rowOff>60960</xdr:rowOff>
    </xdr:from>
    <xdr:to>
      <xdr:col>19</xdr:col>
      <xdr:colOff>274320</xdr:colOff>
      <xdr:row>21</xdr:row>
      <xdr:rowOff>152400</xdr:rowOff>
    </xdr:to>
    <xdr:sp macro="" textlink="">
      <xdr:nvSpPr>
        <xdr:cNvPr id="5" name="Rectangle: Rounded Corners 4">
          <a:extLst>
            <a:ext uri="{FF2B5EF4-FFF2-40B4-BE49-F238E27FC236}">
              <a16:creationId xmlns:a16="http://schemas.microsoft.com/office/drawing/2014/main" id="{50CAC7AA-F984-4F3D-8436-C16355BFA48C}"/>
            </a:ext>
          </a:extLst>
        </xdr:cNvPr>
        <xdr:cNvSpPr/>
      </xdr:nvSpPr>
      <xdr:spPr>
        <a:xfrm>
          <a:off x="7002780" y="1234440"/>
          <a:ext cx="4853940" cy="2438400"/>
        </a:xfrm>
        <a:prstGeom prst="roundRect">
          <a:avLst>
            <a:gd name="adj" fmla="val 11797"/>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396240</xdr:colOff>
      <xdr:row>22</xdr:row>
      <xdr:rowOff>45720</xdr:rowOff>
    </xdr:from>
    <xdr:to>
      <xdr:col>13</xdr:col>
      <xdr:colOff>60960</xdr:colOff>
      <xdr:row>38</xdr:row>
      <xdr:rowOff>68580</xdr:rowOff>
    </xdr:to>
    <xdr:sp macro="" textlink="">
      <xdr:nvSpPr>
        <xdr:cNvPr id="6" name="Rectangle: Rounded Corners 5">
          <a:extLst>
            <a:ext uri="{FF2B5EF4-FFF2-40B4-BE49-F238E27FC236}">
              <a16:creationId xmlns:a16="http://schemas.microsoft.com/office/drawing/2014/main" id="{8DDA45B0-41B5-4692-8BB6-36B8E55E0D7F}"/>
            </a:ext>
          </a:extLst>
        </xdr:cNvPr>
        <xdr:cNvSpPr/>
      </xdr:nvSpPr>
      <xdr:spPr>
        <a:xfrm>
          <a:off x="4053840" y="3733800"/>
          <a:ext cx="3931920" cy="2705100"/>
        </a:xfrm>
        <a:prstGeom prst="roundRect">
          <a:avLst>
            <a:gd name="adj" fmla="val 9524"/>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358140</xdr:colOff>
      <xdr:row>7</xdr:row>
      <xdr:rowOff>83820</xdr:rowOff>
    </xdr:from>
    <xdr:to>
      <xdr:col>11</xdr:col>
      <xdr:colOff>228600</xdr:colOff>
      <xdr:row>21</xdr:row>
      <xdr:rowOff>160020</xdr:rowOff>
    </xdr:to>
    <xdr:sp macro="" textlink="">
      <xdr:nvSpPr>
        <xdr:cNvPr id="7" name="Rectangle: Rounded Corners 6">
          <a:extLst>
            <a:ext uri="{FF2B5EF4-FFF2-40B4-BE49-F238E27FC236}">
              <a16:creationId xmlns:a16="http://schemas.microsoft.com/office/drawing/2014/main" id="{71440BB2-A4E9-4C4A-89FF-1EE7E4B8FAC0}"/>
            </a:ext>
          </a:extLst>
        </xdr:cNvPr>
        <xdr:cNvSpPr/>
      </xdr:nvSpPr>
      <xdr:spPr>
        <a:xfrm>
          <a:off x="2186940" y="1257300"/>
          <a:ext cx="4747260" cy="2423160"/>
        </a:xfrm>
        <a:prstGeom prst="roundRect">
          <a:avLst>
            <a:gd name="adj" fmla="val 13158"/>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99060</xdr:colOff>
      <xdr:row>0</xdr:row>
      <xdr:rowOff>121920</xdr:rowOff>
    </xdr:from>
    <xdr:to>
      <xdr:col>3</xdr:col>
      <xdr:colOff>289560</xdr:colOff>
      <xdr:row>22</xdr:row>
      <xdr:rowOff>38100</xdr:rowOff>
    </xdr:to>
    <xdr:sp macro="" textlink="">
      <xdr:nvSpPr>
        <xdr:cNvPr id="8" name="Rectangle: Rounded Corners 7">
          <a:extLst>
            <a:ext uri="{FF2B5EF4-FFF2-40B4-BE49-F238E27FC236}">
              <a16:creationId xmlns:a16="http://schemas.microsoft.com/office/drawing/2014/main" id="{33FA1946-79B7-4930-8DEA-CA03701624DF}"/>
            </a:ext>
          </a:extLst>
        </xdr:cNvPr>
        <xdr:cNvSpPr/>
      </xdr:nvSpPr>
      <xdr:spPr>
        <a:xfrm>
          <a:off x="99060" y="121920"/>
          <a:ext cx="2019300" cy="3604260"/>
        </a:xfrm>
        <a:prstGeom prst="roundRect">
          <a:avLst>
            <a:gd name="adj" fmla="val 9982"/>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700" b="1">
              <a:solidFill>
                <a:sysClr val="windowText" lastClr="000000"/>
              </a:solidFill>
              <a:latin typeface="Lucida Console" panose="020B0609040504020204" pitchFamily="49" charset="0"/>
            </a:rPr>
            <a:t>Northstar</a:t>
          </a:r>
        </a:p>
        <a:p>
          <a:pPr algn="ctr"/>
          <a:r>
            <a:rPr lang="en-US" sz="1700" b="1">
              <a:solidFill>
                <a:sysClr val="windowText" lastClr="000000"/>
              </a:solidFill>
              <a:latin typeface="Lucida Console" panose="020B0609040504020204" pitchFamily="49" charset="0"/>
            </a:rPr>
            <a:t>Subscription</a:t>
          </a:r>
          <a:r>
            <a:rPr lang="en-US" sz="1800" b="1" baseline="0">
              <a:solidFill>
                <a:sysClr val="windowText" lastClr="000000"/>
              </a:solidFill>
              <a:latin typeface="Lucida Console" panose="020B0609040504020204" pitchFamily="49" charset="0"/>
            </a:rPr>
            <a:t> Plan </a:t>
          </a:r>
        </a:p>
        <a:p>
          <a:pPr algn="ctr"/>
          <a:r>
            <a:rPr lang="en-US" sz="1800" b="1" baseline="0">
              <a:solidFill>
                <a:sysClr val="windowText" lastClr="000000"/>
              </a:solidFill>
              <a:latin typeface="Lucida Console" panose="020B0609040504020204" pitchFamily="49" charset="0"/>
            </a:rPr>
            <a:t>Dashboard</a:t>
          </a:r>
          <a:endParaRPr lang="en-US" sz="1800" b="1">
            <a:solidFill>
              <a:sysClr val="windowText" lastClr="000000"/>
            </a:solidFill>
            <a:latin typeface="Lucida Console" panose="020B0609040504020204" pitchFamily="49" charset="0"/>
          </a:endParaRPr>
        </a:p>
      </xdr:txBody>
    </xdr:sp>
    <xdr:clientData/>
  </xdr:twoCellAnchor>
  <xdr:twoCellAnchor>
    <xdr:from>
      <xdr:col>13</xdr:col>
      <xdr:colOff>137160</xdr:colOff>
      <xdr:row>22</xdr:row>
      <xdr:rowOff>38100</xdr:rowOff>
    </xdr:from>
    <xdr:to>
      <xdr:col>19</xdr:col>
      <xdr:colOff>365760</xdr:colOff>
      <xdr:row>38</xdr:row>
      <xdr:rowOff>83820</xdr:rowOff>
    </xdr:to>
    <xdr:sp macro="" textlink="">
      <xdr:nvSpPr>
        <xdr:cNvPr id="9" name="Rectangle: Rounded Corners 8">
          <a:extLst>
            <a:ext uri="{FF2B5EF4-FFF2-40B4-BE49-F238E27FC236}">
              <a16:creationId xmlns:a16="http://schemas.microsoft.com/office/drawing/2014/main" id="{D995CCF7-B417-4D69-A8E4-D7845D29822F}"/>
            </a:ext>
          </a:extLst>
        </xdr:cNvPr>
        <xdr:cNvSpPr/>
      </xdr:nvSpPr>
      <xdr:spPr>
        <a:xfrm>
          <a:off x="8061960" y="3726180"/>
          <a:ext cx="3886200" cy="2727960"/>
        </a:xfrm>
        <a:prstGeom prst="roundRect">
          <a:avLst>
            <a:gd name="adj" fmla="val 10039"/>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xdr:colOff>
      <xdr:row>22</xdr:row>
      <xdr:rowOff>60960</xdr:rowOff>
    </xdr:from>
    <xdr:to>
      <xdr:col>6</xdr:col>
      <xdr:colOff>335280</xdr:colOff>
      <xdr:row>38</xdr:row>
      <xdr:rowOff>53340</xdr:rowOff>
    </xdr:to>
    <xdr:sp macro="" textlink="">
      <xdr:nvSpPr>
        <xdr:cNvPr id="10" name="Rectangle: Rounded Corners 9">
          <a:extLst>
            <a:ext uri="{FF2B5EF4-FFF2-40B4-BE49-F238E27FC236}">
              <a16:creationId xmlns:a16="http://schemas.microsoft.com/office/drawing/2014/main" id="{3529633D-DA83-49B5-A728-19B97C2B7F37}"/>
            </a:ext>
          </a:extLst>
        </xdr:cNvPr>
        <xdr:cNvSpPr/>
      </xdr:nvSpPr>
      <xdr:spPr>
        <a:xfrm>
          <a:off x="53340" y="3749040"/>
          <a:ext cx="3939540" cy="2674620"/>
        </a:xfrm>
        <a:prstGeom prst="roundRect">
          <a:avLst>
            <a:gd name="adj" fmla="val 11989"/>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525780</xdr:colOff>
      <xdr:row>1</xdr:row>
      <xdr:rowOff>68580</xdr:rowOff>
    </xdr:from>
    <xdr:to>
      <xdr:col>9</xdr:col>
      <xdr:colOff>510540</xdr:colOff>
      <xdr:row>7</xdr:row>
      <xdr:rowOff>30480</xdr:rowOff>
    </xdr:to>
    <xdr:sp macro="" textlink="">
      <xdr:nvSpPr>
        <xdr:cNvPr id="11" name="Rectangle: Rounded Corners 10">
          <a:extLst>
            <a:ext uri="{FF2B5EF4-FFF2-40B4-BE49-F238E27FC236}">
              <a16:creationId xmlns:a16="http://schemas.microsoft.com/office/drawing/2014/main" id="{9D453A02-4B6A-4F00-94A0-810F0A0EDCC5}"/>
            </a:ext>
          </a:extLst>
        </xdr:cNvPr>
        <xdr:cNvSpPr/>
      </xdr:nvSpPr>
      <xdr:spPr>
        <a:xfrm>
          <a:off x="4183380" y="236220"/>
          <a:ext cx="1813560" cy="967740"/>
        </a:xfrm>
        <a:prstGeom prst="roundRect">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Lucida Console" panose="020B0609040504020204" pitchFamily="49" charset="0"/>
            </a:rPr>
            <a:t>30-Days Retention Rate  </a:t>
          </a:r>
        </a:p>
        <a:p>
          <a:pPr algn="ctr"/>
          <a:r>
            <a:rPr lang="en-US" sz="1200" b="1">
              <a:solidFill>
                <a:sysClr val="windowText" lastClr="000000"/>
              </a:solidFill>
              <a:latin typeface="Lucida Console" panose="020B0609040504020204" pitchFamily="49" charset="0"/>
            </a:rPr>
            <a:t>[FREE]</a:t>
          </a:r>
        </a:p>
        <a:p>
          <a:pPr algn="l"/>
          <a:endParaRPr lang="en-US" sz="1100"/>
        </a:p>
        <a:p>
          <a:pPr algn="ctr"/>
          <a:r>
            <a:rPr lang="en-US" sz="1100" b="1" i="0" u="none" strike="noStrike">
              <a:solidFill>
                <a:sysClr val="windowText" lastClr="000000"/>
              </a:solidFill>
              <a:effectLst/>
              <a:latin typeface="Lucida Console" panose="020B0609040504020204" pitchFamily="49" charset="0"/>
              <a:ea typeface="+mn-ea"/>
              <a:cs typeface="+mn-cs"/>
            </a:rPr>
            <a:t>63.46%</a:t>
          </a:r>
          <a:r>
            <a:rPr lang="en-US" b="1">
              <a:solidFill>
                <a:sysClr val="windowText" lastClr="000000"/>
              </a:solidFill>
              <a:effectLst/>
              <a:latin typeface="Lucida Console" panose="020B0609040504020204" pitchFamily="49" charset="0"/>
            </a:rPr>
            <a:t> </a:t>
          </a:r>
          <a:endParaRPr lang="en-US" sz="1100" b="1">
            <a:solidFill>
              <a:sysClr val="windowText" lastClr="000000"/>
            </a:solidFill>
            <a:latin typeface="Lucida Console" panose="020B0609040504020204" pitchFamily="49" charset="0"/>
          </a:endParaRPr>
        </a:p>
        <a:p>
          <a:pPr algn="l"/>
          <a:endParaRPr lang="en-US" sz="1100"/>
        </a:p>
      </xdr:txBody>
    </xdr:sp>
    <xdr:clientData/>
  </xdr:twoCellAnchor>
  <xdr:twoCellAnchor>
    <xdr:from>
      <xdr:col>13</xdr:col>
      <xdr:colOff>114300</xdr:colOff>
      <xdr:row>1</xdr:row>
      <xdr:rowOff>76200</xdr:rowOff>
    </xdr:from>
    <xdr:to>
      <xdr:col>16</xdr:col>
      <xdr:colOff>167640</xdr:colOff>
      <xdr:row>7</xdr:row>
      <xdr:rowOff>22860</xdr:rowOff>
    </xdr:to>
    <xdr:sp macro="" textlink="">
      <xdr:nvSpPr>
        <xdr:cNvPr id="12" name="Rectangle: Rounded Corners 11">
          <a:extLst>
            <a:ext uri="{FF2B5EF4-FFF2-40B4-BE49-F238E27FC236}">
              <a16:creationId xmlns:a16="http://schemas.microsoft.com/office/drawing/2014/main" id="{1C261784-964E-4A0D-B530-CF1C9938BE89}"/>
            </a:ext>
          </a:extLst>
        </xdr:cNvPr>
        <xdr:cNvSpPr/>
      </xdr:nvSpPr>
      <xdr:spPr>
        <a:xfrm>
          <a:off x="8039100" y="243840"/>
          <a:ext cx="1882140" cy="952500"/>
        </a:xfrm>
        <a:prstGeom prst="roundRect">
          <a:avLst/>
        </a:prstGeom>
        <a:solidFill>
          <a:srgbClr val="D8EB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Lucida Console" panose="020B0609040504020204" pitchFamily="49" charset="0"/>
            </a:rPr>
            <a:t>30-Days Retention Rate</a:t>
          </a:r>
        </a:p>
        <a:p>
          <a:pPr algn="ctr"/>
          <a:r>
            <a:rPr lang="en-US" sz="1200" b="1">
              <a:solidFill>
                <a:sysClr val="windowText" lastClr="000000"/>
              </a:solidFill>
              <a:latin typeface="Lucida Console" panose="020B0609040504020204" pitchFamily="49" charset="0"/>
            </a:rPr>
            <a:t>[PREMIUM]</a:t>
          </a:r>
        </a:p>
        <a:p>
          <a:pPr algn="l"/>
          <a:endParaRPr lang="en-US" sz="1100"/>
        </a:p>
        <a:p>
          <a:pPr algn="ctr"/>
          <a:r>
            <a:rPr lang="en-US" sz="1100" b="1">
              <a:solidFill>
                <a:sysClr val="windowText" lastClr="000000"/>
              </a:solidFill>
              <a:latin typeface="Lucida Console" panose="020B0609040504020204" pitchFamily="49" charset="0"/>
            </a:rPr>
            <a:t>67.75%</a:t>
          </a:r>
        </a:p>
      </xdr:txBody>
    </xdr:sp>
    <xdr:clientData/>
  </xdr:twoCellAnchor>
  <xdr:twoCellAnchor>
    <xdr:from>
      <xdr:col>3</xdr:col>
      <xdr:colOff>411480</xdr:colOff>
      <xdr:row>7</xdr:row>
      <xdr:rowOff>121920</xdr:rowOff>
    </xdr:from>
    <xdr:to>
      <xdr:col>11</xdr:col>
      <xdr:colOff>175260</xdr:colOff>
      <xdr:row>21</xdr:row>
      <xdr:rowOff>99060</xdr:rowOff>
    </xdr:to>
    <xdr:graphicFrame macro="">
      <xdr:nvGraphicFramePr>
        <xdr:cNvPr id="14" name="Chart 13">
          <a:extLst>
            <a:ext uri="{FF2B5EF4-FFF2-40B4-BE49-F238E27FC236}">
              <a16:creationId xmlns:a16="http://schemas.microsoft.com/office/drawing/2014/main" id="{C1F11F6E-D795-405F-8CCC-A17CD731E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22</xdr:row>
      <xdr:rowOff>114300</xdr:rowOff>
    </xdr:from>
    <xdr:to>
      <xdr:col>6</xdr:col>
      <xdr:colOff>289560</xdr:colOff>
      <xdr:row>38</xdr:row>
      <xdr:rowOff>0</xdr:rowOff>
    </xdr:to>
    <xdr:graphicFrame macro="">
      <xdr:nvGraphicFramePr>
        <xdr:cNvPr id="16" name="Chart 15">
          <a:extLst>
            <a:ext uri="{FF2B5EF4-FFF2-40B4-BE49-F238E27FC236}">
              <a16:creationId xmlns:a16="http://schemas.microsoft.com/office/drawing/2014/main" id="{42337062-01D2-445D-BA09-5EAC886C8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175260</xdr:colOff>
      <xdr:row>22</xdr:row>
      <xdr:rowOff>106680</xdr:rowOff>
    </xdr:from>
    <xdr:to>
      <xdr:col>19</xdr:col>
      <xdr:colOff>297180</xdr:colOff>
      <xdr:row>38</xdr:row>
      <xdr:rowOff>22860</xdr:rowOff>
    </xdr:to>
    <xdr:graphicFrame macro="">
      <xdr:nvGraphicFramePr>
        <xdr:cNvPr id="18" name="Chart 17">
          <a:extLst>
            <a:ext uri="{FF2B5EF4-FFF2-40B4-BE49-F238E27FC236}">
              <a16:creationId xmlns:a16="http://schemas.microsoft.com/office/drawing/2014/main" id="{6A856E9F-46C8-4801-A058-90FB240EB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464820</xdr:colOff>
      <xdr:row>22</xdr:row>
      <xdr:rowOff>99060</xdr:rowOff>
    </xdr:from>
    <xdr:to>
      <xdr:col>12</xdr:col>
      <xdr:colOff>594360</xdr:colOff>
      <xdr:row>38</xdr:row>
      <xdr:rowOff>15240</xdr:rowOff>
    </xdr:to>
    <xdr:graphicFrame macro="">
      <xdr:nvGraphicFramePr>
        <xdr:cNvPr id="20" name="Chart 19">
          <a:extLst>
            <a:ext uri="{FF2B5EF4-FFF2-40B4-BE49-F238E27FC236}">
              <a16:creationId xmlns:a16="http://schemas.microsoft.com/office/drawing/2014/main" id="{2E1B1F2F-51C0-4B3B-B498-C42C31249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335280</xdr:colOff>
      <xdr:row>7</xdr:row>
      <xdr:rowOff>121920</xdr:rowOff>
    </xdr:from>
    <xdr:to>
      <xdr:col>19</xdr:col>
      <xdr:colOff>167640</xdr:colOff>
      <xdr:row>21</xdr:row>
      <xdr:rowOff>106680</xdr:rowOff>
    </xdr:to>
    <xdr:graphicFrame macro="">
      <xdr:nvGraphicFramePr>
        <xdr:cNvPr id="22" name="Chart 21">
          <a:extLst>
            <a:ext uri="{FF2B5EF4-FFF2-40B4-BE49-F238E27FC236}">
              <a16:creationId xmlns:a16="http://schemas.microsoft.com/office/drawing/2014/main" id="{F9EFDADB-7E57-4C6F-9EE0-9FB37B60F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152400</xdr:colOff>
      <xdr:row>6</xdr:row>
      <xdr:rowOff>106681</xdr:rowOff>
    </xdr:from>
    <xdr:to>
      <xdr:col>3</xdr:col>
      <xdr:colOff>266700</xdr:colOff>
      <xdr:row>15</xdr:row>
      <xdr:rowOff>99061</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2CEAE32E-C7EB-D3F5-E3C6-8F6060DF80F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2400" y="1112521"/>
              <a:ext cx="19431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12</xdr:row>
      <xdr:rowOff>83820</xdr:rowOff>
    </xdr:from>
    <xdr:to>
      <xdr:col>3</xdr:col>
      <xdr:colOff>274320</xdr:colOff>
      <xdr:row>21</xdr:row>
      <xdr:rowOff>152399</xdr:rowOff>
    </xdr:to>
    <mc:AlternateContent xmlns:mc="http://schemas.openxmlformats.org/markup-compatibility/2006" xmlns:a14="http://schemas.microsoft.com/office/drawing/2010/main">
      <mc:Choice Requires="a14">
        <xdr:graphicFrame macro="">
          <xdr:nvGraphicFramePr>
            <xdr:cNvPr id="24" name="Acquisition_Channel">
              <a:extLst>
                <a:ext uri="{FF2B5EF4-FFF2-40B4-BE49-F238E27FC236}">
                  <a16:creationId xmlns:a16="http://schemas.microsoft.com/office/drawing/2014/main" id="{B9A31D4C-1092-9486-DA65-6FEDE4F65D8A}"/>
                </a:ext>
              </a:extLst>
            </xdr:cNvPr>
            <xdr:cNvGraphicFramePr/>
          </xdr:nvGraphicFramePr>
          <xdr:xfrm>
            <a:off x="0" y="0"/>
            <a:ext cx="0" cy="0"/>
          </xdr:xfrm>
          <a:graphic>
            <a:graphicData uri="http://schemas.microsoft.com/office/drawing/2010/slicer">
              <sle:slicer xmlns:sle="http://schemas.microsoft.com/office/drawing/2010/slicer" name="Acquisition_Channel"/>
            </a:graphicData>
          </a:graphic>
        </xdr:graphicFrame>
      </mc:Choice>
      <mc:Fallback xmlns="">
        <xdr:sp macro="" textlink="">
          <xdr:nvSpPr>
            <xdr:cNvPr id="0" name=""/>
            <xdr:cNvSpPr>
              <a:spLocks noTextEdit="1"/>
            </xdr:cNvSpPr>
          </xdr:nvSpPr>
          <xdr:spPr>
            <a:xfrm>
              <a:off x="137160" y="2095500"/>
              <a:ext cx="1965960" cy="1577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487680</xdr:colOff>
      <xdr:row>2</xdr:row>
      <xdr:rowOff>106680</xdr:rowOff>
    </xdr:from>
    <xdr:to>
      <xdr:col>11</xdr:col>
      <xdr:colOff>426720</xdr:colOff>
      <xdr:row>9</xdr:row>
      <xdr:rowOff>114300</xdr:rowOff>
    </xdr:to>
    <xdr:sp macro="" textlink="">
      <xdr:nvSpPr>
        <xdr:cNvPr id="3" name="Rectangle: Rounded Corners 2">
          <a:extLst>
            <a:ext uri="{FF2B5EF4-FFF2-40B4-BE49-F238E27FC236}">
              <a16:creationId xmlns:a16="http://schemas.microsoft.com/office/drawing/2014/main" id="{25E824B5-7E04-4CE7-8EF3-DB8279175130}"/>
            </a:ext>
          </a:extLst>
        </xdr:cNvPr>
        <xdr:cNvSpPr/>
      </xdr:nvSpPr>
      <xdr:spPr>
        <a:xfrm>
          <a:off x="5364480" y="441960"/>
          <a:ext cx="1767840" cy="1181100"/>
        </a:xfrm>
        <a:prstGeom prst="roundRect">
          <a:avLst>
            <a:gd name="adj" fmla="val 1298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latin typeface="Lucida Console" panose="020B0609040504020204" pitchFamily="49" charset="0"/>
            </a:rPr>
            <a:t>Average Revenue [Male]</a:t>
          </a:r>
        </a:p>
        <a:p>
          <a:pPr algn="ctr"/>
          <a:endParaRPr lang="en-US" sz="1400" b="1" i="0">
            <a:solidFill>
              <a:sysClr val="windowText" lastClr="000000"/>
            </a:solidFill>
            <a:effectLst/>
            <a:latin typeface="Lucida Console" panose="020B0609040504020204" pitchFamily="49" charset="0"/>
            <a:ea typeface="+mn-ea"/>
            <a:cs typeface="+mn-cs"/>
          </a:endParaRPr>
        </a:p>
        <a:p>
          <a:pPr algn="ctr"/>
          <a:r>
            <a:rPr lang="en-US" sz="1400" b="1" i="0">
              <a:solidFill>
                <a:sysClr val="windowText" lastClr="000000"/>
              </a:solidFill>
              <a:effectLst/>
              <a:latin typeface="Lucida Console" panose="020B0609040504020204" pitchFamily="49" charset="0"/>
              <a:ea typeface="+mn-ea"/>
              <a:cs typeface="+mn-cs"/>
            </a:rPr>
            <a:t>£</a:t>
          </a:r>
          <a:r>
            <a:rPr lang="en-US" sz="1400" b="1">
              <a:solidFill>
                <a:sysClr val="windowText" lastClr="000000"/>
              </a:solidFill>
              <a:latin typeface="Lucida Console" panose="020B0609040504020204" pitchFamily="49" charset="0"/>
            </a:rPr>
            <a:t>19.27</a:t>
          </a:r>
        </a:p>
      </xdr:txBody>
    </xdr:sp>
    <xdr:clientData/>
  </xdr:twoCellAnchor>
  <xdr:twoCellAnchor>
    <xdr:from>
      <xdr:col>8</xdr:col>
      <xdr:colOff>472440</xdr:colOff>
      <xdr:row>9</xdr:row>
      <xdr:rowOff>152400</xdr:rowOff>
    </xdr:from>
    <xdr:to>
      <xdr:col>11</xdr:col>
      <xdr:colOff>449580</xdr:colOff>
      <xdr:row>17</xdr:row>
      <xdr:rowOff>137160</xdr:rowOff>
    </xdr:to>
    <xdr:sp macro="" textlink="">
      <xdr:nvSpPr>
        <xdr:cNvPr id="4" name="Rectangle: Rounded Corners 3">
          <a:extLst>
            <a:ext uri="{FF2B5EF4-FFF2-40B4-BE49-F238E27FC236}">
              <a16:creationId xmlns:a16="http://schemas.microsoft.com/office/drawing/2014/main" id="{54C91D62-1A00-4C6A-A4A9-3A5DCA637E20}"/>
            </a:ext>
          </a:extLst>
        </xdr:cNvPr>
        <xdr:cNvSpPr/>
      </xdr:nvSpPr>
      <xdr:spPr>
        <a:xfrm>
          <a:off x="5349240" y="1661160"/>
          <a:ext cx="1805940" cy="1325880"/>
        </a:xfrm>
        <a:prstGeom prst="roundRect">
          <a:avLst>
            <a:gd name="adj" fmla="val 1315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latin typeface="Lucida Console" panose="020B0609040504020204" pitchFamily="49" charset="0"/>
            </a:rPr>
            <a:t>Retention Rate [Male]</a:t>
          </a:r>
        </a:p>
        <a:p>
          <a:pPr algn="ctr"/>
          <a:endParaRPr lang="en-US" sz="1400" b="1">
            <a:solidFill>
              <a:sysClr val="windowText" lastClr="000000"/>
            </a:solidFill>
            <a:latin typeface="Lucida Console" panose="020B0609040504020204" pitchFamily="49" charset="0"/>
          </a:endParaRPr>
        </a:p>
        <a:p>
          <a:pPr algn="ctr"/>
          <a:endParaRPr lang="en-US" sz="1400" b="1">
            <a:solidFill>
              <a:sysClr val="windowText" lastClr="000000"/>
            </a:solidFill>
            <a:latin typeface="Lucida Console" panose="020B0609040504020204" pitchFamily="49" charset="0"/>
          </a:endParaRPr>
        </a:p>
        <a:p>
          <a:pPr algn="ctr"/>
          <a:r>
            <a:rPr lang="en-US" sz="1400" b="1">
              <a:solidFill>
                <a:sysClr val="windowText" lastClr="000000"/>
              </a:solidFill>
              <a:latin typeface="Lucida Console" panose="020B0609040504020204" pitchFamily="49" charset="0"/>
            </a:rPr>
            <a:t>62.2%</a:t>
          </a:r>
        </a:p>
      </xdr:txBody>
    </xdr:sp>
    <xdr:clientData/>
  </xdr:twoCellAnchor>
  <xdr:twoCellAnchor>
    <xdr:from>
      <xdr:col>11</xdr:col>
      <xdr:colOff>487680</xdr:colOff>
      <xdr:row>2</xdr:row>
      <xdr:rowOff>106680</xdr:rowOff>
    </xdr:from>
    <xdr:to>
      <xdr:col>18</xdr:col>
      <xdr:colOff>198120</xdr:colOff>
      <xdr:row>17</xdr:row>
      <xdr:rowOff>83820</xdr:rowOff>
    </xdr:to>
    <xdr:sp macro="" textlink="">
      <xdr:nvSpPr>
        <xdr:cNvPr id="5" name="Rectangle: Rounded Corners 4">
          <a:extLst>
            <a:ext uri="{FF2B5EF4-FFF2-40B4-BE49-F238E27FC236}">
              <a16:creationId xmlns:a16="http://schemas.microsoft.com/office/drawing/2014/main" id="{E438C670-FF54-4CC6-8371-3702A64C4CE4}"/>
            </a:ext>
          </a:extLst>
        </xdr:cNvPr>
        <xdr:cNvSpPr/>
      </xdr:nvSpPr>
      <xdr:spPr>
        <a:xfrm>
          <a:off x="7193280" y="441960"/>
          <a:ext cx="3977640" cy="2491740"/>
        </a:xfrm>
        <a:prstGeom prst="roundRect">
          <a:avLst>
            <a:gd name="adj" fmla="val 59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11</xdr:col>
      <xdr:colOff>541020</xdr:colOff>
      <xdr:row>17</xdr:row>
      <xdr:rowOff>129540</xdr:rowOff>
    </xdr:from>
    <xdr:to>
      <xdr:col>18</xdr:col>
      <xdr:colOff>205740</xdr:colOff>
      <xdr:row>37</xdr:row>
      <xdr:rowOff>60960</xdr:rowOff>
    </xdr:to>
    <xdr:sp macro="" textlink="">
      <xdr:nvSpPr>
        <xdr:cNvPr id="6" name="Rectangle: Rounded Corners 5">
          <a:extLst>
            <a:ext uri="{FF2B5EF4-FFF2-40B4-BE49-F238E27FC236}">
              <a16:creationId xmlns:a16="http://schemas.microsoft.com/office/drawing/2014/main" id="{0F0F2D2E-64A8-4510-BB20-D1169581316A}"/>
            </a:ext>
          </a:extLst>
        </xdr:cNvPr>
        <xdr:cNvSpPr/>
      </xdr:nvSpPr>
      <xdr:spPr>
        <a:xfrm>
          <a:off x="7246620" y="2979420"/>
          <a:ext cx="3931920" cy="3284220"/>
        </a:xfrm>
        <a:prstGeom prst="roundRect">
          <a:avLst>
            <a:gd name="adj" fmla="val 658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6</xdr:col>
      <xdr:colOff>0</xdr:colOff>
      <xdr:row>18</xdr:row>
      <xdr:rowOff>7620</xdr:rowOff>
    </xdr:from>
    <xdr:to>
      <xdr:col>11</xdr:col>
      <xdr:colOff>487680</xdr:colOff>
      <xdr:row>37</xdr:row>
      <xdr:rowOff>68580</xdr:rowOff>
    </xdr:to>
    <xdr:sp macro="" textlink="">
      <xdr:nvSpPr>
        <xdr:cNvPr id="7" name="Rectangle: Rounded Corners 6">
          <a:extLst>
            <a:ext uri="{FF2B5EF4-FFF2-40B4-BE49-F238E27FC236}">
              <a16:creationId xmlns:a16="http://schemas.microsoft.com/office/drawing/2014/main" id="{B81F1AF7-6C05-4752-B5FC-493D4B8B9B49}"/>
            </a:ext>
          </a:extLst>
        </xdr:cNvPr>
        <xdr:cNvSpPr/>
      </xdr:nvSpPr>
      <xdr:spPr>
        <a:xfrm>
          <a:off x="3657600" y="3025140"/>
          <a:ext cx="3535680" cy="3246120"/>
        </a:xfrm>
        <a:prstGeom prst="roundRect">
          <a:avLst>
            <a:gd name="adj" fmla="val 68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0</xdr:col>
      <xdr:colOff>76200</xdr:colOff>
      <xdr:row>18</xdr:row>
      <xdr:rowOff>38100</xdr:rowOff>
    </xdr:from>
    <xdr:to>
      <xdr:col>5</xdr:col>
      <xdr:colOff>533400</xdr:colOff>
      <xdr:row>37</xdr:row>
      <xdr:rowOff>76200</xdr:rowOff>
    </xdr:to>
    <xdr:sp macro="" textlink="">
      <xdr:nvSpPr>
        <xdr:cNvPr id="8" name="Rectangle: Rounded Corners 7">
          <a:extLst>
            <a:ext uri="{FF2B5EF4-FFF2-40B4-BE49-F238E27FC236}">
              <a16:creationId xmlns:a16="http://schemas.microsoft.com/office/drawing/2014/main" id="{1F7BD159-6B9D-4B0C-BC22-AF1079599677}"/>
            </a:ext>
          </a:extLst>
        </xdr:cNvPr>
        <xdr:cNvSpPr/>
      </xdr:nvSpPr>
      <xdr:spPr>
        <a:xfrm>
          <a:off x="76200" y="3055620"/>
          <a:ext cx="3505200" cy="3223260"/>
        </a:xfrm>
        <a:prstGeom prst="roundRect">
          <a:avLst>
            <a:gd name="adj" fmla="val 99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0</xdr:col>
      <xdr:colOff>76200</xdr:colOff>
      <xdr:row>2</xdr:row>
      <xdr:rowOff>99060</xdr:rowOff>
    </xdr:from>
    <xdr:to>
      <xdr:col>5</xdr:col>
      <xdr:colOff>525780</xdr:colOff>
      <xdr:row>17</xdr:row>
      <xdr:rowOff>144780</xdr:rowOff>
    </xdr:to>
    <xdr:sp macro="" textlink="">
      <xdr:nvSpPr>
        <xdr:cNvPr id="9" name="Rectangle: Rounded Corners 8">
          <a:extLst>
            <a:ext uri="{FF2B5EF4-FFF2-40B4-BE49-F238E27FC236}">
              <a16:creationId xmlns:a16="http://schemas.microsoft.com/office/drawing/2014/main" id="{965E351C-8EA3-4A65-994B-B357A3FBE3A3}"/>
            </a:ext>
          </a:extLst>
        </xdr:cNvPr>
        <xdr:cNvSpPr/>
      </xdr:nvSpPr>
      <xdr:spPr>
        <a:xfrm>
          <a:off x="76200" y="434340"/>
          <a:ext cx="3497580" cy="2560320"/>
        </a:xfrm>
        <a:prstGeom prst="roundRect">
          <a:avLst>
            <a:gd name="adj" fmla="val 1145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0</xdr:col>
      <xdr:colOff>99060</xdr:colOff>
      <xdr:row>0</xdr:row>
      <xdr:rowOff>53340</xdr:rowOff>
    </xdr:from>
    <xdr:to>
      <xdr:col>18</xdr:col>
      <xdr:colOff>175260</xdr:colOff>
      <xdr:row>2</xdr:row>
      <xdr:rowOff>60960</xdr:rowOff>
    </xdr:to>
    <xdr:sp macro="" textlink="">
      <xdr:nvSpPr>
        <xdr:cNvPr id="10" name="Rectangle: Rounded Corners 9">
          <a:extLst>
            <a:ext uri="{FF2B5EF4-FFF2-40B4-BE49-F238E27FC236}">
              <a16:creationId xmlns:a16="http://schemas.microsoft.com/office/drawing/2014/main" id="{8361E1F2-79FC-453E-8C06-81B1366FEC43}"/>
            </a:ext>
          </a:extLst>
        </xdr:cNvPr>
        <xdr:cNvSpPr/>
      </xdr:nvSpPr>
      <xdr:spPr>
        <a:xfrm>
          <a:off x="99060" y="53340"/>
          <a:ext cx="11049000" cy="342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latin typeface="Lucida Console" panose="020B0609040504020204" pitchFamily="49" charset="0"/>
            </a:rPr>
            <a:t>Northstar Feature</a:t>
          </a:r>
          <a:r>
            <a:rPr lang="en-US" sz="1800" b="1" baseline="0">
              <a:solidFill>
                <a:sysClr val="windowText" lastClr="000000"/>
              </a:solidFill>
              <a:latin typeface="Lucida Console" panose="020B0609040504020204" pitchFamily="49" charset="0"/>
            </a:rPr>
            <a:t> Performance By Gender</a:t>
          </a:r>
          <a:endParaRPr lang="en-US" sz="1800" b="1">
            <a:solidFill>
              <a:sysClr val="windowText" lastClr="000000"/>
            </a:solidFill>
            <a:latin typeface="Lucida Console" panose="020B0609040504020204" pitchFamily="49" charset="0"/>
          </a:endParaRPr>
        </a:p>
      </xdr:txBody>
    </xdr:sp>
    <xdr:clientData/>
  </xdr:twoCellAnchor>
  <xdr:twoCellAnchor>
    <xdr:from>
      <xdr:col>5</xdr:col>
      <xdr:colOff>579120</xdr:colOff>
      <xdr:row>2</xdr:row>
      <xdr:rowOff>106680</xdr:rowOff>
    </xdr:from>
    <xdr:to>
      <xdr:col>8</xdr:col>
      <xdr:colOff>426720</xdr:colOff>
      <xdr:row>9</xdr:row>
      <xdr:rowOff>106680</xdr:rowOff>
    </xdr:to>
    <xdr:sp macro="" textlink="">
      <xdr:nvSpPr>
        <xdr:cNvPr id="11" name="Rectangle: Rounded Corners 10">
          <a:extLst>
            <a:ext uri="{FF2B5EF4-FFF2-40B4-BE49-F238E27FC236}">
              <a16:creationId xmlns:a16="http://schemas.microsoft.com/office/drawing/2014/main" id="{FC74FF4B-4ADE-4B62-92A4-F97595BD333A}"/>
            </a:ext>
          </a:extLst>
        </xdr:cNvPr>
        <xdr:cNvSpPr/>
      </xdr:nvSpPr>
      <xdr:spPr>
        <a:xfrm>
          <a:off x="3627120" y="441960"/>
          <a:ext cx="1676400" cy="1173480"/>
        </a:xfrm>
        <a:prstGeom prst="roundRect">
          <a:avLst>
            <a:gd name="adj" fmla="val 1350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latin typeface="Lucida Console" panose="020B0609040504020204" pitchFamily="49" charset="0"/>
            </a:rPr>
            <a:t>Average Revenue [Female]</a:t>
          </a:r>
        </a:p>
        <a:p>
          <a:pPr algn="ctr"/>
          <a:endParaRPr lang="en-US" sz="1400" b="1">
            <a:solidFill>
              <a:sysClr val="windowText" lastClr="000000"/>
            </a:solidFill>
            <a:latin typeface="Lucida Console" panose="020B0609040504020204" pitchFamily="49" charset="0"/>
          </a:endParaRPr>
        </a:p>
        <a:p>
          <a:pPr algn="ctr"/>
          <a:r>
            <a:rPr lang="en-US" sz="1400" b="1" i="0" u="none" strike="noStrike">
              <a:solidFill>
                <a:sysClr val="windowText" lastClr="000000"/>
              </a:solidFill>
              <a:effectLst/>
              <a:latin typeface="Lucida Console" panose="020B0609040504020204" pitchFamily="49" charset="0"/>
              <a:ea typeface="+mn-ea"/>
              <a:cs typeface="+mn-cs"/>
            </a:rPr>
            <a:t>£22.18</a:t>
          </a:r>
          <a:r>
            <a:rPr lang="en-US" sz="1400" b="1">
              <a:solidFill>
                <a:sysClr val="windowText" lastClr="000000"/>
              </a:solidFill>
              <a:effectLst/>
              <a:latin typeface="Lucida Console" panose="020B0609040504020204" pitchFamily="49" charset="0"/>
            </a:rPr>
            <a:t> </a:t>
          </a:r>
          <a:endParaRPr lang="en-US" sz="1400" b="1">
            <a:solidFill>
              <a:sysClr val="windowText" lastClr="000000"/>
            </a:solidFill>
            <a:latin typeface="Lucida Console" panose="020B0609040504020204" pitchFamily="49" charset="0"/>
          </a:endParaRPr>
        </a:p>
        <a:p>
          <a:pPr algn="l"/>
          <a:endParaRPr lang="en-US" sz="1100"/>
        </a:p>
        <a:p>
          <a:pPr algn="l"/>
          <a:endParaRPr lang="en-US" sz="1100"/>
        </a:p>
      </xdr:txBody>
    </xdr:sp>
    <xdr:clientData/>
  </xdr:twoCellAnchor>
  <xdr:twoCellAnchor>
    <xdr:from>
      <xdr:col>6</xdr:col>
      <xdr:colOff>45720</xdr:colOff>
      <xdr:row>18</xdr:row>
      <xdr:rowOff>76200</xdr:rowOff>
    </xdr:from>
    <xdr:to>
      <xdr:col>11</xdr:col>
      <xdr:colOff>426720</xdr:colOff>
      <xdr:row>37</xdr:row>
      <xdr:rowOff>22860</xdr:rowOff>
    </xdr:to>
    <xdr:graphicFrame macro="">
      <xdr:nvGraphicFramePr>
        <xdr:cNvPr id="13" name="Chart 12">
          <a:extLst>
            <a:ext uri="{FF2B5EF4-FFF2-40B4-BE49-F238E27FC236}">
              <a16:creationId xmlns:a16="http://schemas.microsoft.com/office/drawing/2014/main" id="{ED26FEC0-8EA3-4748-9CF9-88D8D9EA3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563880</xdr:colOff>
      <xdr:row>18</xdr:row>
      <xdr:rowOff>15240</xdr:rowOff>
    </xdr:from>
    <xdr:to>
      <xdr:col>18</xdr:col>
      <xdr:colOff>152400</xdr:colOff>
      <xdr:row>36</xdr:row>
      <xdr:rowOff>160020</xdr:rowOff>
    </xdr:to>
    <xdr:graphicFrame macro="">
      <xdr:nvGraphicFramePr>
        <xdr:cNvPr id="14" name="Chart 13">
          <a:extLst>
            <a:ext uri="{FF2B5EF4-FFF2-40B4-BE49-F238E27FC236}">
              <a16:creationId xmlns:a16="http://schemas.microsoft.com/office/drawing/2014/main" id="{BC31B609-FFE3-4804-8A1E-A5FBB5220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525780</xdr:colOff>
      <xdr:row>2</xdr:row>
      <xdr:rowOff>129540</xdr:rowOff>
    </xdr:from>
    <xdr:to>
      <xdr:col>18</xdr:col>
      <xdr:colOff>129540</xdr:colOff>
      <xdr:row>17</xdr:row>
      <xdr:rowOff>45720</xdr:rowOff>
    </xdr:to>
    <xdr:graphicFrame macro="">
      <xdr:nvGraphicFramePr>
        <xdr:cNvPr id="15" name="Chart 14">
          <a:extLst>
            <a:ext uri="{FF2B5EF4-FFF2-40B4-BE49-F238E27FC236}">
              <a16:creationId xmlns:a16="http://schemas.microsoft.com/office/drawing/2014/main" id="{883BDC73-ED92-4995-A459-CEF126421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18</xdr:row>
      <xdr:rowOff>152400</xdr:rowOff>
    </xdr:from>
    <xdr:to>
      <xdr:col>5</xdr:col>
      <xdr:colOff>495300</xdr:colOff>
      <xdr:row>37</xdr:row>
      <xdr:rowOff>38100</xdr:rowOff>
    </xdr:to>
    <xdr:graphicFrame macro="">
      <xdr:nvGraphicFramePr>
        <xdr:cNvPr id="17" name="Chart 16">
          <a:extLst>
            <a:ext uri="{FF2B5EF4-FFF2-40B4-BE49-F238E27FC236}">
              <a16:creationId xmlns:a16="http://schemas.microsoft.com/office/drawing/2014/main" id="{EE92A694-A19A-4686-A6D5-8A59B9B31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579120</xdr:colOff>
      <xdr:row>9</xdr:row>
      <xdr:rowOff>137160</xdr:rowOff>
    </xdr:from>
    <xdr:to>
      <xdr:col>8</xdr:col>
      <xdr:colOff>434340</xdr:colOff>
      <xdr:row>17</xdr:row>
      <xdr:rowOff>121920</xdr:rowOff>
    </xdr:to>
    <xdr:sp macro="" textlink="">
      <xdr:nvSpPr>
        <xdr:cNvPr id="18" name="Rectangle: Rounded Corners 17">
          <a:extLst>
            <a:ext uri="{FF2B5EF4-FFF2-40B4-BE49-F238E27FC236}">
              <a16:creationId xmlns:a16="http://schemas.microsoft.com/office/drawing/2014/main" id="{8A2A072B-78CB-4795-813D-25E0FDA5B3FB}"/>
            </a:ext>
          </a:extLst>
        </xdr:cNvPr>
        <xdr:cNvSpPr/>
      </xdr:nvSpPr>
      <xdr:spPr>
        <a:xfrm>
          <a:off x="3627120" y="1645920"/>
          <a:ext cx="1684020" cy="1325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ysClr val="windowText" lastClr="000000"/>
              </a:solidFill>
              <a:latin typeface="Lucida Console" panose="020B0609040504020204" pitchFamily="49" charset="0"/>
            </a:rPr>
            <a:t> Retention Rate [Female]</a:t>
          </a:r>
        </a:p>
        <a:p>
          <a:pPr algn="ctr"/>
          <a:endParaRPr lang="en-US" sz="1400" b="1" baseline="0">
            <a:solidFill>
              <a:sysClr val="windowText" lastClr="000000"/>
            </a:solidFill>
            <a:latin typeface="Lucida Console" panose="020B0609040504020204" pitchFamily="49" charset="0"/>
          </a:endParaRPr>
        </a:p>
        <a:p>
          <a:pPr algn="ctr"/>
          <a:r>
            <a:rPr lang="en-US" sz="1400" b="1" baseline="0">
              <a:solidFill>
                <a:sysClr val="windowText" lastClr="000000"/>
              </a:solidFill>
              <a:latin typeface="Lucida Console" panose="020B0609040504020204" pitchFamily="49" charset="0"/>
            </a:rPr>
            <a:t> </a:t>
          </a:r>
          <a:r>
            <a:rPr lang="en-US" sz="1400" b="1" i="0" u="none" strike="noStrike">
              <a:solidFill>
                <a:sysClr val="windowText" lastClr="000000"/>
              </a:solidFill>
              <a:effectLst/>
              <a:latin typeface="Lucida Console" panose="020B0609040504020204" pitchFamily="49" charset="0"/>
              <a:ea typeface="+mn-ea"/>
              <a:cs typeface="+mn-cs"/>
            </a:rPr>
            <a:t>62.3%</a:t>
          </a:r>
          <a:r>
            <a:rPr lang="en-US" sz="1400" b="1">
              <a:solidFill>
                <a:sysClr val="windowText" lastClr="000000"/>
              </a:solidFill>
              <a:effectLst/>
              <a:latin typeface="Lucida Console" panose="020B0609040504020204" pitchFamily="49" charset="0"/>
            </a:rPr>
            <a:t> </a:t>
          </a:r>
          <a:endParaRPr lang="en-US" sz="1400" b="1">
            <a:solidFill>
              <a:sysClr val="windowText" lastClr="000000"/>
            </a:solidFill>
            <a:latin typeface="Lucida Console" panose="020B0609040504020204" pitchFamily="49" charset="0"/>
          </a:endParaRPr>
        </a:p>
      </xdr:txBody>
    </xdr:sp>
    <xdr:clientData/>
  </xdr:twoCellAnchor>
  <xdr:twoCellAnchor>
    <xdr:from>
      <xdr:col>0</xdr:col>
      <xdr:colOff>137160</xdr:colOff>
      <xdr:row>2</xdr:row>
      <xdr:rowOff>129540</xdr:rowOff>
    </xdr:from>
    <xdr:to>
      <xdr:col>5</xdr:col>
      <xdr:colOff>464820</xdr:colOff>
      <xdr:row>17</xdr:row>
      <xdr:rowOff>99060</xdr:rowOff>
    </xdr:to>
    <xdr:graphicFrame macro="">
      <xdr:nvGraphicFramePr>
        <xdr:cNvPr id="20" name="Chart 19">
          <a:extLst>
            <a:ext uri="{FF2B5EF4-FFF2-40B4-BE49-F238E27FC236}">
              <a16:creationId xmlns:a16="http://schemas.microsoft.com/office/drawing/2014/main" id="{52430032-0DD7-4268-AE8A-A25C52E02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52.677483912033" createdVersion="8" refreshedVersion="8" minRefreshableVersion="3" recordCount="1420" xr:uid="{629EB36A-6E70-41A1-9DD9-C6BA1021CC49}">
  <cacheSource type="worksheet">
    <worksheetSource ref="A1:AQ1048576" sheet="Cleaned Data"/>
  </cacheSource>
  <cacheFields count="43">
    <cacheField name="Product_Event_ID" numFmtId="0">
      <sharedItems containsBlank="1"/>
    </cacheField>
    <cacheField name="User_ID" numFmtId="0">
      <sharedItems containsBlank="1"/>
    </cacheField>
    <cacheField name="Session_ID" numFmtId="0">
      <sharedItems containsBlank="1"/>
    </cacheField>
    <cacheField name="Event_Date" numFmtId="0">
      <sharedItems containsNonDate="0" containsDate="1" containsString="0" containsBlank="1" minDate="2025-01-01T00:00:00" maxDate="2026-12-06T00:00:00"/>
    </cacheField>
    <cacheField name="UK_Region" numFmtId="0">
      <sharedItems containsBlank="1"/>
    </cacheField>
    <cacheField name="City" numFmtId="0">
      <sharedItems containsBlank="1"/>
    </cacheField>
    <cacheField name="Customer_Segment" numFmtId="0">
      <sharedItems containsBlank="1" count="9">
        <s v="Young Professionals"/>
        <s v="Small Business Owners"/>
        <s v="Families"/>
        <s v="Students"/>
        <s v="Retirees"/>
        <s v="Gig Workers"/>
        <s v="Unknown"/>
        <s v="High-Income Professionals"/>
        <m/>
      </sharedItems>
    </cacheField>
    <cacheField name="Age_Group" numFmtId="0">
      <sharedItems containsBlank="1"/>
    </cacheField>
    <cacheField name="Gender" numFmtId="0">
      <sharedItems containsBlank="1"/>
    </cacheField>
    <cacheField name="Platform" numFmtId="0">
      <sharedItems containsBlank="1"/>
    </cacheField>
    <cacheField name="Device_Type" numFmtId="0">
      <sharedItems containsBlank="1"/>
    </cacheField>
    <cacheField name="Account_Tenure" numFmtId="0">
      <sharedItems containsBlank="1"/>
    </cacheField>
    <cacheField name="Subscription_Plan" numFmtId="0">
      <sharedItems containsBlank="1"/>
    </cacheField>
    <cacheField name="Acquisition_Channel" numFmtId="0">
      <sharedItems containsBlank="1"/>
    </cacheField>
    <cacheField name="Feature_Name" numFmtId="0">
      <sharedItems containsBlank="1" count="12">
        <s v="Budget Planner"/>
        <s v="Instant Bank Transfer"/>
        <s v="Savings Pots"/>
        <s v="Bill Split"/>
        <s v="Cashflow Insights"/>
        <s v="International Transfer"/>
        <s v="Unknown"/>
        <s v="Virtual Card"/>
        <s v="Cashback Rewards"/>
        <s v="Direct Debit Manager"/>
        <s v="Credit Builder"/>
        <m/>
      </sharedItems>
    </cacheField>
    <cacheField name="Adoption_Status" numFmtId="0">
      <sharedItems containsBlank="1"/>
    </cacheField>
    <cacheField name="Experiment_Name" numFmtId="0">
      <sharedItems containsBlank="1"/>
    </cacheField>
    <cacheField name="Experiment_Variant" numFmtId="0">
      <sharedItems containsBlank="1"/>
    </cacheField>
    <cacheField name="Steps_Started" numFmtId="0">
      <sharedItems containsBlank="1" containsMixedTypes="1" containsNumber="1" containsInteger="1" minValue="-1" maxValue="99"/>
    </cacheField>
    <cacheField name="Steps_Completed" numFmtId="0">
      <sharedItems containsBlank="1" containsMixedTypes="1" containsNumber="1" containsInteger="1" minValue="-1" maxValue="99"/>
    </cacheField>
    <cacheField name="Time_On_Task_Seconds" numFmtId="0">
      <sharedItems containsString="0" containsBlank="1" containsNumber="1" containsInteger="1" minValue="-30" maxValue="9999"/>
    </cacheField>
    <cacheField name="Feature_Confusing_Flag" numFmtId="0">
      <sharedItems containsBlank="1"/>
    </cacheField>
    <cacheField name="Task_Completed_Flag" numFmtId="0">
      <sharedItems containsBlank="1" count="3">
        <s v="Yes"/>
        <s v="No"/>
        <m/>
      </sharedItems>
    </cacheField>
    <cacheField name="Error_Flag" numFmtId="0">
      <sharedItems containsBlank="1" count="4">
        <s v="Yes"/>
        <s v="No"/>
        <s v="Unknown"/>
        <m/>
      </sharedItems>
    </cacheField>
    <cacheField name="Error_Type" numFmtId="0">
      <sharedItems containsBlank="1"/>
    </cacheField>
    <cacheField name="Transaction_Success_Flag" numFmtId="0">
      <sharedItems containsBlank="1" count="4">
        <s v="Yes"/>
        <s v="No"/>
        <s v="Unknown"/>
        <m/>
      </sharedItems>
    </cacheField>
    <cacheField name="Transaction_Value_GBP" numFmtId="0">
      <sharedItems containsString="0" containsBlank="1" containsNumber="1" minValue="-10" maxValue="487.51"/>
    </cacheField>
    <cacheField name="Fee_Revenue_GBP" numFmtId="0">
      <sharedItems containsString="0" containsBlank="1" containsNumber="1" minValue="-10" maxValue="3.37"/>
    </cacheField>
    <cacheField name="Allocated_Subscription_Revenue_GBP" numFmtId="0">
      <sharedItems containsString="0" containsBlank="1" containsNumber="1" minValue="0" maxValue="0.37"/>
    </cacheField>
    <cacheField name="Column1" numFmtId="0">
      <sharedItems containsBlank="1"/>
    </cacheField>
    <cacheField name="Support_Contact_Flag" numFmtId="0">
      <sharedItems containsBlank="1"/>
    </cacheField>
    <cacheField name="Support_Category" numFmtId="0">
      <sharedItems containsBlank="1"/>
    </cacheField>
    <cacheField name="Support_Resolution_Status" numFmtId="0">
      <sharedItems containsBlank="1"/>
    </cacheField>
    <cacheField name="Resolution_Time_Minutes" numFmtId="0">
      <sharedItems containsString="0" containsBlank="1" containsNumber="1" containsInteger="1" minValue="-5" maxValue="999"/>
    </cacheField>
    <cacheField name="Dropoff_Reason" numFmtId="0">
      <sharedItems containsBlank="1"/>
    </cacheField>
    <cacheField name="Satisfaction_Score" numFmtId="0">
      <sharedItems containsString="0" containsBlank="1" containsNumber="1" containsInteger="1" minValue="0" maxValue="8"/>
    </cacheField>
    <cacheField name="NPS_Score" numFmtId="0">
      <sharedItems containsString="0" containsBlank="1" containsNumber="1" containsInteger="1" minValue="-150" maxValue="150"/>
    </cacheField>
    <cacheField name="Days_Since_Last_Feature_Use" numFmtId="0">
      <sharedItems containsBlank="1" containsMixedTypes="1" containsNumber="1" containsInteger="1" minValue="-5" maxValue="999"/>
    </cacheField>
    <cacheField name="Retained_30_Day_Flag" numFmtId="0">
      <sharedItems containsBlank="1" count="4">
        <s v="No"/>
        <s v="Yes"/>
        <s v="Unknown"/>
        <m/>
      </sharedItems>
    </cacheField>
    <cacheField name="Task Completed Number" numFmtId="0">
      <sharedItems containsString="0" containsBlank="1" containsNumber="1" containsInteger="1" minValue="0" maxValue="1"/>
    </cacheField>
    <cacheField name="Transaction Success Rate (NO)" numFmtId="0">
      <sharedItems containsString="0" containsBlank="1" containsNumber="1" containsInteger="1" minValue="0" maxValue="1"/>
    </cacheField>
    <cacheField name="Error Flag (NO)" numFmtId="0">
      <sharedItems containsString="0" containsBlank="1" containsNumber="1" containsInteger="1" minValue="0" maxValue="1"/>
    </cacheField>
    <cacheField name="30-Days Retention Rate (NO)"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52.677485069442" createdVersion="8" refreshedVersion="8" minRefreshableVersion="3" recordCount="1420" xr:uid="{8FBC2246-0B3D-4747-A420-6E019B4F5D12}">
  <cacheSource type="worksheet">
    <worksheetSource ref="A1:AQ1428" sheet="Cleaned Data"/>
  </cacheSource>
  <cacheFields count="46">
    <cacheField name="Product_Event_ID" numFmtId="0">
      <sharedItems containsBlank="1" count="1402">
        <s v="NSF-001080"/>
        <s v="NSF-000383"/>
        <s v="NSF-001056"/>
        <s v="NSF-000643"/>
        <s v="NSF-000235"/>
        <s v="NSF-000665"/>
        <s v="NSF-000434"/>
        <s v="NSF-001366"/>
        <s v="NSF-000560"/>
        <s v="NSF-000119"/>
        <s v="NSF-000244"/>
        <s v="NSF-000436"/>
        <s v="NSF-000014"/>
        <s v="NSF-001007"/>
        <s v="NSF-000919"/>
        <s v="NSF-000112"/>
        <s v="NSF-001224"/>
        <s v="NSF-001156"/>
        <s v="NSF-000432"/>
        <s v="NSF-000661"/>
        <s v="NSF-001355"/>
        <s v="NSF-000296"/>
        <s v="NSF-000391"/>
        <s v="NSF-000999"/>
        <s v="NSF-000226"/>
        <s v="NSF-000983"/>
        <s v="NSF-001281"/>
        <s v="NSF-000441"/>
        <s v="NSF-000651"/>
        <s v="NSF-000892"/>
        <s v="NSF-000953"/>
        <s v="NSF-001137"/>
        <s v="NSF-001068"/>
        <s v="NSF-000959"/>
        <s v="NSF-000322"/>
        <s v="NSF-000916"/>
        <s v="NSF-000876"/>
        <s v="NSF-001026"/>
        <s v="NSF-000294"/>
        <s v="NSF-001208"/>
        <s v="NSF-000218"/>
        <s v="NSF-001119"/>
        <s v="NSF-001211"/>
        <s v="NSF-000717"/>
        <s v="NSF-000284"/>
        <s v="NSF-001293"/>
        <s v="NSF-001167"/>
        <s v="NSF-001262"/>
        <s v="NSF-000531"/>
        <s v="NSF-000068"/>
        <s v="NSF-001445"/>
        <s v="NSF-000724"/>
        <s v="NSF-001110"/>
        <s v="NSF-000662"/>
        <s v="NSF-000330"/>
        <s v="NSF-001084"/>
        <s v="NSF-000861"/>
        <s v="NSF-000856"/>
        <s v="NSF-001358"/>
        <s v="NSF-001225"/>
        <s v="NSF-000351"/>
        <s v="NSF-000989"/>
        <s v="NSF-000195"/>
        <s v="NSF-000568"/>
        <s v="NSF-000554"/>
        <s v="NSF-000304"/>
        <s v="NSF-000050"/>
        <s v="NSF-001362"/>
        <s v="NSF-000929"/>
        <s v="NSF-000478"/>
        <s v="NSF-001371"/>
        <s v="NSF-000053"/>
        <s v="NSF-000617"/>
        <s v="NSF-001206"/>
        <s v="NSF-000075"/>
        <s v="NSF-000396"/>
        <s v="NSF-001239"/>
        <s v="NSF-000368"/>
        <s v="NSF-000679"/>
        <s v="NSF-000607"/>
        <s v="NSF-001351"/>
        <s v="NSF-000731"/>
        <s v="NSF-001333"/>
        <s v="NSF-000895"/>
        <s v="NSF-001406"/>
        <s v="NSF-000899"/>
        <s v="NSF-000823"/>
        <s v="NSF-001132"/>
        <s v="NSF-000424"/>
        <s v="NSF-000742"/>
        <s v="NSF-001342"/>
        <s v="NSF-000803"/>
        <s v="NSF-000173"/>
        <s v="NSF-000543"/>
        <s v="NSF-000111"/>
        <s v="NSF-000042"/>
        <s v="NSF-000356"/>
        <s v="NSF-001430"/>
        <s v="NSF-000459"/>
        <s v="NSF-001292"/>
        <s v="NSF-001162"/>
        <s v="NSF-000783"/>
        <s v="NSF-001234"/>
        <s v="NSF-001000"/>
        <s v="NSF-000872"/>
        <s v="NSF-000204"/>
        <s v="NSF-000181"/>
        <s v="NSF-000271"/>
        <s v="NSF-000994"/>
        <s v="NSF-000021"/>
        <s v="NSF-000866"/>
        <s v="NSF-000079"/>
        <s v="NSF-000190"/>
        <s v="NSF-001370"/>
        <s v="NSF-000686"/>
        <s v="NSF-001438"/>
        <s v="NSF-001106"/>
        <s v="NSF-001013"/>
        <s v="NSF-001066"/>
        <s v="NSF-001442"/>
        <s v="NSF-000078"/>
        <s v="NSF-000406"/>
        <s v="NSF-001257"/>
        <s v="NSF-000838"/>
        <s v="NSF-000751"/>
        <s v="NSF-000979"/>
        <s v="NSF-000066"/>
        <s v="NSF-001112"/>
        <s v="NSF-000968"/>
        <s v="NSF-000321"/>
        <s v="NSF-000780"/>
        <s v="NSF-001006"/>
        <s v="NSF-000046"/>
        <s v="NSF-000890"/>
        <s v="NSF-001038"/>
        <s v="NSF-000493"/>
        <s v="NSF-000537"/>
        <s v="NSF-000325"/>
        <s v="NSF-001258"/>
        <s v="NSF-000864"/>
        <s v="NSF-001352"/>
        <s v="NSF-000431"/>
        <s v="NSF-001120"/>
        <s v="NSF-000309"/>
        <s v="NSF-000730"/>
        <s v="NSF-000954"/>
        <s v="NSF-000792"/>
        <s v="NSF-001399"/>
        <s v="NSF-000521"/>
        <s v="NSF-000555"/>
        <s v="NSF-000933"/>
        <s v="NSF-000644"/>
        <s v="NSF-000538"/>
        <s v="NSF-000719"/>
        <s v="NSF-000497"/>
        <s v="NSF-000438"/>
        <s v="NSF-000331"/>
        <s v="NSF-001014"/>
        <s v="NSF-000349"/>
        <s v="NSF-000744"/>
        <s v="NSF-001147"/>
        <s v="NSF-001221"/>
        <s v="NSF-000338"/>
        <s v="NSF-001037"/>
        <s v="NSF-000539"/>
        <s v="NSF-000464"/>
        <s v="NSF-000501"/>
        <s v="NSF-000242"/>
        <s v="NSF-001271"/>
        <s v="NSF-000420"/>
        <s v="NSF-000819"/>
        <s v="NSF-001302"/>
        <s v="NSF-000905"/>
        <s v="NSF-000140"/>
        <s v="NSF-000726"/>
        <s v="NSF-000811"/>
        <s v="NSF-000810"/>
        <s v="NSF-001220"/>
        <s v="NSF-000893"/>
        <s v="NSF-000102"/>
        <s v="NSF-001203"/>
        <s v="NSF-000305"/>
        <s v="NSF-000062"/>
        <s v="NSF-000205"/>
        <s v="NSF-001108"/>
        <s v="NSF-001116"/>
        <s v="NSF-000960"/>
        <s v="NSF-001129"/>
        <s v="NSF-001073"/>
        <s v="NSF-001247"/>
        <s v="NSF-001103"/>
        <s v="NSF-001161"/>
        <s v="NSF-000077"/>
        <s v="NSF-001372"/>
        <s v="NSF-000440"/>
        <s v="NSF-000514"/>
        <s v="NSF-000138"/>
        <s v="NSF-001164"/>
        <s v="NSF-001029"/>
        <s v="NSF-000881"/>
        <s v="NSF-001393"/>
        <s v="NSF-000446"/>
        <s v="NSF-000198"/>
        <s v="NSF-001135"/>
        <s v="NSF-000870"/>
        <s v="NSF-000495"/>
        <s v="NSF-001443"/>
        <s v="NSF-000099"/>
        <s v="NSF-000966"/>
        <s v="NSF-000366"/>
        <s v="NSF-001149"/>
        <s v="NSF-000477"/>
        <s v="NSF-001051"/>
        <s v="NSF-000266"/>
        <s v="NSF-000179"/>
        <s v="NSF-001024"/>
        <s v="NSF-001389"/>
        <s v="NSF-000967"/>
        <s v="NSF-000483"/>
        <s v="NSF-000749"/>
        <s v="NSF-000302"/>
        <s v="NSF-001250"/>
        <s v="NSF-000316"/>
        <s v="NSF-000689"/>
        <s v="NSF-000378"/>
        <s v="NSF-001321"/>
        <s v="NSF-000969"/>
        <s v="NSF-000026"/>
        <s v="NSF-000855"/>
        <s v="NSF-000728"/>
        <s v="NSF-000758"/>
        <s v="NSF-001347"/>
        <s v="NSF-001481"/>
        <s v="NSF-000800"/>
        <s v="NSF-000320"/>
        <s v="NSF-001395"/>
        <s v="NSF-000339"/>
        <s v="NSF-001402"/>
        <s v="NSF-001087"/>
        <s v="NSF-000702"/>
        <s v="NSF-001264"/>
        <s v="NSF-000087"/>
        <s v="NSF-000209"/>
        <s v="NSF-000256"/>
        <s v="NSF-001338"/>
        <s v="NSF-000684"/>
        <s v="NSF-001401"/>
        <s v="NSF-000762"/>
        <s v="NSF-000411"/>
        <s v="NSF-000578"/>
        <s v="NSF-000636"/>
        <s v="NSF-001152"/>
        <s v="NSF-001197"/>
        <s v="NSF-001089"/>
        <s v="NSF-001378"/>
        <s v="NSF-000333"/>
        <s v="NSF-001228"/>
        <s v="NSF-001346"/>
        <s v="NSF-000692"/>
        <s v="NSF-001317"/>
        <s v="NSF-000341"/>
        <s v="NSF-001017"/>
        <s v="NSF-000183"/>
        <s v="NSF-000290"/>
        <s v="NSF-000184"/>
        <s v="NSF-001236"/>
        <s v="NSF-000886"/>
        <s v="NSF-000945"/>
        <s v="NSF-000755"/>
        <s v="NSF-000375"/>
        <s v="NSF-001182"/>
        <s v="NSF-001188"/>
        <s v="NSF-000292"/>
        <s v="NSF-000657"/>
        <s v="NSF-000625"/>
        <s v="NSF-001369"/>
        <s v="NSF-000541"/>
        <s v="NSF-000109"/>
        <s v="NSF-000430"/>
        <s v="NSF-001388"/>
        <s v="NSF-000094"/>
        <s v="NSF-000036"/>
        <s v="NSF-000887"/>
        <s v="NSF-001363"/>
        <s v="NSF-000873"/>
        <s v="NSF-001427"/>
        <s v="NSF-000586"/>
        <s v="NSF-001148"/>
        <s v="NSF-000240"/>
        <s v="NSF-001270"/>
        <s v="NSF-000754"/>
        <s v="NSF-000270"/>
        <s v="NSF-000243"/>
        <s v="NSF-000732"/>
        <s v="NSF-000699"/>
        <s v="NSF-001414"/>
        <s v="NSF-000898"/>
        <s v="NSF-001420"/>
        <s v="NSF-000512"/>
        <s v="NSF-000609"/>
        <s v="NSF-000935"/>
        <s v="NSF-000289"/>
        <s v="NSF-000121"/>
        <s v="NSF-000247"/>
        <s v="NSF-000027"/>
        <s v="NSF-000353"/>
        <s v="NSF-001186"/>
        <s v="NSF-001008"/>
        <s v="NSF-001071"/>
        <s v="NSF-000381"/>
        <s v="NSF-001173"/>
        <s v="NSF-000593"/>
        <s v="NSF-000137"/>
        <s v="NSF-000471"/>
        <s v="NSF-001396"/>
        <s v="NSF-000836"/>
        <s v="NSF-001394"/>
        <s v="NSF-000674"/>
        <s v="NSF-000108"/>
        <s v="NSF-000443"/>
        <s v="NSF-001409"/>
        <s v="NSF-000272"/>
        <s v="NSF-001207"/>
        <s v="NSF-001131"/>
        <s v="NSF-001272"/>
        <s v="NSF-001016"/>
        <s v="NSF-001419"/>
        <s v="NSF-000767"/>
        <s v="NSF-001134"/>
        <s v="NSF-000974"/>
        <s v="NSF-000910"/>
        <s v="NSF-000653"/>
        <s v="NSF-000174"/>
        <s v="NSF-000956"/>
        <s v="NSF-000779"/>
        <s v="NSF-000367"/>
        <s v="NSF-000273"/>
        <s v="NSF-001482"/>
        <s v="NSF-001373"/>
        <s v="NSF-001391"/>
        <s v="NSF-000973"/>
        <s v="NSF-001202"/>
        <s v="NSF-001154"/>
        <s v="NSF-000032"/>
        <s v="NSF-000105"/>
        <s v="NSF-000642"/>
        <s v="NSF-000230"/>
        <s v="NSF-000912"/>
        <s v="NSF-001097"/>
        <s v="NSF-000357"/>
        <s v="NSF-001005"/>
        <s v="NSF-000903"/>
        <s v="NSF-000132"/>
        <s v="NSF-000985"/>
        <s v="NSF-000096"/>
        <s v="NSF-000951"/>
        <s v="NSF-000239"/>
        <s v="NSF-001033"/>
        <s v="NSF-000342"/>
        <s v="NSF-000268"/>
        <s v="NSF-001020"/>
        <s v="NSF-000067"/>
        <s v="NSF-001192"/>
        <s v="NSF-000157"/>
        <s v="NSF-001028"/>
        <s v="NSF-000045"/>
        <s v="NSF-000980"/>
        <s v="NSF-001138"/>
        <s v="NSF-001356"/>
        <s v="NSF-000700"/>
        <s v="NSF-001408"/>
        <s v="NSF-000314"/>
        <s v="NSF-000398"/>
        <s v="NSF-001176"/>
        <s v="NSF-000675"/>
        <s v="NSF-000988"/>
        <s v="NSF-001235"/>
        <s v="NSF-001392"/>
        <s v="NSF-000259"/>
        <s v="NSF-000620"/>
        <s v="NSF-001063"/>
        <s v="NSF-000199"/>
        <s v="NSF-000258"/>
        <s v="NSF-000340"/>
        <s v="NSF-000274"/>
        <s v="NSF-000092"/>
        <s v="NSF-000241"/>
        <s v="NSF-001386"/>
        <s v="NSF-000990"/>
        <s v="NSF-000566"/>
        <s v="NSF-000597"/>
        <s v="NSF-001295"/>
        <s v="NSF-001171"/>
        <s v="NSF-000757"/>
        <s v="NSF-001269"/>
        <s v="NSF-000588"/>
        <s v="NSF-001057"/>
        <s v="NSF-001076"/>
        <s v="NSF-000060"/>
        <s v="NSF-001240"/>
        <s v="NSF-000410"/>
        <s v="NSF-000015"/>
        <s v="NSF-000130"/>
        <s v="NSF-000914"/>
        <s v="NSF-000447"/>
        <s v="NSF-000425"/>
        <s v="NSF-000149"/>
        <s v="NSF-000813"/>
        <s v="NSF-001040"/>
        <s v="NSF-000177"/>
        <s v="NSF-000516"/>
        <s v="NSF-000600"/>
        <s v="NSF-000807"/>
        <s v="NSF-001273"/>
        <s v="NSF-000908"/>
        <s v="NSF-000484"/>
        <s v="NSF-001141"/>
        <s v="NSF-000961"/>
        <s v="NSF-000421"/>
        <s v="NSF-000693"/>
        <s v="NSF-001337"/>
        <s v="NSF-000941"/>
        <s v="NSF-000283"/>
        <s v="NSF-000346"/>
        <s v="NSF-001354"/>
        <s v="NSF-001213"/>
        <s v="NSF-001139"/>
        <s v="NSF-000667"/>
        <s v="NSF-000981"/>
        <s v="NSF-000249"/>
        <s v="NSF-000009"/>
        <s v="NSF-001064"/>
        <s v="NSF-000611"/>
        <s v="NSF-000248"/>
        <s v="NSF-001070"/>
        <s v="NSF-001034"/>
        <s v="NSF-000354"/>
        <s v="NSF-000255"/>
        <s v="NSF-001328"/>
        <s v="NSF-000017"/>
        <s v="NSF-001303"/>
        <s v="NSF-001284"/>
        <s v="NSF-000616"/>
        <s v="NSF-001267"/>
        <s v="NSF-001256"/>
        <s v="NSF-000705"/>
        <s v="NSF-000178"/>
        <s v="NSF-000215"/>
        <s v="NSF-001483"/>
        <s v="NSF-000575"/>
        <s v="NSF-000224"/>
        <s v="NSF-000233"/>
        <s v="NSF-001334"/>
        <s v="NSF-001428"/>
        <s v="NSF-000380"/>
        <s v="NSF-000666"/>
        <s v="NSF-000992"/>
        <s v="NSF-000139"/>
        <s v="NSF-000936"/>
        <s v="NSF-000306"/>
        <s v="NSF-000759"/>
        <s v="NSF-001324"/>
        <s v="NSF-001268"/>
        <s v="NSF-000025"/>
        <s v="NSF-001219"/>
        <s v="NSF-001484"/>
        <s v="NSF-000526"/>
        <s v="NSF-001121"/>
        <s v="NSF-000534"/>
        <s v="NSF-001059"/>
        <s v="NSF-000714"/>
        <s v="NSF-000008"/>
        <s v="NSF-000387"/>
        <s v="NSF-001077"/>
        <s v="NSF-000940"/>
        <s v="NSF-000523"/>
        <s v="NSF-001223"/>
        <s v="NSF-000365"/>
        <s v="NSF-000110"/>
        <s v="NSF-000347"/>
        <s v="NSF-000482"/>
        <s v="NSF-000668"/>
        <s v="NSF-001021"/>
        <s v="NSF-000821"/>
        <s v="NSF-000498"/>
        <s v="NSF-000685"/>
        <s v="NSF-000161"/>
        <s v="NSF-000701"/>
        <s v="NSF-000285"/>
        <s v="NSF-001200"/>
        <s v="NSF-001274"/>
        <s v="NSF-000939"/>
        <s v="NSF-000148"/>
        <s v="NSF-000371"/>
        <s v="NSF-000442"/>
        <s v="NSF-000946"/>
        <s v="NSF-000234"/>
        <s v="NSF-001030"/>
        <s v="NSF-001244"/>
        <s v="NSF-000711"/>
        <s v="NSF-000040"/>
        <s v="NSF-000943"/>
        <s v="NSF-001025"/>
        <s v="NSF-000631"/>
        <s v="NSF-000237"/>
        <s v="NSF-001313"/>
        <s v="NSF-000329"/>
        <s v="NSF-000580"/>
        <s v="NSF-000570"/>
        <s v="NSF-001010"/>
        <s v="NSF-000313"/>
        <s v="NSF-000124"/>
        <s v="NSF-000673"/>
        <s v="NSF-000868"/>
        <s v="NSF-000223"/>
        <s v="NSF-000971"/>
        <s v="NSF-000840"/>
        <s v="NSF-000051"/>
        <s v="NSF-000858"/>
        <s v="NSF-001238"/>
        <s v="NSF-000228"/>
        <s v="NSF-000875"/>
        <s v="NSF-000093"/>
        <s v="NSF-000709"/>
        <s v="NSF-001096"/>
        <s v="NSF-000777"/>
        <s v="NSF-001291"/>
        <s v="NSF-000846"/>
        <s v="NSF-000581"/>
        <s v="NSF-000004"/>
        <s v="NSF-000227"/>
        <s v="NSF-000217"/>
        <s v="NSF-001065"/>
        <s v="NSF-000444"/>
        <s v="NSF-001310"/>
        <s v="NSF-000028"/>
        <s v="NSF-000650"/>
        <s v="NSF-000377"/>
        <s v="NSF-000604"/>
        <s v="NSF-001109"/>
        <s v="NSF-000465"/>
        <s v="NSF-001160"/>
        <s v="NSF-000499"/>
        <s v="NSF-000626"/>
        <s v="NSF-000437"/>
        <s v="NSF-000470"/>
        <s v="NSF-000652"/>
        <s v="NSF-000208"/>
        <s v="NSF-001227"/>
        <s v="NSF-000041"/>
        <s v="NSF-000862"/>
        <s v="NSF-000592"/>
        <s v="NSF-000403"/>
        <s v="NSF-000404"/>
        <s v="NSF-001485"/>
        <s v="NSF-000948"/>
        <s v="NSF-001265"/>
        <s v="NSF-001405"/>
        <s v="NSF-000502"/>
        <s v="NSF-000902"/>
        <s v="NSF-001441"/>
        <s v="NSF-000789"/>
        <s v="NSF-000169"/>
        <s v="NSF-000323"/>
        <s v="NSF-000610"/>
        <s v="NSF-001277"/>
        <s v="NSF-000909"/>
        <s v="NSF-001067"/>
        <s v="NSF-001015"/>
        <s v="NSF-000963"/>
        <s v="NSF-000379"/>
        <s v="NSF-000116"/>
        <s v="NSF-000449"/>
        <s v="NSF-000505"/>
        <s v="NSF-000571"/>
        <s v="NSF-001330"/>
        <s v="NSF-000562"/>
        <s v="NSF-000542"/>
        <s v="NSF-000390"/>
        <s v="NSF-000878"/>
        <s v="NSF-000851"/>
        <s v="NSF-000901"/>
        <s v="NSF-000326"/>
        <s v="NSF-000630"/>
        <s v="NSF-000976"/>
        <s v="NSF-000745"/>
        <s v="NSF-001379"/>
        <s v="NSF-000535"/>
        <s v="NSF-000135"/>
        <s v="NSF-000527"/>
        <s v="NSF-001118"/>
        <s v="NSF-000801"/>
        <s v="NSF-000573"/>
        <s v="NSF-000687"/>
        <s v="NSF-000740"/>
        <s v="NSF-000793"/>
        <s v="NSF-000080"/>
        <s v="NSF-000690"/>
        <s v="NSF-001367"/>
        <s v="NSF-000621"/>
        <s v="NSF-001439"/>
        <s v="NSF-000172"/>
        <s v="NSF-000602"/>
        <s v="NSF-000207"/>
        <s v="NSF-000784"/>
        <s v="NSF-000825"/>
        <s v="NSF-000867"/>
        <s v="NSF-000016"/>
        <s v="NSF-000473"/>
        <s v="NSF-001215"/>
        <s v="NSF-001278"/>
        <s v="NSF-000545"/>
        <s v="NSF-000276"/>
        <s v="NSF-000996"/>
        <s v="NSF-000335"/>
        <s v="NSF-001201"/>
        <s v="NSF-000113"/>
        <s v="NSF-000797"/>
        <s v="NSF-001209"/>
        <s v="NSF-000261"/>
        <s v="NSF-000076"/>
        <s v="NSF-001075"/>
        <s v="NSF-000678"/>
        <s v="NSF-001315"/>
        <s v="NSF-000126"/>
        <s v="NSF-000097"/>
        <s v="NSF-001151"/>
        <s v="NSF-001253"/>
        <s v="NSF-000752"/>
        <s v="NSF-001146"/>
        <s v="NSF-000655"/>
        <s v="NSF-000474"/>
        <s v="NSF-000773"/>
        <s v="NSF-000023"/>
        <s v="NSF-000362"/>
        <s v="NSF-000882"/>
        <s v="NSF-000634"/>
        <s v="NSF-000513"/>
        <s v="NSF-000372"/>
        <s v="NSF-000156"/>
        <s v="NSF-000776"/>
        <s v="NSF-001128"/>
        <s v="NSF-001175"/>
        <s v="NSF-000154"/>
        <s v="NSF-000072"/>
        <s v="NSF-000018"/>
        <s v="NSF-000549"/>
        <s v="NSF-000414"/>
        <s v="NSF-000552"/>
        <s v="NSF-001300"/>
        <s v="NSF-000646"/>
        <s v="NSF-001174"/>
        <s v="NSF-000964"/>
        <s v="NSF-000211"/>
        <s v="NSF-000874"/>
        <s v="NSF-000496"/>
        <s v="NSF-001113"/>
        <s v="NSF-000677"/>
        <s v="NSF-000889"/>
        <s v="NSF-000212"/>
        <s v="NSF-000528"/>
        <s v="NSF-000906"/>
        <s v="NSF-000733"/>
        <s v="NSF-000770"/>
        <s v="NSF-000133"/>
        <s v="NSF-000210"/>
        <s v="NSF-000925"/>
        <s v="NSF-001226"/>
        <s v="NSF-001304"/>
        <s v="NSF-000328"/>
        <s v="NSF-001444"/>
        <s v="NSF-000911"/>
        <s v="NSF-000220"/>
        <s v="NSF-000831"/>
        <s v="NSF-001153"/>
        <s v="NSF-000522"/>
        <s v="NSF-000267"/>
        <s v="NSF-000937"/>
        <s v="NSF-000057"/>
        <s v="NSF-001004"/>
        <s v="NSF-001088"/>
        <s v="NSF-000900"/>
        <s v="NSF-001380"/>
        <s v="NSF-000033"/>
        <s v="NSF-000061"/>
        <s v="NSF-000852"/>
        <s v="NSF-000841"/>
        <s v="NSF-000416"/>
        <s v="NSF-001187"/>
        <s v="NSF-001136"/>
        <s v="NSF-000038"/>
        <s v="NSF-001094"/>
        <s v="NSF-001252"/>
        <s v="NSF-000206"/>
        <s v="NSF-000003"/>
        <s v="NSF-000193"/>
        <s v="NSF-000958"/>
        <s v="NSF-001426"/>
        <s v="NSF-000530"/>
        <s v="NSF-000463"/>
        <s v="NSF-000163"/>
        <s v="NSF-000429"/>
        <s v="NSF-000355"/>
        <s v="NSF-000520"/>
        <s v="NSF-001045"/>
        <s v="NSF-001124"/>
        <s v="NSF-001191"/>
        <s v="NSF-000877"/>
        <s v="NSF-000782"/>
        <s v="NSF-000334"/>
        <s v="NSF-000052"/>
        <s v="NSF-000848"/>
        <s v="NSF-000246"/>
        <s v="NSF-000175"/>
        <s v="NSF-000120"/>
        <s v="NSF-001102"/>
        <s v="NSF-000816"/>
        <s v="NSF-000712"/>
        <s v="NSF-000748"/>
        <s v="NSF-000788"/>
        <s v="NSF-000507"/>
        <s v="NSF-001283"/>
        <s v="NSF-000011"/>
        <s v="NSF-001344"/>
        <s v="NSF-001092"/>
        <s v="NSF-001301"/>
        <s v="NSF-000860"/>
        <s v="NSF-001230"/>
        <s v="NSF-000746"/>
        <s v="NSF-000561"/>
        <s v="NSF-000809"/>
        <s v="NSF-001085"/>
        <s v="NSF-000191"/>
        <s v="NSF-001286"/>
        <s v="NSF-000225"/>
        <s v="NSF-000295"/>
        <s v="NSF-000005"/>
        <s v="NSF-001319"/>
        <s v="NSF-000622"/>
        <s v="NSF-000091"/>
        <s v="NSF-000826"/>
        <s v="NSF-001036"/>
        <s v="NSF-000150"/>
        <s v="NSF-001341"/>
        <s v="NSF-000336"/>
        <s v="NSF-001487"/>
        <s v="NSF-001390"/>
        <s v="NSF-000857"/>
        <s v="NSF-000455"/>
        <s v="NSF-001298"/>
        <s v="NSF-000842"/>
        <s v="NSF-000859"/>
        <s v="NSF-000327"/>
        <s v="NSF-000400"/>
        <s v="NSF-000200"/>
        <s v="NSF-000806"/>
        <s v="NSF-001001"/>
        <s v="NSF-001288"/>
        <s v="NSF-000814"/>
        <s v="NSF-001060"/>
        <s v="NSF-001412"/>
        <s v="NSF-000301"/>
        <s v="NSF-001415"/>
        <s v="NSF-001122"/>
        <s v="NSF-000949"/>
        <s v="NSF-000064"/>
        <s v="NSF-000176"/>
        <s v="NSF-000736"/>
        <s v="NSF-000310"/>
        <s v="NSF-000696"/>
        <s v="NSF-000844"/>
        <s v="NSF-001157"/>
        <s v="NSF-000786"/>
        <s v="NSF-001093"/>
        <s v="NSF-000849"/>
        <s v="NSF-000781"/>
        <s v="NSF-000399"/>
        <s v="NSF-000565"/>
        <s v="NSF-001361"/>
        <s v="NSF-001440"/>
        <s v="NSF-001260"/>
        <s v="NSF-000317"/>
        <s v="NSF-000468"/>
        <s v="NSF-000202"/>
        <s v="NSF-001095"/>
        <s v="NSF-001403"/>
        <s v="NSF-000921"/>
        <s v="NSF-000245"/>
        <s v="NSF-000681"/>
        <s v="NSF-000664"/>
        <s v="NSF-001382"/>
        <s v="NSF-001023"/>
        <s v="NSF-001384"/>
        <s v="NSF-001282"/>
        <s v="NSF-000818"/>
        <s v="NSF-000073"/>
        <s v="NSF-001072"/>
        <s v="NSF-001287"/>
        <s v="NSF-001011"/>
        <s v="NSF-000006"/>
        <s v="NSF-000103"/>
        <s v="NSF-001022"/>
        <s v="NSF-001027"/>
        <s v="NSF-000563"/>
        <s v="NSF-000932"/>
        <s v="NSF-000640"/>
        <s v="NSF-001062"/>
        <s v="NSF-000587"/>
        <s v="NSF-001144"/>
        <s v="NSF-000804"/>
        <s v="NSF-000975"/>
        <s v="NSF-001424"/>
        <s v="NSF-000865"/>
        <s v="NSF-000567"/>
        <s v="NSF-000735"/>
        <s v="NSF-000574"/>
        <s v="NSF-000504"/>
        <s v="NSF-001107"/>
        <s v="NSF-000734"/>
        <s v="NSF-000658"/>
        <s v="NSF-000798"/>
        <s v="NSF-000904"/>
        <s v="NSF-001216"/>
        <s v="NSF-001276"/>
        <s v="NSF-000490"/>
        <s v="NSF-001177"/>
        <s v="NSF-000670"/>
        <s v="NSF-000318"/>
        <s v="NSF-000632"/>
        <s v="NSF-000775"/>
        <s v="NSF-000993"/>
        <s v="NSF-000790"/>
        <s v="NSF-000729"/>
        <s v="NSF-000778"/>
        <s v="NSF-001335"/>
        <s v="NSF-000763"/>
        <s v="NSF-001327"/>
        <s v="NSF-001255"/>
        <s v="NSF-000384"/>
        <s v="NSF-000010"/>
        <s v="NSF-000360"/>
        <s v="NSF-000750"/>
        <s v="NSF-000546"/>
        <s v="NSF-001150"/>
        <s v="NSF-000281"/>
        <s v="NSF-001261"/>
        <s v="NSF-000415"/>
        <s v="NSF-000884"/>
        <s v="NSF-001035"/>
        <s v="NSF-000972"/>
        <s v="NSF-000013"/>
        <s v="NSF-001069"/>
        <s v="NSF-001229"/>
        <s v="NSF-000791"/>
        <s v="NSF-000395"/>
        <s v="NSF-000466"/>
        <s v="NSF-001364"/>
        <s v="NSF-001381"/>
        <s v="NSF-000618"/>
        <s v="NSF-000769"/>
        <s v="NSF-001126"/>
        <s v="NSF-001155"/>
        <s v="NSF-001488"/>
        <s v="NSF-001233"/>
        <s v="NSF-000928"/>
        <s v="NSF-001359"/>
        <s v="NSF-000020"/>
        <s v="NSF-000977"/>
        <s v="NSF-000970"/>
        <s v="NSF-000412"/>
        <s v="NSF-001326"/>
        <s v="NSF-000280"/>
        <s v="NSF-001185"/>
        <s v="NSF-000824"/>
        <s v="NSF-001307"/>
        <s v="NSF-000238"/>
        <s v="NSF-000063"/>
        <s v="NSF-000117"/>
        <s v="NSF-000599"/>
        <s v="NSF-001046"/>
        <s v="NSF-000359"/>
        <s v="NSF-000962"/>
        <s v="NSF-000558"/>
        <s v="NSF-000082"/>
        <s v="NSF-000299"/>
        <s v="NSF-000997"/>
        <s v="NSF-001114"/>
        <s v="NSF-000263"/>
        <s v="NSF-000262"/>
        <s v="NSF-000920"/>
        <s v="NSF-000293"/>
        <s v="NSF-001316"/>
        <s v="NSF-000540"/>
        <s v="NSF-000596"/>
        <s v="NSF-000250"/>
        <s v="NSF-000500"/>
        <s v="NSF-001018"/>
        <s v="NSF-000086"/>
        <s v="NSF-001231"/>
        <s v="NSF-000170"/>
        <s v="NSF-001410"/>
        <s v="NSF-000897"/>
        <s v="NSF-000048"/>
        <s v="NSF-000633"/>
        <s v="NSF-000577"/>
        <s v="NSF-001143"/>
        <s v="NSF-001082"/>
        <s v="NSF-001305"/>
        <s v="NSF-001198"/>
        <s v="NSF-000158"/>
        <s v="NSF-000311"/>
        <s v="NSF-001166"/>
        <s v="NSF-000081"/>
        <s v="NSF-000727"/>
        <s v="NSF-000286"/>
        <s v="NSF-000656"/>
        <s v="NSF-000070"/>
        <s v="NSF-001101"/>
        <s v="NSF-000544"/>
        <s v="NSF-000691"/>
        <s v="NSF-001385"/>
        <s v="NSF-000164"/>
        <s v="NSF-000766"/>
        <s v="NSF-001193"/>
        <s v="NSF-000637"/>
        <s v="NSF-000167"/>
        <s v="NSF-001357"/>
        <s v="NSF-000071"/>
        <s v="NSF-000397"/>
        <s v="NSF-000635"/>
        <s v="NSF-000671"/>
        <s v="NSF-000654"/>
        <s v="NSF-000090"/>
        <s v="NSF-000585"/>
        <s v="NSF-000188"/>
        <s v="NSF-000518"/>
        <s v="NSF-001299"/>
        <s v="NSF-000606"/>
        <s v="NSF-000029"/>
        <s v="NSF-000435"/>
        <s v="NSF-000808"/>
        <s v="NSF-000648"/>
        <s v="NSF-000934"/>
        <s v="NSF-000254"/>
        <s v="NSF-001309"/>
        <s v="NSF-001180"/>
        <s v="NSF-000815"/>
        <s v="NSF-000713"/>
        <s v="NSF-001165"/>
        <s v="NSF-000718"/>
        <s v="NSF-000721"/>
        <s v="NSF-000830"/>
        <s v="NSF-000264"/>
        <s v="NSF-000409"/>
        <s v="NSF-000143"/>
        <s v="NSF-000603"/>
        <s v="NSF-000002"/>
        <s v="NSF-001130"/>
        <s v="NSF-001159"/>
        <s v="NSF-000645"/>
        <s v="NSF-000589"/>
        <s v="NSF-001425"/>
        <s v="NSF-000122"/>
        <s v="NSF-000192"/>
        <s v="NSF-001450"/>
        <s v="NSF-000761"/>
        <s v="NSF-000180"/>
        <s v="NSF-000128"/>
        <s v="NSF-001205"/>
        <s v="NSF-001214"/>
        <s v="NSF-000576"/>
        <s v="NSF-000129"/>
        <s v="NSF-001111"/>
        <s v="NSF-000201"/>
        <s v="NSF-000704"/>
        <s v="NSF-001242"/>
        <s v="NSF-001248"/>
        <s v="NSF-001429"/>
        <s v="NSF-000168"/>
        <s v="NSF-000194"/>
        <s v="NSF-001104"/>
        <s v="NSF-000487"/>
        <s v="NSF-000388"/>
        <s v="NSF-001383"/>
        <s v="NSF-001279"/>
        <s v="NSF-001232"/>
        <s v="NSF-000764"/>
        <s v="NSF-001125"/>
        <s v="NSF-001421"/>
        <s v="NSF-000221"/>
        <s v="NSF-001199"/>
        <s v="NSF-000550"/>
        <s v="NSF-000503"/>
        <s v="NSF-000065"/>
        <s v="NSF-000683"/>
        <s v="NSF-001196"/>
        <s v="NSF-000743"/>
        <s v="NSF-000720"/>
        <s v="NSF-000288"/>
        <s v="NSF-001446"/>
        <s v="NSF-001336"/>
        <s v="NSF-001181"/>
        <s v="NSF-000083"/>
        <s v="NSF-001204"/>
        <s v="NSF-000044"/>
        <s v="NSF-000392"/>
        <s v="NSF-000991"/>
        <s v="NSF-001290"/>
        <s v="NSF-000350"/>
        <s v="NSF-000845"/>
        <s v="NSF-000055"/>
        <s v="NSF-001322"/>
        <s v="NSF-001133"/>
        <s v="NSF-000007"/>
        <s v="NSF-000515"/>
        <s v="NSF-000088"/>
        <s v="NSF-000213"/>
        <s v="NSF-000854"/>
        <s v="NSF-000697"/>
        <s v="NSF-000462"/>
        <s v="NSF-000407"/>
        <s v="NSF-000605"/>
        <s v="NSF-000615"/>
        <s v="NSF-000931"/>
        <s v="NSF-001345"/>
        <s v="NSF-000817"/>
        <s v="NSF-000907"/>
        <s v="NSF-000952"/>
        <s v="NSF-000938"/>
        <s v="NSF-000649"/>
        <s v="NSF-000277"/>
        <s v="NSF-001377"/>
        <s v="NSF-000957"/>
        <s v="NSF-000614"/>
        <s v="NSF-000394"/>
        <s v="NSF-000922"/>
        <s v="NSF-000171"/>
        <s v="NSF-000716"/>
        <s v="NSF-001090"/>
        <s v="NSF-000508"/>
        <s v="NSF-000098"/>
        <s v="NSF-000947"/>
        <s v="NSF-000828"/>
        <s v="NSF-001289"/>
        <s v="NSF-000794"/>
        <s v="NSF-000915"/>
        <s v="NSF-001418"/>
        <s v="NSF-000984"/>
        <s v="NSF-001170"/>
        <s v="NSF-000753"/>
        <s v="NSF-000433"/>
        <s v="NSF-000833"/>
        <s v="NSF-001117"/>
        <s v="NSF-000472"/>
        <s v="NSF-001348"/>
        <s v="NSF-001142"/>
        <s v="NSF-001308"/>
        <s v="NSF-000165"/>
        <s v="NSF-001434"/>
        <s v="NSF-000524"/>
        <s v="NSF-000058"/>
        <s v="NSF-000598"/>
        <s v="NSF-000142"/>
        <s v="NSF-001031"/>
        <s v="NSF-000820"/>
        <s v="NSF-001217"/>
        <s v="NSF-000725"/>
        <s v="NSF-000510"/>
        <s v="NSF-000123"/>
        <s v="NSF-000682"/>
        <s v="NSF-001433"/>
        <s v="NSF-000030"/>
        <s v="NSF-000260"/>
        <s v="NSF-001320"/>
        <s v="NSF-000551"/>
        <s v="NSF-001416"/>
        <s v="NSF-000279"/>
        <s v="NSF-000454"/>
        <s v="NSF-001079"/>
        <s v="NSF-001058"/>
        <s v="NSF-000151"/>
        <s v="NSF-000022"/>
        <s v="NSF-000024"/>
        <s v="NSF-001055"/>
        <s v="NSF-000772"/>
        <s v="NSF-000723"/>
        <s v="NSF-000185"/>
        <s v="NSF-000324"/>
        <s v="NSF-001437"/>
        <s v="NSF-000146"/>
        <s v="NSF-001245"/>
        <s v="NSF-000308"/>
        <s v="NSF-000511"/>
        <s v="NSF-000251"/>
        <s v="NSF-000047"/>
        <s v="NSF-001431"/>
        <s v="NSF-000012"/>
        <s v="NSF-000203"/>
        <s v="NSF-000453"/>
        <s v="NSF-000787"/>
        <s v="NSF-000214"/>
        <s v="NSF-001280"/>
        <s v="NSF-000393"/>
        <s v="NSF-000159"/>
        <s v="NSF-001163"/>
        <s v="NSF-000300"/>
        <s v="NSF-000694"/>
        <s v="NSF-000627"/>
        <s v="NSF-000291"/>
        <s v="NSF-000880"/>
        <s v="NSF-001285"/>
        <s v="NSF-001375"/>
        <s v="NSF-001222"/>
        <s v="NSF-001417"/>
        <s v="NSF-000104"/>
        <s v="NSF-000703"/>
        <s v="NSF-000219"/>
        <s v="NSF-000706"/>
        <s v="NSF-000950"/>
        <s v="NSF-001343"/>
        <s v="NSF-000918"/>
        <s v="NSF-001061"/>
        <s v="NSF-000152"/>
        <s v="NSF-000582"/>
        <s v="NSF-001400"/>
        <s v="NSF-000827"/>
        <s v="NSF-000672"/>
        <s v="NSF-000369"/>
        <s v="NSF-001432"/>
        <s v="NSF-000553"/>
        <s v="NSF-000756"/>
        <s v="NSF-001407"/>
        <s v="NSF-000344"/>
        <s v="NSF-000385"/>
        <s v="NSF-000768"/>
        <s v="NSF-000373"/>
        <s v="NSF-000428"/>
        <s v="NSF-001387"/>
        <s v="NSF-000189"/>
        <s v="NSF-000147"/>
        <s v="NSF-000799"/>
        <s v="NSF-000641"/>
        <s v="NSF-000942"/>
        <s v="NSF-000802"/>
        <s v="NSF-001115"/>
        <s v="NSF-000089"/>
        <s v="NSF-001259"/>
        <s v="NSF-000197"/>
        <s v="NSF-001032"/>
        <s v="NSF-001179"/>
        <s v="NSF-000031"/>
        <s v="NSF-001339"/>
        <s v="NSF-000131"/>
        <s v="NSF-000278"/>
        <s v="NSF-001314"/>
        <s v="NSF-000492"/>
        <s v="NSF-001184"/>
        <s v="NSF-000141"/>
        <s v="NSF-001350"/>
        <s v="NSF-001039"/>
        <s v="NSF-000659"/>
        <s v="NSF-000125"/>
        <s v="NSF-000358"/>
        <s v="NSF-000619"/>
        <s v="NSF-000001"/>
        <s v="NSF-000337"/>
        <s v="NSF-001318"/>
        <s v="NSF-001241"/>
        <s v="NSF-001078"/>
        <s v="NSF-000069"/>
        <s v="NSF-000479"/>
        <s v="NSF-000987"/>
        <s v="NSF-001218"/>
        <s v="NSF-001105"/>
        <s v="NSF-000019"/>
        <s v="NSF-000153"/>
        <s v="NSF-000303"/>
        <s v="NSF-000145"/>
        <s v="NSF-000405"/>
        <s v="NSF-001047"/>
        <s v="NSF-000127"/>
        <s v="NSF-001041"/>
        <s v="NSF-001312"/>
        <s v="NSF-001413"/>
        <s v="NSF-001353"/>
        <s v="NSF-000343"/>
        <s v="NSF-001044"/>
        <s v="NSF-000688"/>
        <s v="NSF-001340"/>
        <s v="NSF-000707"/>
        <s v="NSF-001263"/>
        <s v="NSF-000998"/>
        <s v="NSF-000401"/>
        <s v="NSF-001127"/>
        <s v="NSF-001251"/>
        <s v="NSF-000850"/>
        <s v="NSF-000106"/>
        <s v="NSF-000374"/>
        <s v="NSF-000413"/>
        <s v="NSF-000519"/>
        <s v="NSF-001397"/>
        <s v="NSF-000222"/>
        <s v="NSF-001049"/>
        <s v="NSF-001306"/>
        <s v="NSF-000612"/>
        <s v="NSF-000402"/>
        <s v="NSF-000307"/>
        <s v="NSF-001398"/>
        <s v="NSF-000253"/>
        <s v="NSF-000669"/>
        <s v="NSF-000771"/>
        <s v="NSF-000187"/>
        <s v="NSF-000863"/>
        <s v="NSF-001091"/>
        <s v="NSF-001189"/>
        <s v="NSF-000843"/>
        <s v="NSF-001311"/>
        <s v="NSF-000822"/>
        <s v="NSF-000056"/>
        <s v="NSF-000382"/>
        <s v="NSF-001448"/>
        <s v="NSF-000525"/>
        <s v="NSF-000419"/>
        <s v="NSF-000236"/>
        <s v="NSF-000448"/>
        <s v="NSF-000891"/>
        <s v="NSF-000136"/>
        <s v="NSF-000376"/>
        <s v="NSF-000297"/>
        <s v="NSF-000885"/>
        <s v="NSF-000469"/>
        <s v="NSF-001054"/>
        <s v="NSF-001212"/>
        <s v="NSF-001043"/>
        <s v="NSF-000722"/>
        <s v="NSF-000114"/>
        <s v="NSF-000774"/>
        <s v="NSF-000456"/>
        <s v="NSF-000829"/>
        <s v="NSF-000795"/>
        <s v="NSF-000536"/>
        <s v="NSF-000837"/>
        <s v="NSF-000608"/>
        <s v="NSF-001374"/>
        <s v="NSF-000715"/>
        <s v="NSF-001275"/>
        <s v="NSF-000623"/>
        <s v="NSF-000345"/>
        <s v="NSF-000926"/>
        <s v="NSF-001449"/>
        <s v="NSF-001145"/>
        <s v="NSF-000162"/>
        <s v="NSF-001323"/>
        <s v="NSF-001042"/>
        <s v="NSF-000257"/>
        <s v="NSF-000741"/>
        <s v="NSF-001195"/>
        <s v="NSF-001489"/>
        <s v="NSF-001194"/>
        <s v="NSF-000054"/>
        <s v="NSF-000629"/>
        <s v="NSF-000275"/>
        <s v="NSF-000451"/>
        <s v="NSF-001178"/>
        <s v="NSF-000085"/>
        <s v="NSF-000955"/>
        <s v="NSF-000312"/>
        <s v="NSF-001083"/>
        <s v="NSF-001019"/>
        <s v="NSF-000457"/>
        <s v="NSF-000282"/>
        <s v="NSF-001404"/>
        <s v="NSF-000747"/>
        <s v="NSF-001012"/>
        <s v="NSF-000591"/>
        <s v="NSF-000583"/>
        <s v="NSF-000572"/>
        <s v="NSF-000698"/>
        <s v="NSF-001329"/>
        <s v="NSF-001490"/>
        <s v="NSF-000710"/>
        <s v="NSF-000488"/>
        <s v="NSF-000084"/>
        <s v="NSF-000480"/>
        <s v="NSF-000879"/>
        <s v="NSF-001376"/>
        <s v="NSF-000035"/>
        <s v="NSF-000796"/>
        <s v="NSF-000982"/>
        <s v="NSF-000452"/>
        <s v="NSF-001294"/>
        <s v="NSF-000676"/>
        <s v="NSF-000298"/>
        <s v="NSF-000352"/>
        <s v="NSF-000269"/>
        <s v="NSF-000986"/>
        <s v="NSF-000107"/>
        <s v="NSF-000134"/>
        <s v="NSF-000232"/>
        <s v="NSF-000695"/>
        <s v="NSF-001074"/>
        <s v="NSF-000663"/>
        <s v="NSF-000835"/>
        <s v="NSF-001237"/>
        <s v="NSF-000160"/>
        <s v="NSF-000529"/>
        <s v="NSF-000186"/>
        <s v="NSF-000476"/>
        <s v="NSF-000834"/>
        <s v="NSF-000364"/>
        <s v="NSF-000287"/>
        <s v="NSF-001436"/>
        <s v="NSF-000564"/>
        <s v="NSF-000332"/>
        <s v="NSF-000509"/>
        <s v="NSF-000765"/>
        <s v="NSF-001435"/>
        <s v="NSF-000871"/>
        <s v="NSF-001246"/>
        <s v="NSF-001411"/>
        <s v="NSF-000832"/>
        <s v="NSF-000386"/>
        <s v="NSF-000059"/>
        <s v="NSF-000739"/>
        <s v="NSF-000231"/>
        <s v="NSF-000370"/>
        <s v="NSF-000680"/>
        <s v="NSF-001086"/>
        <s v="NSF-001183"/>
        <s v="NSF-000037"/>
        <s v="NSF-001365"/>
        <s v="NSF-000144"/>
        <s v="NSF-001168"/>
        <s v="NSF-001296"/>
        <s v="NSF-000579"/>
        <s v="NSF-000155"/>
        <s v="NSF-000978"/>
        <s v="NSF-000485"/>
        <s v="NSF-000196"/>
        <s v="NSF-000506"/>
        <s v="NSF-000601"/>
        <s v="NSF-001249"/>
        <s v="NSF-001266"/>
        <s v="NSF-000896"/>
        <s v="NSF-000427"/>
        <s v="NSF-000557"/>
        <s v="NSF-000590"/>
        <s v="NSF-000660"/>
        <s v="NSF-001053"/>
        <s v="NSF-000927"/>
        <s v="NSF-000115"/>
        <s v="NSF-001297"/>
        <s v="NSF-000418"/>
        <s v="NSF-000486"/>
        <s v="NSF-000229"/>
        <s v="NSF-001360"/>
        <s v="NSF-000363"/>
        <s v="NSF-001081"/>
        <s v="NSF-000638"/>
        <s v="NSF-000812"/>
        <s v="NSF-000883"/>
        <s v="NSF-000760"/>
        <s v="NSF-000894"/>
        <s v="NSF-000118"/>
        <s v="NSF-000426"/>
        <s v="NSF-000517"/>
        <s v="NSF-000100"/>
        <s v="NSF-000439"/>
        <s v="NSF-001190"/>
        <s v="NSF-000252"/>
        <s v="NSF-001423"/>
        <s v="NSF-001451"/>
        <s v="NSF-001452"/>
        <s v="NSF-001453"/>
        <s v="NSF-001454"/>
        <s v="NSF-001455"/>
        <s v="NSF-001456"/>
        <s v="NSF-001457"/>
        <s v="NSF-001458"/>
        <s v="NSF-001459"/>
        <s v="NSF-001460"/>
        <s v="NSF-001461"/>
        <s v="NSF-001462"/>
        <s v="NSF-001463"/>
        <s v="NSF-001464"/>
        <s v="NSF-001465"/>
        <s v="NSF-001466"/>
        <s v="NSF-001467"/>
        <s v="NSF-001468"/>
        <s v="NSF-001469"/>
        <s v="NSF-001470"/>
        <s v="NSF-001471"/>
        <s v="NSF-001472"/>
        <s v="NSF-001473"/>
        <s v="NSF-001474"/>
        <s v="NSF-001475"/>
        <s v="NSF-001476"/>
        <s v="NSF-001477"/>
        <s v="NSF-001478"/>
        <s v="NSF-001479"/>
        <s v="NSF-001480"/>
        <m/>
      </sharedItems>
    </cacheField>
    <cacheField name="User_ID" numFmtId="0">
      <sharedItems containsBlank="1"/>
    </cacheField>
    <cacheField name="Session_ID" numFmtId="0">
      <sharedItems containsBlank="1"/>
    </cacheField>
    <cacheField name="Event_Date" numFmtId="0">
      <sharedItems containsNonDate="0" containsDate="1" containsString="0" containsBlank="1" minDate="2025-01-01T00:00:00" maxDate="2026-12-06T00:00:00" count="515">
        <d v="2026-01-13T00:00:00"/>
        <d v="2025-04-23T00:00:00"/>
        <d v="2025-12-24T00:00:00"/>
        <d v="2025-07-07T00:00:00"/>
        <d v="2025-03-23T00:00:00"/>
        <d v="2025-08-15T00:00:00"/>
        <d v="2025-05-03T00:00:00"/>
        <d v="2026-05-22T00:00:00"/>
        <d v="2025-06-05T00:00:00"/>
        <d v="2025-02-27T00:00:00"/>
        <d v="2025-03-21T00:00:00"/>
        <d v="2025-01-16T00:00:00"/>
        <d v="2025-12-04T00:00:00"/>
        <d v="2025-11-19T00:00:00"/>
        <d v="2025-02-21T00:00:00"/>
        <d v="2026-03-09T00:00:00"/>
        <d v="2026-02-27T00:00:00"/>
        <d v="2025-05-16T00:00:00"/>
        <d v="2025-07-28T00:00:00"/>
        <d v="2026-04-02T00:00:00"/>
        <d v="2025-04-14T00:00:00"/>
        <d v="2025-05-07T00:00:00"/>
        <d v="2025-12-31T00:00:00"/>
        <d v="2025-03-12T00:00:00"/>
        <d v="2025-11-05T00:00:00"/>
        <d v="2026-03-05T00:00:00"/>
        <d v="2025-05-18T00:00:00"/>
        <d v="2025-07-11T00:00:00"/>
        <d v="2025-10-26T00:00:00"/>
        <d v="2025-11-11T00:00:00"/>
        <d v="2026-01-17T00:00:00"/>
        <d v="2025-12-01T00:00:00"/>
        <d v="2025-11-12T00:00:00"/>
        <d v="2025-04-30T00:00:00"/>
        <d v="2025-11-13T00:00:00"/>
        <d v="2025-10-11T00:00:00"/>
        <d v="2025-12-21T00:00:00"/>
        <d v="2025-03-09T00:00:00"/>
        <d v="2026-02-11T00:00:00"/>
        <d v="2025-03-17T00:00:00"/>
        <d v="2026-01-28T00:00:00"/>
        <d v="2026-02-10T00:00:00"/>
        <d v="2025-08-02T00:00:00"/>
        <d v="2025-03-04T00:00:00"/>
        <d v="2026-04-11T00:00:00"/>
        <d v="2026-05-02T00:00:00"/>
        <d v="2026-03-02T00:00:00"/>
        <d v="2025-06-16T00:00:00"/>
        <d v="2025-01-23T00:00:00"/>
        <d v="2026-06-25T00:00:00"/>
        <d v="2025-08-22T00:00:00"/>
        <d v="2026-01-29T00:00:00"/>
        <d v="2025-08-26T00:00:00"/>
        <d v="2025-04-24T00:00:00"/>
        <d v="2025-10-17T00:00:00"/>
        <d v="2025-10-25T00:00:00"/>
        <d v="2026-05-23T00:00:00"/>
        <d v="2026-03-26T00:00:00"/>
        <d v="2025-04-06T00:00:00"/>
        <d v="2025-11-09T00:00:00"/>
        <d v="2025-02-19T00:00:00"/>
        <d v="2025-06-04T00:00:00"/>
        <d v="2025-06-11T00:00:00"/>
        <d v="2025-04-17T00:00:00"/>
        <d v="2025-01-12T00:00:00"/>
        <d v="2026-05-17T00:00:00"/>
        <d v="2025-11-14T00:00:00"/>
        <d v="2025-05-02T00:00:00"/>
        <d v="2025-01-20T00:00:00"/>
        <d v="2025-07-29T00:00:00"/>
        <d v="2026-02-03T00:00:00"/>
        <d v="2025-01-08T00:00:00"/>
        <d v="2025-05-20T00:00:00"/>
        <d v="2025-04-10T00:00:00"/>
        <d v="2025-08-29T00:00:00"/>
        <d v="2025-07-16T00:00:00"/>
        <d v="2026-04-19T00:00:00"/>
        <d v="2025-10-15T00:00:00"/>
        <d v="2026-05-07T00:00:00"/>
        <d v="2025-10-24T00:00:00"/>
        <d v="2025-09-10T00:00:00"/>
        <d v="2025-05-05T00:00:00"/>
        <d v="2026-04-17T00:00:00"/>
        <d v="2025-09-27T00:00:00"/>
        <d v="2025-12-02T00:00:00"/>
        <d v="2025-02-12T00:00:00"/>
        <d v="2025-01-03T00:00:00"/>
        <d v="2026-06-22T00:00:00"/>
        <d v="2025-05-13T00:00:00"/>
        <d v="2026-04-27T00:00:00"/>
        <d v="2025-09-22T00:00:00"/>
        <d v="2026-03-04T00:00:00"/>
        <d v="2025-12-30T00:00:00"/>
        <d v="2025-10-03T00:00:00"/>
        <d v="2025-03-31T00:00:00"/>
        <d v="2025-02-16T00:00:00"/>
        <d v="2025-03-06T00:00:00"/>
        <d v="2025-12-11T00:00:00"/>
        <d v="2025-01-21T00:00:00"/>
        <d v="2025-10-12T00:00:00"/>
        <d v="2025-01-25T00:00:00"/>
        <d v="2026-05-27T00:00:00"/>
        <d v="2025-08-24T00:00:00"/>
        <d v="2026-06-19T00:00:00"/>
        <d v="2026-01-14T00:00:00"/>
        <d v="2025-12-17T00:00:00"/>
        <d v="2025-12-26T00:00:00"/>
        <d v="2026-06-08T00:00:00"/>
        <d v="2025-01-11T00:00:00"/>
        <d v="2025-05-22T00:00:00"/>
        <d v="2026-01-03T00:00:00"/>
        <d v="2025-10-29T00:00:00"/>
        <d v="2025-09-15T00:00:00"/>
        <d v="2025-11-16T00:00:00"/>
        <d v="2025-01-13T00:00:00"/>
        <d v="2026-01-20T00:00:00"/>
        <d v="2025-11-24T00:00:00"/>
        <d v="2025-04-03T00:00:00"/>
        <d v="2025-09-18T00:00:00"/>
        <d v="2025-12-07T00:00:00"/>
        <d v="2025-06-20T00:00:00"/>
        <d v="2025-06-08T00:00:00"/>
        <d v="2025-04-13T00:00:00"/>
        <d v="2026-03-30T00:00:00"/>
        <d v="2026-04-22T00:00:00"/>
        <d v="2025-04-22T00:00:00"/>
        <d v="2025-08-17T00:00:00"/>
        <d v="2025-11-08T00:00:00"/>
        <d v="2025-09-21T00:00:00"/>
        <d v="2026-05-04T00:00:00"/>
        <d v="2025-09-06T00:00:00"/>
        <d v="2025-06-10T00:00:00"/>
        <d v="2025-11-22T00:00:00"/>
        <d v="2025-07-22T00:00:00"/>
        <d v="2025-06-22T00:00:00"/>
        <d v="2025-08-27T00:00:00"/>
        <d v="2025-06-21T00:00:00"/>
        <d v="2025-04-25T00:00:00"/>
        <d v="2025-12-29T00:00:00"/>
        <d v="2025-04-21T00:00:00"/>
        <d v="2025-08-23T00:00:00"/>
        <d v="2026-02-17T00:00:00"/>
        <d v="2025-04-29T00:00:00"/>
        <d v="2025-06-30T00:00:00"/>
        <d v="2025-05-29T00:00:00"/>
        <d v="2025-03-16T00:00:00"/>
        <d v="2025-10-23T00:00:00"/>
        <d v="2025-02-09T00:00:00"/>
        <d v="2025-09-19T00:00:00"/>
        <d v="2026-03-31T00:00:00"/>
        <d v="2025-10-21T00:00:00"/>
        <d v="2025-02-04T00:00:00"/>
        <d v="2026-02-22T00:00:00"/>
        <d v="2025-04-08T00:00:00"/>
        <d v="2025-03-18T00:00:00"/>
        <d v="2026-01-12T00:00:00"/>
        <d v="2025-11-03T00:00:00"/>
        <d v="2026-01-15T00:00:00"/>
        <d v="2026-01-09T00:00:00"/>
        <d v="2026-03-24T00:00:00"/>
        <d v="2026-01-25T00:00:00"/>
        <d v="2026-02-06T00:00:00"/>
        <d v="2026-05-20T00:00:00"/>
        <d v="2025-02-26T00:00:00"/>
        <d v="2026-02-23T00:00:00"/>
        <d v="2025-10-10T00:00:00"/>
        <d v="2026-05-05T00:00:00"/>
        <d v="2025-05-06T00:00:00"/>
        <d v="2025-03-14T00:00:00"/>
        <d v="2026-01-21T00:00:00"/>
        <d v="2025-06-26T00:00:00"/>
        <d v="2025-02-06T00:00:00"/>
        <d v="2025-11-29T00:00:00"/>
        <d v="2025-04-20T00:00:00"/>
        <d v="2026-02-08T00:00:00"/>
        <d v="2025-05-04T00:00:00"/>
        <d v="2025-12-20T00:00:00"/>
        <d v="2025-03-22T00:00:00"/>
        <d v="2025-02-24T00:00:00"/>
        <d v="2026-11-05T00:00:00"/>
        <d v="2025-06-27T00:00:00"/>
        <d v="2025-09-01T00:00:00"/>
        <d v="2025-04-07T00:00:00"/>
        <d v="2026-03-07T00:00:00"/>
        <d v="2025-08-04T00:00:00"/>
        <d v="2025-04-28T00:00:00"/>
        <d v="2026-04-26T00:00:00"/>
        <d v="2025-10-18T00:00:00"/>
        <d v="2025-08-06T00:00:00"/>
        <d v="2025-09-12T00:00:00"/>
        <d v="2026-04-09T00:00:00"/>
        <d v="2025-04-27T00:00:00"/>
        <d v="2026-05-11T00:00:00"/>
        <d v="2026-05-10T00:00:00"/>
        <d v="2026-01-24T00:00:00"/>
        <d v="2026-03-13T00:00:00"/>
        <d v="2025-01-30T00:00:00"/>
        <d v="2025-03-11T00:00:00"/>
        <d v="2025-03-10T00:00:00"/>
        <d v="2025-08-14T00:00:00"/>
        <d v="2026-05-08T00:00:00"/>
        <d v="2025-09-16T00:00:00"/>
        <d v="2025-05-21T00:00:00"/>
        <d v="2025-07-02T00:00:00"/>
        <d v="2026-02-09T00:00:00"/>
        <d v="2026-03-21T00:00:00"/>
        <d v="2026-04-24T00:00:00"/>
        <d v="2025-08-25T00:00:00"/>
        <d v="2025-03-01T00:00:00"/>
        <d v="2025-02-23T00:00:00"/>
        <d v="2026-03-11T00:00:00"/>
        <d v="2025-10-20T00:00:00"/>
        <d v="2025-11-20T00:00:00"/>
        <d v="2025-09-09T00:00:00"/>
        <d v="2026-02-12T00:00:00"/>
        <d v="2026-02-25T00:00:00"/>
        <d v="2025-07-05T00:00:00"/>
        <d v="2025-07-10T00:00:00"/>
        <d v="2026-06-05T00:00:00"/>
        <d v="2025-01-07T00:00:00"/>
        <d v="2025-01-04T00:00:00"/>
        <d v="2025-10-16T00:00:00"/>
        <d v="2026-05-01T00:00:00"/>
        <d v="2026-06-07T00:00:00"/>
        <d v="2026-02-19T00:00:00"/>
        <d v="2025-09-25T00:00:00"/>
        <d v="2025-08-08T00:00:00"/>
        <d v="2025-08-03T00:00:00"/>
        <d v="2026-06-06T00:00:00"/>
        <d v="2026-06-02T00:00:00"/>
        <d v="2025-07-26T00:00:00"/>
        <d v="2025-11-01T00:00:00"/>
        <d v="2025-03-28T00:00:00"/>
        <d v="2025-02-14T00:00:00"/>
        <d v="2025-01-31T00:00:00"/>
        <d v="2025-12-10T00:00:00"/>
        <d v="2025-04-19T00:00:00"/>
        <d v="2025-07-21T00:00:00"/>
        <d v="2025-02-07T00:00:00"/>
        <d v="2025-05-31T00:00:00"/>
        <d v="2026-05-28T00:00:00"/>
        <d v="2025-10-08T00:00:00"/>
        <d v="2026-12-05T00:00:00"/>
        <d v="2025-08-28T00:00:00"/>
        <d v="2025-05-19T00:00:00"/>
        <d v="2025-03-05T00:00:00"/>
        <d v="2026-02-24T00:00:00"/>
        <d v="2026-01-19T00:00:00"/>
        <d v="2026-06-09T00:00:00"/>
        <d v="2025-10-07T00:00:00"/>
        <d v="2025-07-04T00:00:00"/>
        <d v="2025-02-17T00:00:00"/>
        <d v="2025-09-26T00:00:00"/>
        <d v="2025-04-15T00:00:00"/>
        <d v="2025-12-05T00:00:00"/>
        <d v="2026-05-21T00:00:00"/>
        <d v="2026-02-20T00:00:00"/>
        <d v="2025-01-29T00:00:00"/>
        <d v="2026-01-01T00:00:00"/>
        <d v="2025-03-13T00:00:00"/>
        <d v="2025-12-15T00:00:00"/>
        <d v="2025-03-25T00:00:00"/>
        <d v="2025-01-18T00:00:00"/>
        <d v="2026-02-18T00:00:00"/>
        <d v="2025-11-10T00:00:00"/>
        <d v="2026-01-07T00:00:00"/>
        <d v="2026-05-06T00:00:00"/>
        <d v="2025-08-16T00:00:00"/>
        <d v="2026-05-03T00:00:00"/>
        <d v="2026-02-16T00:00:00"/>
        <d v="2026-03-28T00:00:00"/>
        <d v="2026-05-13T00:00:00"/>
        <d v="2025-07-01T00:00:00"/>
        <d v="2025-12-27T00:00:00"/>
        <d v="2025-03-08T00:00:00"/>
        <d v="2025-03-20T00:00:00"/>
        <d v="2026-05-19T00:00:00"/>
        <d v="2025-11-25T00:00:00"/>
        <d v="2026-04-13T00:00:00"/>
        <d v="2026-03-25T00:00:00"/>
        <d v="2025-07-17T00:00:00"/>
        <d v="2026-01-10T00:00:00"/>
        <d v="2026-03-16T00:00:00"/>
        <d v="2025-01-19T00:00:00"/>
        <d v="2025-09-17T00:00:00"/>
        <d v="2025-12-03T00:00:00"/>
        <d v="2025-02-25T00:00:00"/>
        <d v="2025-06-19T00:00:00"/>
        <d v="2025-07-13T00:00:00"/>
        <d v="2025-10-09T00:00:00"/>
        <d v="2026-01-02T00:00:00"/>
        <d v="2025-11-02T00:00:00"/>
        <d v="2025-05-09T00:00:00"/>
        <d v="2026-04-15T00:00:00"/>
        <d v="2025-03-26T00:00:00"/>
        <d v="2026-04-18T00:00:00"/>
        <d v="2026-01-11T00:00:00"/>
        <d v="2025-08-30T00:00:00"/>
        <d v="2025-11-04T00:00:00"/>
        <d v="2025-01-14T00:00:00"/>
        <d v="2025-05-01T00:00:00"/>
        <d v="2026-04-25T00:00:00"/>
        <d v="2026-03-14T00:00:00"/>
        <d v="2025-02-13T00:00:00"/>
        <d v="2025-03-02T00:00:00"/>
        <d v="2025-03-07T00:00:00"/>
        <d v="2025-04-04T00:00:00"/>
        <d v="2026-04-01T00:00:00"/>
        <d v="2025-06-23T00:00:00"/>
        <d v="2025-08-07T00:00:00"/>
        <d v="2026-01-18T00:00:00"/>
        <d v="2025-11-18T00:00:00"/>
        <d v="2025-12-08T00:00:00"/>
        <d v="2026-02-28T00:00:00"/>
        <d v="2026-03-18T00:00:00"/>
        <d v="2025-02-05T00:00:00"/>
        <d v="2025-11-15T00:00:00"/>
        <d v="2025-12-22T00:00:00"/>
        <d v="2025-06-07T00:00:00"/>
        <d v="2025-12-25T00:00:00"/>
        <d v="2025-04-26T00:00:00"/>
        <d v="2025-02-02T00:00:00"/>
        <d v="2025-11-23T00:00:00"/>
        <d v="2025-01-01T00:00:00"/>
        <d v="2025-08-21T00:00:00"/>
        <d v="2026-01-30T00:00:00"/>
        <d v="2025-09-07T00:00:00"/>
        <d v="2025-10-05T00:00:00"/>
        <d v="2025-07-03T00:00:00"/>
        <d v="2025-05-26T00:00:00"/>
        <d v="2026-04-04T00:00:00"/>
        <d v="2025-01-10T00:00:00"/>
        <d v="2025-07-27T00:00:00"/>
        <d v="2025-07-24T00:00:00"/>
        <d v="2026-01-04T00:00:00"/>
        <d v="2026-02-01T00:00:00"/>
        <d v="2025-06-15T00:00:00"/>
        <d v="2025-07-31T00:00:00"/>
        <d v="2025-05-15T00:00:00"/>
        <d v="2025-05-23T00:00:00"/>
        <d v="2025-03-15T00:00:00"/>
        <d v="2026-03-20T00:00:00"/>
        <d v="2025-10-28T00:00:00"/>
        <d v="2025-07-19T00:00:00"/>
        <d v="2026-03-27T00:00:00"/>
        <d v="2026-05-30T00:00:00"/>
        <d v="2025-06-06T00:00:00"/>
        <d v="2026-06-20T00:00:00"/>
        <d v="2025-07-25T00:00:00"/>
        <d v="2025-12-19T00:00:00"/>
        <d v="2025-11-27T00:00:00"/>
        <d v="2025-04-16T00:00:00"/>
        <d v="2025-02-28T00:00:00"/>
        <d v="2025-05-14T00:00:00"/>
        <d v="2025-06-03T00:00:00"/>
        <d v="2025-10-27T00:00:00"/>
        <d v="2025-10-13T00:00:00"/>
        <d v="2025-07-08T00:00:00"/>
        <d v="2026-05-09T00:00:00"/>
        <d v="2025-06-13T00:00:00"/>
        <d v="2025-02-22T00:00:00"/>
        <d v="2025-06-18T00:00:00"/>
        <d v="2025-09-08T00:00:00"/>
        <d v="2025-08-20T00:00:00"/>
        <d v="2026-05-31T00:00:00"/>
        <d v="2025-06-14T00:00:00"/>
        <d v="2025-12-09T00:00:00"/>
        <d v="2025-04-18T00:00:00"/>
        <d v="2026-02-26T00:00:00"/>
        <d v="2026-01-26T00:00:00"/>
        <d v="2025-02-15T00:00:00"/>
        <d v="2026-02-21T00:00:00"/>
        <d v="2026-03-29T00:00:00"/>
        <d v="2025-09-20T00:00:00"/>
        <d v="2025-01-27T00:00:00"/>
        <d v="2025-04-01T00:00:00"/>
        <d v="2025-10-01T00:00:00"/>
        <d v="2025-07-09T00:00:00"/>
        <d v="2025-02-20T00:00:00"/>
        <d v="2025-01-06T00:00:00"/>
        <d v="2025-10-31T00:00:00"/>
        <d v="2025-10-02T00:00:00"/>
        <d v="2025-08-11T00:00:00"/>
        <d v="2026-04-08T00:00:00"/>
        <d v="2026-06-24T00:00:00"/>
        <d v="2026-02-07T00:00:00"/>
        <d v="2025-06-02T00:00:00"/>
        <d v="2025-10-14T00:00:00"/>
        <d v="2025-01-15T00:00:00"/>
        <d v="2025-01-22T00:00:00"/>
        <d v="2026-10-02T00:00:00"/>
        <d v="2026-01-06T00:00:00"/>
        <d v="2026-03-17T00:00:00"/>
        <d v="2026-06-23T00:00:00"/>
        <d v="2025-04-05T00:00:00"/>
        <d v="2025-12-12T00:00:00"/>
        <d v="2025-09-02T00:00:00"/>
        <d v="2025-09-04T00:00:00"/>
        <d v="2026-04-28T00:00:00"/>
        <d v="2026-01-23T00:00:00"/>
        <d v="2026-04-07T00:00:00"/>
        <d v="2026-03-10T00:00:00"/>
        <d v="2025-02-11T00:00:00"/>
        <d v="2026-03-19T00:00:00"/>
        <d v="2025-01-05T00:00:00"/>
        <d v="2025-12-14T00:00:00"/>
        <d v="2026-04-14T00:00:00"/>
        <d v="2025-05-11T00:00:00"/>
        <d v="2025-10-06T00:00:00"/>
        <d v="2025-05-10T00:00:00"/>
        <d v="2025-12-23T00:00:00"/>
        <d v="2026-04-10T00:00:00"/>
        <d v="2025-01-02T00:00:00"/>
        <d v="2026-01-05T00:00:00"/>
        <d v="2026-05-24T00:00:00"/>
        <d v="2026-03-01T00:00:00"/>
        <d v="2025-05-25T00:00:00"/>
        <d v="2025-08-13T00:00:00"/>
        <d v="2025-08-09T00:00:00"/>
        <d v="2025-09-13T00:00:00"/>
        <d v="2025-01-24T00:00:00"/>
        <d v="2025-01-28T00:00:00"/>
        <d v="2025-11-17T00:00:00"/>
        <d v="2026-06-21T00:00:00"/>
        <d v="2025-08-19T00:00:00"/>
        <d v="2026-01-16T00:00:00"/>
        <d v="2025-10-30T00:00:00"/>
        <d v="2025-09-05T00:00:00"/>
        <d v="2025-09-28T00:00:00"/>
        <d v="2026-04-29T00:00:00"/>
        <d v="2025-05-24T00:00:00"/>
        <d v="2025-05-12T00:00:00"/>
        <d v="2026-05-14T00:00:00"/>
        <d v="2026-02-02T00:00:00"/>
        <d v="2026-04-03T00:00:00"/>
        <d v="2025-07-15T00:00:00"/>
        <d v="2025-06-28T00:00:00"/>
        <d v="2025-04-02T00:00:00"/>
        <d v="2026-01-27T00:00:00"/>
        <d v="2025-03-29T00:00:00"/>
        <d v="2025-11-28T00:00:00"/>
        <d v="2025-07-06T00:00:00"/>
        <d v="2025-12-18T00:00:00"/>
        <d v="2026-03-15T00:00:00"/>
        <d v="2025-04-11T00:00:00"/>
        <d v="2025-02-08T00:00:00"/>
        <d v="2025-01-26T00:00:00"/>
        <d v="2025-09-24T00:00:00"/>
        <d v="2026-02-04T00:00:00"/>
        <d v="2025-08-10T00:00:00"/>
        <d v="2025-06-17T00:00:00"/>
        <d v="2026-04-12T00:00:00"/>
        <d v="2025-07-12T00:00:00"/>
        <d v="2025-09-23T00:00:00"/>
        <d v="2025-01-09T00:00:00"/>
        <d v="2026-02-05T00:00:00"/>
        <d v="2025-07-18T00:00:00"/>
        <d v="2025-09-29T00:00:00"/>
        <d v="2025-02-18T00:00:00"/>
        <d v="2025-08-12T00:00:00"/>
        <d v="2026-06-16T00:00:00"/>
        <d v="2025-06-01T00:00:00"/>
        <d v="2026-02-14T00:00:00"/>
        <d v="2026-06-30T00:00:00"/>
        <d v="2025-11-26T00:00:00"/>
        <d v="2025-04-12T00:00:00"/>
        <d v="2025-06-09T00:00:00"/>
        <d v="2026-04-05T00:00:00"/>
        <d v="2025-07-30T00:00:00"/>
        <d v="2025-05-17T00:00:00"/>
        <d v="2026-10-01T00:00:00"/>
        <d v="2025-06-12T00:00:00"/>
        <d v="2025-02-03T00:00:00"/>
        <d v="2026-06-11T00:00:00"/>
        <d v="2025-05-27T00:00:00"/>
        <d v="2025-02-10T00:00:00"/>
        <d v="2026-03-08T00:00:00"/>
        <d v="2026-06-17T00:00:00"/>
        <d v="2025-10-22T00:00:00"/>
        <d v="2026-03-03T00:00:00"/>
        <d v="2026-05-26T00:00:00"/>
        <d v="2025-08-31T00:00:00"/>
        <d v="2025-11-06T00:00:00"/>
        <d v="2025-12-28T00:00:00"/>
        <d v="2025-07-14T00:00:00"/>
        <d v="2026-06-26T00:00:00"/>
        <d v="2026-05-18T00:00:00"/>
        <d v="2025-02-01T00:00:00"/>
        <d v="2026-04-23T00:00:00"/>
        <d v="2026-03-12T00:00:00"/>
        <d v="2026-05-25T00:00:00"/>
        <d v="2025-12-16T00:00:00"/>
        <d v="2025-05-30T00:00:00"/>
        <d v="2026-04-16T00:00:00"/>
        <d v="2026-02-13T00:00:00"/>
        <d v="2026-06-01T00:00:00"/>
        <d v="2025-07-23T00:00:00"/>
        <d v="2025-08-05T00:00:00"/>
        <d v="2025-03-30T00:00:00"/>
        <d v="2025-08-01T00:00:00"/>
        <d v="2026-06-14T00:00:00"/>
        <d v="2025-10-19T00:00:00"/>
        <d v="2026-03-06T00:00:00"/>
        <d v="2025-08-18T00:00:00"/>
        <d v="2026-02-15T00:00:00"/>
        <d v="2026-05-29T00:00:00"/>
        <d v="2025-11-07T00:00:00"/>
        <d v="2025-09-03T00:00:00"/>
        <d v="2026-06-13T00:00:00"/>
        <d v="2026-06-10T00:00:00"/>
        <d v="2026-06-29T00:00:00"/>
        <d v="2026-06-04T00:00:00"/>
        <d v="2026-06-27T00:00:00"/>
        <d v="2026-06-28T00:00:00"/>
        <m/>
      </sharedItems>
      <fieldGroup par="45"/>
    </cacheField>
    <cacheField name="UK_Region" numFmtId="0">
      <sharedItems containsBlank="1"/>
    </cacheField>
    <cacheField name="City" numFmtId="0">
      <sharedItems containsBlank="1"/>
    </cacheField>
    <cacheField name="Customer_Segment" numFmtId="0">
      <sharedItems containsBlank="1" count="9">
        <s v="Young Professionals"/>
        <s v="Small Business Owners"/>
        <s v="Families"/>
        <s v="Students"/>
        <s v="Retirees"/>
        <s v="Gig Workers"/>
        <s v="Unknown"/>
        <s v="High-Income Professionals"/>
        <m/>
      </sharedItems>
    </cacheField>
    <cacheField name="Age_Group" numFmtId="0">
      <sharedItems containsBlank="1" count="7">
        <s v="25-34"/>
        <s v="35-44"/>
        <s v="18-24"/>
        <s v="45-54"/>
        <s v="55-64"/>
        <s v="65+"/>
        <m/>
      </sharedItems>
    </cacheField>
    <cacheField name="Gender" numFmtId="0">
      <sharedItems containsBlank="1" count="6">
        <s v="Male"/>
        <s v="Female"/>
        <s v="Non-Binary"/>
        <s v="Prefer Not To Say"/>
        <s v="N/A"/>
        <m/>
      </sharedItems>
    </cacheField>
    <cacheField name="Platform" numFmtId="0">
      <sharedItems containsBlank="1"/>
    </cacheField>
    <cacheField name="Device_Type" numFmtId="0">
      <sharedItems containsBlank="1"/>
    </cacheField>
    <cacheField name="Account_Tenure" numFmtId="0">
      <sharedItems containsBlank="1"/>
    </cacheField>
    <cacheField name="Subscription_Plan" numFmtId="0">
      <sharedItems containsBlank="1" count="7">
        <s v="Free"/>
        <s v="Plus"/>
        <s v="Premium"/>
        <s v="Basic"/>
        <s v="Pro"/>
        <s v="Unknown"/>
        <m/>
      </sharedItems>
    </cacheField>
    <cacheField name="Acquisition_Channel" numFmtId="0">
      <sharedItems containsBlank="1" count="10">
        <s v="Paid Search"/>
        <s v="Organic Search"/>
        <s v="App Store"/>
        <s v="Direct"/>
        <s v="Referral"/>
        <s v="Paid Social"/>
        <s v="Affiliate"/>
        <s v="Employer Partnership"/>
        <s v="Unknown"/>
        <m/>
      </sharedItems>
    </cacheField>
    <cacheField name="Feature_Name" numFmtId="0">
      <sharedItems containsBlank="1" count="12">
        <s v="Budget Planner"/>
        <s v="Instant Bank Transfer"/>
        <s v="Savings Pots"/>
        <s v="Bill Split"/>
        <s v="Cashflow Insights"/>
        <s v="International Transfer"/>
        <s v="Unknown"/>
        <s v="Virtual Card"/>
        <s v="Cashback Rewards"/>
        <s v="Direct Debit Manager"/>
        <s v="Credit Builder"/>
        <m/>
      </sharedItems>
    </cacheField>
    <cacheField name="Adoption_Status" numFmtId="0">
      <sharedItems containsBlank="1"/>
    </cacheField>
    <cacheField name="Experiment_Name" numFmtId="0">
      <sharedItems containsBlank="1"/>
    </cacheField>
    <cacheField name="Experiment_Variant" numFmtId="0">
      <sharedItems containsBlank="1"/>
    </cacheField>
    <cacheField name="Steps_Started" numFmtId="0">
      <sharedItems containsBlank="1" containsMixedTypes="1" containsNumber="1" containsInteger="1" minValue="-1" maxValue="99"/>
    </cacheField>
    <cacheField name="Steps_Completed" numFmtId="0">
      <sharedItems containsBlank="1" containsMixedTypes="1" containsNumber="1" containsInteger="1" minValue="-1" maxValue="99"/>
    </cacheField>
    <cacheField name="Time_On_Task_Seconds" numFmtId="0">
      <sharedItems containsString="0" containsBlank="1" containsNumber="1" containsInteger="1" minValue="-30" maxValue="9999"/>
    </cacheField>
    <cacheField name="Feature_Confusing_Flag" numFmtId="0">
      <sharedItems containsBlank="1"/>
    </cacheField>
    <cacheField name="Task_Completed_Flag" numFmtId="0">
      <sharedItems containsBlank="1" count="3">
        <s v="Yes"/>
        <s v="No"/>
        <m/>
      </sharedItems>
    </cacheField>
    <cacheField name="Error_Flag" numFmtId="0">
      <sharedItems containsBlank="1" count="4">
        <s v="Yes"/>
        <s v="No"/>
        <s v="Unknown"/>
        <m/>
      </sharedItems>
    </cacheField>
    <cacheField name="Error_Type" numFmtId="0">
      <sharedItems containsBlank="1" count="35">
        <s v="Too Many Steps"/>
        <s v="No Error"/>
        <s v="Contact Permission Denied"/>
        <s v="Recipient Validation Error"/>
        <s v="Offer Terms Unclear"/>
        <s v="Insight Unclear"/>
        <s v="Income Verification Failed"/>
        <s v="Compliance Review Delay"/>
        <s v="Friend Not Found"/>
        <s v="Eligibility Unclear"/>
        <s v="Recipient Details Rejected"/>
        <s v="Category Setup Confusion"/>
        <s v="Bank Connection Failed"/>
        <s v="Reward Not Tracked"/>
        <s v="Transfer Pending"/>
        <s v="Split Amount Confusing"/>
        <s v="Card Activation Failed"/>
        <s v="Terms Not Understood"/>
        <s v="Bank Feed Mismatch"/>
        <s v="Funding Source Unclear"/>
        <s v="Payment Schedule Mismatch"/>
        <s v="Round-Up Not Activated"/>
        <s v="Cancellation Unclear"/>
        <s v="Goal Setup Confusion"/>
        <s v="Fx Rate Confusion"/>
        <s v="Transaction Classification Wrong"/>
        <s v="Card Details Not Displayed"/>
        <s v="Data Refresh Delayed"/>
        <s v="Merchant Eligibility Mismatch"/>
        <s v="Bank Connection Faild"/>
        <s v="Merchant Declined Card"/>
        <s v="N/A"/>
        <s v="Mandate Not Found"/>
        <s v="Category Setup Confuson"/>
        <m/>
      </sharedItems>
    </cacheField>
    <cacheField name="Transaction_Success_Flag" numFmtId="0">
      <sharedItems containsBlank="1" count="4">
        <s v="Yes"/>
        <s v="No"/>
        <s v="Unknown"/>
        <m/>
      </sharedItems>
    </cacheField>
    <cacheField name="Transaction_Value_GBP" numFmtId="0">
      <sharedItems containsString="0" containsBlank="1" containsNumber="1" minValue="-10" maxValue="487.51"/>
    </cacheField>
    <cacheField name="Fee_Revenue_GBP" numFmtId="0">
      <sharedItems containsString="0" containsBlank="1" containsNumber="1" minValue="-10" maxValue="3.37" count="91">
        <n v="0"/>
        <n v="0.22"/>
        <n v="0.11"/>
        <n v="2.5"/>
        <n v="0.2"/>
        <n v="0.09"/>
        <n v="0.19"/>
        <n v="0.21"/>
        <n v="0.23"/>
        <n v="0.49"/>
        <n v="0.56000000000000005"/>
        <n v="2.36"/>
        <n v="2.87"/>
        <n v="0.48"/>
        <n v="2.29"/>
        <n v="0.17"/>
        <n v="2.67"/>
        <n v="0.1"/>
        <n v="2.71"/>
        <n v="3.29"/>
        <n v="0.46"/>
        <n v="3.3"/>
        <n v="0.53"/>
        <n v="0.54"/>
        <n v="2.83"/>
        <n v="0.18"/>
        <n v="3.37"/>
        <n v="0.5"/>
        <n v="0.56999999999999995"/>
        <n v="0.43"/>
        <n v="2.6"/>
        <n v="0.44"/>
        <n v="0.51"/>
        <n v="2.84"/>
        <n v="2.5499999999999998"/>
        <n v="2.75"/>
        <n v="2.42"/>
        <n v="2.62"/>
        <n v="2.2400000000000002"/>
        <n v="2.5299999999999998"/>
        <n v="3.24"/>
        <n v="0.52"/>
        <n v="0.47"/>
        <n v="2.2999999999999998"/>
        <n v="2.58"/>
        <n v="3.02"/>
        <n v="2.17"/>
        <n v="2.31"/>
        <n v="2.4700000000000002"/>
        <n v="2.86"/>
        <n v="0.45"/>
        <n v="-10"/>
        <n v="2.69"/>
        <n v="2.92"/>
        <n v="0.55000000000000004"/>
        <n v="2.61"/>
        <n v="2.35"/>
        <n v="2.64"/>
        <n v="3.14"/>
        <n v="2.19"/>
        <n v="2.4500000000000002"/>
        <n v="2.57"/>
        <n v="2.88"/>
        <n v="3.08"/>
        <n v="2.1800000000000002"/>
        <n v="2.37"/>
        <n v="3.36"/>
        <n v="2.3199999999999998"/>
        <n v="2.4"/>
        <n v="2.48"/>
        <n v="2.91"/>
        <n v="2.59"/>
        <n v="2.68"/>
        <n v="2.66"/>
        <n v="3.2"/>
        <n v="2.63"/>
        <n v="2.85"/>
        <n v="2.8"/>
        <n v="2.4900000000000002"/>
        <n v="2.2599999999999998"/>
        <n v="2.72"/>
        <n v="2.44"/>
        <n v="3.26"/>
        <n v="2.81"/>
        <n v="3.18"/>
        <n v="3.09"/>
        <n v="2.4300000000000002"/>
        <n v="3.11"/>
        <n v="3.35"/>
        <n v="2.16"/>
        <m/>
      </sharedItems>
    </cacheField>
    <cacheField name="Allocated_Subscription_Revenue_GBP" numFmtId="0">
      <sharedItems containsString="0" containsBlank="1" containsNumber="1" minValue="0" maxValue="0.37" count="4">
        <n v="0"/>
        <n v="0.17"/>
        <n v="0.37"/>
        <m/>
      </sharedItems>
    </cacheField>
    <cacheField name="Column1" numFmtId="0">
      <sharedItems containsBlank="1"/>
    </cacheField>
    <cacheField name="Support_Contact_Flag" numFmtId="0">
      <sharedItems containsBlank="1"/>
    </cacheField>
    <cacheField name="Support_Category" numFmtId="0">
      <sharedItems containsBlank="1"/>
    </cacheField>
    <cacheField name="Support_Resolution_Status" numFmtId="0">
      <sharedItems containsBlank="1"/>
    </cacheField>
    <cacheField name="Resolution_Time_Minutes" numFmtId="0">
      <sharedItems containsString="0" containsBlank="1" containsNumber="1" containsInteger="1" minValue="-5" maxValue="999"/>
    </cacheField>
    <cacheField name="Dropoff_Reason" numFmtId="0">
      <sharedItems containsBlank="1"/>
    </cacheField>
    <cacheField name="Satisfaction_Score" numFmtId="0">
      <sharedItems containsString="0" containsBlank="1" containsNumber="1" containsInteger="1" minValue="0" maxValue="8"/>
    </cacheField>
    <cacheField name="NPS_Score" numFmtId="0">
      <sharedItems containsString="0" containsBlank="1" containsNumber="1" containsInteger="1" minValue="-150" maxValue="150"/>
    </cacheField>
    <cacheField name="Days_Since_Last_Feature_Use" numFmtId="0">
      <sharedItems containsBlank="1" containsMixedTypes="1" containsNumber="1" containsInteger="1" minValue="-5" maxValue="999"/>
    </cacheField>
    <cacheField name="Retained_30_Day_Flag" numFmtId="0">
      <sharedItems containsBlank="1" count="4">
        <s v="No"/>
        <s v="Yes"/>
        <s v="Unknown"/>
        <m/>
      </sharedItems>
    </cacheField>
    <cacheField name="Task Completed Number" numFmtId="0">
      <sharedItems containsString="0" containsBlank="1" containsNumber="1" containsInteger="1" minValue="0" maxValue="1"/>
    </cacheField>
    <cacheField name="Transaction Success Rate (NO)" numFmtId="0">
      <sharedItems containsString="0" containsBlank="1" containsNumber="1" containsInteger="1" minValue="0" maxValue="1"/>
    </cacheField>
    <cacheField name="Error Flag (NO)" numFmtId="0">
      <sharedItems containsString="0" containsBlank="1" containsNumber="1" containsInteger="1" minValue="0" maxValue="1"/>
    </cacheField>
    <cacheField name="30-Days Retention Rate (NO)" numFmtId="0">
      <sharedItems containsString="0" containsBlank="1" containsNumber="1" containsInteger="1" minValue="0" maxValue="1"/>
    </cacheField>
    <cacheField name="Months (Event_Date)" numFmtId="0" databaseField="0">
      <fieldGroup base="3">
        <rangePr groupBy="months" startDate="2025-01-01T00:00:00" endDate="2026-12-06T00:00:00"/>
        <groupItems count="14">
          <s v="&lt;1/1/2025"/>
          <s v="Jan"/>
          <s v="Feb"/>
          <s v="Mar"/>
          <s v="Apr"/>
          <s v="May"/>
          <s v="Jun"/>
          <s v="Jul"/>
          <s v="Aug"/>
          <s v="Sep"/>
          <s v="Oct"/>
          <s v="Nov"/>
          <s v="Dec"/>
          <s v="&gt;12/6/2026"/>
        </groupItems>
      </fieldGroup>
    </cacheField>
    <cacheField name="Quarters (Event_Date)" numFmtId="0" databaseField="0">
      <fieldGroup base="3">
        <rangePr groupBy="quarters" startDate="2025-01-01T00:00:00" endDate="2026-12-06T00:00:00"/>
        <groupItems count="6">
          <s v="&lt;1/1/2025"/>
          <s v="Qtr1"/>
          <s v="Qtr2"/>
          <s v="Qtr3"/>
          <s v="Qtr4"/>
          <s v="&gt;12/6/2026"/>
        </groupItems>
      </fieldGroup>
    </cacheField>
    <cacheField name="Years (Event_Date)" numFmtId="0" databaseField="0">
      <fieldGroup base="3">
        <rangePr groupBy="years" startDate="2025-01-01T00:00:00" endDate="2026-12-06T00:00:00"/>
        <groupItems count="4">
          <s v="&lt;1/1/2025"/>
          <s v="2025"/>
          <s v="2026"/>
          <s v="&gt;12/6/2026"/>
        </groupItems>
      </fieldGroup>
    </cacheField>
  </cacheFields>
  <extLst>
    <ext xmlns:x14="http://schemas.microsoft.com/office/spreadsheetml/2009/9/main" uri="{725AE2AE-9491-48be-B2B4-4EB974FC3084}">
      <x14:pivotCacheDefinition pivotCacheId="2119597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0">
  <r>
    <s v="NSF-001080"/>
    <s v="USR-00026"/>
    <s v="SES-2601-94126"/>
    <d v="2026-01-13T00:00:00"/>
    <s v="London"/>
    <s v="Camden"/>
    <x v="0"/>
    <s v="25-34"/>
    <s v="Male"/>
    <s v="Ios"/>
    <s v="Iphone"/>
    <s v="7-12 months"/>
    <s v="Free"/>
    <s v="Paid Search"/>
    <x v="0"/>
    <s v="Repeat Use"/>
    <s v="Simplified Onboarding"/>
    <s v="Control"/>
    <n v="7"/>
    <n v="7"/>
    <n v="191"/>
    <s v="No"/>
    <x v="0"/>
    <x v="0"/>
    <s v="Too Many Steps"/>
    <x v="0"/>
    <n v="4.13"/>
    <n v="0"/>
    <n v="0"/>
    <s v="No Support Contact"/>
    <s v="No"/>
    <s v="No Support Contact"/>
    <s v="Not Applicable"/>
    <m/>
    <s v="No drop-off"/>
    <n v="2"/>
    <n v="-41"/>
    <n v="36"/>
    <x v="0"/>
    <n v="1"/>
    <n v="1"/>
    <n v="1"/>
    <n v="0"/>
  </r>
  <r>
    <s v="NSF-000383"/>
    <s v="USR-00050"/>
    <s v="SES-2504-41424"/>
    <d v="2025-04-23T00:00:00"/>
    <s v="East Midlands"/>
    <s v="Leicester"/>
    <x v="1"/>
    <s v="25-34"/>
    <s v="Female"/>
    <s v="Android"/>
    <s v="Android Phone"/>
    <s v="2+ years"/>
    <s v="Free"/>
    <s v="Organic Search"/>
    <x v="1"/>
    <s v="First Use"/>
    <s v="No Experiment"/>
    <s v="Control"/>
    <n v="4"/>
    <n v="4"/>
    <n v="78"/>
    <s v="No"/>
    <x v="0"/>
    <x v="1"/>
    <s v="No Error"/>
    <x v="0"/>
    <n v="133.52000000000001"/>
    <n v="0.22"/>
    <n v="0"/>
    <s v="No Support Contact"/>
    <s v="No"/>
    <s v="No Support Contact"/>
    <s v="Not Applicable"/>
    <m/>
    <s v="No drop-off"/>
    <n v="4"/>
    <n v="38"/>
    <n v="0"/>
    <x v="1"/>
    <n v="1"/>
    <n v="1"/>
    <n v="0"/>
    <n v="1"/>
  </r>
  <r>
    <s v="NSF-001056"/>
    <s v="USR-00025"/>
    <s v="SES-2512-25806"/>
    <d v="2025-12-24T00:00:00"/>
    <s v="Scotland"/>
    <s v="Glasgow"/>
    <x v="2"/>
    <s v="25-34"/>
    <s v="Male"/>
    <s v="Ios"/>
    <s v="Iphone"/>
    <s v="7-12 months"/>
    <s v="Plus"/>
    <s v="Paid Search"/>
    <x v="2"/>
    <s v="Trial/Exploration"/>
    <s v="No Experiment"/>
    <s v="Control"/>
    <n v="5"/>
    <n v="5"/>
    <n v="131"/>
    <s v="No"/>
    <x v="0"/>
    <x v="1"/>
    <s v="No Error"/>
    <x v="0"/>
    <n v="70.81"/>
    <n v="0"/>
    <n v="0.17"/>
    <s v="No Support Contact"/>
    <s v="No"/>
    <s v="No Support Contact"/>
    <s v="Not Applicable"/>
    <m/>
    <s v="No drop-off"/>
    <n v="5"/>
    <n v="1"/>
    <n v="22"/>
    <x v="1"/>
    <n v="1"/>
    <n v="1"/>
    <n v="0"/>
    <n v="1"/>
  </r>
  <r>
    <s v="NSF-000643"/>
    <s v="USR-00309"/>
    <s v="SES-2507-20244"/>
    <d v="2025-07-07T00:00:00"/>
    <s v="Wales"/>
    <s v="Wrexham"/>
    <x v="0"/>
    <s v="25-34"/>
    <s v="Male"/>
    <s v="Android"/>
    <s v="Android Phone"/>
    <s v="2+ years"/>
    <s v="Free"/>
    <s v="App Store"/>
    <x v="0"/>
    <s v="Repeat Use"/>
    <s v="No Experiment"/>
    <s v="Control"/>
    <n v="7"/>
    <n v="4"/>
    <n v="331"/>
    <s v="Yes"/>
    <x v="1"/>
    <x v="1"/>
    <s v="No Error"/>
    <x v="1"/>
    <n v="0"/>
    <n v="0"/>
    <n v="0"/>
    <s v="No Support Contact"/>
    <s v="No"/>
    <s v="No Support Contact"/>
    <s v="Not Applicable"/>
    <m/>
    <s v="Instructions unclear"/>
    <n v="2"/>
    <n v="6"/>
    <n v="46"/>
    <x v="0"/>
    <n v="0"/>
    <n v="0"/>
    <n v="0"/>
    <n v="0"/>
  </r>
  <r>
    <s v="NSF-000235"/>
    <s v="USR-00309"/>
    <s v="SES-2503-31976"/>
    <d v="2025-03-23T00:00:00"/>
    <s v="East England"/>
    <s v="Ipswich"/>
    <x v="2"/>
    <s v="35-44"/>
    <s v="Male"/>
    <s v="Android"/>
    <s v="Android Phone"/>
    <s v="1-2 years"/>
    <s v="Plus"/>
    <s v="Direct"/>
    <x v="3"/>
    <s v="Repeat Use"/>
    <s v="Simplified Onboarding"/>
    <s v="Control"/>
    <n v="6"/>
    <n v="6"/>
    <n v="114"/>
    <s v="No"/>
    <x v="0"/>
    <x v="1"/>
    <s v="No Error"/>
    <x v="0"/>
    <n v="58.87"/>
    <n v="0.11"/>
    <n v="0.17"/>
    <s v="No Support Contact"/>
    <s v="No"/>
    <s v="No Support Contact"/>
    <s v="Not Applicable"/>
    <m/>
    <s v="No drop-off"/>
    <n v="3"/>
    <n v="26"/>
    <n v="19"/>
    <x v="1"/>
    <n v="1"/>
    <n v="1"/>
    <n v="0"/>
    <n v="1"/>
  </r>
  <r>
    <s v="NSF-000665"/>
    <s v="USR-00398"/>
    <s v="SES-2508-41034"/>
    <d v="2025-08-15T00:00:00"/>
    <s v="East Midlands"/>
    <s v="Derby"/>
    <x v="3"/>
    <s v="25-34"/>
    <s v="Male"/>
    <s v="Ios"/>
    <s v="Iphone"/>
    <s v="1-2 years"/>
    <s v="Free"/>
    <s v="Referral"/>
    <x v="4"/>
    <s v="First Use"/>
    <s v="Simplified Onboarding"/>
    <s v="Control"/>
    <n v="6"/>
    <n v="6"/>
    <n v="-30"/>
    <s v="No"/>
    <x v="0"/>
    <x v="1"/>
    <s v="No Error"/>
    <x v="0"/>
    <n v="31.53"/>
    <n v="0"/>
    <n v="0"/>
    <s v="No Support Contact"/>
    <s v="No"/>
    <s v="No Support Contact"/>
    <s v="Not Applicable"/>
    <m/>
    <s v="No drop-off"/>
    <n v="3"/>
    <n v="10"/>
    <n v="0"/>
    <x v="1"/>
    <n v="1"/>
    <n v="1"/>
    <n v="0"/>
    <n v="1"/>
  </r>
  <r>
    <s v="NSF-000434"/>
    <s v="USR-00457"/>
    <s v="SES-2505-46371"/>
    <d v="2025-05-03T00:00:00"/>
    <s v="East England"/>
    <s v="Ipswich"/>
    <x v="3"/>
    <s v="25-34"/>
    <s v="Female"/>
    <s v="Android"/>
    <s v="Android Phone"/>
    <s v="3-6 months"/>
    <s v="Free"/>
    <s v="Paid Social"/>
    <x v="3"/>
    <s v="First Use"/>
    <s v="No Experiment"/>
    <s v="Control"/>
    <n v="6"/>
    <n v="6"/>
    <n v="166"/>
    <s v="No"/>
    <x v="1"/>
    <x v="0"/>
    <s v="Contact Permission Denied"/>
    <x v="2"/>
    <n v="0"/>
    <n v="0"/>
    <n v="0"/>
    <s v="No Support Contact"/>
    <s v="No"/>
    <s v="No Support Contact"/>
    <s v="Not Applicable"/>
    <m/>
    <s v="Technical error"/>
    <n v="2"/>
    <n v="-16"/>
    <n v="0"/>
    <x v="1"/>
    <n v="0"/>
    <n v="0"/>
    <n v="1"/>
    <n v="1"/>
  </r>
  <r>
    <s v="NSF-001366"/>
    <s v="USR-00424"/>
    <s v="SES-2605-51751"/>
    <d v="2026-05-22T00:00:00"/>
    <s v="Yorkshire &amp; Humber"/>
    <s v="York"/>
    <x v="1"/>
    <s v="18-24"/>
    <s v="Male"/>
    <s v="Android"/>
    <s v="Android Phone"/>
    <s v="1-2 years"/>
    <s v="Plus"/>
    <s v="Paid Social"/>
    <x v="4"/>
    <s v="Repeat Use"/>
    <s v="Fee Transparency Panel"/>
    <s v="Treatment"/>
    <s v="6 steps"/>
    <n v="6"/>
    <n v="163"/>
    <s v="No"/>
    <x v="0"/>
    <x v="1"/>
    <s v="No Error"/>
    <x v="1"/>
    <n v="0"/>
    <n v="0"/>
    <n v="0"/>
    <s v="No Support Contact"/>
    <s v="No"/>
    <s v="No Support Contact"/>
    <s v="Not Applicable"/>
    <m/>
    <s v="No drop-off"/>
    <n v="5"/>
    <n v="33"/>
    <n v="22"/>
    <x v="1"/>
    <n v="1"/>
    <n v="0"/>
    <n v="0"/>
    <n v="1"/>
  </r>
  <r>
    <s v="NSF-000560"/>
    <s v="USR-00651"/>
    <s v="SES-2506-23794"/>
    <d v="2025-06-05T00:00:00"/>
    <s v="East England"/>
    <s v="Luton"/>
    <x v="3"/>
    <s v="35-44"/>
    <s v="Male"/>
    <s v="Android"/>
    <s v="Android Phone"/>
    <s v="&lt;3 months"/>
    <s v="Free"/>
    <s v="Referral"/>
    <x v="3"/>
    <s v="First Use"/>
    <s v="No Experiment"/>
    <s v="Control"/>
    <n v="6"/>
    <s v="4 steps"/>
    <n v="222"/>
    <s v="Yes"/>
    <x v="0"/>
    <x v="1"/>
    <s v="No Error"/>
    <x v="0"/>
    <n v="37.78"/>
    <n v="0.11"/>
    <n v="0"/>
    <s v="Feature Navigation"/>
    <s v="Yes"/>
    <s v="Feature Navigation"/>
    <s v="Resolved"/>
    <n v="35"/>
    <s v="No drop-off"/>
    <n v="3"/>
    <n v="-21"/>
    <n v="0"/>
    <x v="0"/>
    <n v="1"/>
    <n v="1"/>
    <n v="0"/>
    <n v="0"/>
  </r>
  <r>
    <s v="NSF-000119"/>
    <s v="USR-00811"/>
    <s v="SES-2502-90921"/>
    <d v="2025-02-27T00:00:00"/>
    <s v="Wales"/>
    <s v="Wrexham"/>
    <x v="2"/>
    <s v="18-24"/>
    <s v="Female"/>
    <s v="Android"/>
    <s v="Android Phone"/>
    <s v="&lt;3 months"/>
    <s v="Free"/>
    <s v="Paid Search"/>
    <x v="5"/>
    <s v="First Use"/>
    <s v="No Experiment"/>
    <s v="Control"/>
    <n v="8"/>
    <n v="8"/>
    <n v="254"/>
    <s v="No"/>
    <x v="0"/>
    <x v="1"/>
    <s v="No Error"/>
    <x v="0"/>
    <n v="448.94"/>
    <n v="2.5"/>
    <n v="0"/>
    <s v="No Support Contact"/>
    <s v="No"/>
    <s v="No Support Contact"/>
    <s v="Not Applicable"/>
    <m/>
    <s v="No drop-off"/>
    <n v="5"/>
    <n v="7"/>
    <n v="0"/>
    <x v="1"/>
    <n v="1"/>
    <n v="1"/>
    <n v="0"/>
    <n v="1"/>
  </r>
  <r>
    <s v="NSF-000244"/>
    <s v="USR-00463"/>
    <s v="SES-2503-60901"/>
    <d v="2025-03-21T00:00:00"/>
    <s v="North East"/>
    <s v="Sunderland"/>
    <x v="3"/>
    <s v="35-44"/>
    <s v="Female"/>
    <s v="Android"/>
    <s v="Android Phone"/>
    <s v="&lt;3 months"/>
    <s v="Free"/>
    <s v="Direct"/>
    <x v="1"/>
    <s v="Repeat Use"/>
    <s v="Simplified Onboarding"/>
    <s v="Treatment"/>
    <n v="4"/>
    <n v="4"/>
    <n v="77"/>
    <s v="No"/>
    <x v="0"/>
    <x v="1"/>
    <s v="No Error"/>
    <x v="0"/>
    <n v="79.12"/>
    <n v="0.2"/>
    <n v="0"/>
    <s v="Fees And Pricing"/>
    <s v="Yes"/>
    <s v="Fees And Pricing"/>
    <s v="Resolved"/>
    <n v="26"/>
    <s v="No drop-off"/>
    <n v="5"/>
    <n v="79"/>
    <n v="37"/>
    <x v="1"/>
    <n v="1"/>
    <n v="1"/>
    <n v="0"/>
    <n v="1"/>
  </r>
  <r>
    <s v="NSF-000436"/>
    <s v="USR-00162"/>
    <s v="SES-2505-23070"/>
    <d v="2025-05-03T00:00:00"/>
    <s v="Wales"/>
    <s v="Newport"/>
    <x v="2"/>
    <s v="25-34"/>
    <s v="Female"/>
    <s v="Android"/>
    <s v="Android Phone"/>
    <s v="&lt;3 months"/>
    <s v="Plus"/>
    <s v="Organic Search"/>
    <x v="1"/>
    <s v="Repeat Use"/>
    <s v="No Experiment"/>
    <s v="Control"/>
    <n v="4"/>
    <n v="4"/>
    <n v="80"/>
    <s v="No"/>
    <x v="0"/>
    <x v="1"/>
    <s v="No Error"/>
    <x v="1"/>
    <n v="0"/>
    <n v="0"/>
    <n v="0"/>
    <s v="Feature Navigation"/>
    <s v="Yes"/>
    <s v="Feature Navigation"/>
    <s v="Resolved"/>
    <n v="30"/>
    <s v="No drop-off"/>
    <n v="4"/>
    <n v="58"/>
    <n v="21"/>
    <x v="1"/>
    <n v="1"/>
    <n v="0"/>
    <n v="0"/>
    <n v="1"/>
  </r>
  <r>
    <s v="NSF-000014"/>
    <s v="USR-00800"/>
    <s v="SES-2501-84378"/>
    <d v="2025-01-16T00:00:00"/>
    <s v="Scotland"/>
    <s v="Edinburgh"/>
    <x v="1"/>
    <s v="45-54"/>
    <s v="Male"/>
    <s v="Android"/>
    <s v="Android Phone"/>
    <s v="2+ years"/>
    <s v="Premium"/>
    <s v="Organic Search"/>
    <x v="5"/>
    <s v="Repeat Use"/>
    <s v="No Experiment"/>
    <s v="Control"/>
    <n v="8"/>
    <s v="8 steps"/>
    <n v="151"/>
    <s v="No"/>
    <x v="0"/>
    <x v="1"/>
    <s v="No Error"/>
    <x v="1"/>
    <n v="0"/>
    <n v="0"/>
    <n v="0"/>
    <s v="Feature Navigation"/>
    <s v="Yes"/>
    <s v="Feature Navigation"/>
    <s v="Unresolved"/>
    <n v="35"/>
    <s v="No drop-off"/>
    <n v="4"/>
    <n v="-18"/>
    <n v="12"/>
    <x v="0"/>
    <n v="1"/>
    <n v="0"/>
    <n v="0"/>
    <n v="0"/>
  </r>
  <r>
    <s v="NSF-001007"/>
    <s v="USR-00627"/>
    <s v="SES-2512-71957"/>
    <d v="2025-12-04T00:00:00"/>
    <s v="Wales"/>
    <s v="Newport"/>
    <x v="4"/>
    <s v="18-24"/>
    <s v="Female"/>
    <s v="Ios"/>
    <s v="Iphone"/>
    <s v="1-2 years"/>
    <s v="Free"/>
    <s v="App Store"/>
    <x v="6"/>
    <s v="Repeat Use"/>
    <s v="Contextual Help"/>
    <s v="Control"/>
    <n v="9"/>
    <n v="9"/>
    <n v="270"/>
    <s v="No"/>
    <x v="1"/>
    <x v="1"/>
    <s v="No Error"/>
    <x v="1"/>
    <n v="0"/>
    <n v="0"/>
    <n v="0"/>
    <s v="No Support Contact"/>
    <s v="No"/>
    <s v="No Support Contact"/>
    <s v="Not Applicable"/>
    <m/>
    <s v="No drop-off"/>
    <n v="3"/>
    <n v="-39"/>
    <n v="19"/>
    <x v="0"/>
    <n v="0"/>
    <n v="0"/>
    <n v="0"/>
    <n v="0"/>
  </r>
  <r>
    <s v="NSF-000919"/>
    <s v="USR-00670"/>
    <s v="SES-2511-20251"/>
    <d v="2025-11-19T00:00:00"/>
    <s v="South West"/>
    <s v="Exeter"/>
    <x v="3"/>
    <s v="35-44"/>
    <s v="Male"/>
    <s v="Android"/>
    <s v="Android Phone"/>
    <s v="7-12 months"/>
    <s v="Free"/>
    <s v="Affiliate"/>
    <x v="1"/>
    <s v="First Use"/>
    <s v="No Experiment"/>
    <s v="Control"/>
    <n v="4"/>
    <n v="3"/>
    <n v="165"/>
    <s v="Yes"/>
    <x v="1"/>
    <x v="1"/>
    <s v="No Error"/>
    <x v="1"/>
    <n v="0"/>
    <n v="0"/>
    <n v="0"/>
    <s v="No Support Contact"/>
    <s v="No"/>
    <s v="No Support Contact"/>
    <s v="Not Applicable"/>
    <m/>
    <s v="Too many steps"/>
    <n v="3"/>
    <n v="27"/>
    <n v="0"/>
    <x v="1"/>
    <n v="0"/>
    <n v="0"/>
    <n v="0"/>
    <n v="1"/>
  </r>
  <r>
    <s v="NSF-000112"/>
    <s v="USR-00455"/>
    <s v="SES-2502-78203"/>
    <d v="2025-02-21T00:00:00"/>
    <s v="London"/>
    <s v="Croydon"/>
    <x v="1"/>
    <s v="45-54"/>
    <s v="Male"/>
    <s v="Android"/>
    <s v="Android Phone"/>
    <s v="&lt;3 months"/>
    <s v="Free"/>
    <s v="Affiliate"/>
    <x v="3"/>
    <s v="Reactivated"/>
    <s v="Simplified Onboarding"/>
    <s v="Treatment"/>
    <n v="6"/>
    <n v="6"/>
    <n v="183"/>
    <s v="No"/>
    <x v="0"/>
    <x v="1"/>
    <s v="No Error"/>
    <x v="1"/>
    <n v="0"/>
    <n v="0"/>
    <n v="0"/>
    <s v="No Support Contact"/>
    <s v="No"/>
    <s v="No Support Contact"/>
    <s v="Not Applicable"/>
    <m/>
    <s v="No drop-off"/>
    <n v="4"/>
    <n v="23"/>
    <n v="9"/>
    <x v="1"/>
    <n v="1"/>
    <n v="0"/>
    <n v="0"/>
    <n v="1"/>
  </r>
  <r>
    <s v="NSF-001224"/>
    <s v="USR-00164"/>
    <s v="SES-2603-47390"/>
    <d v="2026-03-09T00:00:00"/>
    <s v="Wales"/>
    <s v="Cardiff"/>
    <x v="5"/>
    <s v="25-34"/>
    <s v="Female"/>
    <s v="Ios"/>
    <s v="Iphone"/>
    <s v="1-2 years"/>
    <s v="Plus"/>
    <s v="Paid Search"/>
    <x v="5"/>
    <s v="First Use"/>
    <s v="No Experiment"/>
    <s v="Control"/>
    <n v="8"/>
    <n v="8"/>
    <n v="153"/>
    <s v="No"/>
    <x v="1"/>
    <x v="1"/>
    <s v="No Error"/>
    <x v="1"/>
    <n v="0"/>
    <n v="0"/>
    <n v="0"/>
    <s v="No Support Contact"/>
    <s v="No"/>
    <s v="No Support Contact"/>
    <s v="Not Applicable"/>
    <m/>
    <s v="No drop-off"/>
    <n v="4"/>
    <n v="3"/>
    <n v="0"/>
    <x v="0"/>
    <n v="0"/>
    <n v="0"/>
    <n v="0"/>
    <n v="0"/>
  </r>
  <r>
    <s v="NSF-001156"/>
    <s v="USR-00498"/>
    <s v="SES-2602-98651"/>
    <d v="2026-02-27T00:00:00"/>
    <s v="South East"/>
    <s v="Guildford"/>
    <x v="5"/>
    <s v="55-64"/>
    <s v="Male"/>
    <s v="Ios"/>
    <s v="Iphone"/>
    <s v="&lt;3 months"/>
    <s v="Free"/>
    <s v="Paid Search"/>
    <x v="0"/>
    <s v="Reactivated"/>
    <s v="No Experiment"/>
    <s v="Control"/>
    <n v="7"/>
    <n v="7"/>
    <n v="207"/>
    <s v="Unknown"/>
    <x v="0"/>
    <x v="1"/>
    <s v="No Error"/>
    <x v="0"/>
    <n v="36.770000000000003"/>
    <n v="0"/>
    <n v="0"/>
    <s v="Account Verification"/>
    <s v="Yes"/>
    <s v="Account Verification"/>
    <s v="Resolved"/>
    <n v="30"/>
    <s v="No drop-off"/>
    <n v="4"/>
    <n v="0"/>
    <n v="51"/>
    <x v="1"/>
    <n v="1"/>
    <n v="1"/>
    <n v="0"/>
    <n v="1"/>
  </r>
  <r>
    <s v="NSF-000432"/>
    <s v="USR-00727"/>
    <s v="SES-2505-97952"/>
    <d v="2025-05-16T00:00:00"/>
    <s v="South East"/>
    <s v="Oxford"/>
    <x v="6"/>
    <s v="25-34"/>
    <s v="Male"/>
    <s v="Web"/>
    <s v="Desktop"/>
    <s v="&lt;3 months"/>
    <s v="Plus"/>
    <s v="Affiliate"/>
    <x v="0"/>
    <s v="First Use"/>
    <s v="No Experiment"/>
    <s v="Control"/>
    <n v="7"/>
    <n v="4"/>
    <n v="306"/>
    <s v="Yes"/>
    <x v="1"/>
    <x v="1"/>
    <s v="No Error"/>
    <x v="1"/>
    <n v="0"/>
    <n v="0"/>
    <n v="0"/>
    <s v="No Support Contact"/>
    <s v="No"/>
    <s v="No Support Contact"/>
    <s v="Not Applicable"/>
    <m/>
    <s v="Instructions unclear"/>
    <n v="3"/>
    <n v="15"/>
    <n v="0"/>
    <x v="0"/>
    <n v="0"/>
    <n v="0"/>
    <n v="0"/>
    <n v="0"/>
  </r>
  <r>
    <s v="NSF-000661"/>
    <s v="USR-00213"/>
    <s v="SES-2507-72128"/>
    <d v="2025-07-28T00:00:00"/>
    <s v="West Midlands"/>
    <s v="Birmingham"/>
    <x v="0"/>
    <s v="18-24"/>
    <s v="Male"/>
    <s v="Ios"/>
    <s v="Iphone"/>
    <s v="2+ years"/>
    <s v="Free"/>
    <s v="Paid Social"/>
    <x v="7"/>
    <s v="First Use"/>
    <s v="No Experiment"/>
    <s v="Control"/>
    <n v="4"/>
    <n v="2"/>
    <n v="120"/>
    <s v="Yes"/>
    <x v="1"/>
    <x v="1"/>
    <s v="No Error"/>
    <x v="1"/>
    <n v="0"/>
    <n v="0"/>
    <n v="0"/>
    <s v="No Support Contact"/>
    <s v="No"/>
    <s v="No Support Contact"/>
    <s v="Not Applicable"/>
    <m/>
    <s v="Unexpected fee"/>
    <n v="3"/>
    <n v="43"/>
    <n v="0"/>
    <x v="0"/>
    <n v="0"/>
    <n v="0"/>
    <n v="0"/>
    <n v="0"/>
  </r>
  <r>
    <s v="NSF-001355"/>
    <s v="USR-00602"/>
    <s v="SES-2604-88010"/>
    <d v="2026-04-02T00:00:00"/>
    <s v="Scotland"/>
    <s v="Aberdeen"/>
    <x v="2"/>
    <s v="25-34"/>
    <s v="Male"/>
    <s v="Android"/>
    <s v="Android Phone"/>
    <s v="2+ years"/>
    <s v="Premium"/>
    <s v="Referral"/>
    <x v="2"/>
    <s v="Repeat Use"/>
    <s v="New Cta Copy"/>
    <s v="Control"/>
    <n v="5"/>
    <n v="5"/>
    <n v="125"/>
    <s v="No"/>
    <x v="0"/>
    <x v="1"/>
    <s v="No Error"/>
    <x v="0"/>
    <n v="19.309999999999999"/>
    <n v="0"/>
    <n v="0.37"/>
    <s v="No Support Contact"/>
    <s v="No"/>
    <s v="No Support Contact"/>
    <s v="Not Applicable"/>
    <m/>
    <s v="No drop-off"/>
    <n v="5"/>
    <n v="47"/>
    <n v="25"/>
    <x v="0"/>
    <n v="1"/>
    <n v="1"/>
    <n v="0"/>
    <n v="0"/>
  </r>
  <r>
    <s v="NSF-000296"/>
    <s v="USR-00374"/>
    <s v="SES-2504-59569"/>
    <d v="2025-04-14T00:00:00"/>
    <s v="Wales"/>
    <s v="Wrexham"/>
    <x v="2"/>
    <s v="45-54"/>
    <s v="Female"/>
    <s v="Android"/>
    <s v="Android Phone"/>
    <s v="2+ years"/>
    <s v="Free"/>
    <s v="Paid Search"/>
    <x v="3"/>
    <s v="Reactivated"/>
    <s v="No Experiment"/>
    <s v="Control"/>
    <n v="6"/>
    <n v="6"/>
    <n v="114"/>
    <s v="No"/>
    <x v="0"/>
    <x v="1"/>
    <s v="No Error"/>
    <x v="0"/>
    <n v="5.14"/>
    <n v="0.09"/>
    <n v="0"/>
    <s v="No Support Contact"/>
    <s v="No"/>
    <s v="No Support Contact"/>
    <s v="Not Applicable"/>
    <m/>
    <s v="No drop-off"/>
    <n v="4"/>
    <n v="36"/>
    <n v="47"/>
    <x v="1"/>
    <n v="1"/>
    <n v="1"/>
    <n v="0"/>
    <n v="1"/>
  </r>
  <r>
    <s v="NSF-000391"/>
    <s v="USR-00620"/>
    <s v="SES-2505-26820"/>
    <d v="2025-05-07T00:00:00"/>
    <s v="East England"/>
    <s v="Cambridge"/>
    <x v="0"/>
    <s v="35-44"/>
    <s v="Male"/>
    <s v="Android"/>
    <s v="Android Phone"/>
    <s v="7-12 months"/>
    <s v="Free"/>
    <s v="Organic Search"/>
    <x v="2"/>
    <s v="First Use"/>
    <s v="Contextual Help"/>
    <s v="Control"/>
    <n v="5"/>
    <n v="5"/>
    <n v="127"/>
    <s v="No"/>
    <x v="1"/>
    <x v="1"/>
    <s v="No Error"/>
    <x v="0"/>
    <n v="20.88"/>
    <n v="0"/>
    <n v="0"/>
    <s v="No Support Contact"/>
    <s v="No"/>
    <s v="No Support Contact"/>
    <s v="Not Applicable"/>
    <m/>
    <s v="Changed mind"/>
    <n v="4"/>
    <n v="23"/>
    <n v="0"/>
    <x v="1"/>
    <n v="0"/>
    <n v="1"/>
    <n v="0"/>
    <n v="1"/>
  </r>
  <r>
    <s v="NSF-000999"/>
    <s v="USR-00373"/>
    <s v="SES-2512-11182"/>
    <d v="2025-12-31T00:00:00"/>
    <s v="East England"/>
    <s v="Ipswich"/>
    <x v="5"/>
    <s v="45-54"/>
    <s v="Female"/>
    <s v="Ios"/>
    <s v="Iphone"/>
    <s v="2+ years"/>
    <s v="Plus"/>
    <s v="Paid Search"/>
    <x v="4"/>
    <s v="First Use"/>
    <s v="New Cta Copy"/>
    <s v="Treatment"/>
    <n v="6"/>
    <n v="6"/>
    <n v="163"/>
    <s v="No"/>
    <x v="0"/>
    <x v="1"/>
    <s v="No Error"/>
    <x v="0"/>
    <n v="15.13"/>
    <n v="0"/>
    <n v="0.17"/>
    <s v="No Support Contact"/>
    <s v="No"/>
    <s v="No Support Contact"/>
    <s v="Not Applicable"/>
    <m/>
    <s v="No drop-off"/>
    <n v="4"/>
    <n v="10"/>
    <n v="0"/>
    <x v="1"/>
    <n v="1"/>
    <n v="1"/>
    <n v="0"/>
    <n v="1"/>
  </r>
  <r>
    <s v="NSF-000226"/>
    <s v="USR-00174"/>
    <s v="SES-2503-78958"/>
    <d v="2025-03-12T00:00:00"/>
    <s v="Wales"/>
    <s v="Cardiff"/>
    <x v="0"/>
    <s v="18-24"/>
    <s v="Female"/>
    <s v="Android"/>
    <s v="Android Phone"/>
    <s v="1-2 years"/>
    <s v="Free"/>
    <s v="Employer Partnership"/>
    <x v="1"/>
    <s v="Repeat Use"/>
    <s v="No Experiment"/>
    <s v="Control"/>
    <n v="4"/>
    <n v="4"/>
    <n v="105"/>
    <s v="No"/>
    <x v="0"/>
    <x v="1"/>
    <s v="No Error"/>
    <x v="0"/>
    <n v="204.65"/>
    <n v="0.19"/>
    <n v="0"/>
    <s v="No Support Contact"/>
    <s v="No"/>
    <s v="No Support Contact"/>
    <s v="Not Applicable"/>
    <m/>
    <s v="No drop-off"/>
    <n v="4"/>
    <n v="40"/>
    <n v="29"/>
    <x v="1"/>
    <n v="1"/>
    <n v="1"/>
    <n v="0"/>
    <n v="1"/>
  </r>
  <r>
    <s v="NSF-000983"/>
    <s v="USR-00277"/>
    <s v="SES-2511-87095"/>
    <d v="2025-11-05T00:00:00"/>
    <s v="South East"/>
    <s v="Canterbury"/>
    <x v="5"/>
    <s v="25-34"/>
    <s v="Female"/>
    <s v="Web"/>
    <s v="Desktop"/>
    <s v="1-2 years"/>
    <s v="Free"/>
    <s v="App Store"/>
    <x v="1"/>
    <s v="Repeat Use"/>
    <s v="Simplified Onboarding"/>
    <s v="Treatment"/>
    <n v="4"/>
    <n v="4"/>
    <n v="95"/>
    <s v="No"/>
    <x v="1"/>
    <x v="0"/>
    <s v="Recipient Validation Error"/>
    <x v="1"/>
    <n v="0"/>
    <n v="0"/>
    <n v="0"/>
    <s v="No Support Contact"/>
    <s v="No"/>
    <s v="No Support Contact"/>
    <s v="Not Applicable"/>
    <m/>
    <s v="Technical error"/>
    <n v="3"/>
    <n v="16"/>
    <n v="29"/>
    <x v="1"/>
    <n v="0"/>
    <n v="0"/>
    <n v="1"/>
    <n v="1"/>
  </r>
  <r>
    <s v="NSF-001281"/>
    <s v="USR-00645"/>
    <s v="SES-2603-65630"/>
    <d v="2026-03-05T00:00:00"/>
    <s v="East England"/>
    <s v="Ipswich"/>
    <x v="2"/>
    <s v="18-24"/>
    <s v="Male"/>
    <s v="Android"/>
    <s v="Android Phone"/>
    <s v="1-2 years"/>
    <s v="Free"/>
    <s v="Organic Search"/>
    <x v="1"/>
    <s v="First Use"/>
    <s v="No Experiment"/>
    <s v="Control"/>
    <n v="4"/>
    <n v="4"/>
    <n v="173"/>
    <s v="No"/>
    <x v="0"/>
    <x v="0"/>
    <s v="Recipient Validation Error"/>
    <x v="0"/>
    <n v="159.62"/>
    <n v="0.21"/>
    <n v="0"/>
    <s v="No Support Contact"/>
    <s v="No"/>
    <s v="No Support Contact"/>
    <s v="Not Applicable"/>
    <m/>
    <s v="No drop-off"/>
    <n v="3"/>
    <n v="10"/>
    <n v="0"/>
    <x v="0"/>
    <n v="1"/>
    <n v="1"/>
    <n v="1"/>
    <n v="0"/>
  </r>
  <r>
    <s v="NSF-000441"/>
    <s v="USR-00507"/>
    <s v="SES-2505-67128"/>
    <d v="2025-05-18T00:00:00"/>
    <s v="South East"/>
    <s v="Brighton"/>
    <x v="2"/>
    <s v="18-24"/>
    <s v="Female"/>
    <s v="Android"/>
    <s v="Android Phone"/>
    <s v="2+ years"/>
    <s v="Plus"/>
    <s v="Employer Partnership"/>
    <x v="1"/>
    <s v="Repeat Use"/>
    <s v="Fee Transparency Panel"/>
    <s v="Treatment"/>
    <n v="4"/>
    <n v="4"/>
    <n v="75"/>
    <s v="No"/>
    <x v="1"/>
    <x v="1"/>
    <s v="No Error"/>
    <x v="0"/>
    <n v="189.89"/>
    <n v="0.23"/>
    <n v="0.17"/>
    <s v="No Support Contact"/>
    <s v="No"/>
    <s v="No Support Contact"/>
    <s v="Not Applicable"/>
    <m/>
    <s v="Instructions unclear"/>
    <n v="4"/>
    <n v="70"/>
    <n v="42"/>
    <x v="1"/>
    <n v="0"/>
    <n v="1"/>
    <n v="0"/>
    <n v="1"/>
  </r>
  <r>
    <s v="NSF-000651"/>
    <s v="USR-00230"/>
    <s v="SES-2507-69094"/>
    <d v="2025-07-11T00:00:00"/>
    <s v="South East"/>
    <s v="Reading"/>
    <x v="1"/>
    <s v="25-34"/>
    <s v="Male"/>
    <s v="Android"/>
    <s v="Android Phone"/>
    <s v="2+ years"/>
    <s v="Free"/>
    <s v="Direct"/>
    <x v="8"/>
    <s v="Repeat Use"/>
    <s v="New Cta Copy"/>
    <s v="Control"/>
    <n v="5"/>
    <n v="5"/>
    <n v="-30"/>
    <s v="No"/>
    <x v="1"/>
    <x v="0"/>
    <s v="Offer Terms Unclear"/>
    <x v="1"/>
    <n v="0"/>
    <n v="0"/>
    <n v="0"/>
    <s v="Feature Navigation"/>
    <s v="Yes"/>
    <s v="Feature Navigation"/>
    <s v="Resolved"/>
    <n v="14"/>
    <s v="Technical error"/>
    <n v="3"/>
    <n v="-37"/>
    <n v="35"/>
    <x v="1"/>
    <n v="0"/>
    <n v="0"/>
    <n v="1"/>
    <n v="1"/>
  </r>
  <r>
    <s v="NSF-000892"/>
    <s v="USR-00592"/>
    <s v="SES-2510-21908"/>
    <d v="2025-10-26T00:00:00"/>
    <s v="East England"/>
    <s v="Norwich"/>
    <x v="6"/>
    <s v="25-34"/>
    <s v="Male"/>
    <s v="Ios"/>
    <s v="Iphone"/>
    <s v="&lt;3 months"/>
    <s v="Free"/>
    <s v="Organic Search"/>
    <x v="3"/>
    <s v="Repeat Use"/>
    <s v="No Experiment"/>
    <s v="Control"/>
    <n v="6"/>
    <n v="3"/>
    <n v="243"/>
    <s v="Yes"/>
    <x v="0"/>
    <x v="1"/>
    <s v="No Error"/>
    <x v="0"/>
    <n v="94.05"/>
    <n v="0.11"/>
    <n v="0"/>
    <s v="No Support Contact"/>
    <s v="No"/>
    <s v="No Support Contact"/>
    <s v="Not Applicable"/>
    <m/>
    <s v="No drop-off"/>
    <n v="2"/>
    <n v="-40"/>
    <n v="22"/>
    <x v="0"/>
    <n v="1"/>
    <n v="1"/>
    <n v="0"/>
    <n v="0"/>
  </r>
  <r>
    <s v="NSF-000953"/>
    <s v="USR-00533"/>
    <s v="SES-2511-10761"/>
    <d v="2025-11-11T00:00:00"/>
    <s v="Scotland"/>
    <s v="Edinburgh"/>
    <x v="0"/>
    <s v="18-24"/>
    <s v="Female"/>
    <s v="Ios"/>
    <s v="Iphone"/>
    <s v="3-6 months"/>
    <s v="Plus"/>
    <s v="Paid Search"/>
    <x v="3"/>
    <s v="Repeat Use"/>
    <s v="No Experiment"/>
    <s v="Control"/>
    <n v="6"/>
    <n v="3"/>
    <n v="219"/>
    <s v="Unknown"/>
    <x v="0"/>
    <x v="1"/>
    <s v="No Error"/>
    <x v="0"/>
    <n v="59.54"/>
    <n v="0.09"/>
    <n v="0.17"/>
    <s v="Feature Navigation"/>
    <s v="Yes"/>
    <s v="Feature Navigation"/>
    <s v="Resolved"/>
    <n v="58"/>
    <s v="No drop-off"/>
    <n v="3"/>
    <n v="11"/>
    <n v="55"/>
    <x v="0"/>
    <n v="1"/>
    <n v="1"/>
    <n v="0"/>
    <n v="0"/>
  </r>
  <r>
    <s v="NSF-001137"/>
    <s v="USR-00551"/>
    <s v="SES-2601-98624"/>
    <d v="2026-01-17T00:00:00"/>
    <s v="North West"/>
    <s v="Chester"/>
    <x v="0"/>
    <s v="35-44"/>
    <s v="Female"/>
    <s v="Web"/>
    <s v="Desktop"/>
    <s v="&lt;3 months"/>
    <s v="Free"/>
    <s v="Organic Search"/>
    <x v="7"/>
    <s v="Repeat Use"/>
    <s v="Simplified Onboarding"/>
    <s v="Control"/>
    <n v="4"/>
    <n v="3"/>
    <n v="140"/>
    <s v="Yes"/>
    <x v="0"/>
    <x v="1"/>
    <s v="No Error"/>
    <x v="0"/>
    <n v="10.58"/>
    <n v="0.49"/>
    <n v="0"/>
    <s v="Feature Navigation"/>
    <s v="Yes"/>
    <s v="Feature Navigation"/>
    <s v="Resolved"/>
    <n v="25"/>
    <s v="No drop-off"/>
    <n v="3"/>
    <n v="31"/>
    <n v="39"/>
    <x v="1"/>
    <n v="1"/>
    <n v="1"/>
    <n v="0"/>
    <n v="1"/>
  </r>
  <r>
    <s v="NSF-001068"/>
    <s v="USR-00337"/>
    <s v="SES-2512-24488"/>
    <d v="2025-12-01T00:00:00"/>
    <s v="Wales"/>
    <s v="Swansea"/>
    <x v="3"/>
    <s v="35-44"/>
    <s v="Female"/>
    <s v="Ios"/>
    <s v="Iphone"/>
    <s v="3-6 months"/>
    <s v="Plus"/>
    <s v="Unknown"/>
    <x v="2"/>
    <s v="Repeat Use"/>
    <s v="Simplified Onboarding"/>
    <s v="Treatment"/>
    <n v="5"/>
    <n v="4"/>
    <n v="156"/>
    <s v="Yes"/>
    <x v="1"/>
    <x v="1"/>
    <s v="No Error"/>
    <x v="1"/>
    <n v="0"/>
    <n v="0"/>
    <n v="0"/>
    <s v="No Support Contact"/>
    <s v="No"/>
    <s v="No Support Contact"/>
    <s v="Not Applicable"/>
    <m/>
    <s v="Instructions unclear"/>
    <n v="4"/>
    <n v="15"/>
    <n v="35"/>
    <x v="0"/>
    <n v="0"/>
    <n v="0"/>
    <n v="0"/>
    <n v="0"/>
  </r>
  <r>
    <s v="NSF-000959"/>
    <s v="USR-00387"/>
    <s v="SES-2511-39258"/>
    <d v="2025-11-12T00:00:00"/>
    <s v="London"/>
    <s v="Camden"/>
    <x v="0"/>
    <s v="35-44"/>
    <s v="Female"/>
    <s v="Ios"/>
    <s v="Iphone"/>
    <s v="1-2 years"/>
    <s v="Premium"/>
    <s v="Direct"/>
    <x v="2"/>
    <s v="Reactivated"/>
    <s v="No Experiment"/>
    <s v="Control"/>
    <n v="5"/>
    <n v="5"/>
    <n v="118"/>
    <s v="No"/>
    <x v="1"/>
    <x v="1"/>
    <s v="No Error"/>
    <x v="1"/>
    <n v="0"/>
    <n v="0"/>
    <n v="0"/>
    <s v="No Support Contact"/>
    <s v="No"/>
    <s v="No Support Contact"/>
    <s v="Not Applicable"/>
    <m/>
    <s v="No drop-off"/>
    <n v="2"/>
    <n v="44"/>
    <s v="22 days"/>
    <x v="0"/>
    <n v="0"/>
    <n v="0"/>
    <n v="0"/>
    <n v="0"/>
  </r>
  <r>
    <s v="NSF-000322"/>
    <s v="USR-00755"/>
    <s v="SES-2504-59670"/>
    <d v="2025-04-30T00:00:00"/>
    <s v="North East"/>
    <s v="Durham"/>
    <x v="2"/>
    <s v="25-34"/>
    <s v="Female"/>
    <s v="Ios"/>
    <s v="Iphone"/>
    <s v="1-2 years"/>
    <s v="Free"/>
    <s v="Referral"/>
    <x v="5"/>
    <s v="First Use"/>
    <s v="No Experiment"/>
    <s v="Control"/>
    <n v="8"/>
    <n v="5"/>
    <n v="267"/>
    <s v="Yes"/>
    <x v="1"/>
    <x v="1"/>
    <s v="No Error"/>
    <x v="1"/>
    <n v="0"/>
    <n v="0"/>
    <n v="0"/>
    <s v="No Support Contact"/>
    <s v="No"/>
    <s v="No Support Contact"/>
    <s v="Not Applicable"/>
    <m/>
    <s v="Instructions unclear"/>
    <n v="3"/>
    <n v="-54"/>
    <n v="0"/>
    <x v="0"/>
    <n v="0"/>
    <n v="0"/>
    <n v="0"/>
    <n v="0"/>
  </r>
  <r>
    <s v="NSF-000916"/>
    <s v="usr-00288"/>
    <s v="SES-2511-76657"/>
    <d v="2025-11-13T00:00:00"/>
    <s v="Scotland"/>
    <s v="Glasgow"/>
    <x v="1"/>
    <s v="35-44"/>
    <s v="Male"/>
    <s v="Web"/>
    <s v="Mobile Browser"/>
    <s v="2+ years"/>
    <s v="Plus"/>
    <s v="Employer Partnership"/>
    <x v="0"/>
    <s v="Trial/Exploration"/>
    <s v="No Experiment"/>
    <s v="Control"/>
    <n v="7"/>
    <n v="7"/>
    <n v="203"/>
    <s v="No"/>
    <x v="1"/>
    <x v="1"/>
    <s v="No Error"/>
    <x v="1"/>
    <n v="0"/>
    <n v="0"/>
    <n v="0"/>
    <s v="No Support Contact"/>
    <s v="No"/>
    <s v="No Support Contact"/>
    <s v="Not Applicable"/>
    <m/>
    <s v="Instructions unclear"/>
    <n v="3"/>
    <n v="0"/>
    <n v="7"/>
    <x v="0"/>
    <n v="0"/>
    <n v="0"/>
    <n v="0"/>
    <n v="0"/>
  </r>
  <r>
    <s v="NSF-000876"/>
    <s v="USR-00844"/>
    <s v="SES-2510-71416"/>
    <d v="2025-10-11T00:00:00"/>
    <s v="Scotland"/>
    <s v="Aberdeen"/>
    <x v="0"/>
    <s v="25-34"/>
    <s v="Male"/>
    <s v="Ios"/>
    <s v="Iphone"/>
    <s v="3-6 months"/>
    <s v="Basic"/>
    <s v="Organic Search"/>
    <x v="7"/>
    <s v="First Use"/>
    <s v="Simplified Onboarding"/>
    <s v="Control"/>
    <n v="4"/>
    <n v="4"/>
    <n v="114"/>
    <s v="No"/>
    <x v="1"/>
    <x v="1"/>
    <s v="No Error"/>
    <x v="0"/>
    <n v="0"/>
    <n v="0.56000000000000005"/>
    <n v="0"/>
    <s v="No Support Contact"/>
    <s v="No"/>
    <s v="No Support Contact"/>
    <s v="Not Applicable"/>
    <m/>
    <s v="No drop-off"/>
    <n v="4"/>
    <n v="42"/>
    <n v="0"/>
    <x v="0"/>
    <n v="0"/>
    <n v="1"/>
    <n v="0"/>
    <n v="0"/>
  </r>
  <r>
    <s v="NSF-001026"/>
    <s v="USR-00432"/>
    <s v="SES-2512-45088"/>
    <d v="2025-12-21T00:00:00"/>
    <s v="Yorkshire &amp; Humber"/>
    <s v="York"/>
    <x v="0"/>
    <s v="55-64"/>
    <s v="Male"/>
    <s v="Ios"/>
    <s v="Iphone"/>
    <s v="&lt;3 months"/>
    <s v="Free"/>
    <s v="Referral"/>
    <x v="9"/>
    <s v="Reactivated"/>
    <s v="No Experiment"/>
    <s v="Control"/>
    <n v="99"/>
    <n v="5"/>
    <n v="100"/>
    <s v="No"/>
    <x v="1"/>
    <x v="1"/>
    <s v="No Error"/>
    <x v="1"/>
    <n v="0"/>
    <n v="0"/>
    <n v="0"/>
    <s v="No Support Contact"/>
    <s v="No"/>
    <s v="No Support Contact"/>
    <s v="Not Applicable"/>
    <m/>
    <s v="No drop-off"/>
    <n v="4"/>
    <n v="53"/>
    <n v="20"/>
    <x v="0"/>
    <n v="0"/>
    <n v="0"/>
    <n v="0"/>
    <n v="0"/>
  </r>
  <r>
    <s v="NSF-000294"/>
    <s v="USR-00530"/>
    <s v="SES-2503-84877"/>
    <d v="2025-03-09T00:00:00"/>
    <s v="Scotland"/>
    <s v="Glasgow"/>
    <x v="3"/>
    <s v="25-34"/>
    <s v="Male"/>
    <s v="Ios"/>
    <s v="Iphone"/>
    <s v="3-6 months"/>
    <s v="Plus"/>
    <s v="Paid Search"/>
    <x v="10"/>
    <s v="First Use"/>
    <s v="Simplified Onboarding"/>
    <s v="Control"/>
    <n v="9"/>
    <s v="9 steps"/>
    <n v="226"/>
    <s v="No"/>
    <x v="0"/>
    <x v="1"/>
    <s v="No Error"/>
    <x v="1"/>
    <n v="0"/>
    <n v="0"/>
    <n v="0"/>
    <s v="No Support Contact"/>
    <s v="No"/>
    <s v="No Support Contact"/>
    <s v="Not Applicable"/>
    <m/>
    <s v="No drop-off"/>
    <n v="2"/>
    <n v="-30"/>
    <n v="0"/>
    <x v="0"/>
    <n v="1"/>
    <n v="0"/>
    <n v="0"/>
    <n v="0"/>
  </r>
  <r>
    <s v="NSF-001208"/>
    <s v="USR-00614"/>
    <s v="SES-2602-67450"/>
    <d v="2026-02-11T00:00:00"/>
    <s v="North West"/>
    <s v="Chester"/>
    <x v="1"/>
    <s v="65+"/>
    <s v="Male"/>
    <s v="Ios"/>
    <s v="Iphone"/>
    <s v="7-12 months"/>
    <s v="Free"/>
    <s v="Organic Search"/>
    <x v="8"/>
    <s v="Repeat Use"/>
    <s v="Fee Transparency Panel"/>
    <s v="Treatment"/>
    <n v="5"/>
    <n v="5"/>
    <n v="98"/>
    <s v="No"/>
    <x v="0"/>
    <x v="1"/>
    <s v="No Error"/>
    <x v="0"/>
    <n v="0"/>
    <n v="0"/>
    <n v="0"/>
    <s v="No Support Contact"/>
    <s v="No"/>
    <s v="No Support Contact"/>
    <s v="Not Applicable"/>
    <m/>
    <s v="No drop-off"/>
    <n v="5"/>
    <n v="62"/>
    <n v="29"/>
    <x v="1"/>
    <n v="1"/>
    <n v="1"/>
    <n v="0"/>
    <n v="1"/>
  </r>
  <r>
    <s v="NSF-000218"/>
    <s v="USR-00816"/>
    <s v="SES-2503-80483"/>
    <d v="2025-03-17T00:00:00"/>
    <s v="Yorkshire &amp; Humber"/>
    <s v="York"/>
    <x v="1"/>
    <s v="18-24"/>
    <s v="Female"/>
    <s v="Android"/>
    <s v="Android Phone"/>
    <s v="1-2 years"/>
    <s v="Plus"/>
    <s v="Employer Partnership"/>
    <x v="5"/>
    <s v="Repeat Use"/>
    <s v="No Experiment"/>
    <s v="Control"/>
    <n v="8"/>
    <s v="8 steps"/>
    <n v="255"/>
    <s v="No"/>
    <x v="1"/>
    <x v="1"/>
    <s v="No Error"/>
    <x v="0"/>
    <n v="455.16"/>
    <n v="2.36"/>
    <n v="0.17"/>
    <s v="No Support Contact"/>
    <s v="No"/>
    <s v="No Support Contact"/>
    <s v="Not Applicable"/>
    <m/>
    <s v="Unexpected fee"/>
    <n v="4"/>
    <n v="-7"/>
    <n v="1"/>
    <x v="0"/>
    <n v="0"/>
    <n v="1"/>
    <n v="0"/>
    <n v="0"/>
  </r>
  <r>
    <s v="NSF-001119"/>
    <s v="USR-00277"/>
    <s v="SES-2601-43156"/>
    <d v="2026-01-28T00:00:00"/>
    <s v="Northern Ireland"/>
    <s v="Derry"/>
    <x v="1"/>
    <s v="18-24"/>
    <s v="Male"/>
    <s v="Android"/>
    <s v="Android Phone"/>
    <s v="1-2 years"/>
    <s v="Plus"/>
    <s v="Paid Social"/>
    <x v="4"/>
    <s v="Trial/Exploration"/>
    <s v="New Cta Copy"/>
    <s v="Treatment"/>
    <s v="6 steps"/>
    <n v="6"/>
    <n v="262"/>
    <s v="No"/>
    <x v="0"/>
    <x v="0"/>
    <s v="Insight Unclear"/>
    <x v="1"/>
    <n v="0"/>
    <n v="0"/>
    <n v="0"/>
    <s v="No Support Contact"/>
    <s v="No"/>
    <s v="No Support Contact"/>
    <s v="Not Applicable"/>
    <m/>
    <s v="No drop-off"/>
    <n v="3"/>
    <n v="-3"/>
    <n v="47"/>
    <x v="1"/>
    <n v="1"/>
    <n v="0"/>
    <n v="1"/>
    <n v="1"/>
  </r>
  <r>
    <s v="NSF-001211"/>
    <s v="USR-00404"/>
    <s v="SES-2602-17959"/>
    <d v="2026-02-10T00:00:00"/>
    <s v="Yorkshire &amp; Humber"/>
    <s v="Leeds"/>
    <x v="0"/>
    <s v="25-34"/>
    <s v="Male"/>
    <s v="Ios"/>
    <s v="Iphone"/>
    <s v="2+ years"/>
    <s v="Plus"/>
    <s v="Paid Search"/>
    <x v="5"/>
    <s v="Reactivated"/>
    <s v="Simplified Onboarding"/>
    <s v="Treatment"/>
    <n v="8"/>
    <n v="5"/>
    <n v="299"/>
    <s v="Yes"/>
    <x v="0"/>
    <x v="1"/>
    <s v="No Error"/>
    <x v="0"/>
    <n v="377.61"/>
    <n v="2.87"/>
    <n v="0.17"/>
    <s v="Fees And Pricing"/>
    <s v="Yes"/>
    <s v="Fees And Pricing"/>
    <s v="Resolved"/>
    <n v="26"/>
    <s v="No drop-off"/>
    <n v="3"/>
    <n v="-19"/>
    <n v="44"/>
    <x v="0"/>
    <n v="1"/>
    <n v="1"/>
    <n v="0"/>
    <n v="0"/>
  </r>
  <r>
    <s v="NSF-000717"/>
    <s v="USR-00110"/>
    <s v="SES-2508-22745"/>
    <d v="2025-08-02T00:00:00"/>
    <s v="South West"/>
    <s v="Plymouth"/>
    <x v="0"/>
    <s v="35-44"/>
    <s v="Female"/>
    <s v="Web"/>
    <s v="Desktop"/>
    <s v="&lt;3 months"/>
    <s v="Free"/>
    <s v="Paid Social"/>
    <x v="0"/>
    <s v="Reactivated"/>
    <s v="No Experiment"/>
    <s v="Control"/>
    <n v="7"/>
    <n v="7"/>
    <n v="219"/>
    <s v="No"/>
    <x v="0"/>
    <x v="1"/>
    <s v="No Error"/>
    <x v="0"/>
    <n v="0"/>
    <n v="0"/>
    <n v="0"/>
    <s v="No Support Contact"/>
    <s v="No"/>
    <s v="No Support Contact"/>
    <s v="Not Applicable"/>
    <m/>
    <s v="No drop-off"/>
    <n v="4"/>
    <n v="11"/>
    <n v="39"/>
    <x v="1"/>
    <n v="1"/>
    <n v="1"/>
    <n v="0"/>
    <n v="1"/>
  </r>
  <r>
    <s v="NSF-000284"/>
    <s v="USR-00085"/>
    <s v="SES-2503-58926"/>
    <d v="2025-03-04T00:00:00"/>
    <s v="East England"/>
    <s v="Luton"/>
    <x v="5"/>
    <s v="55-64"/>
    <s v="Female"/>
    <s v="Ios"/>
    <s v="Ipad"/>
    <s v="7-12 months"/>
    <s v="Plus"/>
    <s v="Affiliate"/>
    <x v="10"/>
    <s v="Repeat Use"/>
    <s v="No Experiment"/>
    <s v="Control"/>
    <n v="9"/>
    <n v="7"/>
    <n v="571"/>
    <s v="Yes"/>
    <x v="1"/>
    <x v="0"/>
    <s v="Income Verification Failed"/>
    <x v="1"/>
    <n v="0"/>
    <n v="0"/>
    <n v="0"/>
    <s v="Feature Navigation"/>
    <s v="Yes"/>
    <s v="Feature Navigation"/>
    <s v="Resolved"/>
    <n v="25"/>
    <s v="Technical error"/>
    <n v="2"/>
    <n v="-24"/>
    <n v="1"/>
    <x v="0"/>
    <n v="0"/>
    <n v="0"/>
    <n v="1"/>
    <n v="0"/>
  </r>
  <r>
    <s v="NSF-001293"/>
    <s v="USR-00792"/>
    <s v="SES-2604-58903"/>
    <d v="2026-04-11T00:00:00"/>
    <s v="East England"/>
    <s v="Norwich"/>
    <x v="5"/>
    <s v="35-44"/>
    <s v="Male"/>
    <s v="Ios"/>
    <s v="Iphone"/>
    <s v="3-6 months"/>
    <s v="Basic"/>
    <s v="Paid Social"/>
    <x v="8"/>
    <s v="Repeat Use"/>
    <s v="No Experiment"/>
    <s v="Control"/>
    <n v="5"/>
    <s v="5 steps"/>
    <n v="112"/>
    <s v="No"/>
    <x v="0"/>
    <x v="1"/>
    <s v="No Error"/>
    <x v="0"/>
    <n v="56.97"/>
    <n v="0"/>
    <n v="0"/>
    <s v="No Support Contact"/>
    <s v="No"/>
    <s v="No Support Contact"/>
    <s v="Not Applicable"/>
    <m/>
    <s v="No drop-off"/>
    <n v="4"/>
    <n v="37"/>
    <n v="64"/>
    <x v="0"/>
    <n v="1"/>
    <n v="1"/>
    <n v="0"/>
    <n v="0"/>
  </r>
  <r>
    <s v="NSF-001167"/>
    <s v="USR-00557"/>
    <s v="SES-2602-11715"/>
    <d v="2026-05-02T00:00:00"/>
    <s v="West Midlands"/>
    <s v="Wolverhampton"/>
    <x v="2"/>
    <s v="25-34"/>
    <s v="Male"/>
    <s v="Android"/>
    <s v="Android Phone"/>
    <s v="2+ years"/>
    <s v="Free"/>
    <s v="Paid Search"/>
    <x v="8"/>
    <s v="Trial/Exploration"/>
    <s v="No Experiment"/>
    <s v="Control"/>
    <n v="5"/>
    <n v="5"/>
    <n v="113"/>
    <s v="Unknown"/>
    <x v="0"/>
    <x v="1"/>
    <s v="No Error"/>
    <x v="0"/>
    <n v="10.08"/>
    <n v="0"/>
    <n v="0"/>
    <s v="No Support Contact"/>
    <s v="No"/>
    <s v="No Support Contact"/>
    <s v="Not Applicable"/>
    <m/>
    <s v="No drop-off"/>
    <n v="4"/>
    <n v="52"/>
    <n v="13"/>
    <x v="1"/>
    <n v="1"/>
    <n v="1"/>
    <n v="0"/>
    <n v="1"/>
  </r>
  <r>
    <s v="NSF-001262"/>
    <s v="USR-00258"/>
    <s v="SES-2603-56281"/>
    <d v="2026-03-02T00:00:00"/>
    <s v="West Midlands"/>
    <s v="Birmingham"/>
    <x v="5"/>
    <s v="55-64"/>
    <s v="Male"/>
    <s v="Android"/>
    <s v="Android Phone"/>
    <s v="&lt;3 months"/>
    <s v="Free"/>
    <s v="Organic Search"/>
    <x v="3"/>
    <s v="Reactivated"/>
    <s v="New Cta Copy"/>
    <s v="Control"/>
    <n v="6"/>
    <n v="6"/>
    <n v="136"/>
    <s v="No"/>
    <x v="1"/>
    <x v="1"/>
    <s v="No Error"/>
    <x v="1"/>
    <n v="0"/>
    <n v="0"/>
    <n v="0"/>
    <s v="No Support Contact"/>
    <s v="No"/>
    <s v="No Support Contact"/>
    <s v="Not Applicable"/>
    <m/>
    <s v="No drop-off"/>
    <n v="2"/>
    <n v="-27"/>
    <n v="13"/>
    <x v="0"/>
    <n v="0"/>
    <n v="0"/>
    <n v="0"/>
    <n v="0"/>
  </r>
  <r>
    <s v="NSF-000531"/>
    <s v="USR-00336"/>
    <s v="SES-2506-22340"/>
    <d v="2025-06-16T00:00:00"/>
    <s v="North West"/>
    <s v="Liverpool"/>
    <x v="3"/>
    <s v="25-34"/>
    <s v="Female"/>
    <s v="Android"/>
    <s v="Android Phone"/>
    <s v="&lt;3 months"/>
    <s v="Free"/>
    <s v="Employer Partnership"/>
    <x v="7"/>
    <s v="Repeat Use"/>
    <s v="Simplified Onboarding"/>
    <s v="Treatment"/>
    <n v="4"/>
    <n v="4"/>
    <n v="90"/>
    <s v="No"/>
    <x v="0"/>
    <x v="1"/>
    <s v="No Error"/>
    <x v="0"/>
    <n v="106.15"/>
    <n v="0.48"/>
    <n v="0"/>
    <s v="Transaction Failure"/>
    <s v="Yes"/>
    <s v="Transaction Failure"/>
    <s v="Resolved"/>
    <n v="33"/>
    <s v="No drop-off"/>
    <n v="5"/>
    <n v="58"/>
    <n v="31"/>
    <x v="1"/>
    <n v="1"/>
    <n v="1"/>
    <n v="0"/>
    <n v="1"/>
  </r>
  <r>
    <s v="NSF-000068"/>
    <s v="USR-00234"/>
    <s v="SES-2501-96176"/>
    <d v="2025-01-23T00:00:00"/>
    <s v="Northern Ireland"/>
    <s v="BELFAST"/>
    <x v="1"/>
    <s v="18-24"/>
    <s v="Male"/>
    <s v="Ios"/>
    <s v="Ipad"/>
    <s v="7-12 months"/>
    <s v="Free"/>
    <s v="Referral"/>
    <x v="0"/>
    <s v="Repeat Use"/>
    <s v="No Experiment"/>
    <s v="Control"/>
    <n v="7"/>
    <n v="7"/>
    <n v="177"/>
    <s v="No"/>
    <x v="1"/>
    <x v="1"/>
    <s v="No Error"/>
    <x v="1"/>
    <n v="0"/>
    <n v="0"/>
    <n v="0"/>
    <s v="No Support Contact"/>
    <s v="No"/>
    <s v="No Support Contact"/>
    <s v="Not Applicable"/>
    <m/>
    <s v="Instructions unclear"/>
    <n v="3"/>
    <n v="11"/>
    <n v="13"/>
    <x v="1"/>
    <n v="0"/>
    <n v="0"/>
    <n v="0"/>
    <n v="1"/>
  </r>
  <r>
    <s v="NSF-001445"/>
    <s v="USR-00054"/>
    <s v="SES-2606-83302"/>
    <d v="2026-06-25T00:00:00"/>
    <s v="East England"/>
    <s v="Cambridge"/>
    <x v="0"/>
    <s v="25-34"/>
    <s v="Female"/>
    <s v="Web"/>
    <s v="Desktop"/>
    <s v="3-6 months"/>
    <s v="Free"/>
    <s v="Referral"/>
    <x v="1"/>
    <s v="Repeat Use"/>
    <s v="Simplified Onboarding"/>
    <s v="Control"/>
    <n v="4"/>
    <n v="4"/>
    <n v="98"/>
    <s v="No"/>
    <x v="1"/>
    <x v="1"/>
    <s v="No Error"/>
    <x v="0"/>
    <n v="135.32"/>
    <n v="0.2"/>
    <n v="0"/>
    <s v="No Support Contact"/>
    <s v="No"/>
    <s v="No Support Contact"/>
    <s v="Not Applicable"/>
    <m/>
    <s v="No drop-off"/>
    <n v="4"/>
    <n v="21"/>
    <n v="38"/>
    <x v="0"/>
    <n v="0"/>
    <n v="1"/>
    <n v="0"/>
    <n v="0"/>
  </r>
  <r>
    <s v="NSF-000724"/>
    <s v="USR-00576"/>
    <s v="SES-2508-75374"/>
    <d v="2025-08-22T00:00:00"/>
    <s v="Wales"/>
    <s v="Wrexham"/>
    <x v="7"/>
    <s v="55-64"/>
    <s v="Female"/>
    <s v="Web"/>
    <s v="Mobile Browser"/>
    <s v="1-2 years"/>
    <s v="Plus"/>
    <s v="Affiliate"/>
    <x v="5"/>
    <s v="Repeat Use"/>
    <s v="Simplified Onboarding"/>
    <s v="Control"/>
    <n v="8"/>
    <n v="8"/>
    <n v="200"/>
    <s v="No"/>
    <x v="1"/>
    <x v="0"/>
    <s v="Compliance Review Delay"/>
    <x v="1"/>
    <n v="0"/>
    <n v="0"/>
    <n v="0"/>
    <s v="No Support Contact"/>
    <s v="No"/>
    <s v="No Support Contact"/>
    <s v="Not Applicable"/>
    <m/>
    <s v="No drop-off"/>
    <n v="3"/>
    <n v="-19"/>
    <n v="40"/>
    <x v="1"/>
    <n v="0"/>
    <n v="0"/>
    <n v="1"/>
    <n v="1"/>
  </r>
  <r>
    <s v="NSF-001110"/>
    <s v="USR-00473"/>
    <s v="SES-2601-17857"/>
    <d v="2026-01-29T00:00:00"/>
    <s v="London"/>
    <s v="Camden"/>
    <x v="2"/>
    <s v="18-24"/>
    <s v="Male"/>
    <s v="Ios"/>
    <s v="Iphone"/>
    <s v="2+ years"/>
    <s v="Free"/>
    <s v="Direct"/>
    <x v="5"/>
    <s v="Repeat Use"/>
    <s v="New Cta Copy"/>
    <s v="Control"/>
    <n v="8"/>
    <n v="8"/>
    <n v="189"/>
    <s v="No"/>
    <x v="0"/>
    <x v="1"/>
    <s v="No Error"/>
    <x v="0"/>
    <n v="484.92"/>
    <n v="2.29"/>
    <n v="0"/>
    <s v="No Support Contact"/>
    <s v="No"/>
    <s v="No Support Contact"/>
    <s v="Not Applicable"/>
    <m/>
    <s v="No drop-off"/>
    <n v="3"/>
    <n v="16"/>
    <n v="55"/>
    <x v="0"/>
    <n v="1"/>
    <n v="1"/>
    <n v="0"/>
    <n v="0"/>
  </r>
  <r>
    <s v="NSF-000662"/>
    <s v="USR-00571"/>
    <s v="SES-2508-69720"/>
    <d v="2025-08-26T00:00:00"/>
    <s v="North West"/>
    <s v="Chester"/>
    <x v="2"/>
    <s v="25-34"/>
    <s v="Female"/>
    <s v="Web"/>
    <s v="Desktop"/>
    <s v="7-12 months"/>
    <s v="Free"/>
    <s v="Organic Search"/>
    <x v="9"/>
    <s v="Repeat Use"/>
    <s v="No Experiment"/>
    <s v="Control"/>
    <s v="5 steps"/>
    <n v="3"/>
    <n v="161"/>
    <s v="Yes"/>
    <x v="1"/>
    <x v="1"/>
    <s v="No Error"/>
    <x v="0"/>
    <n v="132.08000000000001"/>
    <n v="0"/>
    <n v="0"/>
    <s v="No Support Contact"/>
    <s v="No"/>
    <s v="No Support Contact"/>
    <s v="Not Applicable"/>
    <m/>
    <s v="Too many steps"/>
    <n v="3"/>
    <n v="18"/>
    <n v="53"/>
    <x v="1"/>
    <n v="0"/>
    <n v="1"/>
    <n v="0"/>
    <n v="1"/>
  </r>
  <r>
    <s v="NSF-000330"/>
    <s v="USR-00182"/>
    <s v="SES-2504-51670"/>
    <d v="2025-04-24T00:00:00"/>
    <s v="East England"/>
    <s v="Cambridge"/>
    <x v="0"/>
    <s v="35-44"/>
    <s v="Male"/>
    <s v="Android"/>
    <s v="Android Phone"/>
    <s v="&lt;3 months"/>
    <s v="Free"/>
    <s v="Direct"/>
    <x v="1"/>
    <s v="Repeat Use"/>
    <s v="No Experiment"/>
    <s v="Control"/>
    <n v="4"/>
    <n v="4"/>
    <n v="157"/>
    <s v="No"/>
    <x v="0"/>
    <x v="0"/>
    <s v="Recipient Validation Error"/>
    <x v="0"/>
    <n v="191.62"/>
    <n v="0.17"/>
    <n v="0"/>
    <s v="No Support Contact"/>
    <s v="No"/>
    <s v="No Support Contact"/>
    <s v="Not Applicable"/>
    <m/>
    <s v="No drop-off"/>
    <n v="3"/>
    <n v="40"/>
    <n v="19"/>
    <x v="1"/>
    <n v="1"/>
    <n v="1"/>
    <n v="1"/>
    <n v="1"/>
  </r>
  <r>
    <s v="NSF-001084"/>
    <s v="USR-00707"/>
    <s v="SES-2601-31639"/>
    <d v="2026-01-17T00:00:00"/>
    <s v="North East"/>
    <s v="Newcastle"/>
    <x v="2"/>
    <s v="45-54"/>
    <s v="Female"/>
    <s v="Android"/>
    <s v="Android Phone"/>
    <s v="2+ years"/>
    <s v="Free"/>
    <s v="Paid Search"/>
    <x v="10"/>
    <s v="Repeat Use"/>
    <s v="No Experiment"/>
    <s v="Control"/>
    <n v="9"/>
    <n v="9"/>
    <n v="168"/>
    <s v="No"/>
    <x v="1"/>
    <x v="1"/>
    <s v="No Error"/>
    <x v="1"/>
    <n v="0"/>
    <n v="0"/>
    <n v="0"/>
    <s v="Feature Navigation"/>
    <s v="Yes"/>
    <s v="Feature Navigation"/>
    <s v="Resolved"/>
    <n v="46"/>
    <s v="No drop-off"/>
    <n v="2"/>
    <n v="29"/>
    <n v="27"/>
    <x v="1"/>
    <n v="0"/>
    <n v="0"/>
    <n v="0"/>
    <n v="1"/>
  </r>
  <r>
    <s v="NSF-000861"/>
    <s v="USR-00093"/>
    <s v="SES-2510-45337"/>
    <d v="2025-10-17T00:00:00"/>
    <s v="Northern Ireland"/>
    <s v="Derry"/>
    <x v="0"/>
    <s v="18-24"/>
    <s v="Male"/>
    <s v="Ios"/>
    <s v="Ipad"/>
    <s v="1-2 years"/>
    <s v="Free"/>
    <s v="Paid Search"/>
    <x v="3"/>
    <s v="Reactivated"/>
    <s v="Fee Transparency Panel"/>
    <s v="Treatment"/>
    <s v="6 steps"/>
    <n v="4"/>
    <n v="176"/>
    <s v="Yes"/>
    <x v="1"/>
    <x v="1"/>
    <s v="No Error"/>
    <x v="2"/>
    <n v="0"/>
    <n v="0"/>
    <n v="0"/>
    <s v="No Support Contact"/>
    <s v="No"/>
    <s v="No Support Contact"/>
    <s v="Not Applicable"/>
    <m/>
    <s v="Privacy concern"/>
    <n v="3"/>
    <n v="12"/>
    <n v="41"/>
    <x v="1"/>
    <n v="0"/>
    <n v="0"/>
    <n v="0"/>
    <n v="1"/>
  </r>
  <r>
    <s v="NSF-000856"/>
    <s v="USR-00423"/>
    <s v="SES-2510-27468"/>
    <d v="2025-10-25T00:00:00"/>
    <s v="London"/>
    <s v="Southwark"/>
    <x v="2"/>
    <s v="25-34"/>
    <s v="Female"/>
    <s v="Web"/>
    <s v="Desktop"/>
    <s v="1-2 years"/>
    <s v="Free"/>
    <s v="App Store"/>
    <x v="5"/>
    <s v="Repeat Use"/>
    <s v="Fee Transparency Panel"/>
    <s v="Treatment"/>
    <n v="8"/>
    <n v="8"/>
    <n v="236"/>
    <s v="No"/>
    <x v="0"/>
    <x v="1"/>
    <s v="No Error"/>
    <x v="0"/>
    <n v="408.98"/>
    <n v="2.67"/>
    <n v="0"/>
    <s v="Feature Navigation"/>
    <s v="Yes"/>
    <s v="Feature Navigation"/>
    <s v="Unresolved"/>
    <n v="34"/>
    <s v="No drop-off"/>
    <n v="4"/>
    <n v="6"/>
    <n v="59"/>
    <x v="1"/>
    <n v="1"/>
    <n v="1"/>
    <n v="0"/>
    <n v="1"/>
  </r>
  <r>
    <s v="NSF-001358"/>
    <s v="USR-00772"/>
    <s v="SES-2605-70098"/>
    <d v="2026-05-23T00:00:00"/>
    <s v="North East"/>
    <s v="Sunderland"/>
    <x v="0"/>
    <s v="25-34"/>
    <s v="Female"/>
    <s v="Ios"/>
    <s v="Iphone"/>
    <s v="7-12 months"/>
    <s v="Plus"/>
    <s v="Organic Search"/>
    <x v="3"/>
    <s v="Reactivated"/>
    <s v="No Experiment"/>
    <s v="Control"/>
    <n v="6"/>
    <n v="4"/>
    <n v="336"/>
    <s v="Yes"/>
    <x v="1"/>
    <x v="0"/>
    <s v="Friend Not Found"/>
    <x v="1"/>
    <n v="0"/>
    <n v="0"/>
    <n v="0"/>
    <s v="No Support Contact"/>
    <s v="No"/>
    <s v="No Support Contact"/>
    <s v="Not Applicable"/>
    <m/>
    <s v="Technical error"/>
    <n v="2"/>
    <n v="-39"/>
    <n v="7"/>
    <x v="0"/>
    <n v="0"/>
    <n v="0"/>
    <n v="1"/>
    <n v="0"/>
  </r>
  <r>
    <s v="NSF-001225"/>
    <s v="USR-00434"/>
    <s v="SES-2603-76070"/>
    <d v="2026-03-26T00:00:00"/>
    <s v="South East"/>
    <s v="Canterbury"/>
    <x v="2"/>
    <s v="18-24"/>
    <s v="Female"/>
    <s v="Ios"/>
    <s v="Iphone"/>
    <s v="7-12 months"/>
    <s v="Free"/>
    <s v="Paid Social"/>
    <x v="3"/>
    <s v="Trial/Exploration"/>
    <s v="No Experiment"/>
    <s v="Control"/>
    <n v="6"/>
    <n v="6"/>
    <n v="108"/>
    <s v="No"/>
    <x v="0"/>
    <x v="1"/>
    <s v="No Error"/>
    <x v="0"/>
    <n v="0"/>
    <n v="0.1"/>
    <n v="0"/>
    <s v="No Support Contact"/>
    <s v="No"/>
    <s v="No Support Contact"/>
    <s v="Not Applicable"/>
    <m/>
    <s v="No drop-off"/>
    <n v="5"/>
    <n v="-35"/>
    <n v="78"/>
    <x v="0"/>
    <n v="1"/>
    <n v="1"/>
    <n v="0"/>
    <n v="0"/>
  </r>
  <r>
    <s v="NSF-000351"/>
    <s v="USR-00545"/>
    <s v="SES-2606-00001"/>
    <d v="2025-04-06T00:00:00"/>
    <s v="London"/>
    <s v="Hammersmith"/>
    <x v="1"/>
    <s v="45-54"/>
    <s v="Male"/>
    <s v="Ios"/>
    <s v="Iphone"/>
    <s v="&lt;3 months"/>
    <s v="Free"/>
    <s v="Employer Partnership"/>
    <x v="1"/>
    <s v="Trial/Exploration"/>
    <s v="Contextual Help"/>
    <s v="Treatment"/>
    <n v="4"/>
    <n v="2"/>
    <n v="143"/>
    <s v="Yes"/>
    <x v="0"/>
    <x v="1"/>
    <s v="No Error"/>
    <x v="0"/>
    <n v="165.93"/>
    <n v="0.17"/>
    <n v="0"/>
    <s v="No Support Contact"/>
    <s v="No"/>
    <s v="No Support Contact"/>
    <s v="Not Applicable"/>
    <m/>
    <s v="No drop-off"/>
    <n v="4"/>
    <n v="30"/>
    <n v="39"/>
    <x v="1"/>
    <n v="1"/>
    <n v="1"/>
    <n v="0"/>
    <n v="1"/>
  </r>
  <r>
    <s v="NSF-000989"/>
    <s v="USR-00031"/>
    <s v="SES-2511-30545"/>
    <d v="2025-11-09T00:00:00"/>
    <s v="Scotland"/>
    <s v="Edinburgh"/>
    <x v="5"/>
    <s v="55-64"/>
    <s v="Female"/>
    <s v="Android"/>
    <s v="Android Phone"/>
    <s v="7-12 months"/>
    <s v="Free"/>
    <s v="Affiliate"/>
    <x v="5"/>
    <s v="Reactivated"/>
    <s v="Contextual Help"/>
    <s v="Control"/>
    <n v="8"/>
    <n v="8"/>
    <n v="229"/>
    <s v="No"/>
    <x v="0"/>
    <x v="1"/>
    <s v="No Error"/>
    <x v="0"/>
    <n v="436.3"/>
    <n v="2.71"/>
    <n v="0"/>
    <s v="No Support Contact"/>
    <s v="No"/>
    <s v="No Support Contact"/>
    <s v="Not Applicable"/>
    <m/>
    <s v="No drop-off"/>
    <n v="4"/>
    <n v="15"/>
    <n v="15"/>
    <x v="0"/>
    <n v="1"/>
    <n v="1"/>
    <n v="0"/>
    <n v="0"/>
  </r>
  <r>
    <s v="NSF-000195"/>
    <s v="USR-00098"/>
    <s v="SES-2606-00002"/>
    <d v="2025-02-19T00:00:00"/>
    <s v="London"/>
    <s v="Camden"/>
    <x v="1"/>
    <s v="45-54"/>
    <s v="Female"/>
    <s v="Ios"/>
    <s v="Iphone"/>
    <s v="&lt;3 months"/>
    <s v="Free"/>
    <s v="Paid Social"/>
    <x v="10"/>
    <s v="First Use"/>
    <s v="New Cta Copy"/>
    <s v="Treatment"/>
    <n v="9"/>
    <n v="9"/>
    <n v="322"/>
    <s v="Unknown"/>
    <x v="1"/>
    <x v="0"/>
    <s v="Eligibility Unclear"/>
    <x v="1"/>
    <n v="0"/>
    <n v="0"/>
    <n v="0"/>
    <s v="Fees And Pricing"/>
    <s v="Yes"/>
    <s v="Fees And Pricing"/>
    <s v="Resolved"/>
    <n v="18"/>
    <s v="Technical error"/>
    <n v="3"/>
    <n v="14"/>
    <n v="0"/>
    <x v="0"/>
    <n v="0"/>
    <n v="0"/>
    <n v="1"/>
    <n v="0"/>
  </r>
  <r>
    <s v="NSF-000568"/>
    <s v="USR-00316"/>
    <s v="SES-2506-18621"/>
    <d v="2025-06-04T00:00:00"/>
    <s v="Wales"/>
    <s v="Cardiff"/>
    <x v="2"/>
    <s v="65+"/>
    <s v="Male"/>
    <s v="Ios"/>
    <s v="Iphone"/>
    <s v="1-2 years"/>
    <s v="Free"/>
    <s v="Organic Search"/>
    <x v="8"/>
    <s v="Repeat Use"/>
    <s v="No Experiment"/>
    <s v="Control"/>
    <n v="5"/>
    <n v="5"/>
    <n v="146"/>
    <s v="No"/>
    <x v="0"/>
    <x v="1"/>
    <s v="No Error"/>
    <x v="0"/>
    <n v="50.06"/>
    <n v="0"/>
    <n v="0"/>
    <s v="Account Verification"/>
    <s v="Yes"/>
    <s v="Account Verification"/>
    <s v="Unresolved"/>
    <n v="27"/>
    <s v="No drop-off"/>
    <n v="5"/>
    <n v="19"/>
    <s v="42 days"/>
    <x v="1"/>
    <n v="1"/>
    <n v="1"/>
    <n v="0"/>
    <n v="1"/>
  </r>
  <r>
    <s v="NSF-000554"/>
    <s v="USR-00517"/>
    <s v="SES-2506-84864"/>
    <d v="2025-06-11T00:00:00"/>
    <s v="North West"/>
    <s v="Manchester"/>
    <x v="0"/>
    <s v="45-54"/>
    <s v="Female"/>
    <s v="Android"/>
    <s v="Android Phone"/>
    <s v="7-12 months"/>
    <s v="Free"/>
    <s v="App Store"/>
    <x v="9"/>
    <s v="Repeat Use"/>
    <s v="No Experiment"/>
    <s v="Control"/>
    <n v="5"/>
    <n v="5"/>
    <n v="94"/>
    <s v="No"/>
    <x v="1"/>
    <x v="1"/>
    <s v="No Error"/>
    <x v="0"/>
    <n v="118.3"/>
    <n v="0"/>
    <n v="0"/>
    <s v="No Support Contact"/>
    <s v="No"/>
    <s v="No Support Contact"/>
    <s v="Not Applicable"/>
    <m/>
    <s v="No drop-off"/>
    <n v="4"/>
    <n v="18"/>
    <n v="53"/>
    <x v="0"/>
    <n v="0"/>
    <n v="1"/>
    <n v="0"/>
    <n v="0"/>
  </r>
  <r>
    <s v="NSF-000304"/>
    <s v="USR-00851"/>
    <s v="SES-2504-85275"/>
    <d v="2025-04-17T00:00:00"/>
    <s v="North West"/>
    <s v="Chester"/>
    <x v="0"/>
    <s v="65+"/>
    <s v="Female"/>
    <s v="Android"/>
    <s v="Android Phone"/>
    <s v="7-12 months"/>
    <s v="Free"/>
    <s v="Paid Search"/>
    <x v="4"/>
    <s v="First Use"/>
    <s v="No Experiment"/>
    <s v="Control"/>
    <n v="6"/>
    <n v="6"/>
    <n v="148"/>
    <s v="No"/>
    <x v="0"/>
    <x v="1"/>
    <s v="No Error"/>
    <x v="0"/>
    <n v="0"/>
    <n v="0"/>
    <n v="0"/>
    <s v="Feature Navigation"/>
    <s v="Yes"/>
    <s v="Feature Navigation"/>
    <s v="Resolved"/>
    <n v="2"/>
    <s v="No drop-off"/>
    <n v="5"/>
    <n v="1"/>
    <n v="0"/>
    <x v="1"/>
    <n v="1"/>
    <n v="1"/>
    <n v="0"/>
    <n v="1"/>
  </r>
  <r>
    <s v="NSF-000050"/>
    <s v="USR-00068"/>
    <s v="SES-2501-32494"/>
    <d v="2025-01-12T00:00:00"/>
    <s v="Yorkshire &amp; Humber"/>
    <s v="Leeds"/>
    <x v="0"/>
    <s v="35-44"/>
    <s v="Male"/>
    <s v="Android"/>
    <s v="Android Phone"/>
    <s v="7-12 months"/>
    <s v="Free"/>
    <s v="Referral"/>
    <x v="5"/>
    <s v="Repeat Use"/>
    <s v="Contextual Help"/>
    <s v="Control"/>
    <n v="8"/>
    <n v="8"/>
    <n v="255"/>
    <s v="No"/>
    <x v="0"/>
    <x v="0"/>
    <s v="Recipient Details Rejected"/>
    <x v="1"/>
    <n v="0"/>
    <n v="0"/>
    <n v="0"/>
    <s v="Feature Navigation"/>
    <s v="Yes"/>
    <s v="Feature Navigation"/>
    <s v="Resolved"/>
    <m/>
    <s v="No drop-off"/>
    <n v="4"/>
    <n v="11"/>
    <n v="27"/>
    <x v="1"/>
    <n v="1"/>
    <n v="0"/>
    <n v="1"/>
    <n v="1"/>
  </r>
  <r>
    <s v="NSF-001362"/>
    <s v="USR-00789"/>
    <s v="SES-2605-82715"/>
    <d v="2026-05-17T00:00:00"/>
    <s v="Yorkshire &amp; Humber"/>
    <s v="Hull"/>
    <x v="3"/>
    <s v="35-44"/>
    <s v="Female"/>
    <s v="Android"/>
    <s v="Android Phone"/>
    <s v="&lt;3 months"/>
    <s v="Free"/>
    <s v="Paid Social"/>
    <x v="10"/>
    <s v="First Use"/>
    <s v="No Experiment"/>
    <s v="Control"/>
    <n v="9"/>
    <n v="9"/>
    <n v="283"/>
    <s v="No"/>
    <x v="0"/>
    <x v="0"/>
    <s v="Eligibility Unclear"/>
    <x v="1"/>
    <n v="0"/>
    <n v="0"/>
    <n v="0"/>
    <s v="Transaction Failure"/>
    <s v="Yes"/>
    <s v="Transaction Failure"/>
    <s v="Unresolved"/>
    <n v="25"/>
    <s v="No drop-off"/>
    <n v="2"/>
    <n v="-53"/>
    <n v="0"/>
    <x v="1"/>
    <n v="1"/>
    <n v="0"/>
    <n v="1"/>
    <n v="1"/>
  </r>
  <r>
    <s v="NSF-000929"/>
    <s v="USR-00595"/>
    <s v="SES-2511-58587"/>
    <d v="2025-11-14T00:00:00"/>
    <s v="North East"/>
    <s v="Sunderland"/>
    <x v="0"/>
    <s v="35-44"/>
    <s v="Male"/>
    <s v="Android"/>
    <s v="Android Phone"/>
    <s v="7-12 months"/>
    <s v="Free"/>
    <s v="Referral"/>
    <x v="10"/>
    <s v="Repeat Use"/>
    <s v="No Experiment"/>
    <s v="Control"/>
    <n v="9"/>
    <s v="9 steps"/>
    <n v="217"/>
    <s v="No"/>
    <x v="0"/>
    <x v="1"/>
    <s v="No Error"/>
    <x v="0"/>
    <n v="171.19"/>
    <n v="3.29"/>
    <n v="0"/>
    <s v="No Support Contact"/>
    <s v="No"/>
    <s v="No Support Contact"/>
    <s v="Not Applicable"/>
    <m/>
    <s v="No drop-off"/>
    <n v="3"/>
    <n v="12"/>
    <n v="36"/>
    <x v="1"/>
    <n v="1"/>
    <n v="1"/>
    <n v="0"/>
    <n v="1"/>
  </r>
  <r>
    <s v="NSF-000478"/>
    <s v="USR-00492"/>
    <s v="SES-2505-91321"/>
    <d v="2025-05-02T00:00:00"/>
    <s v="South West"/>
    <s v="Bath"/>
    <x v="0"/>
    <s v="25-34"/>
    <s v="Male"/>
    <s v="Android"/>
    <s v="Android Phone"/>
    <s v="2+ years"/>
    <s v="Free"/>
    <s v="Referral"/>
    <x v="1"/>
    <s v="Trial/Exploration"/>
    <s v="No Experiment"/>
    <s v="Control"/>
    <n v="4"/>
    <n v="4"/>
    <n v="83"/>
    <s v="No"/>
    <x v="0"/>
    <x v="1"/>
    <s v="No Error"/>
    <x v="0"/>
    <n v="219.17"/>
    <n v="0.23"/>
    <n v="0"/>
    <s v="No Support Contact"/>
    <s v="No"/>
    <s v="No Support Contact"/>
    <s v="Not Applicable"/>
    <m/>
    <s v="No drop-off"/>
    <n v="3"/>
    <n v="33"/>
    <n v="22"/>
    <x v="1"/>
    <n v="1"/>
    <n v="1"/>
    <n v="0"/>
    <n v="1"/>
  </r>
  <r>
    <s v="NSF-001371"/>
    <s v="USR-00001"/>
    <s v="SES-2605-29528"/>
    <d v="2026-05-22T00:00:00"/>
    <s v="South West"/>
    <s v="Exeter"/>
    <x v="0"/>
    <s v="45-54"/>
    <s v="Male"/>
    <s v="Android"/>
    <s v="Android Phone"/>
    <s v="1-2 years"/>
    <s v="Free"/>
    <s v="Paid Search"/>
    <x v="1"/>
    <s v="Repeat Use"/>
    <s v="New Cta Copy"/>
    <s v="Control"/>
    <n v="4"/>
    <n v="2"/>
    <n v="152"/>
    <s v="Yes"/>
    <x v="0"/>
    <x v="1"/>
    <s v="No Error"/>
    <x v="0"/>
    <n v="150.85"/>
    <n v="0"/>
    <n v="0"/>
    <s v="No Support Contact"/>
    <s v="No"/>
    <s v="No Support Contact"/>
    <s v="Not Applicable"/>
    <m/>
    <s v="No drop-off"/>
    <n v="3"/>
    <n v="31"/>
    <n v="12"/>
    <x v="0"/>
    <n v="1"/>
    <n v="1"/>
    <n v="0"/>
    <n v="0"/>
  </r>
  <r>
    <s v="NSF-000053"/>
    <s v="USR-00443"/>
    <s v="SES-2501-86022"/>
    <d v="2025-01-20T00:00:00"/>
    <s v="North West"/>
    <s v="Preston"/>
    <x v="0"/>
    <s v="25-34"/>
    <s v="Female"/>
    <s v="Web"/>
    <s v="Desktop"/>
    <s v="1-2 years"/>
    <s v="Free"/>
    <s v="Referral"/>
    <x v="0"/>
    <s v="First Use"/>
    <s v="Fee Transparency Panel"/>
    <s v="Control"/>
    <n v="7"/>
    <n v="7"/>
    <n v="252"/>
    <s v="No"/>
    <x v="1"/>
    <x v="0"/>
    <s v="Category Setup Confusion"/>
    <x v="1"/>
    <n v="0"/>
    <n v="0"/>
    <n v="0"/>
    <s v="No Support Contact"/>
    <s v="No"/>
    <s v="No Support Contact"/>
    <s v="Not Applicable"/>
    <m/>
    <s v="Technical error"/>
    <n v="2"/>
    <n v="-14"/>
    <s v="0 days"/>
    <x v="1"/>
    <n v="0"/>
    <n v="0"/>
    <n v="1"/>
    <n v="1"/>
  </r>
  <r>
    <s v="NSF-000617"/>
    <s v="USR-00818"/>
    <s v="SES-2507-20926"/>
    <d v="2025-07-29T00:00:00"/>
    <s v="South West"/>
    <s v="Bristol"/>
    <x v="7"/>
    <s v="55-64"/>
    <s v="Male"/>
    <s v="Ios"/>
    <s v="Iphone"/>
    <s v="7-12 months"/>
    <s v="Plus"/>
    <s v="Paid Search"/>
    <x v="4"/>
    <s v="Repeat Use"/>
    <s v="No Experiment"/>
    <s v="Control"/>
    <n v="6"/>
    <n v="6"/>
    <n v="131"/>
    <s v="No"/>
    <x v="1"/>
    <x v="1"/>
    <s v="No Error"/>
    <x v="1"/>
    <n v="0"/>
    <n v="0"/>
    <n v="0"/>
    <s v="No Support Contact"/>
    <s v="No"/>
    <s v="No Support Contact"/>
    <s v="Not Applicable"/>
    <m/>
    <s v="No drop-off"/>
    <n v="4"/>
    <n v="17"/>
    <n v="30"/>
    <x v="0"/>
    <n v="0"/>
    <n v="0"/>
    <n v="0"/>
    <n v="0"/>
  </r>
  <r>
    <s v="NSF-001206"/>
    <s v="USR-00386"/>
    <s v="SES-2602-62194"/>
    <d v="2026-02-03T00:00:00"/>
    <s v="East England"/>
    <s v="Ipswich"/>
    <x v="1"/>
    <s v="45-54"/>
    <s v="Female"/>
    <s v="Android"/>
    <s v="Android Phone"/>
    <s v="1-2 years"/>
    <s v="Free"/>
    <s v="Paid Search"/>
    <x v="3"/>
    <s v="Repeat Use"/>
    <s v="New Cta Copy"/>
    <s v="Control"/>
    <n v="6"/>
    <n v="6"/>
    <n v="180"/>
    <s v="No"/>
    <x v="0"/>
    <x v="1"/>
    <s v="No Error"/>
    <x v="1"/>
    <n v="0"/>
    <n v="0"/>
    <n v="0"/>
    <s v="No Support Contact"/>
    <s v="No"/>
    <s v="No Support Contact"/>
    <s v="Not Applicable"/>
    <m/>
    <s v="No drop-off"/>
    <n v="3"/>
    <n v="15"/>
    <n v="34"/>
    <x v="1"/>
    <n v="1"/>
    <n v="0"/>
    <n v="0"/>
    <n v="1"/>
  </r>
  <r>
    <s v="NSF-000075"/>
    <s v="USR-00745"/>
    <s v="SES-2501-63110"/>
    <d v="2025-01-08T00:00:00"/>
    <s v="South West"/>
    <s v="Gloucester"/>
    <x v="0"/>
    <s v="18-24"/>
    <s v="Male"/>
    <s v="Android"/>
    <s v="Unknown"/>
    <s v="3-6 months"/>
    <s v="Plus"/>
    <s v="Employer Partnership"/>
    <x v="10"/>
    <s v="Trial/Exploration"/>
    <s v="No Experiment"/>
    <s v="Control"/>
    <n v="9"/>
    <n v="9"/>
    <n v="191"/>
    <s v="No"/>
    <x v="1"/>
    <x v="1"/>
    <s v="No Error"/>
    <x v="0"/>
    <n v="168.28"/>
    <n v="2.71"/>
    <n v="0.17"/>
    <s v="No Support Contact"/>
    <s v="No"/>
    <s v="No Support Contact"/>
    <s v="Not Applicable"/>
    <m/>
    <s v="Instructions unclear"/>
    <n v="4"/>
    <n v="5"/>
    <n v="36"/>
    <x v="0"/>
    <n v="0"/>
    <n v="1"/>
    <n v="0"/>
    <n v="0"/>
  </r>
  <r>
    <s v="NSF-000396"/>
    <s v="USR-00420"/>
    <s v="SES-2505-40438"/>
    <d v="2025-05-20T00:00:00"/>
    <s v="East England"/>
    <s v="Norwich"/>
    <x v="2"/>
    <s v="35-44"/>
    <s v="Female"/>
    <s v="Ios"/>
    <s v="Iphone"/>
    <s v="7-12 months"/>
    <s v="Basic"/>
    <s v="Organic Search"/>
    <x v="7"/>
    <s v="Trial/Exploration"/>
    <s v="Progress Indicator"/>
    <s v="Treatment"/>
    <n v="4"/>
    <n v="4"/>
    <n v="91"/>
    <s v="No"/>
    <x v="0"/>
    <x v="1"/>
    <s v="No Error"/>
    <x v="0"/>
    <n v="81.63"/>
    <n v="0.46"/>
    <n v="0"/>
    <s v="No Support Contact"/>
    <s v="No"/>
    <s v="No Support Contact"/>
    <s v="Not Applicable"/>
    <m/>
    <s v="No drop-off"/>
    <n v="4"/>
    <n v="29"/>
    <n v="18"/>
    <x v="1"/>
    <n v="1"/>
    <n v="1"/>
    <n v="0"/>
    <n v="1"/>
  </r>
  <r>
    <s v="NSF-001239"/>
    <s v="USR-00623"/>
    <s v="SES-2603-91519"/>
    <d v="2026-03-09T00:00:00"/>
    <s v="Scotland"/>
    <s v="Aberdeen"/>
    <x v="5"/>
    <s v="25-34"/>
    <s v="Female"/>
    <s v="Ios"/>
    <s v="Iphone"/>
    <s v="1-2 years"/>
    <s v="Premium"/>
    <s v="Referral"/>
    <x v="3"/>
    <s v="First Use"/>
    <s v="No Experiment"/>
    <s v="Control"/>
    <n v="6"/>
    <n v="5"/>
    <n v="183"/>
    <s v="Yes"/>
    <x v="1"/>
    <x v="1"/>
    <s v="No Error"/>
    <x v="0"/>
    <n v="69.44"/>
    <n v="0.1"/>
    <n v="0.37"/>
    <s v="No Support Contact"/>
    <s v="No"/>
    <s v="No Support Contact"/>
    <s v="Not Applicable"/>
    <m/>
    <s v="Unexpected fee"/>
    <n v="2"/>
    <n v="-3"/>
    <s v="0 days"/>
    <x v="1"/>
    <n v="0"/>
    <n v="1"/>
    <n v="0"/>
    <n v="1"/>
  </r>
  <r>
    <s v="NSF-000368"/>
    <s v="USR-00188"/>
    <s v="SES-2504-71626"/>
    <d v="2025-04-10T00:00:00"/>
    <s v="South West"/>
    <s v="Gloucester"/>
    <x v="2"/>
    <s v="35-44"/>
    <s v="Male"/>
    <s v="Web"/>
    <s v="Desktop"/>
    <s v="2+ years"/>
    <s v="Free"/>
    <s v="App Store"/>
    <x v="2"/>
    <s v="Trial/Exploration"/>
    <s v="Simplified Onboarding"/>
    <s v="Control"/>
    <n v="5"/>
    <s v="N/A"/>
    <n v="148"/>
    <s v="No"/>
    <x v="0"/>
    <x v="1"/>
    <s v="No Error"/>
    <x v="0"/>
    <n v="113.18"/>
    <n v="0"/>
    <n v="0"/>
    <s v="No Support Contact"/>
    <s v="No"/>
    <s v="No Support Contact"/>
    <s v="Not Applicable"/>
    <m/>
    <s v="No drop-off"/>
    <n v="5"/>
    <n v="49"/>
    <n v="49"/>
    <x v="1"/>
    <n v="1"/>
    <n v="1"/>
    <n v="0"/>
    <n v="1"/>
  </r>
  <r>
    <s v="NSF-000679"/>
    <s v="USR-00546"/>
    <s v="SES-2508-95867"/>
    <d v="2025-08-29T00:00:00"/>
    <s v="North West"/>
    <s v="Chester"/>
    <x v="0"/>
    <s v="25-34"/>
    <s v="Female"/>
    <s v="Web"/>
    <s v="Desktop"/>
    <s v="1-2 years"/>
    <s v="Free"/>
    <s v="Organic Search"/>
    <x v="1"/>
    <s v="Trial/Exploration"/>
    <s v="No Experiment"/>
    <s v="Control"/>
    <n v="4"/>
    <n v="4"/>
    <n v="93"/>
    <s v="No"/>
    <x v="1"/>
    <x v="0"/>
    <s v="Bank Connection Failed"/>
    <x v="1"/>
    <n v="0"/>
    <n v="0"/>
    <n v="0"/>
    <s v="No Support Contact"/>
    <s v="No"/>
    <s v="No Support Contact"/>
    <s v="Not Applicable"/>
    <m/>
    <s v="No drop-off"/>
    <n v="2"/>
    <n v="-8"/>
    <n v="58"/>
    <x v="1"/>
    <n v="0"/>
    <n v="0"/>
    <n v="1"/>
    <n v="1"/>
  </r>
  <r>
    <s v="NSF-000607"/>
    <s v="USR-00273"/>
    <s v="SES-2507-55601"/>
    <d v="2025-07-16T00:00:00"/>
    <s v="East Midlands"/>
    <s v="Derby"/>
    <x v="3"/>
    <s v="25-34"/>
    <s v="Female"/>
    <s v="Android"/>
    <s v="Android Phone"/>
    <s v="7-12 months"/>
    <s v="Free"/>
    <s v="Paid Social"/>
    <x v="2"/>
    <s v="Repeat Use"/>
    <s v="No Experiment"/>
    <s v="Control"/>
    <n v="5"/>
    <n v="5"/>
    <n v="110"/>
    <s v="No"/>
    <x v="1"/>
    <x v="1"/>
    <s v="No Error"/>
    <x v="1"/>
    <n v="0"/>
    <n v="0"/>
    <n v="0"/>
    <s v="No Support Contact"/>
    <s v="No"/>
    <s v="No Support Contact"/>
    <s v="Not Applicable"/>
    <m/>
    <s v="No drop-off"/>
    <n v="5"/>
    <n v="-14"/>
    <n v="1"/>
    <x v="1"/>
    <n v="0"/>
    <n v="0"/>
    <n v="0"/>
    <n v="1"/>
  </r>
  <r>
    <s v="NSF-001351"/>
    <s v="USR-00049"/>
    <s v="SES-2604-35192"/>
    <d v="2026-04-19T00:00:00"/>
    <s v="East Midlands"/>
    <s v="Nottingham"/>
    <x v="1"/>
    <s v="25-34"/>
    <s v="Female"/>
    <s v="Ios"/>
    <s v="Iphone"/>
    <s v="7-12 months"/>
    <s v="Free"/>
    <s v="Organic Search"/>
    <x v="8"/>
    <s v="Repeat Use"/>
    <s v="New Cta Copy"/>
    <s v="Control"/>
    <n v="5"/>
    <s v="5 steps"/>
    <n v="171"/>
    <s v="No"/>
    <x v="0"/>
    <x v="0"/>
    <s v="Reward Not Tracked"/>
    <x v="1"/>
    <n v="0"/>
    <n v="0"/>
    <n v="0"/>
    <s v="No Support Contact"/>
    <s v="No"/>
    <s v="No Support Contact"/>
    <s v="Not Applicable"/>
    <m/>
    <s v="No drop-off"/>
    <n v="4"/>
    <n v="-48"/>
    <s v="1 days"/>
    <x v="1"/>
    <n v="1"/>
    <n v="0"/>
    <n v="1"/>
    <n v="1"/>
  </r>
  <r>
    <s v="NSF-000731"/>
    <s v="USR-00856"/>
    <s v="SES-2508-20135"/>
    <d v="2025-08-26T00:00:00"/>
    <s v="Scotland"/>
    <s v="Glasgow"/>
    <x v="0"/>
    <s v="25-34"/>
    <s v="Non-Binary"/>
    <s v="Android"/>
    <s v="Android Phone"/>
    <s v="7-12 months"/>
    <s v="Plus"/>
    <s v="App Store"/>
    <x v="2"/>
    <s v="Repeat Use"/>
    <s v="No Experiment"/>
    <s v="Control"/>
    <n v="5"/>
    <n v="5"/>
    <n v="110"/>
    <s v="No"/>
    <x v="1"/>
    <x v="1"/>
    <s v="No Error"/>
    <x v="1"/>
    <n v="0"/>
    <n v="0"/>
    <n v="0"/>
    <s v="Feature Navigation"/>
    <s v="Yes"/>
    <s v="Feature Navigation"/>
    <s v="Resolved"/>
    <n v="33"/>
    <m/>
    <n v="4"/>
    <n v="2"/>
    <s v="12 days"/>
    <x v="1"/>
    <n v="0"/>
    <n v="0"/>
    <n v="0"/>
    <n v="1"/>
  </r>
  <r>
    <s v="NSF-001333"/>
    <s v="USR-00637"/>
    <s v="SES-2604-76661"/>
    <d v="2026-04-02T00:00:00"/>
    <s v="Wales"/>
    <s v="Wrexham"/>
    <x v="3"/>
    <s v="25-34"/>
    <s v="Female"/>
    <s v="Ios"/>
    <s v="Iphone"/>
    <s v="&lt;3 months"/>
    <s v="Free"/>
    <s v="Paid Search"/>
    <x v="8"/>
    <s v="Repeat Use"/>
    <s v="Fee Transparency Panel"/>
    <s v="Treatment"/>
    <n v="5"/>
    <n v="5"/>
    <n v="149"/>
    <s v="No"/>
    <x v="0"/>
    <x v="1"/>
    <s v="No Error"/>
    <x v="0"/>
    <n v="63.91"/>
    <n v="0"/>
    <n v="0"/>
    <s v="No Support Contact"/>
    <s v="No"/>
    <s v="No Support Contact"/>
    <s v="Not Applicable"/>
    <m/>
    <s v="No drop-off"/>
    <n v="5"/>
    <n v="61"/>
    <n v="7"/>
    <x v="0"/>
    <n v="1"/>
    <n v="1"/>
    <n v="0"/>
    <n v="0"/>
  </r>
  <r>
    <s v="NSF-000895"/>
    <s v="USR-00606"/>
    <s v="SES-2510-37294"/>
    <d v="2025-10-15T00:00:00"/>
    <s v="London"/>
    <s v="Camden"/>
    <x v="3"/>
    <s v="35-44"/>
    <s v="Male"/>
    <s v="Ios"/>
    <s v="Iphone"/>
    <s v="&lt;3 months"/>
    <s v="Free"/>
    <s v="Affiliate"/>
    <x v="0"/>
    <s v="Reactivated"/>
    <s v="Progress Indicator"/>
    <s v="Treatment"/>
    <n v="7"/>
    <n v="6"/>
    <n v="254"/>
    <s v="Yes"/>
    <x v="1"/>
    <x v="1"/>
    <s v="No Error"/>
    <x v="0"/>
    <n v="0"/>
    <n v="0"/>
    <n v="0"/>
    <s v="No Support Contact"/>
    <s v="No"/>
    <s v="No Support Contact"/>
    <s v="Not Applicable"/>
    <m/>
    <s v="Too many steps"/>
    <n v="2"/>
    <n v="-20"/>
    <n v="57"/>
    <x v="1"/>
    <n v="0"/>
    <n v="1"/>
    <n v="0"/>
    <n v="1"/>
  </r>
  <r>
    <s v="NSF-001406"/>
    <s v="USR-00573"/>
    <s v="SES-2605-97120"/>
    <d v="2026-05-07T00:00:00"/>
    <s v="Wales"/>
    <s v="Cardiff"/>
    <x v="2"/>
    <s v="18-24"/>
    <s v="Female"/>
    <s v="Ios"/>
    <s v="Iphone"/>
    <s v="1-2 years"/>
    <s v="Free"/>
    <s v="Paid Search"/>
    <x v="0"/>
    <s v="Reactivated"/>
    <s v="Fee Transparency Panel"/>
    <s v="Treatment"/>
    <n v="7"/>
    <n v="7"/>
    <n v="166"/>
    <s v="No"/>
    <x v="1"/>
    <x v="1"/>
    <s v="No Error"/>
    <x v="0"/>
    <n v="0"/>
    <n v="0"/>
    <n v="0"/>
    <s v="No Support Contact"/>
    <s v="No"/>
    <s v="No Support Contact"/>
    <s v="Not Applicable"/>
    <m/>
    <s v="No drop-off"/>
    <n v="3"/>
    <n v="-14"/>
    <n v="9"/>
    <x v="0"/>
    <n v="0"/>
    <n v="1"/>
    <n v="0"/>
    <n v="0"/>
  </r>
  <r>
    <s v="NSF-000899"/>
    <s v="USR-00798"/>
    <s v="SES-2510-81985"/>
    <d v="2025-10-24T00:00:00"/>
    <s v="North West"/>
    <s v="Manchester"/>
    <x v="2"/>
    <s v="65+"/>
    <s v="Female"/>
    <s v="Web"/>
    <s v="Mobile Browser"/>
    <s v="1-2 years"/>
    <s v="Free"/>
    <s v="Affiliate"/>
    <x v="3"/>
    <s v="Reactivated"/>
    <s v="New Cta Copy"/>
    <s v="Treatment"/>
    <n v="6"/>
    <n v="6"/>
    <n v="157"/>
    <s v="No"/>
    <x v="0"/>
    <x v="1"/>
    <s v="No Error"/>
    <x v="0"/>
    <n v="69.569999999999993"/>
    <n v="0.11"/>
    <n v="0"/>
    <s v="No Support Contact"/>
    <s v="No"/>
    <s v="No Support Contact"/>
    <s v="Not Applicable"/>
    <m/>
    <s v="No drop-off"/>
    <n v="4"/>
    <n v="-8"/>
    <n v="56"/>
    <x v="1"/>
    <n v="1"/>
    <n v="1"/>
    <n v="0"/>
    <n v="1"/>
  </r>
  <r>
    <s v="NSF-000823"/>
    <s v="USR-00025"/>
    <s v="SES-2509-17644"/>
    <d v="2025-09-10T00:00:00"/>
    <s v="South West"/>
    <s v="Plymouth"/>
    <x v="5"/>
    <s v="25-34"/>
    <s v="Female"/>
    <s v="Android"/>
    <s v="Android Phone"/>
    <s v="1-2 years"/>
    <s v="Free"/>
    <s v="Affiliate"/>
    <x v="1"/>
    <s v="Reactivated"/>
    <s v="Simplified Onboarding"/>
    <s v="Control"/>
    <s v="4 steps"/>
    <n v="4"/>
    <n v="90"/>
    <s v="No"/>
    <x v="1"/>
    <x v="0"/>
    <s v="Transfer Pending"/>
    <x v="1"/>
    <n v="0"/>
    <n v="0"/>
    <n v="0"/>
    <s v="No Support Contact"/>
    <s v="No"/>
    <s v="No Support Contact"/>
    <s v="Not Applicable"/>
    <m/>
    <s v="Too many steps"/>
    <n v="3"/>
    <n v="-2"/>
    <n v="1"/>
    <x v="0"/>
    <n v="0"/>
    <n v="0"/>
    <n v="1"/>
    <n v="0"/>
  </r>
  <r>
    <s v="NSF-001132"/>
    <s v="USR-00026"/>
    <s v="SES-2601-65874"/>
    <d v="2026-01-29T00:00:00"/>
    <s v="Yorkshire &amp; Humber"/>
    <s v="Leeds"/>
    <x v="4"/>
    <s v="18-24"/>
    <s v="Male"/>
    <s v="Android"/>
    <s v="Android Phone"/>
    <s v="1-2 years"/>
    <s v="Free"/>
    <s v="Organic Search"/>
    <x v="8"/>
    <s v="Trial/Exploration"/>
    <s v="No Experiment"/>
    <s v="Control"/>
    <n v="5"/>
    <n v="4"/>
    <n v="191"/>
    <s v="Yes"/>
    <x v="1"/>
    <x v="1"/>
    <s v="No Error"/>
    <x v="0"/>
    <n v="59.68"/>
    <n v="0"/>
    <n v="0"/>
    <s v="No Support Contact"/>
    <s v="No"/>
    <s v="No Support Contact"/>
    <s v="Not Applicable"/>
    <m/>
    <s v="Unexpected fee"/>
    <n v="2"/>
    <n v="-13"/>
    <n v="29"/>
    <x v="1"/>
    <n v="0"/>
    <n v="1"/>
    <n v="0"/>
    <n v="1"/>
  </r>
  <r>
    <s v="NSF-000424"/>
    <s v="USR-00557"/>
    <s v="SES-2505-72472"/>
    <d v="2025-05-05T00:00:00"/>
    <s v="West Midlands"/>
    <s v="Wolverhampton"/>
    <x v="0"/>
    <s v="18-24"/>
    <s v="Male"/>
    <s v="Ios"/>
    <s v="Iphone"/>
    <s v="1-2 years"/>
    <s v="Free"/>
    <s v="Referral"/>
    <x v="10"/>
    <s v="Repeat Use"/>
    <s v="No Experiment"/>
    <s v="Control"/>
    <n v="9"/>
    <n v="8"/>
    <n v="267"/>
    <s v="Yes"/>
    <x v="0"/>
    <x v="1"/>
    <s v="No Error"/>
    <x v="0"/>
    <n v="160.61000000000001"/>
    <n v="3.3"/>
    <n v="0"/>
    <s v="No Support Contact"/>
    <s v="No"/>
    <s v="No Support Contact"/>
    <s v="N/A"/>
    <m/>
    <s v="No drop-off"/>
    <n v="2"/>
    <n v="-8"/>
    <s v="1 days"/>
    <x v="1"/>
    <n v="1"/>
    <n v="1"/>
    <n v="0"/>
    <n v="1"/>
  </r>
  <r>
    <s v="NSF-000742"/>
    <s v="USR-00759"/>
    <s v="SES-2508-62978"/>
    <d v="2025-08-22T00:00:00"/>
    <s v="Northern Ireland"/>
    <m/>
    <x v="0"/>
    <s v="35-44"/>
    <s v="Female"/>
    <s v="Ios"/>
    <s v="Iphone"/>
    <s v="7-12 months"/>
    <s v="Plus"/>
    <s v="Employer Partnership"/>
    <x v="10"/>
    <s v="Repeat Use"/>
    <s v="No Experiment"/>
    <s v="Control"/>
    <n v="9"/>
    <n v="9"/>
    <n v="394"/>
    <s v="No"/>
    <x v="0"/>
    <x v="0"/>
    <s v="Eligibility Unclear"/>
    <x v="1"/>
    <n v="0"/>
    <n v="0"/>
    <n v="0"/>
    <s v="Account Verification"/>
    <s v="Yes"/>
    <s v="Account Verification"/>
    <s v="Resolved"/>
    <n v="11"/>
    <s v="No drop-off"/>
    <n v="3"/>
    <n v="-28"/>
    <n v="19"/>
    <x v="1"/>
    <n v="1"/>
    <n v="0"/>
    <n v="1"/>
    <n v="1"/>
  </r>
  <r>
    <s v="NSF-001342"/>
    <s v="USR-00051"/>
    <s v="SES-2604-79425"/>
    <d v="2026-04-17T00:00:00"/>
    <s v="West Midlands"/>
    <s v="Solihull"/>
    <x v="5"/>
    <s v="55-64"/>
    <s v="Female"/>
    <s v="Android"/>
    <s v="Android Phone"/>
    <s v="3-6 months"/>
    <s v="Free"/>
    <s v="Organic Search"/>
    <x v="2"/>
    <s v="Repeat Use"/>
    <s v="No Experiment"/>
    <s v="Control"/>
    <n v="5"/>
    <n v="5"/>
    <n v="153"/>
    <s v="No"/>
    <x v="0"/>
    <x v="1"/>
    <s v="No Error"/>
    <x v="0"/>
    <n v="108.64"/>
    <n v="0"/>
    <n v="0"/>
    <s v="No Support Contact"/>
    <s v="No"/>
    <s v="No Support Contact"/>
    <s v="Not Applicable"/>
    <m/>
    <s v="No drop-off"/>
    <n v="4"/>
    <n v="33"/>
    <n v="26"/>
    <x v="1"/>
    <n v="1"/>
    <n v="1"/>
    <n v="0"/>
    <n v="1"/>
  </r>
  <r>
    <s v="NSF-000803"/>
    <s v="USR-00187"/>
    <s v="SES-2509-76941"/>
    <d v="2025-09-27T00:00:00"/>
    <s v="London"/>
    <s v="Croydon"/>
    <x v="3"/>
    <s v="25-34"/>
    <s v="Male"/>
    <s v="Web"/>
    <s v="Mobile Browser"/>
    <s v="1-2 years"/>
    <s v="Free"/>
    <s v="Referral"/>
    <x v="7"/>
    <s v="Repeat Use"/>
    <s v="No Experiment"/>
    <s v="Control"/>
    <n v="4"/>
    <n v="4"/>
    <n v="102"/>
    <s v="No"/>
    <x v="1"/>
    <x v="1"/>
    <s v="No Error"/>
    <x v="0"/>
    <n v="64.7"/>
    <n v="0.53"/>
    <n v="0"/>
    <s v="Transaction Failure"/>
    <s v="Yes"/>
    <s v="Transaction Failure"/>
    <s v="Resolved"/>
    <n v="25"/>
    <s v="Instructions unclear"/>
    <n v="4"/>
    <n v="12"/>
    <s v="41 days"/>
    <x v="1"/>
    <n v="0"/>
    <n v="1"/>
    <n v="0"/>
    <n v="1"/>
  </r>
  <r>
    <s v="NSF-000173"/>
    <s v="USR-00065"/>
    <s v="SES-2502-20388"/>
    <d v="2025-12-02T00:00:00"/>
    <s v="Scotland"/>
    <s v="Glasgow"/>
    <x v="2"/>
    <s v="25-34"/>
    <s v="Female"/>
    <s v="Android"/>
    <s v="Android Phone"/>
    <s v="7-12 months"/>
    <s v="Free"/>
    <s v="Paid Search"/>
    <x v="9"/>
    <s v="Reactivated"/>
    <s v="No Experiment"/>
    <s v="Control"/>
    <n v="5"/>
    <n v="5"/>
    <n v="120"/>
    <s v="No"/>
    <x v="0"/>
    <x v="1"/>
    <s v="No Error"/>
    <x v="1"/>
    <n v="0"/>
    <n v="0"/>
    <n v="0"/>
    <s v="No Support Contact"/>
    <s v="No"/>
    <s v="No Support Contact"/>
    <s v="Not Applicable"/>
    <m/>
    <s v="No drop-off"/>
    <n v="4"/>
    <n v="22"/>
    <n v="3"/>
    <x v="1"/>
    <n v="1"/>
    <n v="0"/>
    <n v="0"/>
    <n v="1"/>
  </r>
  <r>
    <s v="NSF-000543"/>
    <s v="USR-00088"/>
    <s v="SES-2506-49159"/>
    <d v="2025-06-05T00:00:00"/>
    <s v="London"/>
    <s v="Camden"/>
    <x v="5"/>
    <s v="25-34"/>
    <s v="Female"/>
    <s v="Android"/>
    <s v="Android Phone"/>
    <s v="7-12 months"/>
    <s v="Free"/>
    <s v="Organic Search"/>
    <x v="0"/>
    <s v="Repeat Use"/>
    <s v="No Experiment"/>
    <s v="Control"/>
    <n v="7"/>
    <n v="6"/>
    <n v="211"/>
    <s v="Yes"/>
    <x v="0"/>
    <x v="1"/>
    <s v="No Error"/>
    <x v="0"/>
    <n v="0"/>
    <n v="0"/>
    <n v="0"/>
    <s v="No Support Contact"/>
    <s v="No"/>
    <s v="No Support Contact"/>
    <s v="Not Applicable"/>
    <m/>
    <s v="No drop-off"/>
    <n v="2"/>
    <n v="-11"/>
    <n v="49"/>
    <x v="1"/>
    <n v="1"/>
    <n v="1"/>
    <n v="0"/>
    <n v="1"/>
  </r>
  <r>
    <s v="NSF-000111"/>
    <s v="usr-00109"/>
    <s v="SES-2502-50367"/>
    <d v="2025-02-12T00:00:00"/>
    <s v="Scotland"/>
    <s v="Glasgow"/>
    <x v="3"/>
    <s v="25-34"/>
    <s v="Female"/>
    <s v="Android"/>
    <s v="Android Phone"/>
    <s v="3-6 months"/>
    <s v="Premium"/>
    <s v="Organic Search"/>
    <x v="10"/>
    <s v="First Use"/>
    <s v="Simplified Onboarding"/>
    <s v="Control"/>
    <s v="9 steps"/>
    <s v="9 steps"/>
    <n v="347"/>
    <s v="No"/>
    <x v="1"/>
    <x v="0"/>
    <s v="Eligibility Unclear"/>
    <x v="1"/>
    <n v="0"/>
    <n v="0"/>
    <n v="0"/>
    <s v="No Support Contact"/>
    <s v="No"/>
    <s v="No Support Contact"/>
    <s v="Not Applicable"/>
    <m/>
    <s v="No drop-off"/>
    <n v="1"/>
    <n v="-26"/>
    <n v="0"/>
    <x v="0"/>
    <n v="0"/>
    <n v="0"/>
    <n v="1"/>
    <n v="0"/>
  </r>
  <r>
    <s v="NSF-000042"/>
    <s v="USR-00373"/>
    <s v="SES-2501-17690"/>
    <d v="2025-01-03T00:00:00"/>
    <s v="London"/>
    <s v="Southwark"/>
    <x v="1"/>
    <s v="65+"/>
    <s v="Male"/>
    <s v="Ios"/>
    <s v="Iphone"/>
    <s v="&lt;3 months"/>
    <s v="Free"/>
    <s v="Direct"/>
    <x v="7"/>
    <s v="First Use"/>
    <s v="Simplified Onboarding"/>
    <s v="Treatment"/>
    <n v="4"/>
    <n v="4"/>
    <n v="112"/>
    <s v="No"/>
    <x v="0"/>
    <x v="1"/>
    <s v="No Error"/>
    <x v="0"/>
    <n v="103.07"/>
    <n v="0.54"/>
    <n v="0"/>
    <s v="No Support Contact"/>
    <s v="No"/>
    <s v="No Support Contact"/>
    <s v="Not Applicable"/>
    <m/>
    <s v="No drop-off"/>
    <n v="5"/>
    <n v="59"/>
    <n v="0"/>
    <x v="0"/>
    <n v="1"/>
    <n v="1"/>
    <n v="0"/>
    <n v="0"/>
  </r>
  <r>
    <s v="NSF-000356"/>
    <s v="USR-00609"/>
    <s v="SES-2504-22001"/>
    <d v="2025-04-30T00:00:00"/>
    <s v="Northern Ireland"/>
    <s v="Belfast"/>
    <x v="0"/>
    <s v="65+"/>
    <s v="Male"/>
    <s v="Android"/>
    <s v="Android Phone"/>
    <s v="3-6 months"/>
    <s v="Premium"/>
    <s v="Referral"/>
    <x v="3"/>
    <s v="Repeat Use"/>
    <s v="No Experiment"/>
    <s v="Control"/>
    <n v="6"/>
    <n v="6"/>
    <n v="169"/>
    <s v="No"/>
    <x v="1"/>
    <x v="0"/>
    <s v="Split Amount Confusing"/>
    <x v="1"/>
    <n v="0"/>
    <n v="0"/>
    <n v="0"/>
    <s v="No Support Contact"/>
    <s v="No"/>
    <s v="No Support Contact"/>
    <s v="Not Applicable"/>
    <m/>
    <s v="Technical error"/>
    <n v="2"/>
    <n v="21"/>
    <n v="21"/>
    <x v="1"/>
    <n v="0"/>
    <n v="0"/>
    <n v="1"/>
    <n v="1"/>
  </r>
  <r>
    <s v="NSF-001430"/>
    <s v="USR-00096"/>
    <s v="SES-2606-90073"/>
    <d v="2026-06-22T00:00:00"/>
    <s v="Wales"/>
    <s v="Swansea"/>
    <x v="3"/>
    <s v="25-34"/>
    <s v="Prefer Not To Say"/>
    <s v="Ios"/>
    <s v="Iphone"/>
    <s v="7-12 months"/>
    <s v="Plus"/>
    <s v="Referral"/>
    <x v="0"/>
    <s v="Trial/Exploration"/>
    <s v="New Cta Copy"/>
    <s v="Control"/>
    <n v="7"/>
    <n v="7"/>
    <n v="201"/>
    <s v="No"/>
    <x v="0"/>
    <x v="1"/>
    <s v="No Error"/>
    <x v="0"/>
    <n v="90.82"/>
    <n v="0"/>
    <n v="0.17"/>
    <s v="No Support Contact"/>
    <s v="No"/>
    <s v="No Support Contact"/>
    <s v="Not Applicable"/>
    <m/>
    <s v="No drop-off"/>
    <n v="4"/>
    <n v="-1"/>
    <n v="24"/>
    <x v="1"/>
    <n v="1"/>
    <n v="1"/>
    <n v="0"/>
    <n v="1"/>
  </r>
  <r>
    <s v="NSF-000459"/>
    <s v="USR-00205"/>
    <s v="SES-2505-69828"/>
    <d v="2025-05-13T00:00:00"/>
    <s v="South East"/>
    <s v="Brighton"/>
    <x v="4"/>
    <s v="45-54"/>
    <s v="Female"/>
    <s v="Ios"/>
    <s v="Iphone"/>
    <s v="3-6 months"/>
    <s v="Free"/>
    <s v="Direct"/>
    <x v="5"/>
    <s v="Repeat Use"/>
    <s v="Progress Indicator"/>
    <s v="Treatment"/>
    <n v="8"/>
    <n v="8"/>
    <n v="208"/>
    <s v="No"/>
    <x v="0"/>
    <x v="1"/>
    <s v="No Error"/>
    <x v="0"/>
    <n v="476.91"/>
    <n v="2.83"/>
    <n v="0"/>
    <s v="No Support Contact"/>
    <s v="No"/>
    <s v="No Support Contact"/>
    <s v="Not Applicable"/>
    <m/>
    <s v="No drop-off"/>
    <n v="4"/>
    <n v="65"/>
    <n v="20"/>
    <x v="1"/>
    <n v="1"/>
    <n v="1"/>
    <n v="0"/>
    <n v="1"/>
  </r>
  <r>
    <s v="NSF-001292"/>
    <s v="USR-00332"/>
    <s v="SES-2604-70559"/>
    <d v="2026-04-27T00:00:00"/>
    <s v="Yorkshire &amp; Humber"/>
    <s v="Sheffield"/>
    <x v="5"/>
    <s v="25-34"/>
    <s v="Male"/>
    <s v="Android"/>
    <s v="Android Phone"/>
    <s v="2+ years"/>
    <s v="Free"/>
    <s v="Referral"/>
    <x v="2"/>
    <s v="Trial/Exploration"/>
    <s v="Progress Indicator"/>
    <s v="Treatment"/>
    <n v="5"/>
    <n v="5"/>
    <n v="113"/>
    <s v="No"/>
    <x v="0"/>
    <x v="1"/>
    <s v="No Error"/>
    <x v="0"/>
    <n v="2.96"/>
    <n v="0"/>
    <n v="0"/>
    <s v="No Support Contact"/>
    <s v="No"/>
    <s v="No Support Contact"/>
    <s v="Not Applicable"/>
    <m/>
    <s v="No drop-off"/>
    <n v="5"/>
    <n v="60"/>
    <n v="28"/>
    <x v="1"/>
    <n v="1"/>
    <n v="1"/>
    <n v="0"/>
    <n v="1"/>
  </r>
  <r>
    <s v="NSF-001162"/>
    <s v="USR-00728"/>
    <s v="SES-2602-94065"/>
    <d v="2026-02-10T00:00:00"/>
    <s v="East England"/>
    <s v="Norwich"/>
    <x v="1"/>
    <s v="55-64"/>
    <s v="Male"/>
    <s v="Ios"/>
    <s v="Iphone"/>
    <s v="1-2 years"/>
    <s v="Free"/>
    <s v="Organic Search"/>
    <x v="0"/>
    <s v="Repeat Use"/>
    <s v="No Experiment"/>
    <s v="Control"/>
    <n v="7"/>
    <n v="7"/>
    <n v="209"/>
    <s v="No"/>
    <x v="1"/>
    <x v="1"/>
    <s v="No Error"/>
    <x v="1"/>
    <n v="0"/>
    <n v="0"/>
    <n v="0"/>
    <s v="No Support Contact"/>
    <s v="No"/>
    <s v="No Support Contact"/>
    <s v="Not Applicable"/>
    <m/>
    <s v="Unexpected fee"/>
    <n v="3"/>
    <n v="-2"/>
    <n v="21"/>
    <x v="1"/>
    <n v="0"/>
    <n v="0"/>
    <n v="0"/>
    <n v="1"/>
  </r>
  <r>
    <s v="NSF-000783"/>
    <s v="USR-00427"/>
    <s v="SES-2509-70798"/>
    <d v="2025-09-22T00:00:00"/>
    <s v="North East"/>
    <s v="Middlesbrough"/>
    <x v="2"/>
    <s v="35-44"/>
    <s v="Male"/>
    <s v="Android"/>
    <s v="Android Phone"/>
    <s v="2+ years"/>
    <s v="Free"/>
    <s v="Organic Search"/>
    <x v="1"/>
    <s v="Repeat Use"/>
    <s v="Simplified Onboarding"/>
    <s v="Control"/>
    <n v="4"/>
    <n v="4"/>
    <n v="91"/>
    <s v="No"/>
    <x v="0"/>
    <x v="1"/>
    <s v="No Error"/>
    <x v="0"/>
    <n v="60.01"/>
    <n v="0.17"/>
    <n v="0"/>
    <s v="No Support Contact"/>
    <s v="No"/>
    <s v="No Support Contact"/>
    <s v="Not Applicable"/>
    <m/>
    <s v="No drop-off"/>
    <n v="5"/>
    <n v="-4"/>
    <n v="22"/>
    <x v="2"/>
    <n v="1"/>
    <n v="1"/>
    <n v="0"/>
    <n v="0"/>
  </r>
  <r>
    <s v="NSF-001234"/>
    <s v="usr-00637"/>
    <s v="SES-2603-46494"/>
    <d v="2026-03-04T00:00:00"/>
    <s v="North West"/>
    <s v="Manchester"/>
    <x v="5"/>
    <s v="25-34"/>
    <s v="Female"/>
    <s v="Ios"/>
    <s v="Iphone"/>
    <s v="1-2 years"/>
    <s v="Premium"/>
    <s v="App Store"/>
    <x v="1"/>
    <s v="First Use"/>
    <s v="No Experiment"/>
    <s v="Control"/>
    <n v="4"/>
    <n v="4"/>
    <n v="124"/>
    <s v="No"/>
    <x v="0"/>
    <x v="1"/>
    <s v="No Error"/>
    <x v="0"/>
    <n v="19.82"/>
    <n v="0.21"/>
    <n v="0.37"/>
    <s v="No Support Contact"/>
    <s v="No"/>
    <s v="No Support Contact"/>
    <s v="Not Applicable"/>
    <m/>
    <s v="No drop-off"/>
    <n v="4"/>
    <n v="4"/>
    <n v="0"/>
    <x v="0"/>
    <n v="1"/>
    <n v="1"/>
    <n v="0"/>
    <n v="0"/>
  </r>
  <r>
    <s v="NSF-001000"/>
    <s v="USR-00307"/>
    <s v="SES-2512-11770"/>
    <d v="2025-12-30T00:00:00"/>
    <s v="Scotland"/>
    <s v="Glasgow"/>
    <x v="0"/>
    <s v="25-34"/>
    <s v="Female"/>
    <s v="Ios"/>
    <s v="Iphone"/>
    <s v="2+ years"/>
    <s v="Free"/>
    <s v="Direct"/>
    <x v="10"/>
    <s v="Repeat Use"/>
    <s v="No Experiment"/>
    <s v="Control"/>
    <n v="9"/>
    <n v="9"/>
    <n v="165"/>
    <s v="No"/>
    <x v="0"/>
    <x v="1"/>
    <s v="No Error"/>
    <x v="1"/>
    <n v="0"/>
    <n v="0"/>
    <n v="0"/>
    <s v="No Support Contact"/>
    <s v="No"/>
    <s v="No Support Contact"/>
    <s v="Not Applicable"/>
    <m/>
    <s v="No drop-off"/>
    <n v="3"/>
    <n v="-28"/>
    <n v="1"/>
    <x v="1"/>
    <n v="1"/>
    <n v="0"/>
    <n v="0"/>
    <n v="1"/>
  </r>
  <r>
    <s v="NSF-000872"/>
    <s v="USR-00404"/>
    <s v="SES-2510-49839"/>
    <d v="2025-10-03T00:00:00"/>
    <s v="South East"/>
    <s v="Canterbury"/>
    <x v="5"/>
    <s v="18-24"/>
    <s v="Male"/>
    <s v="Ios"/>
    <s v="Iphone"/>
    <s v="7-12 months"/>
    <s v="Free"/>
    <s v="Direct"/>
    <x v="1"/>
    <s v="First Use"/>
    <s v="Fee Transparency Panel"/>
    <s v="Control"/>
    <n v="4"/>
    <n v="4"/>
    <n v="110"/>
    <s v="No"/>
    <x v="0"/>
    <x v="1"/>
    <s v="No Error"/>
    <x v="0"/>
    <n v="115.81"/>
    <n v="0.18"/>
    <n v="0"/>
    <s v="No Support Contact"/>
    <s v="No"/>
    <s v="No Support Contact"/>
    <s v="Not Applicable"/>
    <m/>
    <s v="No drop-off"/>
    <n v="4"/>
    <n v="34"/>
    <n v="0"/>
    <x v="1"/>
    <n v="1"/>
    <n v="1"/>
    <n v="0"/>
    <n v="1"/>
  </r>
  <r>
    <s v="NSF-000204"/>
    <s v="USR-00113"/>
    <s v="SES-2503-45824"/>
    <d v="2025-03-31T00:00:00"/>
    <s v="Yorkshire &amp; Humber"/>
    <s v="Sheffield"/>
    <x v="5"/>
    <s v="18-24"/>
    <s v="Male"/>
    <s v="Web"/>
    <s v="Desktop"/>
    <s v="7-12 months"/>
    <s v="Free"/>
    <s v="App Store"/>
    <x v="7"/>
    <s v="Repeat Use"/>
    <s v="No Experiment"/>
    <s v="Control"/>
    <n v="4"/>
    <s v="4 steps"/>
    <n v="80"/>
    <s v="No"/>
    <x v="1"/>
    <x v="1"/>
    <s v="No Error"/>
    <x v="1"/>
    <n v="0"/>
    <n v="0"/>
    <n v="0"/>
    <s v="No Support Contact"/>
    <s v="No"/>
    <s v="No Support Contact"/>
    <s v="Not Applicable"/>
    <m/>
    <s v="No drop-off"/>
    <n v="3"/>
    <n v="52"/>
    <n v="19"/>
    <x v="0"/>
    <n v="0"/>
    <n v="0"/>
    <n v="0"/>
    <n v="0"/>
  </r>
  <r>
    <s v="NSF-000181"/>
    <s v="USR-00023"/>
    <s v="SES-2502-60490"/>
    <d v="2025-02-16T00:00:00"/>
    <s v="South West"/>
    <s v="Bath"/>
    <x v="3"/>
    <s v="18-24"/>
    <s v="Male"/>
    <s v="Ios"/>
    <s v="Iphone"/>
    <s v="1-2 years"/>
    <s v="Basic"/>
    <s v="Organic Search"/>
    <x v="9"/>
    <s v="Repeat Use"/>
    <s v="No Experiment"/>
    <s v="Control"/>
    <n v="5"/>
    <n v="5"/>
    <n v="95"/>
    <s v="No"/>
    <x v="0"/>
    <x v="1"/>
    <s v="No Error"/>
    <x v="0"/>
    <n v="146.57"/>
    <n v="0"/>
    <n v="0"/>
    <s v="No Support Contact"/>
    <s v="No"/>
    <s v="No Support Contact"/>
    <s v="Not Applicable"/>
    <m/>
    <s v="No drop-off"/>
    <n v="4"/>
    <n v="50"/>
    <n v="20"/>
    <x v="0"/>
    <n v="1"/>
    <n v="1"/>
    <n v="0"/>
    <n v="0"/>
  </r>
  <r>
    <s v="NSF-000271"/>
    <s v="USR-00446"/>
    <s v="SES-2503-10919"/>
    <d v="2025-03-06T00:00:00"/>
    <s v="Yorkshire &amp; Humber"/>
    <s v="Hull"/>
    <x v="3"/>
    <s v="55-64"/>
    <s v="Female"/>
    <s v="Android"/>
    <s v="Android Phone"/>
    <s v="3-6 months"/>
    <s v="Free"/>
    <s v="Employer Partnership"/>
    <x v="1"/>
    <s v="Repeat Use"/>
    <s v="Contextual Help"/>
    <s v="Control"/>
    <n v="4"/>
    <n v="4"/>
    <n v="112"/>
    <s v="No"/>
    <x v="0"/>
    <x v="1"/>
    <s v="No Error"/>
    <x v="0"/>
    <n v="166.59"/>
    <n v="0.17"/>
    <n v="0"/>
    <s v="No Support Contact"/>
    <s v="No"/>
    <s v="No Support Contact"/>
    <s v="Not Applicable"/>
    <m/>
    <s v="No drop-off"/>
    <n v="4"/>
    <n v="12"/>
    <n v="1"/>
    <x v="1"/>
    <n v="1"/>
    <n v="1"/>
    <n v="0"/>
    <n v="1"/>
  </r>
  <r>
    <s v="NSF-000994"/>
    <s v="USR-00430"/>
    <s v="SES-2512-56510"/>
    <d v="2025-12-11T00:00:00"/>
    <s v="Scotland"/>
    <s v="Edinburgh"/>
    <x v="3"/>
    <s v="35-44"/>
    <s v="Male"/>
    <s v="Ios"/>
    <s v="Iphone"/>
    <s v="1-2 years"/>
    <s v="Free"/>
    <s v="Referral"/>
    <x v="4"/>
    <s v="Trial/Exploration"/>
    <s v="No Experiment"/>
    <s v="Control"/>
    <n v="6"/>
    <n v="6"/>
    <n v="123"/>
    <s v="No"/>
    <x v="1"/>
    <x v="1"/>
    <s v="No Error"/>
    <x v="0"/>
    <n v="27.25"/>
    <n v="0"/>
    <n v="0"/>
    <s v="No Support Contact"/>
    <s v="No"/>
    <s v="No Support Contact"/>
    <s v="Not Applicable"/>
    <m/>
    <s v="No drop-off"/>
    <n v="5"/>
    <n v="-13"/>
    <n v="35"/>
    <x v="1"/>
    <n v="0"/>
    <n v="1"/>
    <n v="0"/>
    <n v="1"/>
  </r>
  <r>
    <s v="NSF-000021"/>
    <s v="USR-00458"/>
    <s v="SES-2501-25029"/>
    <d v="2025-01-21T00:00:00"/>
    <s v="North West"/>
    <s v="Preston"/>
    <x v="3"/>
    <s v="25-34"/>
    <s v="Male"/>
    <s v="Android"/>
    <s v="Android Phone"/>
    <s v="7-12 months"/>
    <s v="Free"/>
    <s v="Organic Search"/>
    <x v="2"/>
    <s v="First Use"/>
    <s v="Contextual Help"/>
    <s v="Treatment"/>
    <n v="5"/>
    <n v="5"/>
    <n v="96"/>
    <s v="No"/>
    <x v="0"/>
    <x v="1"/>
    <s v="No Error"/>
    <x v="0"/>
    <n v="56.26"/>
    <n v="0"/>
    <n v="0"/>
    <s v="No Support Contact"/>
    <s v="No"/>
    <s v="No Support Contact"/>
    <s v="Not Applicable"/>
    <m/>
    <s v="No drop-off"/>
    <n v="4"/>
    <n v="20"/>
    <n v="0"/>
    <x v="0"/>
    <n v="1"/>
    <n v="1"/>
    <n v="0"/>
    <n v="0"/>
  </r>
  <r>
    <s v="NSF-000866"/>
    <s v="USR-00476"/>
    <s v="SES-2510-96975"/>
    <d v="2025-10-12T00:00:00"/>
    <s v="Yorkshire &amp; Humber"/>
    <s v="Sheffield"/>
    <x v="1"/>
    <s v="45-54"/>
    <s v="Male"/>
    <s v="Ios"/>
    <s v="Iphone"/>
    <s v="7-12 months"/>
    <s v="Free"/>
    <s v="Direct"/>
    <x v="8"/>
    <s v="First Use"/>
    <s v="No Experiment"/>
    <s v="Control"/>
    <n v="5"/>
    <n v="5"/>
    <n v="100"/>
    <s v="No"/>
    <x v="1"/>
    <x v="1"/>
    <s v="No Error"/>
    <x v="0"/>
    <n v="29.61"/>
    <n v="0"/>
    <n v="0"/>
    <s v="No Support Contact"/>
    <s v="No"/>
    <s v="No Support Contact"/>
    <s v="Not Applicable"/>
    <m/>
    <s v="No drop-off"/>
    <n v="5"/>
    <n v="45"/>
    <n v="0"/>
    <x v="1"/>
    <n v="0"/>
    <n v="1"/>
    <n v="0"/>
    <n v="1"/>
  </r>
  <r>
    <s v="NSF-000079"/>
    <s v="USR-00578"/>
    <s v="SES-2501-85074"/>
    <d v="2025-01-25T00:00:00"/>
    <s v="East Midlands"/>
    <s v="Nottingham"/>
    <x v="2"/>
    <s v="18-24"/>
    <s v="Female"/>
    <s v="Web"/>
    <s v="Tablet Browser"/>
    <s v="1-2 years"/>
    <s v="Plus"/>
    <s v="Affiliate"/>
    <x v="0"/>
    <s v="Reactivated"/>
    <s v="No Experiment"/>
    <s v="Control"/>
    <n v="7"/>
    <n v="7"/>
    <n v="187"/>
    <s v="No"/>
    <x v="0"/>
    <x v="1"/>
    <s v="No Error"/>
    <x v="1"/>
    <n v="0"/>
    <n v="0"/>
    <n v="0"/>
    <s v="No Support Contact"/>
    <s v="No"/>
    <s v="No Support Contact"/>
    <s v="Not Applicable"/>
    <m/>
    <s v="No drop-off"/>
    <n v="4"/>
    <n v="13"/>
    <n v="32"/>
    <x v="1"/>
    <n v="1"/>
    <n v="0"/>
    <n v="0"/>
    <n v="1"/>
  </r>
  <r>
    <s v="NSF-000190"/>
    <s v="USR-00669"/>
    <s v="SES-2502-81964"/>
    <d v="2025-02-16T00:00:00"/>
    <s v="West Midlands"/>
    <s v="Solihull"/>
    <x v="0"/>
    <s v="35-44"/>
    <s v="Male"/>
    <s v="Ios"/>
    <s v="Iphone"/>
    <s v="&lt;3 months"/>
    <s v="Plus"/>
    <s v="Referral"/>
    <x v="1"/>
    <s v="Repeat Use"/>
    <s v="No Experiment"/>
    <s v="Control"/>
    <n v="4"/>
    <s v="4 steps"/>
    <n v="88"/>
    <s v="No"/>
    <x v="0"/>
    <x v="1"/>
    <s v="No Error"/>
    <x v="0"/>
    <n v="162.44"/>
    <n v="0.23"/>
    <n v="0.17"/>
    <s v="No Support Contact"/>
    <s v="No"/>
    <s v="No Support Contact"/>
    <s v="Not Applicable"/>
    <m/>
    <s v="No drop-off"/>
    <n v="5"/>
    <n v="25"/>
    <n v="4"/>
    <x v="0"/>
    <n v="1"/>
    <n v="1"/>
    <n v="0"/>
    <n v="0"/>
  </r>
  <r>
    <s v="NSF-001370"/>
    <s v="USR-00602"/>
    <s v="SES-2605-48383"/>
    <d v="2026-05-27T00:00:00"/>
    <s v="Scotland"/>
    <s v="Edinburgh"/>
    <x v="1"/>
    <s v="18-24"/>
    <s v="Female"/>
    <s v="Android"/>
    <s v="Android Phone"/>
    <s v="1-2 years"/>
    <s v="Plus"/>
    <s v="Employer Partnership"/>
    <x v="1"/>
    <s v="Repeat Use"/>
    <s v="Contextual Help"/>
    <s v="Control"/>
    <n v="4"/>
    <s v="4 steps"/>
    <n v="90"/>
    <s v="No"/>
    <x v="0"/>
    <x v="1"/>
    <s v="No Error"/>
    <x v="0"/>
    <n v="167.87"/>
    <n v="0.19"/>
    <n v="0.17"/>
    <s v="No Support Contact"/>
    <s v="No"/>
    <s v="No Support Contact"/>
    <s v="Not Applicable"/>
    <m/>
    <s v="No drop-off"/>
    <n v="4"/>
    <n v="47"/>
    <n v="50"/>
    <x v="1"/>
    <n v="1"/>
    <n v="1"/>
    <n v="0"/>
    <n v="1"/>
  </r>
  <r>
    <s v="NSF-000686"/>
    <s v="USR-00047"/>
    <s v="SES-2508-78563"/>
    <d v="2025-08-24T00:00:00"/>
    <s v="Yorkshire &amp; Humber"/>
    <s v="HULL"/>
    <x v="4"/>
    <s v="35-44"/>
    <s v="Male"/>
    <s v="Web"/>
    <s v="Mobile Browser"/>
    <s v="1-2 years"/>
    <s v="Free"/>
    <s v="Organic Search"/>
    <x v="10"/>
    <s v="Trial/Exploration"/>
    <s v="New Cta Copy"/>
    <s v="Treatment"/>
    <n v="9"/>
    <n v="9"/>
    <n v="194"/>
    <s v="No"/>
    <x v="0"/>
    <x v="1"/>
    <s v="No Error"/>
    <x v="0"/>
    <n v="182.07"/>
    <n v="3.37"/>
    <n v="0"/>
    <s v="No Support Contact"/>
    <s v="No"/>
    <s v="No Support Contact"/>
    <s v="Not Applicable"/>
    <m/>
    <s v="No drop-off"/>
    <n v="3"/>
    <n v="12"/>
    <s v="50 days"/>
    <x v="0"/>
    <n v="1"/>
    <n v="1"/>
    <n v="0"/>
    <n v="0"/>
  </r>
  <r>
    <s v="NSF-001438"/>
    <s v="USR-00208"/>
    <s v="SES-2606-92945"/>
    <d v="2026-06-19T00:00:00"/>
    <s v="London"/>
    <s v="Hackney"/>
    <x v="5"/>
    <s v="65+"/>
    <s v="Female"/>
    <s v="Android"/>
    <s v="Android Phone"/>
    <s v="7-12 months"/>
    <s v="Free"/>
    <s v="Affiliate"/>
    <x v="9"/>
    <s v="Reactivated"/>
    <s v="No Experiment"/>
    <s v="Control"/>
    <n v="5"/>
    <n v="5"/>
    <n v="117"/>
    <s v="No"/>
    <x v="1"/>
    <x v="1"/>
    <s v="No Error"/>
    <x v="1"/>
    <n v="0"/>
    <n v="0"/>
    <n v="0"/>
    <s v="No Support Contact"/>
    <s v="No"/>
    <s v="No Support Contact"/>
    <s v="Not Applicable"/>
    <m/>
    <s v="No drop-off"/>
    <n v="4"/>
    <n v="42"/>
    <n v="27"/>
    <x v="1"/>
    <n v="0"/>
    <n v="0"/>
    <n v="0"/>
    <n v="1"/>
  </r>
  <r>
    <s v="NSF-001106"/>
    <s v="USR-00019"/>
    <s v="SES-2601-66134"/>
    <d v="2026-01-14T00:00:00"/>
    <s v="Scotland"/>
    <s v="Glasgow"/>
    <x v="3"/>
    <s v="18-24"/>
    <s v="Male"/>
    <s v="Android"/>
    <s v="Android Phone"/>
    <s v="3-6 months"/>
    <s v="Free"/>
    <s v="Paid Social"/>
    <x v="1"/>
    <s v="First Use"/>
    <s v="Fee Transparency Panel"/>
    <s v="Treatment"/>
    <n v="4"/>
    <n v="4"/>
    <n v="114"/>
    <s v="No"/>
    <x v="0"/>
    <x v="1"/>
    <s v="No Error"/>
    <x v="0"/>
    <n v="158.1"/>
    <n v="0.22"/>
    <n v="0"/>
    <s v="Account Verification"/>
    <s v="Yes"/>
    <s v="Account Verification"/>
    <s v="Unresolved"/>
    <n v="18"/>
    <s v="No drop-off"/>
    <n v="3"/>
    <n v="52"/>
    <n v="0"/>
    <x v="1"/>
    <n v="1"/>
    <n v="1"/>
    <n v="0"/>
    <n v="1"/>
  </r>
  <r>
    <s v="NSF-001013"/>
    <s v="USR-00635"/>
    <s v="SES-2512-68174"/>
    <d v="2025-12-17T00:00:00"/>
    <s v="North East"/>
    <s v="Durham"/>
    <x v="3"/>
    <s v="18-24"/>
    <s v="Female"/>
    <s v="Android"/>
    <s v="Android Phone"/>
    <s v="7-12 months"/>
    <s v="Premium"/>
    <s v="Paid Social"/>
    <x v="4"/>
    <s v="Repeat Use"/>
    <s v="Simplified Onboarding"/>
    <s v="Treatment"/>
    <n v="6"/>
    <n v="6"/>
    <n v="182"/>
    <s v="No"/>
    <x v="1"/>
    <x v="1"/>
    <s v="No Error"/>
    <x v="0"/>
    <n v="0"/>
    <n v="0"/>
    <n v="0.37"/>
    <s v="No Support Contact"/>
    <s v="No"/>
    <s v="No Support Contact"/>
    <s v="Not Applicable"/>
    <m/>
    <s v="Unexpected fee"/>
    <n v="2"/>
    <n v="21"/>
    <s v="49 days"/>
    <x v="1"/>
    <n v="0"/>
    <n v="1"/>
    <n v="0"/>
    <n v="1"/>
  </r>
  <r>
    <s v="NSF-001066"/>
    <s v="USR-00413"/>
    <s v="SES-2512-36313"/>
    <d v="2025-12-26T00:00:00"/>
    <s v="West Midlands"/>
    <s v="Wolverhampton"/>
    <x v="3"/>
    <s v="18-24"/>
    <s v="Female"/>
    <s v="Ios"/>
    <s v="Iphone"/>
    <s v="3-6 months"/>
    <s v="Free"/>
    <s v="Direct"/>
    <x v="7"/>
    <s v="First Use"/>
    <s v="New Cta Copy"/>
    <s v="Treatment"/>
    <s v="4 steps"/>
    <n v="4"/>
    <n v="115"/>
    <s v="No"/>
    <x v="0"/>
    <x v="1"/>
    <s v="No Error"/>
    <x v="0"/>
    <n v="60.28"/>
    <n v="0.48"/>
    <n v="0"/>
    <s v="No Support Contact"/>
    <s v="No"/>
    <s v="No Support Contact"/>
    <s v="Not Applicable"/>
    <m/>
    <s v="No drop-off"/>
    <n v="3"/>
    <n v="36"/>
    <n v="0"/>
    <x v="1"/>
    <n v="1"/>
    <n v="1"/>
    <n v="0"/>
    <n v="1"/>
  </r>
  <r>
    <s v="NSF-001442"/>
    <s v="USR-00552"/>
    <s v="SES-2606-96156"/>
    <d v="2026-06-08T00:00:00"/>
    <s v="Northern Ireland"/>
    <s v="Derry"/>
    <x v="4"/>
    <s v="25-34"/>
    <s v="Male"/>
    <s v="Web"/>
    <s v="Desktop"/>
    <s v="3-6 months"/>
    <s v="Plus"/>
    <s v="App Store"/>
    <x v="3"/>
    <s v="First Use"/>
    <s v="Fee Transparency Panel"/>
    <s v="Control"/>
    <n v="6"/>
    <n v="6"/>
    <n v="109"/>
    <s v="No"/>
    <x v="0"/>
    <x v="1"/>
    <s v="No Error"/>
    <x v="0"/>
    <n v="60"/>
    <n v="0.1"/>
    <n v="0.17"/>
    <s v="No Support Contact"/>
    <s v="No"/>
    <s v="No Support Contact"/>
    <s v="Not Applicable"/>
    <m/>
    <s v="No drop-off"/>
    <n v="3"/>
    <n v="34"/>
    <n v="0"/>
    <x v="1"/>
    <n v="1"/>
    <n v="1"/>
    <n v="0"/>
    <n v="1"/>
  </r>
  <r>
    <s v="NSF-000078"/>
    <s v="USR-00002"/>
    <s v="SES-2501-98129"/>
    <d v="2025-01-11T00:00:00"/>
    <s v="Northern Ireland"/>
    <s v="Belfast"/>
    <x v="0"/>
    <s v="25-34"/>
    <s v="Female"/>
    <s v="Ios"/>
    <s v="Iphone"/>
    <s v="1-2 years"/>
    <s v="Premium"/>
    <s v="Organic Search"/>
    <x v="1"/>
    <s v="Trial/Exploration"/>
    <s v="Simplified Onboarding"/>
    <s v="Control"/>
    <n v="4"/>
    <n v="4"/>
    <n v="82"/>
    <s v="No"/>
    <x v="0"/>
    <x v="1"/>
    <s v="No Error"/>
    <x v="0"/>
    <n v="134.61000000000001"/>
    <n v="0.2"/>
    <n v="0.37"/>
    <s v="No Support Contact"/>
    <s v="No"/>
    <s v="No Support Contact"/>
    <s v="Not Applicable"/>
    <m/>
    <s v="No drop-off"/>
    <n v="4"/>
    <n v="51"/>
    <n v="26"/>
    <x v="1"/>
    <n v="1"/>
    <n v="1"/>
    <n v="0"/>
    <n v="1"/>
  </r>
  <r>
    <s v="NSF-000406"/>
    <s v="USR-00226"/>
    <s v="SES-2505-77857"/>
    <d v="2025-05-22T00:00:00"/>
    <s v="North East"/>
    <s v="Middlesbrough"/>
    <x v="7"/>
    <s v="18-24"/>
    <s v="Male"/>
    <s v="Ios"/>
    <s v="Iphone"/>
    <s v="1-2 years"/>
    <s v="Basic"/>
    <s v="Referral"/>
    <x v="1"/>
    <s v="Repeat Use"/>
    <s v="No Experiment"/>
    <s v="Control"/>
    <n v="4"/>
    <n v="2"/>
    <n v="164"/>
    <s v="Yes"/>
    <x v="0"/>
    <x v="1"/>
    <s v="No Error"/>
    <x v="0"/>
    <n v="220.93"/>
    <n v="0.2"/>
    <n v="0"/>
    <s v="No Support Contact"/>
    <s v="No"/>
    <s v="No Support Contact"/>
    <s v="Not Applicable"/>
    <m/>
    <s v="No drop-off"/>
    <n v="5"/>
    <n v="-1"/>
    <n v="55"/>
    <x v="0"/>
    <n v="1"/>
    <n v="1"/>
    <n v="0"/>
    <n v="0"/>
  </r>
  <r>
    <s v="NSF-001257"/>
    <s v="USR-00597"/>
    <s v="SES-2603-14129"/>
    <d v="2026-01-03T00:00:00"/>
    <s v="South West"/>
    <s v="Gloucester"/>
    <x v="3"/>
    <s v="45-54"/>
    <s v="Female"/>
    <s v="Ios"/>
    <s v="Iphone"/>
    <s v="2+ years"/>
    <s v="Plus"/>
    <s v="Paid Social"/>
    <x v="1"/>
    <s v="Repeat Use"/>
    <s v="No Experiment"/>
    <s v="Control"/>
    <n v="4"/>
    <n v="99"/>
    <n v="203"/>
    <s v="Yes"/>
    <x v="1"/>
    <x v="1"/>
    <s v="No Error"/>
    <x v="0"/>
    <n v="198.51"/>
    <n v="0.23"/>
    <n v="0.17"/>
    <s v="No Support Contact"/>
    <s v="No"/>
    <s v="No Support Contact"/>
    <s v="Not Applicable"/>
    <m/>
    <s v="Instructions unclear"/>
    <n v="3"/>
    <n v="4"/>
    <n v="62"/>
    <x v="0"/>
    <n v="0"/>
    <n v="1"/>
    <n v="0"/>
    <n v="0"/>
  </r>
  <r>
    <s v="NSF-000838"/>
    <s v="USR-00663"/>
    <s v="SES-2510-65402"/>
    <d v="2025-10-29T00:00:00"/>
    <s v="London"/>
    <s v="Croydon"/>
    <x v="7"/>
    <s v="18-24"/>
    <s v="Male"/>
    <s v="Android"/>
    <s v="Android Phone"/>
    <s v="1-2 years"/>
    <s v="Free"/>
    <s v="Referral"/>
    <x v="4"/>
    <s v="First Use"/>
    <s v="No Experiment"/>
    <s v="Control"/>
    <n v="6"/>
    <n v="6"/>
    <n v="109"/>
    <s v="No"/>
    <x v="0"/>
    <x v="1"/>
    <s v="No Error"/>
    <x v="0"/>
    <n v="0"/>
    <n v="0"/>
    <n v="0"/>
    <s v="No Support Contact"/>
    <s v="No"/>
    <s v="No Support Contact"/>
    <s v="Not Applicable"/>
    <m/>
    <s v="No drop-off"/>
    <n v="5"/>
    <n v="-29"/>
    <n v="0"/>
    <x v="0"/>
    <n v="1"/>
    <n v="1"/>
    <n v="0"/>
    <n v="0"/>
  </r>
  <r>
    <s v="NSF-000751"/>
    <s v="USR-00405"/>
    <s v="SES-2509-37735"/>
    <d v="2025-09-15T00:00:00"/>
    <s v="Scotland"/>
    <s v="Edinburgh"/>
    <x v="3"/>
    <s v="35-44"/>
    <s v="Female"/>
    <s v="Ios"/>
    <s v="Iphone"/>
    <s v="1-2 years"/>
    <s v="Free"/>
    <s v="Affiliate"/>
    <x v="3"/>
    <s v="Repeat Use"/>
    <s v="Fee Transparency Panel"/>
    <s v="Treatment"/>
    <n v="6"/>
    <n v="6"/>
    <n v="184"/>
    <s v="No"/>
    <x v="0"/>
    <x v="1"/>
    <s v="No Error"/>
    <x v="0"/>
    <n v="0"/>
    <n v="0.11"/>
    <n v="0"/>
    <s v="No Support Contact"/>
    <s v="No"/>
    <s v="No Support Contact"/>
    <s v="Not Applicable"/>
    <m/>
    <s v="No drop-off"/>
    <n v="3"/>
    <n v="150"/>
    <n v="38"/>
    <x v="0"/>
    <n v="1"/>
    <n v="1"/>
    <n v="0"/>
    <n v="0"/>
  </r>
  <r>
    <s v="NSF-000979"/>
    <s v="USR-00194"/>
    <s v="SES-2511-36610"/>
    <d v="2025-11-16T00:00:00"/>
    <s v="Yorkshire &amp; Humber"/>
    <s v="Hull"/>
    <x v="5"/>
    <s v="45-54"/>
    <s v="Male"/>
    <s v="Android"/>
    <s v="Android Tablet"/>
    <s v="2+ years"/>
    <s v="Basic"/>
    <s v="Referral"/>
    <x v="7"/>
    <s v="Repeat Use"/>
    <s v="Simplified Onboarding"/>
    <s v="Treatment"/>
    <n v="4"/>
    <n v="2"/>
    <n v="268"/>
    <s v="Yes"/>
    <x v="0"/>
    <x v="0"/>
    <s v="Card Activation Failed"/>
    <x v="0"/>
    <n v="133.13999999999999"/>
    <n v="0.5"/>
    <n v="0"/>
    <s v="No Support Contact"/>
    <s v="No"/>
    <s v="No Support Contact"/>
    <s v="Not Applicable"/>
    <m/>
    <s v="No drop-off"/>
    <n v="4"/>
    <n v="-18"/>
    <n v="26"/>
    <x v="1"/>
    <n v="1"/>
    <n v="1"/>
    <n v="1"/>
    <n v="1"/>
  </r>
  <r>
    <s v="NSF-000066"/>
    <s v="USR-00092"/>
    <s v="SES-2501-54059"/>
    <d v="2025-01-13T00:00:00"/>
    <s v="South West"/>
    <s v="Exeter"/>
    <x v="2"/>
    <s v="25-34"/>
    <s v="Male"/>
    <s v="Android"/>
    <s v="Android Phone"/>
    <s v="2+ years"/>
    <s v="Plus"/>
    <s v="Direct"/>
    <x v="7"/>
    <s v="Repeat Use"/>
    <s v="No Experiment"/>
    <s v="Control"/>
    <n v="4"/>
    <n v="4"/>
    <n v="100"/>
    <s v="No"/>
    <x v="0"/>
    <x v="1"/>
    <s v="No Error"/>
    <x v="0"/>
    <n v="76.77"/>
    <n v="0.56999999999999995"/>
    <n v="0.17"/>
    <s v="No Support Contact"/>
    <s v="No"/>
    <s v="No Support Contact"/>
    <s v="Not Applicable"/>
    <m/>
    <s v="No drop-off"/>
    <n v="4"/>
    <n v="65"/>
    <n v="14"/>
    <x v="1"/>
    <n v="1"/>
    <n v="1"/>
    <n v="0"/>
    <n v="1"/>
  </r>
  <r>
    <s v="NSF-001112"/>
    <s v="USR-00347"/>
    <s v="SES-2601-13655"/>
    <d v="2026-01-20T00:00:00"/>
    <s v="Northern Ireland"/>
    <s v="Newry"/>
    <x v="3"/>
    <s v="25-34"/>
    <s v="Male"/>
    <s v="Ios"/>
    <s v="Iphone"/>
    <s v="2+ years"/>
    <s v="Plus"/>
    <s v="Organic Search"/>
    <x v="0"/>
    <s v="Repeat Use"/>
    <s v="Contextual Help"/>
    <s v="Treatment"/>
    <n v="7"/>
    <n v="7"/>
    <n v="162"/>
    <s v="No"/>
    <x v="1"/>
    <x v="1"/>
    <s v="No Error"/>
    <x v="0"/>
    <n v="0"/>
    <n v="0"/>
    <n v="0.17"/>
    <s v="No Support Contact"/>
    <s v="No"/>
    <s v="No Support Contact"/>
    <s v="Not Applicable"/>
    <m/>
    <s v="Unexpected fee"/>
    <n v="4"/>
    <n v="-8"/>
    <s v="39 days"/>
    <x v="0"/>
    <n v="0"/>
    <n v="1"/>
    <n v="0"/>
    <n v="0"/>
  </r>
  <r>
    <s v="NSF-000968"/>
    <s v="USR-00337"/>
    <s v="SES-2511-62204"/>
    <d v="2025-11-24T00:00:00"/>
    <s v="East England"/>
    <s v="Ipswich"/>
    <x v="0"/>
    <s v="35-44"/>
    <s v="Male"/>
    <s v="Ios"/>
    <s v="Iphone"/>
    <s v="1-2 years"/>
    <s v="Free"/>
    <s v="App Store"/>
    <x v="7"/>
    <s v="First Use"/>
    <s v="Fee Transparency Panel"/>
    <s v="Treatment"/>
    <n v="4"/>
    <s v="many"/>
    <n v="72"/>
    <s v="No"/>
    <x v="0"/>
    <x v="1"/>
    <s v="No Error"/>
    <x v="0"/>
    <n v="33.74"/>
    <n v="0.43"/>
    <n v="0"/>
    <s v="No Support Contact"/>
    <s v="No"/>
    <s v="No Support Contact"/>
    <s v="Not Applicable"/>
    <m/>
    <s v="No drop-off"/>
    <n v="4"/>
    <n v="150"/>
    <n v="0"/>
    <x v="1"/>
    <n v="1"/>
    <n v="1"/>
    <n v="0"/>
    <n v="1"/>
  </r>
  <r>
    <s v="NSF-000321"/>
    <s v="USR-00252"/>
    <s v="SES-2504-88400"/>
    <d v="2025-04-03T00:00:00"/>
    <s v="London"/>
    <s v="Hackney"/>
    <x v="2"/>
    <s v="18-24"/>
    <s v="Female"/>
    <s v="Ios"/>
    <s v="Iphone"/>
    <s v="7-12 months"/>
    <s v="Plus"/>
    <s v="Direct"/>
    <x v="4"/>
    <s v="Reactivated"/>
    <s v="No Experiment"/>
    <s v="Control"/>
    <n v="6"/>
    <n v="5"/>
    <n v="224"/>
    <s v="Yes"/>
    <x v="0"/>
    <x v="1"/>
    <s v="No Error"/>
    <x v="1"/>
    <n v="0"/>
    <n v="0"/>
    <n v="0"/>
    <s v="No Support Contact"/>
    <s v="No"/>
    <s v="No Support Contact"/>
    <s v="Not Applicable"/>
    <m/>
    <s v="No drop-off"/>
    <n v="3"/>
    <n v="-30"/>
    <n v="23"/>
    <x v="0"/>
    <n v="1"/>
    <n v="0"/>
    <n v="0"/>
    <n v="0"/>
  </r>
  <r>
    <s v="NSF-000780"/>
    <s v="USR-00416"/>
    <s v="SES-2509-79692"/>
    <d v="2025-09-18T00:00:00"/>
    <s v="West Midlands"/>
    <s v="Solihull"/>
    <x v="3"/>
    <s v="25-34"/>
    <s v="Female"/>
    <s v="Ios"/>
    <s v="Iphone"/>
    <s v="1-2 years"/>
    <s v="Plus"/>
    <s v="Organic Search"/>
    <x v="4"/>
    <s v="Trial/Exploration"/>
    <s v="Fee Transparency Panel"/>
    <s v="Control"/>
    <n v="6"/>
    <n v="6"/>
    <n v="159"/>
    <s v="No"/>
    <x v="1"/>
    <x v="1"/>
    <s v="No Error"/>
    <x v="0"/>
    <n v="0"/>
    <n v="0"/>
    <n v="0.17"/>
    <s v="No Support Contact"/>
    <s v="No"/>
    <s v="No Support Contact"/>
    <s v="Not Applicable"/>
    <m/>
    <s v="No drop-off"/>
    <n v="3"/>
    <n v="-3"/>
    <n v="14"/>
    <x v="1"/>
    <n v="0"/>
    <n v="1"/>
    <n v="0"/>
    <n v="1"/>
  </r>
  <r>
    <s v="NSF-001006"/>
    <s v="USR-00163"/>
    <s v="SES-2512-59885"/>
    <d v="2025-12-11T00:00:00"/>
    <s v="South West"/>
    <s v="Bath"/>
    <x v="3"/>
    <s v="35-44"/>
    <s v="Female"/>
    <s v="Ios"/>
    <s v="Iphone"/>
    <s v="3-6 months"/>
    <s v="Plus"/>
    <s v="Employer Partnership"/>
    <x v="4"/>
    <s v="Repeat Use"/>
    <s v="No Experiment"/>
    <s v="Control"/>
    <n v="6"/>
    <n v="6"/>
    <n v="155"/>
    <s v="No"/>
    <x v="1"/>
    <x v="1"/>
    <s v="No Error"/>
    <x v="1"/>
    <n v="0"/>
    <n v="0"/>
    <n v="0"/>
    <s v="No Support Contact"/>
    <s v="No"/>
    <s v="No Support Contact"/>
    <s v="Not Applicable"/>
    <m/>
    <s v="No drop-off"/>
    <n v="2"/>
    <n v="29"/>
    <n v="49"/>
    <x v="0"/>
    <n v="0"/>
    <n v="0"/>
    <n v="0"/>
    <n v="0"/>
  </r>
  <r>
    <s v="NSF-000046"/>
    <s v="USR-00057"/>
    <s v="SES-2501-65306"/>
    <d v="2025-01-16T00:00:00"/>
    <s v="Yorkshire &amp; Humber"/>
    <s v="Leeds"/>
    <x v="0"/>
    <s v="18-24"/>
    <s v="Male"/>
    <s v="Android"/>
    <s v="Android Phone"/>
    <s v="2+ years"/>
    <s v="Premium"/>
    <s v="Referral"/>
    <x v="10"/>
    <s v="Repeat Use"/>
    <s v="Fee Transparency Panel"/>
    <s v="Control"/>
    <n v="9"/>
    <n v="9"/>
    <n v="212"/>
    <s v="No"/>
    <x v="0"/>
    <x v="1"/>
    <s v="No Error"/>
    <x v="1"/>
    <n v="0"/>
    <n v="0"/>
    <n v="0"/>
    <s v="No Support Contact"/>
    <s v="No"/>
    <s v="No Support Contact"/>
    <s v="Not Applicable"/>
    <m/>
    <s v="No drop-off"/>
    <n v="3"/>
    <n v="-27"/>
    <n v="35"/>
    <x v="0"/>
    <n v="1"/>
    <n v="0"/>
    <n v="0"/>
    <n v="0"/>
  </r>
  <r>
    <s v="NSF-000890"/>
    <s v="USR-00144"/>
    <s v="SES-2510-54841"/>
    <d v="2025-10-11T00:00:00"/>
    <s v="Yorkshire &amp; Humber"/>
    <s v="York"/>
    <x v="7"/>
    <s v="35-44"/>
    <s v="Female"/>
    <s v="Ios"/>
    <s v="Iphone"/>
    <s v="7-12 months"/>
    <s v="Plus"/>
    <s v="Paid Search"/>
    <x v="3"/>
    <s v="Repeat Use"/>
    <s v="No Experiment"/>
    <s v="Control"/>
    <n v="6"/>
    <n v="6"/>
    <n v="160"/>
    <s v="No"/>
    <x v="1"/>
    <x v="1"/>
    <s v="No Error"/>
    <x v="0"/>
    <n v="40.74"/>
    <n v="0.1"/>
    <n v="0.17"/>
    <s v="No Support Contact"/>
    <s v="No"/>
    <s v="No Support Contact"/>
    <s v="Not Applicable"/>
    <m/>
    <s v="No drop-off"/>
    <n v="3"/>
    <n v="27"/>
    <n v="17"/>
    <x v="1"/>
    <n v="0"/>
    <n v="1"/>
    <n v="0"/>
    <n v="1"/>
  </r>
  <r>
    <s v="NSF-001038"/>
    <s v="USR-00683"/>
    <s v="SES-2512-38995"/>
    <d v="2025-12-07T00:00:00"/>
    <s v="West Midlands"/>
    <s v="Solihull"/>
    <x v="3"/>
    <s v="18-24"/>
    <s v="Male"/>
    <s v="Ios"/>
    <s v="Iphone"/>
    <s v="1-2 years"/>
    <s v="Pro"/>
    <s v="Paid Social"/>
    <x v="4"/>
    <s v="Repeat Use"/>
    <s v="Simplified Onboarding"/>
    <s v="Control"/>
    <n v="6"/>
    <n v="5"/>
    <n v="247"/>
    <s v="Yes"/>
    <x v="1"/>
    <x v="1"/>
    <s v="No Error"/>
    <x v="1"/>
    <n v="0"/>
    <n v="0"/>
    <n v="0"/>
    <s v="No Support Contact"/>
    <s v="No"/>
    <s v="No Support Contact"/>
    <s v="Not Applicable"/>
    <m/>
    <s v="Instructions unclear"/>
    <n v="2"/>
    <n v="10"/>
    <n v="24"/>
    <x v="0"/>
    <n v="0"/>
    <n v="0"/>
    <n v="0"/>
    <n v="0"/>
  </r>
  <r>
    <s v="NSF-000493"/>
    <s v="USR-00596"/>
    <s v="SES-2506-28117"/>
    <d v="2025-06-20T00:00:00"/>
    <s v="Wales"/>
    <s v="Swansea"/>
    <x v="5"/>
    <s v="35-44"/>
    <s v="Female"/>
    <s v="Android"/>
    <s v="Android Phone"/>
    <s v="1-2 years"/>
    <s v="Plus"/>
    <s v="Employer Partnership"/>
    <x v="1"/>
    <s v="Repeat Use"/>
    <s v="No Experiment"/>
    <s v="Control"/>
    <n v="4"/>
    <s v="4 steps"/>
    <n v="111"/>
    <s v="No"/>
    <x v="0"/>
    <x v="1"/>
    <s v="No Error"/>
    <x v="0"/>
    <n v="82.73"/>
    <n v="0.23"/>
    <n v="0.17"/>
    <s v="No Support Contact"/>
    <s v="No"/>
    <s v="No Support Contact"/>
    <s v="Not Applicable"/>
    <m/>
    <s v="No drop-off"/>
    <n v="3"/>
    <n v="-12"/>
    <n v="16"/>
    <x v="0"/>
    <n v="1"/>
    <n v="1"/>
    <n v="0"/>
    <n v="0"/>
  </r>
  <r>
    <s v="NSF-000537"/>
    <s v="USR-00440"/>
    <s v="SES-2506-36202"/>
    <d v="2025-06-08T00:00:00"/>
    <s v="East Midlands"/>
    <s v="Nottingham"/>
    <x v="3"/>
    <s v="18-24"/>
    <s v="Male"/>
    <s v="Ios"/>
    <s v="Iphone"/>
    <s v="1-2 years"/>
    <s v="Free"/>
    <s v="Referral"/>
    <x v="1"/>
    <s v="Repeat Use"/>
    <s v="Fee Transparency Panel"/>
    <s v="Control"/>
    <n v="4"/>
    <n v="4"/>
    <n v="113"/>
    <s v="No"/>
    <x v="0"/>
    <x v="1"/>
    <s v="No Error"/>
    <x v="1"/>
    <n v="0"/>
    <n v="0"/>
    <n v="0"/>
    <s v="No Support Contact"/>
    <s v="No"/>
    <s v="No Support Contact"/>
    <s v="Not Applicable"/>
    <m/>
    <s v="No drop-off"/>
    <n v="5"/>
    <n v="30"/>
    <n v="1"/>
    <x v="1"/>
    <n v="1"/>
    <n v="0"/>
    <n v="0"/>
    <n v="1"/>
  </r>
  <r>
    <s v="NSF-000325"/>
    <s v="USR-00620"/>
    <s v="SES-2504-80444"/>
    <d v="2025-04-13T00:00:00"/>
    <s v="Yorkshire &amp; Humber"/>
    <s v="Hull"/>
    <x v="5"/>
    <s v="35-44"/>
    <s v="Female"/>
    <s v="Android"/>
    <s v="Android Phone"/>
    <s v="3-6 months"/>
    <s v="Plus"/>
    <s v="Paid Search"/>
    <x v="10"/>
    <s v="Repeat Use"/>
    <s v="No Experiment"/>
    <s v="Control"/>
    <n v="9"/>
    <n v="5"/>
    <n v="536"/>
    <s v="Yes"/>
    <x v="0"/>
    <x v="0"/>
    <s v="Terms Not Understood"/>
    <x v="0"/>
    <n v="146.69999999999999"/>
    <n v="2.6"/>
    <n v="0.17"/>
    <s v="No Support Contact"/>
    <s v="No"/>
    <s v="No Support Contact"/>
    <s v="Not Applicable"/>
    <m/>
    <s v="No drop-off"/>
    <n v="1"/>
    <n v="-52"/>
    <n v="28"/>
    <x v="0"/>
    <n v="1"/>
    <n v="1"/>
    <n v="1"/>
    <n v="0"/>
  </r>
  <r>
    <s v="NSF-001258"/>
    <s v="USR-00228"/>
    <s v="SES-2603-81036"/>
    <d v="2026-03-30T00:00:00"/>
    <s v="Northern Ireland"/>
    <s v="Lisburn"/>
    <x v="3"/>
    <s v="18-24"/>
    <s v="Female"/>
    <s v="Ios"/>
    <s v="Iphone"/>
    <s v="1-2 years"/>
    <s v="Basic"/>
    <s v="App Store"/>
    <x v="1"/>
    <s v="Repeat Use"/>
    <s v="No Experiment"/>
    <s v="Control"/>
    <s v="4 steps"/>
    <n v="4"/>
    <n v="88"/>
    <s v="No"/>
    <x v="1"/>
    <x v="1"/>
    <s v="No Error"/>
    <x v="1"/>
    <n v="0"/>
    <n v="0"/>
    <n v="0"/>
    <s v="No Support Contact"/>
    <s v="No"/>
    <s v="No Support Contact"/>
    <s v="Not Applicable"/>
    <m/>
    <s v="No drop-off"/>
    <n v="4"/>
    <n v="61"/>
    <s v="57 days"/>
    <x v="0"/>
    <n v="0"/>
    <n v="0"/>
    <n v="0"/>
    <n v="0"/>
  </r>
  <r>
    <s v="NSF-000864"/>
    <s v="USR-00488"/>
    <s v="SES-2510-97057"/>
    <d v="2025-10-15T00:00:00"/>
    <s v="South East"/>
    <s v="Brighton"/>
    <x v="0"/>
    <s v="25-34"/>
    <s v="Male"/>
    <s v="Ios"/>
    <s v="Iphone"/>
    <s v="1-2 years"/>
    <s v="Premium"/>
    <s v="Organic Search"/>
    <x v="1"/>
    <s v="Repeat Use"/>
    <s v="Fee Transparency Panel"/>
    <s v="Treatment"/>
    <n v="4"/>
    <s v="4 steps"/>
    <n v="119"/>
    <s v="No"/>
    <x v="0"/>
    <x v="1"/>
    <s v="No Error"/>
    <x v="0"/>
    <n v="160"/>
    <n v="0.22"/>
    <n v="0.37"/>
    <s v="Other"/>
    <s v="Yes"/>
    <s v="Other"/>
    <s v="Unresolved"/>
    <n v="17"/>
    <s v="No drop-off"/>
    <n v="4"/>
    <n v="68"/>
    <n v="28"/>
    <x v="1"/>
    <n v="1"/>
    <n v="1"/>
    <n v="0"/>
    <n v="1"/>
  </r>
  <r>
    <s v="NSF-001352"/>
    <s v="USR-00227"/>
    <s v="SES-2604-36309"/>
    <d v="2026-04-22T00:00:00"/>
    <s v="West Midlands"/>
    <s v="Birmingham"/>
    <x v="0"/>
    <s v="18-24"/>
    <s v="Female"/>
    <s v="Ios"/>
    <s v="Iphone"/>
    <s v="3-6 months"/>
    <s v="Free"/>
    <s v="Referral"/>
    <x v="3"/>
    <s v="Repeat Use"/>
    <s v="No Experiment"/>
    <s v="Control"/>
    <n v="6"/>
    <s v="6 steps"/>
    <n v="234"/>
    <s v="No"/>
    <x v="1"/>
    <x v="0"/>
    <s v="Contact Permission Denied"/>
    <x v="0"/>
    <n v="50.4"/>
    <n v="0.09"/>
    <n v="0"/>
    <s v="No Support Contact"/>
    <s v="No"/>
    <s v="No Support Contact"/>
    <s v="Not Applicable"/>
    <m/>
    <s v="Technical error"/>
    <n v="2"/>
    <n v="-34"/>
    <n v="38"/>
    <x v="0"/>
    <n v="0"/>
    <n v="1"/>
    <n v="1"/>
    <n v="0"/>
  </r>
  <r>
    <s v="NSF-000431"/>
    <s v="USR-00059"/>
    <s v="SES-2505-67226"/>
    <d v="2025-05-03T00:00:00"/>
    <s v="Wales"/>
    <s v="Cardiff"/>
    <x v="5"/>
    <s v="25-34"/>
    <s v="Female"/>
    <s v="Ios"/>
    <s v="Iphone"/>
    <s v="7-12 months"/>
    <s v="Premium"/>
    <s v="Paid Search"/>
    <x v="1"/>
    <s v="Repeat Use"/>
    <s v="No Experiment"/>
    <s v="Control"/>
    <n v="4"/>
    <n v="4"/>
    <n v="99"/>
    <s v="No"/>
    <x v="1"/>
    <x v="1"/>
    <s v="No Error"/>
    <x v="0"/>
    <n v="49.49"/>
    <n v="0.18"/>
    <n v="0.37"/>
    <s v="Transaction Failure"/>
    <s v="Yes"/>
    <s v="Transaction Failure"/>
    <s v="Unresolved"/>
    <n v="17"/>
    <s v="No drop-off"/>
    <n v="4"/>
    <n v="61"/>
    <n v="39"/>
    <x v="1"/>
    <n v="0"/>
    <n v="1"/>
    <n v="0"/>
    <n v="1"/>
  </r>
  <r>
    <s v="NSF-001120"/>
    <s v="USR-00199"/>
    <s v="SES-2601-78162"/>
    <d v="2026-01-17T00:00:00"/>
    <s v="Yorkshire &amp; Humber"/>
    <s v="York"/>
    <x v="0"/>
    <s v="35-44"/>
    <s v="Male"/>
    <s v="Ios"/>
    <s v="Iphone"/>
    <s v="1-2 years"/>
    <s v="Free"/>
    <s v="Referral"/>
    <x v="2"/>
    <s v="First Use"/>
    <s v="New Cta Copy"/>
    <s v="Treatment"/>
    <n v="5"/>
    <n v="5"/>
    <n v="132"/>
    <s v="No"/>
    <x v="0"/>
    <x v="1"/>
    <s v="No Error"/>
    <x v="0"/>
    <n v="52.21"/>
    <n v="0"/>
    <n v="0"/>
    <s v="No Support Contact"/>
    <s v="No"/>
    <s v="No Support Contact"/>
    <s v="Not Applicable"/>
    <m/>
    <s v="No drop-off"/>
    <n v="3"/>
    <n v="47"/>
    <s v="0 days"/>
    <x v="1"/>
    <n v="1"/>
    <n v="1"/>
    <n v="0"/>
    <n v="1"/>
  </r>
  <r>
    <s v="NSF-000309"/>
    <s v="USR-00585"/>
    <s v="SES-2504-17971"/>
    <d v="2025-04-22T00:00:00"/>
    <s v="Scotland"/>
    <s v="Glasgow"/>
    <x v="5"/>
    <s v="18-24"/>
    <s v="Female"/>
    <s v="Ios"/>
    <s v="Iphone"/>
    <s v="3-6 months"/>
    <s v="Plus"/>
    <s v="Paid Social"/>
    <x v="1"/>
    <s v="Repeat Use"/>
    <s v="Fee Transparency Panel"/>
    <s v="Control"/>
    <n v="4"/>
    <s v="4 steps"/>
    <n v="125"/>
    <s v="No"/>
    <x v="0"/>
    <x v="1"/>
    <s v="No Error"/>
    <x v="0"/>
    <n v="106.83"/>
    <n v="0.2"/>
    <n v="0.17"/>
    <s v="No Support Contact"/>
    <s v="No"/>
    <s v="No Support Contact"/>
    <s v="Not Applicable"/>
    <m/>
    <s v="No drop-off"/>
    <n v="4"/>
    <n v="38"/>
    <n v="65"/>
    <x v="1"/>
    <n v="1"/>
    <n v="1"/>
    <n v="0"/>
    <n v="1"/>
  </r>
  <r>
    <s v="NSF-000730"/>
    <s v="USR-00083"/>
    <s v="SES-2508-17532"/>
    <d v="2025-08-17T00:00:00"/>
    <s v="Wales"/>
    <s v="Newport"/>
    <x v="0"/>
    <s v="35-44"/>
    <s v="Female"/>
    <s v="Ios"/>
    <s v="Iphone"/>
    <s v="3-6 months"/>
    <s v="Free"/>
    <s v="Affiliate"/>
    <x v="8"/>
    <s v="Repeat Use"/>
    <s v="Progress Indicator"/>
    <s v="Control"/>
    <n v="5"/>
    <n v="4"/>
    <n v="193"/>
    <s v="Yes"/>
    <x v="0"/>
    <x v="1"/>
    <s v="No Error"/>
    <x v="0"/>
    <n v="95.31"/>
    <n v="0"/>
    <n v="0"/>
    <s v="Account Verification"/>
    <s v="Yes"/>
    <s v="Account Verification"/>
    <s v="Resolved"/>
    <n v="41"/>
    <s v="No drop-off"/>
    <n v="4"/>
    <n v="33"/>
    <s v="33 days"/>
    <x v="1"/>
    <n v="1"/>
    <n v="1"/>
    <n v="0"/>
    <n v="1"/>
  </r>
  <r>
    <s v="NSF-000954"/>
    <s v="USR-00660"/>
    <s v="SES-2511-47478"/>
    <d v="2025-11-08T00:00:00"/>
    <s v="East Midlands"/>
    <s v="Nottingham"/>
    <x v="0"/>
    <s v="25-34"/>
    <s v="Male"/>
    <s v="Ios"/>
    <s v="Iphone"/>
    <s v="&lt;3 months"/>
    <s v="Premium"/>
    <s v="App Store"/>
    <x v="0"/>
    <s v="Repeat Use"/>
    <s v="Simplified Onboarding"/>
    <s v="Treatment"/>
    <n v="7"/>
    <n v="7"/>
    <n v="167"/>
    <s v="No"/>
    <x v="0"/>
    <x v="1"/>
    <s v="No Error"/>
    <x v="1"/>
    <n v="0"/>
    <n v="0"/>
    <n v="0"/>
    <s v="No Support Contact"/>
    <s v="No"/>
    <s v="No Support Contact"/>
    <s v="Not Applicable"/>
    <m/>
    <s v="No drop-off"/>
    <n v="4"/>
    <n v="38"/>
    <n v="9"/>
    <x v="0"/>
    <n v="1"/>
    <n v="0"/>
    <n v="0"/>
    <n v="0"/>
  </r>
  <r>
    <s v="NSF-000792"/>
    <s v="USR-00771"/>
    <s v="SES-2509-95871"/>
    <d v="2025-09-21T00:00:00"/>
    <s v="West Midlands"/>
    <s v="Wolverhampton"/>
    <x v="1"/>
    <s v="25-34"/>
    <s v="Male"/>
    <s v="Android"/>
    <s v="Android Phone"/>
    <s v="1-2 years"/>
    <s v="Free"/>
    <s v="Affiliate"/>
    <x v="10"/>
    <s v="Repeat Use"/>
    <s v="No Experiment"/>
    <s v="Control"/>
    <n v="9"/>
    <n v="9"/>
    <n v="223"/>
    <s v="No"/>
    <x v="0"/>
    <x v="0"/>
    <s v="Eligibility Unclear"/>
    <x v="1"/>
    <n v="0"/>
    <n v="0"/>
    <n v="0"/>
    <s v="No Support Contact"/>
    <s v="No"/>
    <s v="No Support Contact"/>
    <s v="Not Applicable"/>
    <m/>
    <s v="No drop-off"/>
    <n v="2"/>
    <n v="-24"/>
    <n v="12"/>
    <x v="0"/>
    <n v="1"/>
    <n v="0"/>
    <n v="1"/>
    <n v="0"/>
  </r>
  <r>
    <s v="NSF-001399"/>
    <s v="USR-00405"/>
    <s v="SES-2605-75240"/>
    <d v="2026-05-04T00:00:00"/>
    <s v="Scotland"/>
    <s v="Dundee"/>
    <x v="3"/>
    <s v="18-24"/>
    <s v="Female"/>
    <s v="Ios"/>
    <s v="Iphone"/>
    <s v="7-12 months"/>
    <s v="Plus"/>
    <s v="Organic Search"/>
    <x v="2"/>
    <s v="Trial/Exploration"/>
    <s v="Simplified Onboarding"/>
    <s v="Treatment"/>
    <n v="5"/>
    <n v="4"/>
    <n v="182"/>
    <s v="Yes"/>
    <x v="0"/>
    <x v="1"/>
    <s v="No Error"/>
    <x v="2"/>
    <n v="126.89"/>
    <n v="0"/>
    <n v="0.17"/>
    <s v="No Support Contact"/>
    <s v="Unknown"/>
    <s v="No Support Contact"/>
    <s v="Not Applicable"/>
    <m/>
    <s v="No drop-off"/>
    <n v="4"/>
    <n v="22"/>
    <n v="43"/>
    <x v="0"/>
    <n v="1"/>
    <n v="0"/>
    <n v="0"/>
    <n v="0"/>
  </r>
  <r>
    <s v="NSF-000521"/>
    <s v="USR-00536"/>
    <s v="SES-2506-88714"/>
    <d v="2025-09-06T00:00:00"/>
    <s v="Yorkshire &amp; Humber"/>
    <s v="Sheffield"/>
    <x v="0"/>
    <s v="25-34"/>
    <s v="Male"/>
    <s v="Ios"/>
    <s v="Iphone"/>
    <s v="1-2 years"/>
    <s v="Free"/>
    <s v="Direct"/>
    <x v="7"/>
    <s v="Repeat Use"/>
    <s v="No Experiment"/>
    <s v="Control"/>
    <n v="4"/>
    <n v="4"/>
    <n v="126"/>
    <s v="No"/>
    <x v="0"/>
    <x v="1"/>
    <s v="No Error"/>
    <x v="0"/>
    <n v="68.62"/>
    <n v="0.46"/>
    <n v="0"/>
    <s v="No Support Contact"/>
    <s v="No"/>
    <s v="No Support Contact"/>
    <s v="Not Applicable"/>
    <m/>
    <s v="No drop-off"/>
    <n v="3"/>
    <n v="-16"/>
    <n v="34"/>
    <x v="1"/>
    <n v="1"/>
    <n v="1"/>
    <n v="0"/>
    <n v="1"/>
  </r>
  <r>
    <s v="NSF-000555"/>
    <s v="USR-00822"/>
    <s v="SES-2506-54354"/>
    <d v="2025-06-10T00:00:00"/>
    <s v="London"/>
    <s v="Camden"/>
    <x v="2"/>
    <s v="35-44"/>
    <s v="Male"/>
    <s v="Android"/>
    <s v="Android Phone"/>
    <s v="2+ years"/>
    <s v="Free"/>
    <s v="Employer Partnership"/>
    <x v="4"/>
    <s v="Repeat Use"/>
    <s v="Fee Transparency Panel"/>
    <s v="Treatment"/>
    <n v="6"/>
    <n v="6"/>
    <n v="132"/>
    <s v="No"/>
    <x v="0"/>
    <x v="1"/>
    <s v="No Error"/>
    <x v="0"/>
    <n v="3.98"/>
    <n v="0"/>
    <n v="0"/>
    <s v="No Support Contact"/>
    <s v="No"/>
    <s v="No Support Contact"/>
    <s v="Not Applicable"/>
    <m/>
    <s v="No drop-off"/>
    <n v="3"/>
    <n v="12"/>
    <n v="1"/>
    <x v="0"/>
    <n v="1"/>
    <n v="1"/>
    <n v="0"/>
    <n v="0"/>
  </r>
  <r>
    <s v="NSF-000933"/>
    <s v="USR-00582"/>
    <s v="SES-2511-20648"/>
    <d v="2025-11-22T00:00:00"/>
    <s v="Scotland"/>
    <s v="Aberdeen"/>
    <x v="3"/>
    <s v="25-34"/>
    <s v="Male"/>
    <s v="Android"/>
    <s v="Android Phone"/>
    <s v="1-2 years"/>
    <s v="Free"/>
    <s v="Organic Search"/>
    <x v="8"/>
    <s v="Repeat Use"/>
    <s v="Progress Indicator"/>
    <s v="Control"/>
    <n v="5"/>
    <s v="5 steps"/>
    <n v="110"/>
    <s v="No"/>
    <x v="0"/>
    <x v="1"/>
    <s v="No Error"/>
    <x v="0"/>
    <n v="0"/>
    <n v="0"/>
    <n v="0"/>
    <s v="No Support Contact"/>
    <s v="No"/>
    <s v="No Support Contact"/>
    <s v="Not Applicable"/>
    <m/>
    <s v="No drop-off"/>
    <n v="4"/>
    <n v="54"/>
    <n v="28"/>
    <x v="1"/>
    <n v="1"/>
    <n v="1"/>
    <n v="0"/>
    <n v="1"/>
  </r>
  <r>
    <s v="NSF-000644"/>
    <s v="USR-00503"/>
    <s v="SES-2507-32711"/>
    <d v="2025-07-22T00:00:00"/>
    <s v="East Midlands"/>
    <s v="Lincoln"/>
    <x v="5"/>
    <s v="35-44"/>
    <s v="Male"/>
    <s v="Android"/>
    <s v="Android Phone"/>
    <s v="1-2 years"/>
    <s v="Plus"/>
    <s v="App Store"/>
    <x v="2"/>
    <s v="Repeat Use"/>
    <s v="No Experiment"/>
    <s v="Control"/>
    <n v="5"/>
    <n v="5"/>
    <n v="133"/>
    <s v="No"/>
    <x v="0"/>
    <x v="1"/>
    <s v="No Error"/>
    <x v="0"/>
    <n v="72.180000000000007"/>
    <n v="0"/>
    <n v="0.17"/>
    <s v="No Support Contact"/>
    <s v="No"/>
    <s v="No Support Contact"/>
    <s v="Not Applicable"/>
    <m/>
    <s v="No drop-off"/>
    <n v="5"/>
    <n v="30"/>
    <n v="35"/>
    <x v="1"/>
    <n v="1"/>
    <n v="1"/>
    <n v="0"/>
    <n v="1"/>
  </r>
  <r>
    <s v="NSF-000538"/>
    <s v="USR-00075"/>
    <s v="SES-2506-67959"/>
    <d v="2025-06-22T00:00:00"/>
    <s v="Wales"/>
    <s v="Newport"/>
    <x v="5"/>
    <s v="25-34"/>
    <s v="Female"/>
    <s v="Android"/>
    <s v="Android Phone"/>
    <s v="3-6 months"/>
    <s v="Free"/>
    <s v="App Store"/>
    <x v="0"/>
    <s v="Repeat Use"/>
    <s v="Progress Indicator"/>
    <s v="Treatment"/>
    <n v="7"/>
    <n v="7"/>
    <n v="306"/>
    <s v="No"/>
    <x v="1"/>
    <x v="0"/>
    <s v="Bank Feed Mismatch"/>
    <x v="1"/>
    <n v="0"/>
    <n v="0"/>
    <n v="0"/>
    <s v="No Support Contact"/>
    <s v="No"/>
    <s v="No Support Contact"/>
    <s v="Not Applicable"/>
    <m/>
    <s v="Technical error"/>
    <n v="4"/>
    <n v="-13"/>
    <n v="27"/>
    <x v="0"/>
    <n v="0"/>
    <n v="0"/>
    <n v="1"/>
    <n v="0"/>
  </r>
  <r>
    <s v="NSF-000719"/>
    <s v="USR-00481"/>
    <s v="SES-2508-73618"/>
    <d v="2025-08-27T00:00:00"/>
    <s v="North East"/>
    <s v="Middlesbrough"/>
    <x v="0"/>
    <s v="25-34"/>
    <s v="Female"/>
    <s v="Ios"/>
    <s v="Iphone"/>
    <s v="3-6 months"/>
    <s v="Free"/>
    <s v="Referral"/>
    <x v="2"/>
    <s v="Repeat Use"/>
    <s v="Fee Transparency Panel"/>
    <s v="Control"/>
    <n v="5"/>
    <n v="5"/>
    <n v="119"/>
    <s v="No"/>
    <x v="0"/>
    <x v="1"/>
    <s v="No Error"/>
    <x v="0"/>
    <n v="75.56"/>
    <n v="0"/>
    <n v="0"/>
    <s v="No Support Contact"/>
    <s v="No"/>
    <s v="No Support Contact"/>
    <s v="Not Applicable"/>
    <m/>
    <s v="No drop-off"/>
    <n v="4"/>
    <n v="22"/>
    <n v="33"/>
    <x v="1"/>
    <n v="1"/>
    <n v="1"/>
    <n v="0"/>
    <n v="1"/>
  </r>
  <r>
    <s v="NSF-000497"/>
    <s v="USR-00704"/>
    <s v="SES-2506-97815"/>
    <d v="2025-06-21T00:00:00"/>
    <s v="East England"/>
    <s v="Cambridge"/>
    <x v="5"/>
    <s v="25-34"/>
    <s v="Male"/>
    <s v="Android"/>
    <s v="Android Phone"/>
    <s v="2+ years"/>
    <s v="Premium"/>
    <s v="Referral"/>
    <x v="1"/>
    <s v="First Use"/>
    <s v="No Experiment"/>
    <s v="Control"/>
    <n v="4"/>
    <n v="4"/>
    <n v="80"/>
    <s v="No"/>
    <x v="0"/>
    <x v="1"/>
    <s v="No Error"/>
    <x v="0"/>
    <n v="69.11"/>
    <n v="0.18"/>
    <n v="0.37"/>
    <s v="No Support Contact"/>
    <s v="No"/>
    <s v="No Support Contact"/>
    <s v="Not Applicable"/>
    <m/>
    <s v="No drop-off"/>
    <n v="5"/>
    <n v="19"/>
    <n v="0"/>
    <x v="1"/>
    <n v="1"/>
    <n v="1"/>
    <n v="0"/>
    <n v="1"/>
  </r>
  <r>
    <s v="NSF-000438"/>
    <s v="USR-00412"/>
    <s v="SES-2505-67231"/>
    <d v="2025-05-18T00:00:00"/>
    <s v="Wales"/>
    <s v="Wrexham"/>
    <x v="0"/>
    <s v="45-54"/>
    <s v="Female"/>
    <s v="Android"/>
    <s v="Android Phone"/>
    <s v="7-12 months"/>
    <s v="Free"/>
    <s v="Referral"/>
    <x v="3"/>
    <s v="Repeat Use"/>
    <s v="No Experiment"/>
    <s v="Control"/>
    <n v="6"/>
    <n v="6"/>
    <n v="130"/>
    <s v="No"/>
    <x v="0"/>
    <x v="1"/>
    <s v="No Error"/>
    <x v="0"/>
    <n v="0"/>
    <n v="0.11"/>
    <n v="0"/>
    <s v="No Support Contact"/>
    <s v="No"/>
    <s v="No Support Contact"/>
    <s v="Not Applicable"/>
    <m/>
    <s v="No drop-off"/>
    <n v="4"/>
    <n v="3"/>
    <n v="24"/>
    <x v="1"/>
    <n v="1"/>
    <n v="1"/>
    <n v="0"/>
    <n v="1"/>
  </r>
  <r>
    <s v="NSF-000331"/>
    <s v="USR-00706"/>
    <s v="SES-2504-14805"/>
    <d v="2025-04-25T00:00:00"/>
    <s v="West Midlands"/>
    <s v="Birmingham"/>
    <x v="2"/>
    <s v="25-34"/>
    <s v="Female"/>
    <s v="Web"/>
    <s v="Desktop"/>
    <s v="2+ years"/>
    <s v="Free"/>
    <s v="Organic Search"/>
    <x v="7"/>
    <s v="Repeat Use"/>
    <s v="Progress Indicator"/>
    <s v="Control"/>
    <n v="4"/>
    <n v="4"/>
    <n v="96"/>
    <s v="Unknown"/>
    <x v="0"/>
    <x v="1"/>
    <s v="No Error"/>
    <x v="0"/>
    <n v="144.30000000000001"/>
    <n v="0.44"/>
    <n v="0"/>
    <s v="Transaction Failure"/>
    <s v="Yes"/>
    <s v="Transaction Failure"/>
    <s v="Resolved"/>
    <m/>
    <s v="No drop-off"/>
    <n v="5"/>
    <n v="23"/>
    <n v="1"/>
    <x v="1"/>
    <n v="1"/>
    <n v="1"/>
    <n v="0"/>
    <n v="1"/>
  </r>
  <r>
    <s v="NSF-001014"/>
    <s v="USR-00523"/>
    <s v="SES-2512-26724"/>
    <d v="2025-12-29T00:00:00"/>
    <s v="Yorkshire &amp; Humber"/>
    <s v="York"/>
    <x v="0"/>
    <s v="45-54"/>
    <s v="Male"/>
    <s v="Ios"/>
    <s v="Iphone"/>
    <s v="2+ years"/>
    <s v="Free"/>
    <s v="Referral"/>
    <x v="0"/>
    <s v="Trial/Exploration"/>
    <s v="No Experiment"/>
    <s v="Control"/>
    <n v="7"/>
    <n v="7"/>
    <n v="162"/>
    <s v="No"/>
    <x v="1"/>
    <x v="1"/>
    <s v="No Error"/>
    <x v="1"/>
    <n v="0"/>
    <n v="0"/>
    <n v="0"/>
    <s v="No Support Contact"/>
    <s v="No"/>
    <s v="No Support Contact"/>
    <s v="Not Applicable"/>
    <m/>
    <s v="No drop-off"/>
    <n v="3"/>
    <n v="-17"/>
    <s v="32 days"/>
    <x v="0"/>
    <n v="0"/>
    <n v="0"/>
    <n v="0"/>
    <n v="0"/>
  </r>
  <r>
    <s v="NSF-000349"/>
    <s v="USR-00482"/>
    <s v="SES-2504-63494"/>
    <d v="2025-04-21T00:00:00"/>
    <s v="London"/>
    <s v="Hackney"/>
    <x v="3"/>
    <s v="18-24"/>
    <s v="Male"/>
    <s v="Ios"/>
    <s v="Iphone"/>
    <s v="&lt;3 months"/>
    <s v="Free"/>
    <s v="Direct"/>
    <x v="4"/>
    <s v="Repeat Use"/>
    <s v="Simplified Onboarding"/>
    <s v="Control"/>
    <n v="6"/>
    <n v="4"/>
    <n v="188"/>
    <s v="Yes"/>
    <x v="0"/>
    <x v="1"/>
    <s v="No Error"/>
    <x v="0"/>
    <n v="80.17"/>
    <n v="0"/>
    <n v="0"/>
    <s v="No Support Contact"/>
    <s v="No"/>
    <s v="No Support Contact"/>
    <s v="Not Applicable"/>
    <m/>
    <s v="No drop-off"/>
    <n v="1"/>
    <n v="-10"/>
    <n v="31"/>
    <x v="0"/>
    <n v="1"/>
    <n v="1"/>
    <n v="0"/>
    <n v="0"/>
  </r>
  <r>
    <s v="NSF-000744"/>
    <s v="USR-00460"/>
    <s v="SES-2508-13315"/>
    <d v="2025-08-23T00:00:00"/>
    <s v="East Midlands"/>
    <s v="Nottingham"/>
    <x v="1"/>
    <s v="25-34"/>
    <s v="Male"/>
    <s v="Ios"/>
    <s v="Iphone"/>
    <s v="2+ years"/>
    <s v="Plus"/>
    <s v="Paid Social"/>
    <x v="0"/>
    <s v="Repeat Use"/>
    <s v="No Experiment"/>
    <s v="Control"/>
    <n v="7"/>
    <n v="7"/>
    <n v="128"/>
    <s v="No"/>
    <x v="1"/>
    <x v="1"/>
    <s v="No Error"/>
    <x v="1"/>
    <n v="0"/>
    <n v="0"/>
    <n v="0"/>
    <s v="No Support Contact"/>
    <s v="No"/>
    <s v="No Support Contact"/>
    <s v="Not Applicable"/>
    <m/>
    <s v="Too many steps"/>
    <n v="3"/>
    <n v="23"/>
    <n v="64"/>
    <x v="0"/>
    <n v="0"/>
    <n v="0"/>
    <n v="0"/>
    <n v="0"/>
  </r>
  <r>
    <s v="NSF-001147"/>
    <s v="USR-00812"/>
    <s v="SES-2602-95913"/>
    <d v="2026-02-17T00:00:00"/>
    <s v="North West"/>
    <s v="Liverpool"/>
    <x v="1"/>
    <s v="18-24"/>
    <s v="Female"/>
    <s v="Ios"/>
    <s v="Iphone"/>
    <s v="2+ years"/>
    <s v="Free"/>
    <s v="Paid Search"/>
    <x v="4"/>
    <s v="Repeat Use"/>
    <s v="No Experiment"/>
    <s v="Control"/>
    <n v="99"/>
    <s v="6 steps"/>
    <n v="9999"/>
    <s v="No"/>
    <x v="0"/>
    <x v="1"/>
    <s v="No Error"/>
    <x v="0"/>
    <n v="42.04"/>
    <n v="0"/>
    <n v="0"/>
    <s v="No Support Contact"/>
    <s v="No"/>
    <s v="No Support Contact"/>
    <s v="Not Applicable"/>
    <m/>
    <s v="No drop-off"/>
    <n v="4"/>
    <n v="-21"/>
    <n v="29"/>
    <x v="1"/>
    <n v="1"/>
    <n v="1"/>
    <n v="0"/>
    <n v="1"/>
  </r>
  <r>
    <s v="NSF-001221"/>
    <s v="USR-00544"/>
    <s v="SES-2603-13702"/>
    <d v="2026-03-04T00:00:00"/>
    <s v="North East"/>
    <s v="Sunderland"/>
    <x v="4"/>
    <s v="35-44"/>
    <s v="Female"/>
    <s v="Ios"/>
    <s v="Iphone"/>
    <s v="3-6 months"/>
    <s v="Free"/>
    <s v="Direct"/>
    <x v="0"/>
    <s v="Repeat Use"/>
    <s v="New Cta Copy"/>
    <s v="Treatment"/>
    <n v="7"/>
    <n v="7"/>
    <n v="221"/>
    <s v="No"/>
    <x v="0"/>
    <x v="1"/>
    <s v="No Error"/>
    <x v="1"/>
    <n v="0"/>
    <n v="0"/>
    <n v="0"/>
    <s v="No Support Contact"/>
    <s v="No"/>
    <s v="No Support Contact"/>
    <s v="Not Applicable"/>
    <m/>
    <s v="No drop-off"/>
    <n v="4"/>
    <n v="9"/>
    <n v="73"/>
    <x v="1"/>
    <n v="1"/>
    <n v="0"/>
    <n v="0"/>
    <n v="1"/>
  </r>
  <r>
    <s v="NSF-000338"/>
    <s v="USR-00182"/>
    <s v="SES-2504-57100"/>
    <d v="2025-04-29T00:00:00"/>
    <s v="Wales"/>
    <s v="Cardiff"/>
    <x v="3"/>
    <s v="18-24"/>
    <s v="Female"/>
    <s v="Web"/>
    <s v="Mobile Browser"/>
    <s v="3-6 months"/>
    <s v="Basic"/>
    <s v="App Store"/>
    <x v="9"/>
    <s v="First Use"/>
    <s v="Contextual Help"/>
    <s v="Treatment"/>
    <n v="5"/>
    <n v="4"/>
    <n v="122"/>
    <s v="Yes"/>
    <x v="0"/>
    <x v="1"/>
    <s v="No Error"/>
    <x v="0"/>
    <n v="96.81"/>
    <n v="0"/>
    <n v="0"/>
    <s v="No Support Contact"/>
    <s v="No"/>
    <s v="No Support Contact"/>
    <s v="Not Applicable"/>
    <m/>
    <s v="No drop-off"/>
    <n v="5"/>
    <n v="18"/>
    <n v="0"/>
    <x v="1"/>
    <n v="1"/>
    <n v="1"/>
    <n v="0"/>
    <n v="1"/>
  </r>
  <r>
    <s v="NSF-001037"/>
    <s v="USR-00406"/>
    <s v="SES-2512-83239"/>
    <d v="2025-12-24T00:00:00"/>
    <s v="East Midlands"/>
    <s v="Derby"/>
    <x v="1"/>
    <s v="45-54"/>
    <s v="Male"/>
    <s v="Ios"/>
    <s v="Iphone"/>
    <s v="2+ years"/>
    <s v="Free"/>
    <s v="Direct"/>
    <x v="2"/>
    <s v="Repeat Use"/>
    <s v="No Experiment"/>
    <s v="Control"/>
    <n v="5"/>
    <s v="4 steps"/>
    <n v="200"/>
    <s v="Yes"/>
    <x v="0"/>
    <x v="0"/>
    <s v="Funding Source Unclear"/>
    <x v="0"/>
    <n v="85.96"/>
    <n v="0"/>
    <n v="0"/>
    <s v="No Support Contact"/>
    <s v="No"/>
    <s v="No Support Contact"/>
    <s v="Not Applicable"/>
    <m/>
    <s v="No drop-off"/>
    <n v="4"/>
    <n v="-47"/>
    <n v="55"/>
    <x v="1"/>
    <n v="1"/>
    <n v="1"/>
    <n v="1"/>
    <n v="1"/>
  </r>
  <r>
    <s v="NSF-000539"/>
    <s v="USR-00376"/>
    <s v="SES-2506-96322"/>
    <d v="2025-06-30T00:00:00"/>
    <s v="North East"/>
    <s v="Middlesbrough"/>
    <x v="1"/>
    <s v="18-24"/>
    <s v="Male"/>
    <s v="Android"/>
    <s v="Android Phone"/>
    <s v="3-6 months"/>
    <s v="Premium"/>
    <s v="Paid Social"/>
    <x v="1"/>
    <s v="First Use"/>
    <s v="Simplified Onboarding"/>
    <s v="Control"/>
    <n v="4"/>
    <n v="4"/>
    <n v="87"/>
    <s v="No"/>
    <x v="0"/>
    <x v="1"/>
    <s v="No Error"/>
    <x v="1"/>
    <n v="0"/>
    <n v="0"/>
    <n v="0"/>
    <s v="No Support Contact"/>
    <s v="No"/>
    <s v="No Support Contact"/>
    <s v="Not Applicable"/>
    <m/>
    <s v="No drop-off"/>
    <n v="5"/>
    <n v="45"/>
    <n v="0"/>
    <x v="1"/>
    <n v="1"/>
    <n v="0"/>
    <n v="0"/>
    <n v="1"/>
  </r>
  <r>
    <s v="NSF-000464"/>
    <s v="USR-00215"/>
    <s v="SES-2505-28363"/>
    <d v="2025-05-29T00:00:00"/>
    <s v="Yorkshire &amp; Humber"/>
    <s v="Sheffield"/>
    <x v="3"/>
    <s v="35-44"/>
    <s v="Male"/>
    <s v="Web"/>
    <s v="Mobile Browser"/>
    <s v="&lt;3 months"/>
    <s v="Free"/>
    <s v="App Store"/>
    <x v="1"/>
    <s v="Repeat Use"/>
    <s v="Contextual Help"/>
    <s v="Treatment"/>
    <n v="4"/>
    <n v="4"/>
    <n v="111"/>
    <s v="No"/>
    <x v="0"/>
    <x v="1"/>
    <s v="No Error"/>
    <x v="0"/>
    <n v="157.56"/>
    <n v="0.18"/>
    <n v="0"/>
    <s v="No Support Contact"/>
    <s v="No"/>
    <s v="No Support Contact"/>
    <s v="Not Applicable"/>
    <m/>
    <s v="No drop-off"/>
    <n v="3"/>
    <n v="29"/>
    <n v="40"/>
    <x v="1"/>
    <n v="1"/>
    <n v="1"/>
    <n v="0"/>
    <n v="1"/>
  </r>
  <r>
    <s v="NSF-000501"/>
    <s v="USR-00193"/>
    <s v="SES-2506-55565"/>
    <d v="2025-06-04T00:00:00"/>
    <s v="West Midlands"/>
    <s v="Coventry"/>
    <x v="2"/>
    <s v="25-34"/>
    <s v="Male"/>
    <s v="Android"/>
    <s v="Android Phone"/>
    <s v="&lt;3 months"/>
    <s v="Free"/>
    <s v="App Store"/>
    <x v="1"/>
    <s v="Repeat Use"/>
    <s v="Fee Transparency Panel"/>
    <s v="Treatment"/>
    <n v="4"/>
    <n v="2"/>
    <n v="322"/>
    <s v="Yes"/>
    <x v="0"/>
    <x v="0"/>
    <s v="Transfer Pending"/>
    <x v="0"/>
    <n v="147.96"/>
    <n v="0.19"/>
    <n v="0"/>
    <s v="Account Verification"/>
    <s v="Yes"/>
    <s v="Account Verification"/>
    <s v="Resolved"/>
    <n v="25"/>
    <s v="No drop-off"/>
    <n v="4"/>
    <n v="4"/>
    <n v="66"/>
    <x v="1"/>
    <n v="1"/>
    <n v="1"/>
    <n v="1"/>
    <n v="1"/>
  </r>
  <r>
    <s v="NSF-000242"/>
    <s v="USR-00317"/>
    <s v="SES-2503-25934"/>
    <d v="2025-03-16T00:00:00"/>
    <s v="North East"/>
    <s v="Middlesbrough"/>
    <x v="0"/>
    <s v="45-54"/>
    <s v="Male"/>
    <s v="Android"/>
    <s v="Android Phone"/>
    <s v="7-12 months"/>
    <s v="Free"/>
    <s v="Paid Search"/>
    <x v="7"/>
    <s v="Repeat Use"/>
    <s v="Contextual Help"/>
    <s v="Treatment"/>
    <n v="4"/>
    <n v="4"/>
    <n v="101"/>
    <s v="No"/>
    <x v="0"/>
    <x v="1"/>
    <s v="No Error"/>
    <x v="0"/>
    <n v="113.81"/>
    <n v="0.51"/>
    <n v="0"/>
    <s v="No Support Contact"/>
    <s v="No"/>
    <s v="No Support Contact"/>
    <s v="Not Applicable"/>
    <m/>
    <s v="No drop-off"/>
    <n v="4"/>
    <n v="45"/>
    <n v="17"/>
    <x v="0"/>
    <n v="1"/>
    <n v="1"/>
    <n v="0"/>
    <n v="0"/>
  </r>
  <r>
    <s v="NSF-001271"/>
    <s v="USR-00628"/>
    <s v="SES-2603-77326"/>
    <d v="2026-03-26T00:00:00"/>
    <s v="Scotland"/>
    <s v="Dundee"/>
    <x v="7"/>
    <s v="25-34"/>
    <s v="Female"/>
    <s v="Android"/>
    <s v="Android Phone"/>
    <s v="3-6 months"/>
    <s v="Free"/>
    <s v="Paid Social"/>
    <x v="3"/>
    <s v="Repeat Use"/>
    <s v="No Experiment"/>
    <s v="Control"/>
    <n v="6"/>
    <n v="3"/>
    <n v="410"/>
    <s v="Yes"/>
    <x v="0"/>
    <x v="0"/>
    <s v="Friend Not Found"/>
    <x v="2"/>
    <n v="0"/>
    <n v="0"/>
    <n v="0"/>
    <s v="No Support Contact"/>
    <s v="No"/>
    <s v="No Support Contact"/>
    <s v="Not Applicable"/>
    <m/>
    <s v="No drop-off"/>
    <n v="2"/>
    <n v="-64"/>
    <n v="38"/>
    <x v="2"/>
    <n v="1"/>
    <n v="0"/>
    <n v="1"/>
    <n v="0"/>
  </r>
  <r>
    <s v="NSF-000420"/>
    <s v="USR-00038"/>
    <s v="SES-2505-36330"/>
    <d v="2025-05-13T00:00:00"/>
    <s v="North East"/>
    <s v="Sunderland"/>
    <x v="1"/>
    <s v="35-44"/>
    <s v="Male"/>
    <s v="Android"/>
    <s v="Android Phone"/>
    <s v="2+ years"/>
    <s v="Plus"/>
    <s v="Organic Search"/>
    <x v="8"/>
    <s v="Trial/Exploration"/>
    <s v="New Cta Copy"/>
    <s v="Treatment"/>
    <n v="5"/>
    <n v="5"/>
    <n v="187"/>
    <s v="No"/>
    <x v="1"/>
    <x v="0"/>
    <s v="Reward Not Tracked"/>
    <x v="1"/>
    <n v="0"/>
    <n v="0"/>
    <n v="0"/>
    <s v="No Support Contact"/>
    <s v="No"/>
    <s v="No Support Contact"/>
    <s v="Not Applicable"/>
    <m/>
    <s v="Technical error"/>
    <n v="3"/>
    <n v="-18"/>
    <n v="33"/>
    <x v="0"/>
    <n v="0"/>
    <n v="0"/>
    <n v="1"/>
    <n v="0"/>
  </r>
  <r>
    <s v="NSF-000819"/>
    <s v="USR-00458"/>
    <s v="SES-2509-31832"/>
    <d v="2025-09-18T00:00:00"/>
    <s v="South West"/>
    <s v="Bath"/>
    <x v="5"/>
    <s v="45-54"/>
    <s v="Female"/>
    <s v="Web"/>
    <s v="Desktop"/>
    <s v="3-6 months"/>
    <s v="Plus"/>
    <s v="Direct"/>
    <x v="9"/>
    <s v="Repeat Use"/>
    <s v="Simplified Onboarding"/>
    <s v="Treatment"/>
    <n v="5"/>
    <n v="5"/>
    <n v="114"/>
    <s v="No"/>
    <x v="1"/>
    <x v="1"/>
    <s v="No Error"/>
    <x v="0"/>
    <n v="58.27"/>
    <n v="0"/>
    <n v="0.17"/>
    <s v="Fees And Pricing"/>
    <s v="Yes"/>
    <s v="Fees And Pricing"/>
    <s v="Unresolved"/>
    <n v="21"/>
    <s v="No drop-off"/>
    <n v="3"/>
    <n v="33"/>
    <n v="42"/>
    <x v="0"/>
    <n v="0"/>
    <n v="1"/>
    <n v="0"/>
    <n v="0"/>
  </r>
  <r>
    <s v="NSF-001302"/>
    <s v="USR-00589"/>
    <s v="SES-2604-65581"/>
    <d v="2026-04-11T00:00:00"/>
    <s v="Northern Ireland"/>
    <s v="Belfast"/>
    <x v="5"/>
    <s v="55-64"/>
    <s v="Male"/>
    <s v="Ios"/>
    <s v="Iphone"/>
    <s v="7-12 months"/>
    <s v="Free"/>
    <s v="Paid Social"/>
    <x v="5"/>
    <s v="Trial/Exploration"/>
    <s v="No Experiment"/>
    <s v="Control"/>
    <n v="8"/>
    <n v="8"/>
    <n v="308"/>
    <s v="No"/>
    <x v="1"/>
    <x v="0"/>
    <s v="Recipient Details Rejected"/>
    <x v="1"/>
    <n v="0"/>
    <n v="0"/>
    <n v="0"/>
    <s v="Transaction Failure"/>
    <s v="Yes"/>
    <s v="Transaction Failure"/>
    <s v="Resolved"/>
    <n v="33"/>
    <s v="Technical error"/>
    <n v="3"/>
    <n v="-62"/>
    <n v="68"/>
    <x v="0"/>
    <n v="0"/>
    <n v="0"/>
    <n v="1"/>
    <n v="0"/>
  </r>
  <r>
    <s v="NSF-000905"/>
    <s v="USR-00078"/>
    <s v="SES-2510-22396"/>
    <d v="2025-10-23T00:00:00"/>
    <s v="Wales"/>
    <s v="Wrexham"/>
    <x v="1"/>
    <s v="25-34"/>
    <s v="Female"/>
    <s v="Android"/>
    <s v="Android Phone"/>
    <s v="2+ years"/>
    <s v="Free"/>
    <s v="Direct"/>
    <x v="5"/>
    <s v="First Use"/>
    <s v="New Cta Copy"/>
    <s v="Treatment"/>
    <n v="8"/>
    <s v="8 steps"/>
    <n v="233"/>
    <s v="No"/>
    <x v="0"/>
    <x v="1"/>
    <s v="No Error"/>
    <x v="0"/>
    <n v="467.16"/>
    <n v="2.84"/>
    <n v="0"/>
    <s v="Fees And Pricing"/>
    <s v="Yes"/>
    <s v="Fees And Pricing"/>
    <s v="Resolved"/>
    <n v="22"/>
    <s v="No drop-off"/>
    <n v="3"/>
    <n v="20"/>
    <n v="0"/>
    <x v="1"/>
    <n v="1"/>
    <n v="1"/>
    <n v="0"/>
    <n v="1"/>
  </r>
  <r>
    <s v="NSF-000140"/>
    <s v="USR-00174"/>
    <s v="SES-2502-67240"/>
    <d v="2025-02-09T00:00:00"/>
    <s v="South West"/>
    <s v="Exeter"/>
    <x v="5"/>
    <s v="45-54"/>
    <s v="Male"/>
    <s v="Android"/>
    <s v="Android Phone"/>
    <s v="7-12 months"/>
    <s v="Free"/>
    <s v="Referral"/>
    <x v="5"/>
    <s v="Trial/Exploration"/>
    <s v="Contextual Help"/>
    <s v="Control"/>
    <n v="8"/>
    <n v="8"/>
    <n v="166"/>
    <s v="No"/>
    <x v="1"/>
    <x v="1"/>
    <s v="No Error"/>
    <x v="0"/>
    <n v="382.11"/>
    <n v="2.5499999999999998"/>
    <n v="0"/>
    <s v="Fees And Pricing"/>
    <s v="Yes"/>
    <s v="Fees And Pricing"/>
    <s v="Resolved"/>
    <n v="23"/>
    <s v="Changed mind"/>
    <n v="5"/>
    <n v="22"/>
    <n v="1"/>
    <x v="0"/>
    <n v="0"/>
    <n v="1"/>
    <n v="0"/>
    <n v="0"/>
  </r>
  <r>
    <s v="NSF-000726"/>
    <s v="USR-00103"/>
    <s v="SES-2508-96723"/>
    <d v="2025-08-27T00:00:00"/>
    <s v="London"/>
    <s v="Southwark"/>
    <x v="1"/>
    <s v="35-44"/>
    <s v="Female"/>
    <s v="Android"/>
    <s v="Android Phone"/>
    <s v="1-2 years"/>
    <s v="Free"/>
    <s v="Organic Search"/>
    <x v="1"/>
    <s v="Reactivated"/>
    <s v="No Experiment"/>
    <s v="Control"/>
    <n v="4"/>
    <n v="4"/>
    <n v="100"/>
    <s v="No"/>
    <x v="0"/>
    <x v="1"/>
    <s v="No Error"/>
    <x v="1"/>
    <n v="0"/>
    <n v="0"/>
    <n v="0"/>
    <s v="No Support Contact"/>
    <s v="No"/>
    <s v="No Support Contact"/>
    <s v="Not Applicable"/>
    <m/>
    <s v="No drop-off"/>
    <n v="4"/>
    <n v="55"/>
    <n v="38"/>
    <x v="0"/>
    <n v="1"/>
    <n v="0"/>
    <n v="0"/>
    <n v="0"/>
  </r>
  <r>
    <s v="NSF-000811"/>
    <s v="USR-00249"/>
    <s v="SES-2509-92941"/>
    <d v="2025-09-21T00:00:00"/>
    <s v="East Midlands"/>
    <s v="Derby"/>
    <x v="3"/>
    <s v="45-54"/>
    <s v="Male"/>
    <s v="Web"/>
    <s v="Desktop"/>
    <s v="1-2 years"/>
    <s v="Free"/>
    <s v="Paid Social"/>
    <x v="3"/>
    <s v="Repeat Use"/>
    <s v="No Experiment"/>
    <s v="Control"/>
    <n v="6"/>
    <n v="6"/>
    <n v="161"/>
    <s v="No"/>
    <x v="1"/>
    <x v="1"/>
    <s v="No Error"/>
    <x v="0"/>
    <n v="24.32"/>
    <n v="0.11"/>
    <n v="0"/>
    <s v="No Support Contact"/>
    <s v="No"/>
    <s v="No Support Contact"/>
    <s v="Not Applicable"/>
    <m/>
    <s v="No drop-off"/>
    <n v="3"/>
    <n v="22"/>
    <n v="24"/>
    <x v="0"/>
    <n v="0"/>
    <n v="1"/>
    <n v="0"/>
    <n v="0"/>
  </r>
  <r>
    <s v="NSF-000810"/>
    <s v="USR-00852"/>
    <s v="SES-2509-24643"/>
    <d v="2025-09-19T00:00:00"/>
    <s v="East England"/>
    <s v="Luton"/>
    <x v="2"/>
    <s v="18-24"/>
    <s v="Female"/>
    <s v="Android"/>
    <s v="Android Phone"/>
    <s v="1-2 years"/>
    <s v="Basic"/>
    <s v="Paid Search"/>
    <x v="10"/>
    <s v="Repeat Use"/>
    <s v="Simplified Onboarding"/>
    <s v="Treatment"/>
    <n v="9"/>
    <s v="9 steps"/>
    <n v="371"/>
    <s v="No"/>
    <x v="1"/>
    <x v="0"/>
    <s v="Income Verification Failed"/>
    <x v="1"/>
    <n v="0"/>
    <n v="0"/>
    <n v="0"/>
    <s v="No Support Contact"/>
    <s v="No"/>
    <s v="No Support Contact"/>
    <s v="Not Applicable"/>
    <m/>
    <s v="Privacy concern"/>
    <n v="2"/>
    <n v="-40"/>
    <n v="2"/>
    <x v="1"/>
    <n v="0"/>
    <n v="0"/>
    <n v="1"/>
    <n v="1"/>
  </r>
  <r>
    <s v="NSF-001220"/>
    <s v="USR-00509"/>
    <s v="SES-2603-83024"/>
    <d v="2026-03-31T00:00:00"/>
    <s v="West Midlands"/>
    <s v="Birmingham"/>
    <x v="4"/>
    <s v="35-44"/>
    <s v="Male"/>
    <s v="Ios"/>
    <s v="Iphone"/>
    <s v="1-2 years"/>
    <s v="Free"/>
    <s v="Organic Search"/>
    <x v="4"/>
    <s v="Reactivated"/>
    <s v="No Experiment"/>
    <s v="Control"/>
    <n v="6"/>
    <s v="6 steps"/>
    <n v="113"/>
    <s v="No"/>
    <x v="1"/>
    <x v="1"/>
    <s v="No Error"/>
    <x v="1"/>
    <n v="0"/>
    <n v="0"/>
    <n v="0"/>
    <s v="No Support Contact"/>
    <s v="No"/>
    <s v="No Support Contact"/>
    <s v="Not Applicable"/>
    <m/>
    <s v="No drop-off"/>
    <n v="4"/>
    <n v="-27"/>
    <n v="50"/>
    <x v="0"/>
    <n v="0"/>
    <n v="0"/>
    <n v="0"/>
    <n v="0"/>
  </r>
  <r>
    <s v="NSF-000893"/>
    <s v="USR-00476"/>
    <s v="SES-2510-67498"/>
    <d v="2025-10-21T00:00:00"/>
    <s v="South East"/>
    <s v="Brighton"/>
    <x v="5"/>
    <s v="35-44"/>
    <s v="Female"/>
    <s v="Ios"/>
    <s v="Iphone"/>
    <s v="&lt;3 months"/>
    <s v="Free"/>
    <s v="Organic Search"/>
    <x v="7"/>
    <s v="Repeat Use"/>
    <s v="No Experiment"/>
    <s v="Control"/>
    <n v="4"/>
    <n v="4"/>
    <n v="94"/>
    <s v="No"/>
    <x v="0"/>
    <x v="1"/>
    <s v="No Error"/>
    <x v="0"/>
    <n v="74.25"/>
    <n v="0.5"/>
    <n v="0"/>
    <s v="No Support Contact"/>
    <s v="No"/>
    <s v="No Support Contact"/>
    <s v="Not Applicable"/>
    <m/>
    <s v="No drop-off"/>
    <n v="5"/>
    <n v="37"/>
    <n v="61"/>
    <x v="1"/>
    <n v="1"/>
    <n v="1"/>
    <n v="0"/>
    <n v="1"/>
  </r>
  <r>
    <s v="NSF-000102"/>
    <s v="USR-00061"/>
    <s v="SES-2502-71708"/>
    <d v="2025-02-04T00:00:00"/>
    <s v="Yorkshire &amp; Humber"/>
    <s v="Hull"/>
    <x v="0"/>
    <s v="35-44"/>
    <s v="Male"/>
    <s v="Web"/>
    <s v="Desktop"/>
    <s v="7-12 months"/>
    <s v="Basic"/>
    <s v="Organic Search"/>
    <x v="10"/>
    <s v="Trial/Exploration"/>
    <s v="No Experiment"/>
    <s v="Control"/>
    <n v="9"/>
    <n v="9"/>
    <n v="235"/>
    <s v="No"/>
    <x v="1"/>
    <x v="0"/>
    <s v="Income Verification Failed"/>
    <x v="1"/>
    <n v="0"/>
    <n v="0"/>
    <n v="0"/>
    <s v="No Support Contact"/>
    <s v="No"/>
    <s v="No Support Contact"/>
    <s v="Not Applicable"/>
    <m/>
    <s v="Technical error"/>
    <n v="2"/>
    <n v="2"/>
    <n v="1"/>
    <x v="0"/>
    <n v="0"/>
    <n v="0"/>
    <n v="1"/>
    <n v="0"/>
  </r>
  <r>
    <s v="NSF-001203"/>
    <s v="USR-00503"/>
    <s v="SES-2602-46889"/>
    <d v="2026-02-22T00:00:00"/>
    <s v="Northern Ireland"/>
    <s v="Lisburn"/>
    <x v="0"/>
    <s v="35-44"/>
    <s v="Male"/>
    <s v="Ios"/>
    <s v="Iphone"/>
    <s v="7-12 months"/>
    <s v="Free"/>
    <s v="Organic Search"/>
    <x v="0"/>
    <s v="Repeat Use"/>
    <s v="Progress Indicator"/>
    <s v="Treatment"/>
    <n v="7"/>
    <n v="7"/>
    <n v="147"/>
    <s v="No"/>
    <x v="1"/>
    <x v="1"/>
    <s v="No Error"/>
    <x v="0"/>
    <n v="49.62"/>
    <n v="0"/>
    <n v="0"/>
    <s v="Transaction Failure"/>
    <s v="Yes"/>
    <s v="Transaction Failure"/>
    <s v="Resolved"/>
    <n v="37"/>
    <s v="No drop-off"/>
    <n v="3"/>
    <n v="9"/>
    <n v="30"/>
    <x v="1"/>
    <n v="0"/>
    <n v="1"/>
    <n v="0"/>
    <n v="1"/>
  </r>
  <r>
    <s v="NSF-000305"/>
    <s v="USR-00134"/>
    <s v="SES-2504-62077"/>
    <d v="2025-04-08T00:00:00"/>
    <s v="Wales"/>
    <s v="Newport"/>
    <x v="3"/>
    <s v="45-54"/>
    <s v="Female"/>
    <s v="Ios"/>
    <s v="Ipad"/>
    <s v="7-12 months"/>
    <s v="Premium"/>
    <s v="Direct"/>
    <x v="9"/>
    <s v="Repeat Use"/>
    <s v="No Experiment"/>
    <s v="Control"/>
    <n v="5"/>
    <n v="5"/>
    <n v="102"/>
    <s v="No"/>
    <x v="0"/>
    <x v="1"/>
    <s v="No Error"/>
    <x v="0"/>
    <n v="85.72"/>
    <n v="0"/>
    <n v="0.37"/>
    <s v="Fees And Pricing"/>
    <s v="Yes"/>
    <s v="Fees And Pricing"/>
    <s v="Unresolved"/>
    <n v="7"/>
    <s v="No drop-off"/>
    <n v="3"/>
    <n v="42"/>
    <n v="23"/>
    <x v="1"/>
    <n v="1"/>
    <n v="1"/>
    <n v="0"/>
    <n v="1"/>
  </r>
  <r>
    <s v="NSF-000062"/>
    <s v="USR-00504"/>
    <s v="SES-2501-60582"/>
    <d v="2025-01-11T00:00:00"/>
    <s v="Yorkshire &amp; Humber"/>
    <s v="Sheffield"/>
    <x v="1"/>
    <s v="18-24"/>
    <s v="Female"/>
    <s v="Web"/>
    <s v="Desktop"/>
    <s v="1-2 years"/>
    <s v="Free"/>
    <s v="Affiliate"/>
    <x v="1"/>
    <s v="Trial/Exploration"/>
    <s v="No Experiment"/>
    <s v="Control"/>
    <n v="4"/>
    <n v="4"/>
    <n v="90"/>
    <s v="No"/>
    <x v="0"/>
    <x v="1"/>
    <s v="No Error"/>
    <x v="1"/>
    <n v="0"/>
    <n v="0"/>
    <n v="0"/>
    <s v="No Support Contact"/>
    <s v="No"/>
    <s v="No Support Contact"/>
    <s v="Not Applicable"/>
    <m/>
    <s v="No drop-off"/>
    <n v="4"/>
    <n v="89"/>
    <n v="43"/>
    <x v="1"/>
    <n v="1"/>
    <n v="0"/>
    <n v="0"/>
    <n v="1"/>
  </r>
  <r>
    <s v="NSF-000205"/>
    <s v="USR-00229"/>
    <s v="SES-2503-71569"/>
    <d v="2025-03-18T00:00:00"/>
    <s v="South East"/>
    <s v="Reading"/>
    <x v="5"/>
    <s v="18-24"/>
    <s v="Male"/>
    <s v="Android"/>
    <s v="Android Phone"/>
    <s v="7-12 months"/>
    <s v="Free"/>
    <s v="Paid Search"/>
    <x v="0"/>
    <s v="First Use"/>
    <s v="No Experiment"/>
    <s v="Control"/>
    <n v="7"/>
    <n v="4"/>
    <n v="272"/>
    <s v="Yes"/>
    <x v="0"/>
    <x v="1"/>
    <s v="No Error"/>
    <x v="0"/>
    <n v="80.099999999999994"/>
    <n v="0"/>
    <n v="0"/>
    <s v="Account Verification"/>
    <s v="Yes"/>
    <s v="Account Verification"/>
    <s v="Resolved"/>
    <n v="17"/>
    <s v="No drop-off"/>
    <n v="3"/>
    <n v="-40"/>
    <n v="0"/>
    <x v="0"/>
    <n v="1"/>
    <n v="1"/>
    <n v="0"/>
    <n v="0"/>
  </r>
  <r>
    <s v="NSF-001108"/>
    <s v="USR-00607"/>
    <s v="SES-2601-90991"/>
    <d v="2026-01-14T00:00:00"/>
    <s v="London"/>
    <s v="Croydon"/>
    <x v="3"/>
    <s v="25-34"/>
    <s v="Female"/>
    <s v="Ios"/>
    <s v="Iphone"/>
    <s v="1-2 years"/>
    <s v="Free"/>
    <s v="Paid Search"/>
    <x v="10"/>
    <s v="Reactivated"/>
    <s v="Contextual Help"/>
    <s v="Control"/>
    <n v="9"/>
    <n v="5"/>
    <n v="384"/>
    <s v="Yes"/>
    <x v="1"/>
    <x v="1"/>
    <s v="No Error"/>
    <x v="1"/>
    <n v="0"/>
    <n v="0"/>
    <n v="0"/>
    <s v="No Support Contact"/>
    <s v="No"/>
    <s v="No Support Contact"/>
    <s v="Not Applicable"/>
    <m/>
    <s v="Too many steps"/>
    <n v="2"/>
    <n v="-13"/>
    <n v="43"/>
    <x v="0"/>
    <n v="0"/>
    <n v="0"/>
    <n v="0"/>
    <n v="0"/>
  </r>
  <r>
    <s v="NSF-001116"/>
    <s v="USR-00687"/>
    <s v="SES-2601-88155"/>
    <d v="2026-01-12T00:00:00"/>
    <s v="East Midlands"/>
    <s v="Leicester"/>
    <x v="2"/>
    <s v="45-54"/>
    <s v="Female"/>
    <s v="Android"/>
    <s v="Android Phone"/>
    <s v="2+ years"/>
    <s v="Free"/>
    <s v="Paid Search"/>
    <x v="0"/>
    <s v="First Use"/>
    <s v="New Cta Copy"/>
    <s v="Control"/>
    <s v="7 steps"/>
    <s v="7 steps"/>
    <n v="168"/>
    <s v="No"/>
    <x v="1"/>
    <x v="1"/>
    <s v="No Error"/>
    <x v="1"/>
    <n v="0"/>
    <n v="0"/>
    <n v="0"/>
    <s v="No Support Contact"/>
    <s v="No"/>
    <s v="No Support Contact"/>
    <s v="Not Applicable"/>
    <m/>
    <s v="Too many steps"/>
    <n v="3"/>
    <n v="22"/>
    <n v="0"/>
    <x v="0"/>
    <n v="0"/>
    <n v="0"/>
    <n v="0"/>
    <n v="0"/>
  </r>
  <r>
    <s v="NSF-000960"/>
    <s v="USR-00484"/>
    <s v="SES-2511-68012"/>
    <d v="2025-11-03T00:00:00"/>
    <s v="North West"/>
    <s v="Chester"/>
    <x v="5"/>
    <s v="35-44"/>
    <s v="Female"/>
    <s v="Web"/>
    <s v="Desktop"/>
    <s v="7-12 months"/>
    <s v="Free"/>
    <s v="Direct"/>
    <x v="5"/>
    <s v="Trial/Exploration"/>
    <s v="Progress Indicator"/>
    <s v="Control"/>
    <n v="99"/>
    <n v="7"/>
    <n v="224"/>
    <s v="Yes"/>
    <x v="1"/>
    <x v="1"/>
    <s v="No Error"/>
    <x v="1"/>
    <n v="0"/>
    <n v="0"/>
    <n v="0"/>
    <s v="No Support Contact"/>
    <s v="No"/>
    <s v="No Support Contact"/>
    <s v="Not Applicable"/>
    <m/>
    <s v="Too many steps"/>
    <n v="3"/>
    <n v="-3"/>
    <n v="43"/>
    <x v="1"/>
    <n v="0"/>
    <n v="0"/>
    <n v="0"/>
    <n v="1"/>
  </r>
  <r>
    <s v="NSF-001129"/>
    <s v="USR-00150"/>
    <s v="SES-2601-46570"/>
    <d v="2026-01-15T00:00:00"/>
    <s v="London"/>
    <s v="Croydon"/>
    <x v="1"/>
    <s v="25-34"/>
    <s v="Female"/>
    <s v="Android"/>
    <s v="Android Tablet"/>
    <s v="7-12 months"/>
    <s v="Free"/>
    <s v="App Store"/>
    <x v="4"/>
    <s v="Repeat Use"/>
    <s v="New Cta Copy"/>
    <s v="Control"/>
    <n v="6"/>
    <n v="6"/>
    <n v="114"/>
    <s v="No"/>
    <x v="0"/>
    <x v="1"/>
    <s v="No Error"/>
    <x v="0"/>
    <n v="44.09"/>
    <n v="0"/>
    <n v="0"/>
    <s v="No Support Contact"/>
    <s v="No"/>
    <s v="No Support Contact"/>
    <s v="Not Applicable"/>
    <m/>
    <s v="No drop-off"/>
    <n v="4"/>
    <n v="13"/>
    <n v="50"/>
    <x v="1"/>
    <n v="1"/>
    <n v="1"/>
    <n v="0"/>
    <n v="1"/>
  </r>
  <r>
    <s v="NSF-001073"/>
    <s v="USR-00184"/>
    <s v="SES-2601-90238"/>
    <d v="2026-01-09T00:00:00"/>
    <s v="North East"/>
    <s v="Durham"/>
    <x v="0"/>
    <s v="45-54"/>
    <s v="Non-Binary"/>
    <s v="Android"/>
    <s v="Android Phone"/>
    <s v="7-12 months"/>
    <s v="Free"/>
    <s v="Paid Search"/>
    <x v="9"/>
    <s v="First Use"/>
    <s v="Fee Transparency Panel"/>
    <s v="Control"/>
    <n v="5"/>
    <n v="5"/>
    <n v="115"/>
    <s v="No"/>
    <x v="1"/>
    <x v="1"/>
    <s v="No Error"/>
    <x v="0"/>
    <n v="0"/>
    <n v="0"/>
    <n v="0"/>
    <s v="No Support Contact"/>
    <s v="No"/>
    <s v="No Support Contact"/>
    <s v="Not Applicable"/>
    <m/>
    <s v="Instructions unclear"/>
    <n v="4"/>
    <n v="67"/>
    <n v="0"/>
    <x v="0"/>
    <n v="0"/>
    <n v="1"/>
    <n v="0"/>
    <n v="0"/>
  </r>
  <r>
    <s v="NSF-001247"/>
    <s v="USR-00259"/>
    <s v="SES-2603-83770"/>
    <d v="2026-03-24T00:00:00"/>
    <s v="North East"/>
    <s v="Sunderland"/>
    <x v="0"/>
    <s v="35-44"/>
    <s v="Female"/>
    <s v="Ios"/>
    <s v="Iphone"/>
    <s v="3-6 months"/>
    <s v="Plus"/>
    <s v="Organic Search"/>
    <x v="10"/>
    <s v="Repeat Use"/>
    <s v="No Experiment"/>
    <s v="Control"/>
    <n v="9"/>
    <n v="9"/>
    <n v="223"/>
    <s v="Unknown"/>
    <x v="0"/>
    <x v="0"/>
    <s v="Income Verification Failed"/>
    <x v="0"/>
    <n v="213.73"/>
    <n v="3.37"/>
    <n v="0.17"/>
    <s v="No Support Contact"/>
    <s v="No"/>
    <s v="No Support Contact"/>
    <s v="Not Applicable"/>
    <m/>
    <s v="No drop-off"/>
    <n v="2"/>
    <n v="-63"/>
    <n v="17"/>
    <x v="1"/>
    <n v="1"/>
    <n v="1"/>
    <n v="1"/>
    <n v="1"/>
  </r>
  <r>
    <s v="NSF-001103"/>
    <s v="USR-00130"/>
    <s v="SES-2601-34127"/>
    <d v="2026-01-25T00:00:00"/>
    <s v="Scotland"/>
    <s v="Edinburgh"/>
    <x v="0"/>
    <s v="35-44"/>
    <s v="Female"/>
    <s v="Android"/>
    <s v="Android Phone"/>
    <s v="1-2 years"/>
    <s v="Free"/>
    <s v="App Store"/>
    <x v="0"/>
    <s v="Repeat Use"/>
    <s v="Progress Indicator"/>
    <s v="Treatment"/>
    <n v="7"/>
    <n v="7"/>
    <n v="153"/>
    <s v="No"/>
    <x v="0"/>
    <x v="1"/>
    <s v="No Error"/>
    <x v="0"/>
    <n v="0"/>
    <n v="0"/>
    <n v="0"/>
    <s v="No Support Contact"/>
    <s v="No"/>
    <s v="No Support Contact"/>
    <s v="Not Applicable"/>
    <m/>
    <s v="No drop-off"/>
    <n v="3"/>
    <n v="28"/>
    <n v="29"/>
    <x v="1"/>
    <n v="1"/>
    <n v="1"/>
    <n v="0"/>
    <n v="1"/>
  </r>
  <r>
    <s v="NSF-001161"/>
    <s v="USR-00307"/>
    <s v="SES-2602-36302"/>
    <d v="2026-02-06T00:00:00"/>
    <s v="Wales"/>
    <s v="Swansea"/>
    <x v="2"/>
    <s v="45-54"/>
    <s v="Female"/>
    <s v="Web"/>
    <s v="Mobile Browser"/>
    <s v="7-12 months"/>
    <s v="Free"/>
    <s v="Organic Search"/>
    <x v="9"/>
    <s v="Reactivated"/>
    <s v="No Experiment"/>
    <s v="Control"/>
    <n v="5"/>
    <s v="5 steps"/>
    <n v="99"/>
    <s v="No"/>
    <x v="0"/>
    <x v="1"/>
    <s v="No Error"/>
    <x v="1"/>
    <n v="0"/>
    <n v="0"/>
    <n v="0"/>
    <s v="No Support Contact"/>
    <s v="No"/>
    <s v="No Support Contact"/>
    <s v="Not Applicable"/>
    <m/>
    <s v="No drop-off"/>
    <n v="5"/>
    <n v="21"/>
    <n v="45"/>
    <x v="0"/>
    <n v="1"/>
    <n v="0"/>
    <n v="0"/>
    <n v="0"/>
  </r>
  <r>
    <s v="NSF-000077"/>
    <s v="USR-00002"/>
    <s v="SES-2501-49250"/>
    <d v="2025-01-20T00:00:00"/>
    <s v="South West"/>
    <s v="Exeter"/>
    <x v="0"/>
    <s v="18-24"/>
    <s v="Prefer Not To Say"/>
    <s v="Ios"/>
    <s v="Iphone"/>
    <s v="7-12 months"/>
    <s v="Plus"/>
    <s v="Paid Search"/>
    <x v="7"/>
    <s v="Repeat Use"/>
    <s v="New Cta Copy"/>
    <s v="Treatment"/>
    <n v="4"/>
    <n v="4"/>
    <n v="111"/>
    <s v="No"/>
    <x v="0"/>
    <x v="1"/>
    <s v="No Error"/>
    <x v="0"/>
    <n v="67.849999999999994"/>
    <n v="0.48"/>
    <n v="0.17"/>
    <s v="No Support Contact"/>
    <s v="No"/>
    <s v="No Support Contact"/>
    <s v="Not Applicable"/>
    <m/>
    <s v="No drop-off"/>
    <n v="5"/>
    <n v="41"/>
    <n v="28"/>
    <x v="1"/>
    <n v="1"/>
    <n v="1"/>
    <n v="0"/>
    <n v="1"/>
  </r>
  <r>
    <s v="NSF-001372"/>
    <s v="USR-00703"/>
    <s v="SES-2605-38167"/>
    <d v="2026-05-20T00:00:00"/>
    <s v="North West"/>
    <s v="Manchester"/>
    <x v="1"/>
    <s v="35-44"/>
    <s v="Male"/>
    <s v="Ios"/>
    <s v="Iphone"/>
    <s v="7-12 months"/>
    <s v="Free"/>
    <s v="App Store"/>
    <x v="2"/>
    <s v="Trial/Exploration"/>
    <s v="Simplified Onboarding"/>
    <s v="Treatment"/>
    <n v="5"/>
    <n v="5"/>
    <n v="108"/>
    <s v="No"/>
    <x v="0"/>
    <x v="1"/>
    <s v="No Error"/>
    <x v="0"/>
    <n v="34.96"/>
    <n v="0"/>
    <n v="0"/>
    <s v="No Support Contact"/>
    <s v="No"/>
    <s v="No Support Contact"/>
    <s v="Not Applicable"/>
    <m/>
    <s v="No drop-off"/>
    <n v="5"/>
    <n v="3"/>
    <s v="49 days"/>
    <x v="1"/>
    <n v="1"/>
    <n v="1"/>
    <n v="0"/>
    <n v="1"/>
  </r>
  <r>
    <s v="NSF-000440"/>
    <s v="USR-00616"/>
    <s v="SES-2505-30872"/>
    <d v="2025-05-29T00:00:00"/>
    <s v="North West"/>
    <s v="Manchester"/>
    <x v="5"/>
    <s v="25-34"/>
    <s v="Female"/>
    <s v="Android"/>
    <s v="Android Tablet"/>
    <s v="3-6 months"/>
    <s v="Free"/>
    <s v="Referral"/>
    <x v="8"/>
    <s v="First Use"/>
    <s v="No Experiment"/>
    <s v="Control"/>
    <s v="5 steps"/>
    <n v="5"/>
    <n v="97"/>
    <s v="No"/>
    <x v="0"/>
    <x v="1"/>
    <s v="No Error"/>
    <x v="0"/>
    <n v="17.09"/>
    <n v="0"/>
    <n v="0"/>
    <s v="No Support Contact"/>
    <s v="No"/>
    <s v="No Support Contact"/>
    <s v="Not Applicable"/>
    <m/>
    <s v="No drop-off"/>
    <n v="5"/>
    <n v="28"/>
    <n v="0"/>
    <x v="1"/>
    <n v="1"/>
    <n v="1"/>
    <n v="0"/>
    <n v="1"/>
  </r>
  <r>
    <s v="NSF-000514"/>
    <s v="USR-00267"/>
    <s v="SES-2506-72417"/>
    <d v="2025-06-30T00:00:00"/>
    <s v="West Midlands"/>
    <s v="Birmingham"/>
    <x v="3"/>
    <s v="18-24"/>
    <s v="Female"/>
    <s v="Ios"/>
    <s v="Iphone"/>
    <s v="&lt;3 months"/>
    <s v="Free"/>
    <s v="Organic Search"/>
    <x v="5"/>
    <s v="First Use"/>
    <s v="No Experiment"/>
    <s v="Control"/>
    <n v="8"/>
    <s v="4 steps"/>
    <n v="262"/>
    <s v="Yes"/>
    <x v="0"/>
    <x v="1"/>
    <s v="No Error"/>
    <x v="0"/>
    <n v="333.89"/>
    <n v="2.75"/>
    <n v="0"/>
    <s v="No Support Contact"/>
    <s v="No"/>
    <s v="No Support Contact"/>
    <s v="Not Applicable"/>
    <m/>
    <s v="No drop-off"/>
    <n v="3"/>
    <n v="-26"/>
    <n v="0"/>
    <x v="1"/>
    <n v="1"/>
    <n v="1"/>
    <n v="0"/>
    <n v="1"/>
  </r>
  <r>
    <s v="NSF-000138"/>
    <s v="USR-00513"/>
    <s v="SES-2502-34685"/>
    <d v="2025-02-26T00:00:00"/>
    <s v="Wales"/>
    <s v="Cardiff"/>
    <x v="0"/>
    <s v="55-64"/>
    <s v="Male"/>
    <s v="Ios"/>
    <s v="Iphone"/>
    <s v="2+ years"/>
    <s v="Plus"/>
    <s v="Direct"/>
    <x v="0"/>
    <s v="First Use"/>
    <s v="No Experiment"/>
    <s v="Control"/>
    <n v="7"/>
    <n v="4"/>
    <n v="310"/>
    <s v="Yes"/>
    <x v="0"/>
    <x v="1"/>
    <s v="No Error"/>
    <x v="0"/>
    <n v="0"/>
    <n v="0"/>
    <n v="0.17"/>
    <s v="No Support Contact"/>
    <s v="No"/>
    <s v="No Support Contact"/>
    <s v="Not Applicable"/>
    <m/>
    <s v="No drop-off"/>
    <n v="4"/>
    <n v="46"/>
    <n v="0"/>
    <x v="1"/>
    <n v="1"/>
    <n v="1"/>
    <n v="0"/>
    <n v="1"/>
  </r>
  <r>
    <s v="NSF-001164"/>
    <s v="USR-00686"/>
    <s v="SES-2602-50992"/>
    <d v="2026-02-23T00:00:00"/>
    <s v="Scotland"/>
    <s v="Aberdeen"/>
    <x v="1"/>
    <s v="25-34"/>
    <s v="Female"/>
    <s v="Ios"/>
    <s v="Iphone"/>
    <s v="1-2 years"/>
    <s v="Free"/>
    <s v="App Store"/>
    <x v="9"/>
    <s v="First Use"/>
    <s v="No Experiment"/>
    <s v="Control"/>
    <n v="5"/>
    <s v="5 steps"/>
    <n v="123"/>
    <s v="No"/>
    <x v="0"/>
    <x v="1"/>
    <s v="No Error"/>
    <x v="0"/>
    <n v="110.07"/>
    <n v="0"/>
    <n v="0"/>
    <s v="Feature Navigation"/>
    <s v="Yes"/>
    <s v="Feature Navigation"/>
    <s v="Unresolved"/>
    <n v="23"/>
    <s v="No drop-off"/>
    <n v="3"/>
    <n v="-21"/>
    <n v="0"/>
    <x v="0"/>
    <n v="1"/>
    <n v="1"/>
    <n v="0"/>
    <n v="0"/>
  </r>
  <r>
    <s v="NSF-001029"/>
    <s v="USR-00821"/>
    <s v="SES-2512-53036"/>
    <d v="2025-12-24T00:00:00"/>
    <s v="South West"/>
    <s v="Bath"/>
    <x v="0"/>
    <s v="25-34"/>
    <s v="Female"/>
    <s v="Android"/>
    <s v="Android Tablet"/>
    <s v="7-12 months"/>
    <s v="Free"/>
    <s v="Organic Search"/>
    <x v="4"/>
    <s v="First Use"/>
    <s v="Simplified Onboarding"/>
    <s v="Control"/>
    <s v="6 steps"/>
    <n v="6"/>
    <n v="149"/>
    <s v="No"/>
    <x v="1"/>
    <x v="1"/>
    <s v="No Error"/>
    <x v="1"/>
    <n v="0"/>
    <n v="0"/>
    <n v="0"/>
    <s v="No Support Contact"/>
    <s v="No"/>
    <s v="No Support Contact"/>
    <s v="Not Applicable"/>
    <m/>
    <s v="No drop-off"/>
    <n v="3"/>
    <n v="29"/>
    <n v="0"/>
    <x v="0"/>
    <n v="0"/>
    <n v="0"/>
    <n v="0"/>
    <n v="0"/>
  </r>
  <r>
    <s v="NSF-000881"/>
    <s v="USR-00714"/>
    <s v="SES-2510-94401"/>
    <d v="2025-10-10T00:00:00"/>
    <s v="West Midlands"/>
    <s v="Wolverhampton"/>
    <x v="3"/>
    <s v="45-54"/>
    <s v="Male"/>
    <s v="Ios"/>
    <s v="Iphone"/>
    <s v="&lt;3 months"/>
    <s v="Free"/>
    <s v="Organic Search"/>
    <x v="9"/>
    <s v="Repeat Use"/>
    <s v="No Experiment"/>
    <s v="Control"/>
    <n v="5"/>
    <n v="5"/>
    <n v="161"/>
    <s v="No"/>
    <x v="0"/>
    <x v="0"/>
    <s v="Payment Schedule Mismatch"/>
    <x v="1"/>
    <n v="0"/>
    <n v="0"/>
    <n v="0"/>
    <s v="No Support Contact"/>
    <s v="No"/>
    <s v="No Support Contact"/>
    <s v="Not Applicable"/>
    <m/>
    <s v="No drop-off"/>
    <n v="5"/>
    <n v="-17"/>
    <n v="5"/>
    <x v="1"/>
    <n v="1"/>
    <n v="0"/>
    <n v="1"/>
    <n v="1"/>
  </r>
  <r>
    <s v="NSF-001393"/>
    <s v="USR-00601"/>
    <s v="SES-2605-38167"/>
    <d v="2026-05-05T00:00:00"/>
    <s v="Wales"/>
    <s v="Wrexham"/>
    <x v="2"/>
    <s v="45-54"/>
    <s v="Female"/>
    <s v="Ios"/>
    <s v="Iphone"/>
    <s v="3-6 months"/>
    <s v="Plus"/>
    <s v="Paid Social"/>
    <x v="5"/>
    <s v="Repeat Use"/>
    <s v="Simplified Onboarding"/>
    <s v="Treatment"/>
    <n v="8"/>
    <n v="8"/>
    <n v="155"/>
    <s v="No"/>
    <x v="1"/>
    <x v="1"/>
    <s v="No Error"/>
    <x v="1"/>
    <n v="0"/>
    <n v="0"/>
    <n v="0"/>
    <s v="No Support Contact"/>
    <s v="No"/>
    <s v="No Support Contact"/>
    <s v="Not Applicable"/>
    <m/>
    <s v="No drop-off"/>
    <n v="2"/>
    <n v="-19"/>
    <n v="40"/>
    <x v="0"/>
    <n v="0"/>
    <n v="0"/>
    <n v="0"/>
    <n v="0"/>
  </r>
  <r>
    <s v="NSF-000446"/>
    <s v="USR-00709"/>
    <s v="SES-2505-84163"/>
    <d v="2025-05-06T00:00:00"/>
    <s v="Yorkshire &amp; Humber"/>
    <s v="Hull"/>
    <x v="0"/>
    <s v="35-44"/>
    <s v="Female"/>
    <s v="Android"/>
    <s v="Android Phone"/>
    <s v="3-6 months"/>
    <s v="Free"/>
    <s v="Paid Social"/>
    <x v="2"/>
    <s v="Repeat Use"/>
    <s v="No Experiment"/>
    <s v="Control"/>
    <n v="5"/>
    <s v="5 steps"/>
    <n v="123"/>
    <s v="Unknown"/>
    <x v="0"/>
    <x v="1"/>
    <s v="No Error"/>
    <x v="0"/>
    <n v="3.16"/>
    <n v="0"/>
    <n v="0"/>
    <s v="No Support Contact"/>
    <s v="No"/>
    <s v="No Support Contact"/>
    <s v="Not Applicable"/>
    <m/>
    <s v="No drop-off"/>
    <n v="5"/>
    <n v="24"/>
    <n v="11"/>
    <x v="1"/>
    <n v="1"/>
    <n v="1"/>
    <n v="0"/>
    <n v="1"/>
  </r>
  <r>
    <s v="NSF-000198"/>
    <s v="USR-00426"/>
    <s v="SES-2503-82617"/>
    <d v="2025-03-14T00:00:00"/>
    <s v="East England"/>
    <s v="Cambridge"/>
    <x v="2"/>
    <s v="25-34"/>
    <s v="Female"/>
    <s v="Ios"/>
    <s v="Iphone"/>
    <s v="1-2 years"/>
    <s v="Free"/>
    <s v="Affiliate"/>
    <x v="4"/>
    <s v="First Use"/>
    <s v="Fee Transparency Panel"/>
    <s v="Control"/>
    <n v="6"/>
    <n v="5"/>
    <n v="242"/>
    <s v="Yes"/>
    <x v="0"/>
    <x v="1"/>
    <s v="No Error"/>
    <x v="0"/>
    <n v="0"/>
    <n v="0"/>
    <n v="0"/>
    <s v="No Support Contact"/>
    <s v="No"/>
    <s v="No Support Contact"/>
    <s v="Not Applicable"/>
    <m/>
    <s v="No drop-off"/>
    <n v="3"/>
    <n v="-9"/>
    <n v="0"/>
    <x v="1"/>
    <n v="1"/>
    <n v="1"/>
    <n v="0"/>
    <n v="1"/>
  </r>
  <r>
    <s v="NSF-001135"/>
    <s v="USR-00516"/>
    <s v="SES-2601-30907"/>
    <d v="2026-01-21T00:00:00"/>
    <s v="East Midlands"/>
    <s v="Leicester"/>
    <x v="7"/>
    <s v="45-54"/>
    <s v="Male"/>
    <s v="Web"/>
    <s v="Desktop"/>
    <s v="3-6 months"/>
    <s v="Basic"/>
    <s v="Paid Search"/>
    <x v="2"/>
    <s v="Repeat Use"/>
    <s v="No Experiment"/>
    <s v="Control"/>
    <n v="5"/>
    <n v="4"/>
    <n v="205"/>
    <s v="Yes"/>
    <x v="0"/>
    <x v="1"/>
    <s v="No Error"/>
    <x v="0"/>
    <n v="78.02"/>
    <n v="0"/>
    <n v="0"/>
    <s v="Feature Navigation"/>
    <s v="Yes"/>
    <s v="Feature Navigation"/>
    <s v="Resolved"/>
    <n v="40"/>
    <s v="No drop-off"/>
    <n v="4"/>
    <n v="9"/>
    <n v="40"/>
    <x v="0"/>
    <n v="1"/>
    <n v="1"/>
    <n v="0"/>
    <n v="0"/>
  </r>
  <r>
    <s v="NSF-000870"/>
    <s v="USR-00812"/>
    <s v="SES-2510-14847"/>
    <d v="2025-10-25T00:00:00"/>
    <s v="South East"/>
    <s v="Brighton"/>
    <x v="0"/>
    <s v="18-24"/>
    <s v="Male"/>
    <s v="Android"/>
    <s v="Android Phone"/>
    <s v="&lt;3 months"/>
    <s v="Free"/>
    <s v="Paid Social"/>
    <x v="0"/>
    <s v="Reactivated"/>
    <s v="No Experiment"/>
    <s v="Control"/>
    <n v="7"/>
    <n v="7"/>
    <n v="160"/>
    <s v="No"/>
    <x v="1"/>
    <x v="1"/>
    <s v="No Error"/>
    <x v="1"/>
    <n v="0"/>
    <n v="0"/>
    <n v="0"/>
    <s v="No Support Contact"/>
    <s v="No"/>
    <s v="No Support Contact"/>
    <s v="Not Applicable"/>
    <m/>
    <s v="Too many steps"/>
    <n v="8"/>
    <n v="32"/>
    <n v="1"/>
    <x v="0"/>
    <n v="0"/>
    <n v="0"/>
    <n v="0"/>
    <n v="0"/>
  </r>
  <r>
    <s v="NSF-000495"/>
    <s v="USR-00593"/>
    <s v="SES-2506-84302"/>
    <d v="2025-06-26T00:00:00"/>
    <s v="South West"/>
    <s v="Bath"/>
    <x v="1"/>
    <s v="25-34"/>
    <s v="Female"/>
    <s v="Ios"/>
    <s v="Iphone"/>
    <s v="3-6 months"/>
    <s v="Free"/>
    <s v="Organic Search"/>
    <x v="2"/>
    <s v="Repeat Use"/>
    <s v="Progress Indicator"/>
    <s v="Treatment"/>
    <n v="5"/>
    <s v="5 steps"/>
    <n v="105"/>
    <s v="No"/>
    <x v="0"/>
    <x v="1"/>
    <s v="No Error"/>
    <x v="0"/>
    <n v="168.59"/>
    <n v="0"/>
    <n v="0"/>
    <s v="No Support Contact"/>
    <s v="No"/>
    <s v="No Support Contact"/>
    <s v="Not Applicable"/>
    <m/>
    <s v="No drop-off"/>
    <n v="5"/>
    <n v="7"/>
    <n v="36"/>
    <x v="0"/>
    <n v="1"/>
    <n v="1"/>
    <n v="0"/>
    <n v="0"/>
  </r>
  <r>
    <s v="NSF-001443"/>
    <s v="USR-00341"/>
    <s v="SES-2606-57591"/>
    <d v="2026-06-19T00:00:00"/>
    <s v="Scotland"/>
    <s v="Dundee"/>
    <x v="0"/>
    <s v="35-44"/>
    <s v="Male"/>
    <s v="Ios"/>
    <s v="Ipad"/>
    <s v="3-6 months"/>
    <s v="Free"/>
    <s v="App Store"/>
    <x v="2"/>
    <s v="First Use"/>
    <s v="Fee Transparency Panel"/>
    <s v="Control"/>
    <n v="5"/>
    <n v="5"/>
    <n v="126"/>
    <s v="No"/>
    <x v="0"/>
    <x v="1"/>
    <s v="No Error"/>
    <x v="0"/>
    <n v="47.39"/>
    <n v="0"/>
    <n v="0"/>
    <s v="No Support Contact"/>
    <s v="No"/>
    <s v="No Support Contact"/>
    <s v="Not Applicable"/>
    <m/>
    <s v="No drop-off"/>
    <n v="5"/>
    <n v="-5"/>
    <n v="0"/>
    <x v="0"/>
    <n v="1"/>
    <n v="1"/>
    <n v="0"/>
    <n v="0"/>
  </r>
  <r>
    <s v="NSF-000099"/>
    <s v="USR-00432"/>
    <s v="SES-2502-22644"/>
    <d v="2025-02-06T00:00:00"/>
    <s v="North East"/>
    <s v="Durham"/>
    <x v="1"/>
    <s v="35-44"/>
    <s v="Female"/>
    <s v="Ios"/>
    <s v="Iphone"/>
    <s v="1-2 years"/>
    <s v="Basic"/>
    <s v="Affiliate"/>
    <x v="0"/>
    <s v="Repeat Use"/>
    <s v="No Experiment"/>
    <s v="Control"/>
    <n v="7"/>
    <n v="7"/>
    <n v="196"/>
    <s v="No"/>
    <x v="0"/>
    <x v="1"/>
    <s v="No Error"/>
    <x v="0"/>
    <n v="4.5599999999999996"/>
    <n v="0"/>
    <n v="0"/>
    <s v="No Support Contact"/>
    <s v="No"/>
    <s v="No Support Contact"/>
    <s v="Not Applicable"/>
    <m/>
    <s v="No drop-off"/>
    <n v="3"/>
    <n v="9"/>
    <n v="28"/>
    <x v="1"/>
    <n v="1"/>
    <n v="1"/>
    <n v="0"/>
    <n v="1"/>
  </r>
  <r>
    <s v="NSF-000966"/>
    <s v="USR-00556"/>
    <s v="SES-2511-61378"/>
    <d v="2025-11-29T00:00:00"/>
    <s v="Northern Ireland"/>
    <m/>
    <x v="1"/>
    <s v="45-54"/>
    <s v="Male"/>
    <s v="Ios"/>
    <s v="Iphone"/>
    <s v="7-12 months"/>
    <s v="Basic"/>
    <s v="Paid Social"/>
    <x v="1"/>
    <s v="First Use"/>
    <s v="No Experiment"/>
    <s v="Control"/>
    <n v="4"/>
    <n v="4"/>
    <n v="106"/>
    <s v="No"/>
    <x v="0"/>
    <x v="1"/>
    <s v="No Error"/>
    <x v="0"/>
    <n v="176.46"/>
    <n v="0.2"/>
    <n v="0"/>
    <s v="Feature Navigation"/>
    <s v="Yes"/>
    <s v="Feature Navigation"/>
    <s v="Resolved"/>
    <n v="43"/>
    <s v="No drop-off"/>
    <n v="4"/>
    <n v="70"/>
    <n v="0"/>
    <x v="1"/>
    <n v="1"/>
    <n v="1"/>
    <n v="0"/>
    <n v="1"/>
  </r>
  <r>
    <s v="NSF-000366"/>
    <s v="USR-00088"/>
    <s v="SES-2504-11088"/>
    <d v="2025-04-20T00:00:00"/>
    <s v="South West"/>
    <s v="Bristol"/>
    <x v="2"/>
    <s v="25-34"/>
    <s v="Female"/>
    <s v="Android"/>
    <s v="Android Phone"/>
    <s v="1-2 years"/>
    <s v="Free"/>
    <s v="Paid Social"/>
    <x v="9"/>
    <s v="First Use"/>
    <s v="No Experiment"/>
    <s v="Control"/>
    <n v="5"/>
    <n v="5"/>
    <n v="146"/>
    <s v="No"/>
    <x v="0"/>
    <x v="1"/>
    <s v="No Error"/>
    <x v="0"/>
    <n v="161.54"/>
    <n v="0"/>
    <n v="0"/>
    <s v="No Support Contact"/>
    <s v="No"/>
    <s v="No Support Contact"/>
    <s v="Not Applicable"/>
    <m/>
    <s v="No drop-off"/>
    <n v="4"/>
    <n v="27"/>
    <s v="0 days"/>
    <x v="1"/>
    <n v="1"/>
    <n v="1"/>
    <n v="0"/>
    <n v="1"/>
  </r>
  <r>
    <s v="NSF-001149"/>
    <s v="USR-00299"/>
    <s v="SES-2602-38501"/>
    <d v="2026-02-08T00:00:00"/>
    <s v="South West"/>
    <s v="Bristol"/>
    <x v="7"/>
    <s v="65+"/>
    <s v="Female"/>
    <s v="Ios"/>
    <s v="Iphone"/>
    <s v="7-12 months"/>
    <s v="Free"/>
    <s v="Paid Search"/>
    <x v="0"/>
    <s v="Repeat Use"/>
    <s v="Simplified Onboarding"/>
    <s v="Control"/>
    <n v="7"/>
    <n v="5"/>
    <n v="267"/>
    <s v="Yes"/>
    <x v="0"/>
    <x v="1"/>
    <s v="No Error"/>
    <x v="1"/>
    <n v="0"/>
    <n v="0"/>
    <n v="0"/>
    <s v="No Support Contact"/>
    <s v="No"/>
    <s v="No Support Contact"/>
    <s v="Not Applicable"/>
    <m/>
    <s v="No drop-off"/>
    <n v="4"/>
    <n v="-2"/>
    <n v="38"/>
    <x v="1"/>
    <n v="1"/>
    <n v="0"/>
    <n v="0"/>
    <n v="1"/>
  </r>
  <r>
    <s v="NSF-000477"/>
    <s v="USR-00766"/>
    <s v="SES-2505-49950"/>
    <d v="2025-05-04T00:00:00"/>
    <s v="Scotland"/>
    <s v="Dundee"/>
    <x v="2"/>
    <s v="45-54"/>
    <s v="Male"/>
    <s v="Android"/>
    <s v="Android Phone"/>
    <s v="1-2 years"/>
    <s v="Free"/>
    <s v="Paid Social"/>
    <x v="5"/>
    <s v="Reactivated"/>
    <s v="Simplified Onboarding"/>
    <s v="Treatment"/>
    <n v="8"/>
    <n v="8"/>
    <n v="227"/>
    <s v="No"/>
    <x v="0"/>
    <x v="1"/>
    <s v="No Error"/>
    <x v="0"/>
    <n v="377.46"/>
    <n v="2.42"/>
    <n v="0"/>
    <s v="No Support Contact"/>
    <s v="No"/>
    <s v="No Support Contact"/>
    <s v="Not Applicable"/>
    <m/>
    <s v="No drop-off"/>
    <n v="4"/>
    <n v="29"/>
    <n v="1"/>
    <x v="0"/>
    <n v="1"/>
    <n v="1"/>
    <n v="0"/>
    <n v="0"/>
  </r>
  <r>
    <s v="NSF-001051"/>
    <s v="USR-00674"/>
    <s v="SES-2512-33771"/>
    <d v="2025-12-20T00:00:00"/>
    <s v="East Midlands"/>
    <s v="Derby"/>
    <x v="1"/>
    <s v="25-34"/>
    <s v="Female"/>
    <s v="Android"/>
    <s v="Android Phone"/>
    <s v="2+ years"/>
    <s v="Plus"/>
    <s v="Referral"/>
    <x v="8"/>
    <s v="Trial/Exploration"/>
    <s v="Contextual Help"/>
    <s v="Treatment"/>
    <n v="5"/>
    <s v="5 steps"/>
    <n v="159"/>
    <s v="No"/>
    <x v="0"/>
    <x v="1"/>
    <s v="No Error"/>
    <x v="0"/>
    <n v="13.47"/>
    <n v="0"/>
    <n v="0.17"/>
    <s v="No Support Contact"/>
    <s v="No"/>
    <s v="No Support Contact"/>
    <s v="Not Applicable"/>
    <m/>
    <s v="No drop-off"/>
    <n v="5"/>
    <n v="61"/>
    <n v="30"/>
    <x v="1"/>
    <n v="1"/>
    <n v="1"/>
    <n v="0"/>
    <n v="1"/>
  </r>
  <r>
    <s v="NSF-000266"/>
    <s v="USR-00764"/>
    <s v="SES-2503-97507"/>
    <d v="2025-03-22T00:00:00"/>
    <s v="South West"/>
    <s v="Bath"/>
    <x v="4"/>
    <s v="25-34"/>
    <s v="Female"/>
    <s v="Ios"/>
    <s v="Iphone"/>
    <s v="1-2 years"/>
    <s v="Plus"/>
    <s v="Paid Social"/>
    <x v="7"/>
    <s v="Repeat Use"/>
    <s v="Simplified Onboarding"/>
    <s v="Treatment"/>
    <n v="4"/>
    <n v="4"/>
    <n v="95"/>
    <s v="No"/>
    <x v="0"/>
    <x v="1"/>
    <s v="No Error"/>
    <x v="0"/>
    <n v="118.06"/>
    <n v="0.56000000000000005"/>
    <n v="0.17"/>
    <s v="Account Verification"/>
    <s v="Yes"/>
    <s v="Account Verification"/>
    <s v="Resolved"/>
    <n v="44"/>
    <s v="No drop-off"/>
    <n v="5"/>
    <n v="36"/>
    <n v="33"/>
    <x v="1"/>
    <n v="1"/>
    <n v="1"/>
    <n v="0"/>
    <n v="1"/>
  </r>
  <r>
    <s v="NSF-000179"/>
    <s v="USR-00146"/>
    <s v="SES-2502-50376"/>
    <d v="2025-02-24T00:00:00"/>
    <s v="South East"/>
    <s v="Reading"/>
    <x v="2"/>
    <s v="55-64"/>
    <s v="Male"/>
    <s v="Web"/>
    <s v="Desktop"/>
    <s v="7-12 months"/>
    <s v="Plus"/>
    <s v="App Store"/>
    <x v="0"/>
    <s v="Repeat Use"/>
    <s v="Progress Indicator"/>
    <s v="Treatment"/>
    <n v="7"/>
    <n v="7"/>
    <n v="218"/>
    <s v="No"/>
    <x v="0"/>
    <x v="1"/>
    <s v="No Error"/>
    <x v="0"/>
    <n v="11.57"/>
    <n v="0"/>
    <n v="0.17"/>
    <s v="No Support Contact"/>
    <s v="No"/>
    <s v="No Support Contact"/>
    <s v="Not Applicable"/>
    <m/>
    <s v="No drop-off"/>
    <n v="4"/>
    <n v="24"/>
    <n v="52"/>
    <x v="0"/>
    <n v="1"/>
    <n v="1"/>
    <n v="0"/>
    <n v="0"/>
  </r>
  <r>
    <s v="NSF-001024"/>
    <s v="USR-00177"/>
    <s v="SES-2512-38563"/>
    <d v="2025-12-21T00:00:00"/>
    <s v="East Midlands"/>
    <s v="Derby"/>
    <x v="0"/>
    <s v="35-44"/>
    <s v="Female"/>
    <s v="Android"/>
    <s v="Android Phone"/>
    <s v="3-6 months"/>
    <s v="Plus"/>
    <s v="Affiliate"/>
    <x v="2"/>
    <s v="Repeat Use"/>
    <s v="No Experiment"/>
    <s v="Control"/>
    <n v="5"/>
    <n v="5"/>
    <n v="108"/>
    <s v="No"/>
    <x v="0"/>
    <x v="1"/>
    <s v="No Error"/>
    <x v="0"/>
    <n v="113.52"/>
    <n v="0"/>
    <n v="0.17"/>
    <s v="No Support Contact"/>
    <s v="No"/>
    <s v="No Support Contact"/>
    <s v="Not Applicable"/>
    <m/>
    <s v="No drop-off"/>
    <n v="5"/>
    <n v="14"/>
    <n v="39"/>
    <x v="0"/>
    <n v="1"/>
    <n v="1"/>
    <n v="0"/>
    <n v="0"/>
  </r>
  <r>
    <s v="NSF-001389"/>
    <s v="USR-00264"/>
    <s v="SES-2605-81761"/>
    <d v="2026-11-05T00:00:00"/>
    <s v="East Midlands"/>
    <s v="Nottingham"/>
    <x v="0"/>
    <s v="18-24"/>
    <s v="Female"/>
    <s v="Android"/>
    <s v="Android Phone"/>
    <s v="3-6 months"/>
    <s v="Free"/>
    <s v="Paid Social"/>
    <x v="7"/>
    <s v="Reactivated"/>
    <s v="No Experiment"/>
    <s v="Control"/>
    <n v="4"/>
    <n v="2"/>
    <n v="122"/>
    <s v="Yes"/>
    <x v="0"/>
    <x v="1"/>
    <s v="No Error"/>
    <x v="0"/>
    <n v="112.65"/>
    <n v="0.46"/>
    <n v="0"/>
    <s v="No Support Contact"/>
    <s v="No"/>
    <s v="No Support Contact"/>
    <s v="Not Applicable"/>
    <m/>
    <s v="No drop-off"/>
    <n v="3"/>
    <n v="-9"/>
    <n v="26"/>
    <x v="0"/>
    <n v="1"/>
    <n v="1"/>
    <n v="0"/>
    <n v="0"/>
  </r>
  <r>
    <s v="NSF-000967"/>
    <s v="USR-00847"/>
    <s v="SES-2511-53526"/>
    <d v="2025-11-12T00:00:00"/>
    <s v="North East"/>
    <s v="Sunderland"/>
    <x v="0"/>
    <s v="18-24"/>
    <s v="Male"/>
    <s v="Ios"/>
    <s v="Iphone"/>
    <s v="1-2 years"/>
    <s v="Free"/>
    <s v="Paid Search"/>
    <x v="1"/>
    <s v="Reactivated"/>
    <s v="New Cta Copy"/>
    <s v="Control"/>
    <n v="4"/>
    <n v="4"/>
    <n v="124"/>
    <s v="No"/>
    <x v="1"/>
    <x v="1"/>
    <s v="No Error"/>
    <x v="0"/>
    <n v="92.4"/>
    <n v="0.2"/>
    <n v="0"/>
    <s v="No Support Contact"/>
    <s v="No"/>
    <s v="No Support Contact"/>
    <s v="Not Applicable"/>
    <m/>
    <s v="No drop-off"/>
    <n v="3"/>
    <n v="0"/>
    <n v="29"/>
    <x v="1"/>
    <n v="0"/>
    <n v="1"/>
    <n v="0"/>
    <n v="1"/>
  </r>
  <r>
    <s v="NSF-000483"/>
    <s v="USR-00133"/>
    <s v="SES-2506-53650"/>
    <d v="2025-06-27T00:00:00"/>
    <s v="London"/>
    <s v="Croydon"/>
    <x v="5"/>
    <s v="25-34"/>
    <s v="Female"/>
    <s v="Android"/>
    <s v="Android Phone"/>
    <s v="&lt;3 months"/>
    <s v="Free"/>
    <s v="Paid Social"/>
    <x v="5"/>
    <s v="Repeat Use"/>
    <s v="No Experiment"/>
    <s v="Control"/>
    <n v="8"/>
    <n v="8"/>
    <n v="244"/>
    <s v="No"/>
    <x v="1"/>
    <x v="1"/>
    <s v="No Error"/>
    <x v="1"/>
    <n v="0"/>
    <n v="0"/>
    <n v="0"/>
    <s v="No Support Contact"/>
    <s v="No"/>
    <s v="No Support Contact"/>
    <s v="Not Applicable"/>
    <m/>
    <s v="Too many steps"/>
    <n v="2"/>
    <n v="-8"/>
    <n v="29"/>
    <x v="1"/>
    <n v="0"/>
    <n v="0"/>
    <n v="0"/>
    <n v="1"/>
  </r>
  <r>
    <s v="NSF-000749"/>
    <s v="USR-00624"/>
    <s v="SES-2509-58463"/>
    <d v="2025-09-01T00:00:00"/>
    <s v="Yorkshire &amp; Humber"/>
    <s v="Hull"/>
    <x v="5"/>
    <s v="25-34"/>
    <s v="Male"/>
    <s v="Ios"/>
    <s v="Iphone"/>
    <s v="1-2 years"/>
    <s v="Plus"/>
    <s v="Referral"/>
    <x v="10"/>
    <s v="Repeat Use"/>
    <s v="Fee Transparency Panel"/>
    <s v="Control"/>
    <n v="9"/>
    <n v="9"/>
    <n v="244"/>
    <s v="No"/>
    <x v="1"/>
    <x v="1"/>
    <s v="No Error"/>
    <x v="1"/>
    <n v="0"/>
    <n v="0"/>
    <n v="0"/>
    <s v="No Support Contact"/>
    <s v="No"/>
    <s v="No Support Contact"/>
    <s v="Not Applicable"/>
    <m/>
    <s v="Privacy concern"/>
    <n v="2"/>
    <n v="2"/>
    <n v="4"/>
    <x v="1"/>
    <n v="0"/>
    <n v="0"/>
    <n v="0"/>
    <n v="1"/>
  </r>
  <r>
    <s v="NSF-000302"/>
    <s v="USR-00324"/>
    <s v="SES-2504-74275"/>
    <d v="2025-04-07T00:00:00"/>
    <s v="Wales"/>
    <s v="Newport"/>
    <x v="2"/>
    <s v="18-24"/>
    <s v="Male"/>
    <s v="Android"/>
    <s v="Android Phone"/>
    <s v="1-2 years"/>
    <s v="Free"/>
    <s v="Paid Social"/>
    <x v="0"/>
    <s v="Repeat Use"/>
    <s v="No Experiment"/>
    <s v="Control"/>
    <n v="7"/>
    <n v="7"/>
    <n v="215"/>
    <s v="No"/>
    <x v="0"/>
    <x v="1"/>
    <s v="No Error"/>
    <x v="1"/>
    <n v="0"/>
    <n v="0"/>
    <n v="0"/>
    <s v="No Support Contact"/>
    <s v="No"/>
    <s v="No Support Contact"/>
    <s v="Not Applicable"/>
    <m/>
    <s v="No drop-off"/>
    <n v="4"/>
    <n v="34"/>
    <n v="50"/>
    <x v="0"/>
    <n v="1"/>
    <n v="0"/>
    <n v="0"/>
    <n v="0"/>
  </r>
  <r>
    <s v="NSF-001250"/>
    <s v="USR-00808"/>
    <s v="SES-2603-34074"/>
    <d v="2026-03-07T00:00:00"/>
    <s v="East Midlands"/>
    <s v="Leicester"/>
    <x v="0"/>
    <s v="25-34"/>
    <s v="Female"/>
    <s v="Android"/>
    <s v="Android Phone"/>
    <s v="2+ years"/>
    <s v="Free"/>
    <s v="Paid Social"/>
    <x v="10"/>
    <s v="Reactivated"/>
    <s v="Simplified Onboarding"/>
    <s v="Control"/>
    <n v="9"/>
    <n v="6"/>
    <n v="376"/>
    <s v="Yes"/>
    <x v="1"/>
    <x v="1"/>
    <s v="No Error"/>
    <x v="1"/>
    <n v="0"/>
    <n v="0"/>
    <n v="0"/>
    <s v="Fees And Pricing"/>
    <s v="Yes"/>
    <s v="Fees And Pricing"/>
    <s v="Resolved"/>
    <n v="56"/>
    <s v="Instructions unclear"/>
    <n v="3"/>
    <n v="-5"/>
    <n v="45"/>
    <x v="1"/>
    <n v="0"/>
    <n v="0"/>
    <n v="0"/>
    <n v="1"/>
  </r>
  <r>
    <s v="NSF-000316"/>
    <s v="USR-00475"/>
    <s v="SES-2504-39124"/>
    <d v="2025-04-17T00:00:00"/>
    <s v="West Midlands"/>
    <s v="Coventry"/>
    <x v="0"/>
    <s v="35-44"/>
    <s v="Male"/>
    <s v="Ios"/>
    <s v="Iphone"/>
    <s v="3-6 months"/>
    <s v="Free"/>
    <s v="Affiliate"/>
    <x v="2"/>
    <s v="Repeat Use"/>
    <s v="No Experiment"/>
    <s v="Control"/>
    <n v="5"/>
    <n v="3"/>
    <n v="240"/>
    <s v="Yes"/>
    <x v="0"/>
    <x v="1"/>
    <s v="No Error"/>
    <x v="0"/>
    <n v="124.3"/>
    <n v="0"/>
    <n v="0"/>
    <s v="No Support Contact"/>
    <s v="No"/>
    <s v="No Support Contact"/>
    <s v="Not Applicable"/>
    <m/>
    <s v="No drop-off"/>
    <n v="3"/>
    <n v="34"/>
    <n v="21"/>
    <x v="1"/>
    <n v="1"/>
    <n v="1"/>
    <n v="0"/>
    <n v="1"/>
  </r>
  <r>
    <s v="NSF-000689"/>
    <s v="USR-00131"/>
    <s v="SES-2508-43995"/>
    <d v="2025-08-04T00:00:00"/>
    <s v="North East"/>
    <s v="Sunderland"/>
    <x v="2"/>
    <s v="25-34"/>
    <s v="Female"/>
    <s v="Ios"/>
    <s v="Iphone"/>
    <s v="&lt;3 months"/>
    <s v="Free"/>
    <s v="App Store"/>
    <x v="2"/>
    <s v="Repeat Use"/>
    <s v="Progress Indicator"/>
    <s v="Treatment"/>
    <n v="5"/>
    <n v="5"/>
    <n v="104"/>
    <s v="No"/>
    <x v="0"/>
    <x v="1"/>
    <s v="No Error"/>
    <x v="0"/>
    <n v="52.06"/>
    <n v="0"/>
    <n v="0"/>
    <s v="No Support Contact"/>
    <s v="No"/>
    <s v="No Support Contact"/>
    <s v="Not Applicable"/>
    <m/>
    <s v="No drop-off"/>
    <n v="4"/>
    <n v="75"/>
    <s v="27 days"/>
    <x v="0"/>
    <n v="1"/>
    <n v="1"/>
    <n v="0"/>
    <n v="0"/>
  </r>
  <r>
    <s v="NSF-000378"/>
    <s v="USR-00045"/>
    <s v="SES-2504-37356"/>
    <d v="2025-04-28T00:00:00"/>
    <s v="Northern Ireland"/>
    <s v="Belfast"/>
    <x v="0"/>
    <s v="18-24"/>
    <s v="Female"/>
    <s v="Android"/>
    <s v="Android Phone"/>
    <s v="7-12 months"/>
    <s v="Free"/>
    <s v="Paid Social"/>
    <x v="1"/>
    <s v="Repeat Use"/>
    <s v="No Experiment"/>
    <s v="Control"/>
    <n v="4"/>
    <n v="4"/>
    <n v="124"/>
    <s v="No"/>
    <x v="0"/>
    <x v="1"/>
    <s v="No Error"/>
    <x v="0"/>
    <n v="225.09"/>
    <n v="0.18"/>
    <n v="0"/>
    <s v="No Support Contact"/>
    <s v="No"/>
    <s v="No Support Contact"/>
    <s v="Not Applicable"/>
    <m/>
    <s v="No drop-off"/>
    <n v="4"/>
    <n v="71"/>
    <n v="35"/>
    <x v="1"/>
    <n v="1"/>
    <n v="1"/>
    <n v="0"/>
    <n v="1"/>
  </r>
  <r>
    <s v="NSF-001321"/>
    <s v="USR-00755"/>
    <s v="SES-2604-39031"/>
    <d v="2026-04-26T00:00:00"/>
    <s v="West Midlands"/>
    <s v="Birmingham"/>
    <x v="5"/>
    <s v="55-64"/>
    <s v="Male"/>
    <s v="Web"/>
    <s v="Desktop"/>
    <s v="1-2 years"/>
    <s v="Premium"/>
    <s v="App Store"/>
    <x v="3"/>
    <s v="Repeat Use"/>
    <s v="Progress Indicator"/>
    <s v="Control"/>
    <n v="6"/>
    <n v="6"/>
    <n v="136"/>
    <s v="No"/>
    <x v="1"/>
    <x v="1"/>
    <s v="No Error"/>
    <x v="0"/>
    <n v="104.14"/>
    <n v="0.1"/>
    <n v="0.37"/>
    <s v="No Support Contact"/>
    <s v="No"/>
    <s v="No Support Contact"/>
    <s v="Not Applicable"/>
    <m/>
    <s v="No drop-off"/>
    <n v="3"/>
    <n v="-11"/>
    <n v="40"/>
    <x v="0"/>
    <n v="0"/>
    <n v="1"/>
    <n v="0"/>
    <n v="0"/>
  </r>
  <r>
    <s v="NSF-000969"/>
    <s v="usr-00356"/>
    <s v="SES-2511-12401"/>
    <d v="2025-11-22T00:00:00"/>
    <s v="South West"/>
    <s v="Gloucester"/>
    <x v="3"/>
    <s v="18-24"/>
    <s v="Female"/>
    <s v="Android"/>
    <s v="Android Phone"/>
    <s v="&lt;3 months"/>
    <s v="Premium"/>
    <s v="Affiliate"/>
    <x v="10"/>
    <s v="Repeat Use"/>
    <s v="No Experiment"/>
    <s v="Control"/>
    <n v="9"/>
    <n v="9"/>
    <n v="218"/>
    <s v="No"/>
    <x v="0"/>
    <x v="1"/>
    <s v="No Error"/>
    <x v="1"/>
    <n v="0"/>
    <n v="0"/>
    <n v="0"/>
    <s v="No Support Contact"/>
    <s v="No"/>
    <s v="No Support Contact"/>
    <s v="Not Applicable"/>
    <m/>
    <s v="No drop-off"/>
    <n v="4"/>
    <n v="2"/>
    <n v="6"/>
    <x v="1"/>
    <n v="1"/>
    <n v="0"/>
    <n v="0"/>
    <n v="1"/>
  </r>
  <r>
    <s v="NSF-000026"/>
    <s v="USR-00439"/>
    <s v="SES-2501-60130"/>
    <d v="2025-01-03T00:00:00"/>
    <s v="London"/>
    <s v="Croydon"/>
    <x v="3"/>
    <s v="45-54"/>
    <s v="Non-Binary"/>
    <s v="Web"/>
    <s v="Desktop"/>
    <s v="1-2 years"/>
    <s v="Free"/>
    <s v="Paid Social"/>
    <x v="1"/>
    <s v="Repeat Use"/>
    <s v="No Experiment"/>
    <s v="Control"/>
    <n v="4"/>
    <n v="4"/>
    <n v="106"/>
    <s v="No"/>
    <x v="1"/>
    <x v="0"/>
    <s v="Transfer Pending"/>
    <x v="1"/>
    <n v="0"/>
    <n v="0"/>
    <n v="0"/>
    <s v="No Support Contact"/>
    <s v="No"/>
    <s v="No Support Contact"/>
    <s v="Not Applicable"/>
    <m/>
    <s v="Technical error"/>
    <n v="3"/>
    <n v="17"/>
    <n v="21"/>
    <x v="0"/>
    <n v="0"/>
    <n v="0"/>
    <n v="1"/>
    <n v="0"/>
  </r>
  <r>
    <s v="NSF-000855"/>
    <s v="USR-00040"/>
    <s v="SES-2510-70186"/>
    <d v="2025-10-18T00:00:00"/>
    <s v="South West"/>
    <s v="Plymouth"/>
    <x v="4"/>
    <s v="35-44"/>
    <s v="Female"/>
    <s v="Android"/>
    <s v="Android Phone"/>
    <s v="7-12 months"/>
    <s v="Free"/>
    <s v="App Store"/>
    <x v="0"/>
    <s v="Reactivated"/>
    <s v="Contextual Help"/>
    <s v="Unknown"/>
    <n v="7"/>
    <n v="5"/>
    <n v="319"/>
    <s v="Yes"/>
    <x v="0"/>
    <x v="1"/>
    <s v="No Error"/>
    <x v="0"/>
    <n v="0"/>
    <n v="0"/>
    <n v="0"/>
    <s v="No Support Contact"/>
    <s v="No"/>
    <s v="No Support Contact"/>
    <s v="Not Applicable"/>
    <m/>
    <s v="No drop-off"/>
    <n v="3"/>
    <n v="-36"/>
    <n v="58"/>
    <x v="0"/>
    <n v="1"/>
    <n v="1"/>
    <n v="0"/>
    <n v="0"/>
  </r>
  <r>
    <s v="NSF-000728"/>
    <s v="USR-00134"/>
    <s v="SES-2508-27402"/>
    <d v="2025-08-06T00:00:00"/>
    <s v="East England"/>
    <s v="Luton"/>
    <x v="0"/>
    <s v="55-64"/>
    <s v="Female"/>
    <s v="Android"/>
    <s v="Android Phone"/>
    <s v="1-2 years"/>
    <s v="Free"/>
    <s v="Organic Search"/>
    <x v="2"/>
    <s v="First Use"/>
    <s v="No Experiment"/>
    <s v="Control"/>
    <s v="5 steps"/>
    <n v="5"/>
    <n v="130"/>
    <s v="No"/>
    <x v="0"/>
    <x v="1"/>
    <s v="No Error"/>
    <x v="0"/>
    <n v="38.25"/>
    <n v="0"/>
    <n v="0"/>
    <s v="No Support Contact"/>
    <s v="No"/>
    <s v="No Support Contact"/>
    <s v="Not Applicable"/>
    <m/>
    <s v="No drop-off"/>
    <n v="4"/>
    <n v="-14"/>
    <n v="0"/>
    <x v="1"/>
    <n v="1"/>
    <n v="1"/>
    <n v="0"/>
    <n v="1"/>
  </r>
  <r>
    <s v="NSF-000758"/>
    <s v="USR-00570"/>
    <s v="SES-2509-15252"/>
    <d v="2025-09-12T00:00:00"/>
    <s v="Northern Ireland"/>
    <s v="BELFAST"/>
    <x v="5"/>
    <s v="35-44"/>
    <s v="Male"/>
    <s v="Web"/>
    <s v="Desktop"/>
    <s v="1-2 years"/>
    <s v="Free"/>
    <s v="Referral"/>
    <x v="1"/>
    <s v="First Use"/>
    <s v="Progress Indicator"/>
    <s v="Treatment"/>
    <n v="4"/>
    <s v="4 steps"/>
    <n v="85"/>
    <s v="No"/>
    <x v="0"/>
    <x v="1"/>
    <s v="No Error"/>
    <x v="0"/>
    <n v="151.16"/>
    <n v="0.21"/>
    <n v="0"/>
    <s v="No Support Contact"/>
    <s v="No"/>
    <s v="No Support Contact"/>
    <s v="Not Applicable"/>
    <m/>
    <s v="No drop-off"/>
    <n v="4"/>
    <n v="48"/>
    <n v="0"/>
    <x v="1"/>
    <n v="1"/>
    <n v="1"/>
    <n v="0"/>
    <n v="1"/>
  </r>
  <r>
    <s v="NSF-001347"/>
    <s v="USR-00771"/>
    <s v="SES-2604-23064"/>
    <d v="2026-04-09T00:00:00"/>
    <s v="Yorkshire &amp; Humber"/>
    <s v="Hull"/>
    <x v="0"/>
    <s v="35-44"/>
    <s v="Female"/>
    <s v="Android"/>
    <s v="Android Phone"/>
    <s v="3-6 months"/>
    <s v="Premium"/>
    <s v="Employer Partnership"/>
    <x v="8"/>
    <s v="First Use"/>
    <s v="No Experiment"/>
    <s v="Control"/>
    <n v="5"/>
    <n v="5"/>
    <n v="145"/>
    <s v="No"/>
    <x v="1"/>
    <x v="1"/>
    <s v="No Error"/>
    <x v="1"/>
    <n v="0"/>
    <n v="0"/>
    <n v="0"/>
    <s v="No Support Contact"/>
    <s v="No"/>
    <s v="No Support Contact"/>
    <s v="Not Applicable"/>
    <n v="-5"/>
    <s v="No drop-off"/>
    <n v="5"/>
    <n v="-2"/>
    <n v="0"/>
    <x v="1"/>
    <n v="0"/>
    <n v="0"/>
    <n v="0"/>
    <n v="1"/>
  </r>
  <r>
    <s v="NSF-001481"/>
    <s v="USR-00363"/>
    <s v="SES-2506-39497"/>
    <d v="2025-06-10T00:00:00"/>
    <s v="East England"/>
    <s v="Luton"/>
    <x v="0"/>
    <s v="25-34"/>
    <s v="Female"/>
    <s v="Web"/>
    <s v="Desktop"/>
    <s v="1-2 years"/>
    <s v="Free"/>
    <s v="Paid Search"/>
    <x v="0"/>
    <s v="Reactivated"/>
    <s v="Fee Transparency Panel"/>
    <s v="Treatment"/>
    <n v="7"/>
    <n v="5"/>
    <n v="251"/>
    <s v="Yes"/>
    <x v="0"/>
    <x v="1"/>
    <s v="No Error"/>
    <x v="0"/>
    <n v="80.930000000000007"/>
    <n v="0"/>
    <n v="0"/>
    <s v="No Support Contact"/>
    <s v="No"/>
    <s v="No Support Contact"/>
    <s v="Not Applicable"/>
    <m/>
    <s v="No drop-off"/>
    <n v="8"/>
    <n v="-3"/>
    <n v="37"/>
    <x v="1"/>
    <n v="1"/>
    <n v="1"/>
    <n v="0"/>
    <n v="1"/>
  </r>
  <r>
    <s v="NSF-000800"/>
    <s v="USR-00807"/>
    <s v="SES-2509-64480"/>
    <d v="2025-11-09T00:00:00"/>
    <s v="Wales"/>
    <s v="Cardiff"/>
    <x v="3"/>
    <s v="18-24"/>
    <s v="Female"/>
    <s v="Android"/>
    <s v="Android Tablet"/>
    <s v="&lt;3 months"/>
    <s v="Plus"/>
    <s v="Employer Partnership"/>
    <x v="3"/>
    <s v="Trial/Exploration"/>
    <s v="No Experiment"/>
    <s v="Control"/>
    <n v="6"/>
    <n v="6"/>
    <n v="151"/>
    <s v="No"/>
    <x v="1"/>
    <x v="1"/>
    <s v="No Error"/>
    <x v="1"/>
    <n v="0"/>
    <n v="0"/>
    <n v="0"/>
    <s v="Feature Navigation"/>
    <s v="Yes"/>
    <s v="Feature Navigation"/>
    <s v="Resolved"/>
    <n v="7"/>
    <s v="No drop-off"/>
    <n v="3"/>
    <n v="12"/>
    <n v="9"/>
    <x v="0"/>
    <n v="0"/>
    <n v="0"/>
    <n v="0"/>
    <n v="0"/>
  </r>
  <r>
    <s v="NSF-000320"/>
    <s v="USR-00774"/>
    <s v="SES-2504-25222"/>
    <d v="2025-04-27T00:00:00"/>
    <s v="Scotland"/>
    <s v="Dundee"/>
    <x v="3"/>
    <s v="18-24"/>
    <s v="Male"/>
    <s v="Ios"/>
    <s v="Iphone"/>
    <s v="2+ years"/>
    <s v="Plus"/>
    <s v="App Store"/>
    <x v="3"/>
    <s v="First Use"/>
    <s v="Progress Indicator"/>
    <s v="Treatment"/>
    <n v="6"/>
    <s v="4 steps"/>
    <n v="228"/>
    <s v="Yes"/>
    <x v="1"/>
    <x v="1"/>
    <s v="No Error"/>
    <x v="1"/>
    <n v="0"/>
    <n v="0"/>
    <n v="0"/>
    <s v="No Support Contact"/>
    <s v="No"/>
    <s v="No Support Contact"/>
    <s v="Not Applicable"/>
    <m/>
    <s v="Instructions unclear"/>
    <n v="3"/>
    <n v="16"/>
    <n v="0"/>
    <x v="0"/>
    <n v="0"/>
    <n v="0"/>
    <n v="0"/>
    <n v="0"/>
  </r>
  <r>
    <s v="NSF-001395"/>
    <s v="USR-00293"/>
    <s v="SES-2605-19864"/>
    <d v="2026-05-11T00:00:00"/>
    <s v="East Midlands"/>
    <s v="Derby"/>
    <x v="1"/>
    <s v="35-44"/>
    <s v="Female"/>
    <s v="Android"/>
    <s v="Android Phone"/>
    <s v="&lt;3 months"/>
    <s v="Free"/>
    <s v="Direct"/>
    <x v="10"/>
    <s v="First Use"/>
    <s v="Progress Indicator"/>
    <s v="Treatment"/>
    <n v="9"/>
    <n v="9"/>
    <n v="273"/>
    <s v="No"/>
    <x v="1"/>
    <x v="1"/>
    <s v="No Error"/>
    <x v="1"/>
    <n v="0"/>
    <n v="0"/>
    <n v="0"/>
    <s v="No Support Contact"/>
    <s v="No"/>
    <s v="No Support Contact"/>
    <s v="Not Applicable"/>
    <m/>
    <s v="No drop-off"/>
    <n v="4"/>
    <n v="10"/>
    <n v="0"/>
    <x v="1"/>
    <n v="0"/>
    <n v="0"/>
    <n v="0"/>
    <n v="1"/>
  </r>
  <r>
    <s v="NSF-000339"/>
    <s v="USR-00039"/>
    <s v="SES-2504-45131"/>
    <d v="2025-04-27T00:00:00"/>
    <s v="West Midlands"/>
    <s v="Solihull"/>
    <x v="2"/>
    <s v="25-34"/>
    <s v="Male"/>
    <s v="Android"/>
    <s v="Android Phone"/>
    <s v="7-12 months"/>
    <s v="Premium"/>
    <s v="Organic Search"/>
    <x v="8"/>
    <s v="Repeat Use"/>
    <s v="Simplified Onboarding"/>
    <s v="Control"/>
    <s v="5 steps"/>
    <n v="3"/>
    <n v="315"/>
    <s v="Yes"/>
    <x v="0"/>
    <x v="0"/>
    <s v="Reward Not Tracked"/>
    <x v="0"/>
    <n v="87.59"/>
    <n v="0"/>
    <n v="0.37"/>
    <s v="No Support Contact"/>
    <s v="Unknown"/>
    <s v="No Support Contact"/>
    <s v="Not Applicable"/>
    <m/>
    <s v="No drop-off"/>
    <n v="2"/>
    <n v="-36"/>
    <n v="1"/>
    <x v="1"/>
    <n v="1"/>
    <n v="1"/>
    <n v="1"/>
    <n v="1"/>
  </r>
  <r>
    <s v="NSF-001402"/>
    <s v="USR-00640"/>
    <s v="SES-2605-24049"/>
    <d v="2026-05-10T00:00:00"/>
    <s v="Northern Ireland"/>
    <s v="Belfast"/>
    <x v="5"/>
    <s v="65+"/>
    <s v="Female"/>
    <s v="Web"/>
    <s v="Mobile Browser"/>
    <s v="7-12 months"/>
    <s v="Free"/>
    <s v="App Store"/>
    <x v="0"/>
    <s v="First Use"/>
    <s v="No Experiment"/>
    <s v="Control"/>
    <n v="7"/>
    <n v="7"/>
    <n v="216"/>
    <s v="No"/>
    <x v="0"/>
    <x v="0"/>
    <s v="Too Many Steps"/>
    <x v="1"/>
    <n v="0"/>
    <n v="0"/>
    <n v="0"/>
    <s v="No Support Contact"/>
    <s v="No"/>
    <s v="No Support Contact"/>
    <s v="Not Applicable"/>
    <m/>
    <s v="No drop-off"/>
    <n v="3"/>
    <n v="-29"/>
    <n v="0"/>
    <x v="0"/>
    <n v="1"/>
    <n v="0"/>
    <n v="1"/>
    <n v="0"/>
  </r>
  <r>
    <s v="NSF-001087"/>
    <s v="USR-00101"/>
    <s v="SES-2601-45171"/>
    <d v="2026-01-24T00:00:00"/>
    <s v="Scotland"/>
    <s v="Aberdeen"/>
    <x v="4"/>
    <s v="45-54"/>
    <s v="Male"/>
    <s v="Ios"/>
    <s v="Iphone"/>
    <s v="&lt;3 months"/>
    <s v="Free"/>
    <s v="Organic Search"/>
    <x v="5"/>
    <s v="Reactivated"/>
    <s v="Simplified Onboarding"/>
    <s v="Control"/>
    <n v="8"/>
    <n v="8"/>
    <n v="189"/>
    <s v="No"/>
    <x v="0"/>
    <x v="1"/>
    <s v="No Error"/>
    <x v="0"/>
    <n v="412.54"/>
    <n v="2.5499999999999998"/>
    <n v="0"/>
    <s v="No Support Contact"/>
    <s v="No"/>
    <s v="No Support Contact"/>
    <s v="Not Applicable"/>
    <m/>
    <s v="No drop-off"/>
    <n v="4"/>
    <n v="-12"/>
    <n v="44"/>
    <x v="1"/>
    <n v="1"/>
    <n v="1"/>
    <n v="0"/>
    <n v="1"/>
  </r>
  <r>
    <s v="NSF-000702"/>
    <s v="USR-00224"/>
    <s v="SES-2508-97761"/>
    <d v="2025-08-17T00:00:00"/>
    <s v="South East"/>
    <s v="Brighton"/>
    <x v="2"/>
    <s v="25-34"/>
    <s v="Female"/>
    <s v="Android"/>
    <s v="Android Phone"/>
    <s v="3-6 months"/>
    <s v="Free"/>
    <s v="Paid Search"/>
    <x v="5"/>
    <s v="Reactivated"/>
    <s v="Simplified Onboarding"/>
    <s v="Treatment"/>
    <n v="8"/>
    <s v="4 steps"/>
    <n v="295"/>
    <s v="Yes"/>
    <x v="0"/>
    <x v="1"/>
    <s v="No Error"/>
    <x v="0"/>
    <n v="387.25"/>
    <n v="2.62"/>
    <n v="0"/>
    <s v="No Support Contact"/>
    <s v="No"/>
    <s v="No Support Contact"/>
    <s v="Not Applicable"/>
    <m/>
    <s v="No drop-off"/>
    <n v="4"/>
    <n v="-29"/>
    <n v="3"/>
    <x v="1"/>
    <n v="1"/>
    <n v="1"/>
    <n v="0"/>
    <n v="1"/>
  </r>
  <r>
    <s v="NSF-001264"/>
    <s v="USR-00630"/>
    <s v="SES-2603-97544"/>
    <d v="2026-03-13T00:00:00"/>
    <s v="North East"/>
    <s v="Middlesbrough"/>
    <x v="3"/>
    <s v="35-44"/>
    <s v="Male"/>
    <s v="Android"/>
    <s v="Android Phone"/>
    <s v="3-6 months"/>
    <s v="Free"/>
    <s v="App Store"/>
    <x v="3"/>
    <s v="Trial/Exploration"/>
    <s v="No Experiment"/>
    <s v="Control"/>
    <n v="6"/>
    <n v="6"/>
    <n v="182"/>
    <s v="No"/>
    <x v="1"/>
    <x v="1"/>
    <s v="No Error"/>
    <x v="1"/>
    <n v="0"/>
    <n v="0"/>
    <n v="0"/>
    <s v="No Support Contact"/>
    <s v="No"/>
    <s v="No Support Contact"/>
    <s v="Not Applicable"/>
    <m/>
    <s v="Too many steps"/>
    <n v="3"/>
    <n v="32"/>
    <n v="54"/>
    <x v="1"/>
    <n v="0"/>
    <n v="0"/>
    <n v="0"/>
    <n v="1"/>
  </r>
  <r>
    <s v="NSF-000087"/>
    <s v="USR-00587"/>
    <s v="SES-2501-60571"/>
    <d v="2025-01-30T00:00:00"/>
    <s v="London"/>
    <s v="Hackney"/>
    <x v="2"/>
    <s v="25-34"/>
    <s v="Female"/>
    <s v="Android"/>
    <s v="Android Phone"/>
    <s v="1-2 years"/>
    <s v="Free"/>
    <s v="Paid Social"/>
    <x v="10"/>
    <s v="Repeat Use"/>
    <s v="No Experiment"/>
    <s v="Control"/>
    <n v="9"/>
    <n v="9"/>
    <n v="182"/>
    <s v="No"/>
    <x v="0"/>
    <x v="1"/>
    <s v="No Error"/>
    <x v="1"/>
    <n v="0"/>
    <n v="0"/>
    <n v="0"/>
    <s v="No Support Contact"/>
    <s v="No"/>
    <s v="No Support Contact"/>
    <s v="Not Applicable"/>
    <m/>
    <s v="No drop-off"/>
    <n v="4"/>
    <n v="-1"/>
    <n v="25"/>
    <x v="1"/>
    <n v="1"/>
    <n v="0"/>
    <n v="0"/>
    <n v="1"/>
  </r>
  <r>
    <s v="NSF-000209"/>
    <s v="USR-00768"/>
    <s v="SES-2503-69009"/>
    <d v="2025-03-11T00:00:00"/>
    <s v="South West"/>
    <s v="Plymouth"/>
    <x v="1"/>
    <s v="35-44"/>
    <s v="Male"/>
    <s v="Android"/>
    <s v="Android Phone"/>
    <s v="1-2 years"/>
    <s v="Free"/>
    <s v="Referral"/>
    <x v="3"/>
    <s v="Repeat Use"/>
    <s v="No Experiment"/>
    <s v="Control"/>
    <n v="6"/>
    <n v="3"/>
    <n v="153"/>
    <s v="Yes"/>
    <x v="1"/>
    <x v="1"/>
    <s v="No Error"/>
    <x v="1"/>
    <n v="0"/>
    <n v="0"/>
    <n v="0"/>
    <s v="No Support Contact"/>
    <s v="No"/>
    <s v="No Support Contact"/>
    <s v="Not Applicable"/>
    <m/>
    <s v="Instructions unclear"/>
    <n v="4"/>
    <n v="16"/>
    <n v="32"/>
    <x v="0"/>
    <n v="0"/>
    <n v="0"/>
    <n v="0"/>
    <n v="0"/>
  </r>
  <r>
    <s v="NSF-000256"/>
    <s v="USR-00435"/>
    <s v="SES-2503-72749"/>
    <d v="2025-03-10T00:00:00"/>
    <s v="Wales"/>
    <s v="Newport"/>
    <x v="7"/>
    <s v="25-34"/>
    <s v="Female"/>
    <s v="Ios"/>
    <s v="Iphone"/>
    <s v="2+ years"/>
    <s v="Plus"/>
    <s v="Paid Search"/>
    <x v="5"/>
    <s v="Trial/Exploration"/>
    <s v="Simplified Onboarding"/>
    <s v="Control"/>
    <n v="8"/>
    <n v="8"/>
    <n v="164"/>
    <s v="No"/>
    <x v="0"/>
    <x v="1"/>
    <s v="No Error"/>
    <x v="0"/>
    <n v="461.82"/>
    <n v="2.2400000000000002"/>
    <n v="0.17"/>
    <s v="No Support Contact"/>
    <s v="No"/>
    <s v="No Support Contact"/>
    <s v="Not Applicable"/>
    <m/>
    <s v="No drop-off"/>
    <n v="3"/>
    <n v="-38"/>
    <n v="48"/>
    <x v="0"/>
    <n v="1"/>
    <n v="1"/>
    <n v="0"/>
    <n v="0"/>
  </r>
  <r>
    <s v="NSF-001338"/>
    <s v="USR-00145"/>
    <s v="SES-2604-74004"/>
    <d v="2026-04-19T00:00:00"/>
    <s v="Wales"/>
    <s v="Wrexham"/>
    <x v="7"/>
    <s v="25-34"/>
    <s v="Female"/>
    <s v="Android"/>
    <s v="Android Phone"/>
    <s v="1-2 years"/>
    <s v="Plus"/>
    <s v="Direct"/>
    <x v="3"/>
    <s v="First Use"/>
    <s v="Simplified Onboarding"/>
    <s v="Treatment"/>
    <n v="6"/>
    <n v="4"/>
    <n v="358"/>
    <s v="Yes"/>
    <x v="0"/>
    <x v="0"/>
    <s v="Contact Permission Denied"/>
    <x v="1"/>
    <n v="0"/>
    <n v="0"/>
    <n v="0"/>
    <s v="No Support Contact"/>
    <s v="No"/>
    <s v="No Support Contact"/>
    <s v="Not Applicable"/>
    <m/>
    <s v="No drop-off"/>
    <n v="2"/>
    <n v="6"/>
    <n v="0"/>
    <x v="1"/>
    <n v="1"/>
    <n v="0"/>
    <n v="1"/>
    <n v="1"/>
  </r>
  <r>
    <s v="NSF-000684"/>
    <s v="USR-00093"/>
    <s v="SES-2508-93668"/>
    <d v="2025-08-14T00:00:00"/>
    <s v="North East"/>
    <s v="Durham"/>
    <x v="2"/>
    <s v="35-44"/>
    <s v="Female"/>
    <s v="Ios"/>
    <s v="Iphone"/>
    <s v="7-12 months"/>
    <s v="Free"/>
    <s v="Paid Search"/>
    <x v="3"/>
    <s v="Repeat Use"/>
    <s v="No Experiment"/>
    <s v="Control"/>
    <n v="6"/>
    <s v="3 steps"/>
    <n v="295"/>
    <s v="Yes"/>
    <x v="1"/>
    <x v="0"/>
    <s v="Friend Not Found"/>
    <x v="1"/>
    <n v="0"/>
    <n v="0"/>
    <n v="0"/>
    <s v="No Support Contact"/>
    <s v="No"/>
    <s v="No Support Contact"/>
    <s v="Not Applicable"/>
    <m/>
    <s v="Instructions unclear"/>
    <n v="3"/>
    <n v="-29"/>
    <n v="17"/>
    <x v="0"/>
    <n v="0"/>
    <n v="0"/>
    <n v="1"/>
    <n v="0"/>
  </r>
  <r>
    <s v="NSF-001401"/>
    <s v="USR-00721"/>
    <s v="SES-2605-21812"/>
    <d v="2026-05-08T00:00:00"/>
    <s v="South West"/>
    <s v="Bristol"/>
    <x v="0"/>
    <s v="35-44"/>
    <s v="Female"/>
    <s v="Ios"/>
    <s v="Iphone"/>
    <s v="&lt;3 months"/>
    <s v="Free"/>
    <s v="Paid Search"/>
    <x v="3"/>
    <s v="First Use"/>
    <s v="New Cta Copy"/>
    <s v="Control"/>
    <n v="6"/>
    <n v="6"/>
    <n v="117"/>
    <s v="No"/>
    <x v="0"/>
    <x v="1"/>
    <s v="No Error"/>
    <x v="0"/>
    <n v="80.489999999999995"/>
    <n v="0.09"/>
    <n v="0"/>
    <s v="No Support Contact"/>
    <s v="No"/>
    <s v="No Support Contact"/>
    <s v="Not Applicable"/>
    <m/>
    <s v="No drop-off"/>
    <n v="4"/>
    <n v="-35"/>
    <n v="0"/>
    <x v="1"/>
    <n v="1"/>
    <n v="1"/>
    <n v="0"/>
    <n v="1"/>
  </r>
  <r>
    <s v="NSF-000762"/>
    <s v="USR-00397"/>
    <s v="SES-2509-93251"/>
    <d v="2025-09-16T00:00:00"/>
    <s v="North West"/>
    <s v="Liverpool"/>
    <x v="2"/>
    <s v="25-34"/>
    <s v="Prefer Not To Say"/>
    <s v="Ios"/>
    <s v="Iphone"/>
    <s v="7-12 months"/>
    <s v="Free"/>
    <s v="Organic Search"/>
    <x v="1"/>
    <s v="Repeat Use"/>
    <s v="Simplified Onboarding"/>
    <s v="Treatment"/>
    <s v="4 steps"/>
    <n v="4"/>
    <n v="90"/>
    <s v="No"/>
    <x v="0"/>
    <x v="1"/>
    <s v="No Error"/>
    <x v="0"/>
    <n v="111.02"/>
    <n v="0.2"/>
    <n v="0"/>
    <s v="No Support Contact"/>
    <s v="No"/>
    <s v="No Support Contact"/>
    <s v="Not Applicable"/>
    <m/>
    <s v="No drop-off"/>
    <n v="4"/>
    <n v="47"/>
    <n v="31"/>
    <x v="1"/>
    <n v="1"/>
    <n v="1"/>
    <n v="0"/>
    <n v="1"/>
  </r>
  <r>
    <s v="NSF-000411"/>
    <s v="USR-00011"/>
    <s v="SES-2505-42518"/>
    <d v="2025-05-21T00:00:00"/>
    <s v="North West"/>
    <s v="Chester"/>
    <x v="3"/>
    <s v="35-44"/>
    <s v="Male"/>
    <s v="Ios"/>
    <s v="Iphone"/>
    <s v="1-2 years"/>
    <s v="Free"/>
    <s v="Referral"/>
    <x v="1"/>
    <s v="Reactivated"/>
    <s v="No Experiment"/>
    <s v="Control"/>
    <n v="4"/>
    <n v="4"/>
    <n v="72"/>
    <s v="No"/>
    <x v="0"/>
    <x v="1"/>
    <s v="No Error"/>
    <x v="0"/>
    <n v="156.32"/>
    <n v="0.19"/>
    <n v="0"/>
    <s v="No Support Contact"/>
    <s v="No"/>
    <s v="No Support Contact"/>
    <s v="Not Applicable"/>
    <m/>
    <s v="No drop-off"/>
    <n v="5"/>
    <n v="50"/>
    <n v="43"/>
    <x v="1"/>
    <n v="1"/>
    <n v="1"/>
    <n v="0"/>
    <n v="1"/>
  </r>
  <r>
    <s v="NSF-000578"/>
    <s v="USR-00853"/>
    <s v="SES-2507-60464"/>
    <d v="2025-07-02T00:00:00"/>
    <s v="West Midlands"/>
    <s v="Wolverhampton"/>
    <x v="4"/>
    <s v="55-64"/>
    <s v="Female"/>
    <s v="Web"/>
    <s v="Desktop"/>
    <s v="1-2 years"/>
    <s v="Plus"/>
    <s v="App Store"/>
    <x v="7"/>
    <s v="Trial/Exploration"/>
    <s v="Fee Transparency Panel"/>
    <s v="Treatment"/>
    <n v="4"/>
    <n v="3"/>
    <n v="103"/>
    <s v="Yes"/>
    <x v="1"/>
    <x v="1"/>
    <s v="No Error"/>
    <x v="1"/>
    <n v="0"/>
    <n v="0"/>
    <n v="0"/>
    <s v="No Support Contact"/>
    <s v="No"/>
    <s v="No Support Contact"/>
    <s v="Not Applicable"/>
    <m/>
    <s v="Changed mind"/>
    <n v="3"/>
    <n v="13"/>
    <n v="31"/>
    <x v="0"/>
    <n v="0"/>
    <n v="0"/>
    <n v="0"/>
    <n v="0"/>
  </r>
  <r>
    <s v="NSF-000636"/>
    <s v="USR-00105"/>
    <s v="SES-2507-75931"/>
    <d v="2025-07-29T00:00:00"/>
    <s v="North East"/>
    <s v="Sunderland"/>
    <x v="1"/>
    <s v="25-34"/>
    <s v="Female"/>
    <s v="Android"/>
    <s v="Android Phone"/>
    <s v="1-2 years"/>
    <s v="Free"/>
    <s v="Paid Social"/>
    <x v="4"/>
    <s v="Trial/Exploration"/>
    <s v="Simplified Onboarding"/>
    <s v="Treatment"/>
    <n v="6"/>
    <n v="6"/>
    <n v="160"/>
    <s v="No"/>
    <x v="1"/>
    <x v="1"/>
    <s v="No Error"/>
    <x v="1"/>
    <n v="0"/>
    <n v="0"/>
    <n v="0"/>
    <s v="No Support Contact"/>
    <s v="No"/>
    <s v="No Support Contact"/>
    <s v="Not Applicable"/>
    <m/>
    <s v="Too many steps"/>
    <n v="4"/>
    <n v="21"/>
    <n v="24"/>
    <x v="2"/>
    <n v="0"/>
    <n v="0"/>
    <n v="0"/>
    <n v="0"/>
  </r>
  <r>
    <s v="NSF-001152"/>
    <s v="USR-00184"/>
    <s v="SES-2602-95138"/>
    <d v="2026-02-09T00:00:00"/>
    <s v="Yorkshire &amp; Humber"/>
    <s v="York"/>
    <x v="5"/>
    <s v="25-34"/>
    <s v="Male"/>
    <s v="Web"/>
    <s v="Desktop"/>
    <s v="2+ years"/>
    <s v="Free"/>
    <s v="Paid Search"/>
    <x v="4"/>
    <s v="Trial/Exploration"/>
    <s v="No Experiment"/>
    <s v="Control"/>
    <n v="6"/>
    <n v="4"/>
    <n v="201"/>
    <s v="Yes"/>
    <x v="1"/>
    <x v="1"/>
    <s v="No Error"/>
    <x v="0"/>
    <n v="1.85"/>
    <n v="0"/>
    <n v="0"/>
    <s v="No Support Contact"/>
    <s v="No"/>
    <s v="No Support Contact"/>
    <s v="Not Applicable"/>
    <m/>
    <s v="Too many steps"/>
    <n v="2"/>
    <n v="-29"/>
    <n v="51"/>
    <x v="1"/>
    <n v="0"/>
    <n v="1"/>
    <n v="0"/>
    <n v="1"/>
  </r>
  <r>
    <s v="NSF-001197"/>
    <s v="USR-00054"/>
    <s v="SES-2602-30789"/>
    <d v="2026-02-09T00:00:00"/>
    <s v="South West"/>
    <s v="Gloucester"/>
    <x v="0"/>
    <s v="18-24"/>
    <s v="Female"/>
    <s v="Android"/>
    <s v="Android Phone"/>
    <s v="2+ years"/>
    <s v="Plus"/>
    <s v="Organic Search"/>
    <x v="7"/>
    <s v="Trial/Exploration"/>
    <s v="No Experiment"/>
    <s v="Control"/>
    <n v="4"/>
    <n v="4"/>
    <n v="75"/>
    <s v="No"/>
    <x v="0"/>
    <x v="1"/>
    <s v="No Error"/>
    <x v="0"/>
    <n v="125.24"/>
    <n v="0.5"/>
    <n v="0.17"/>
    <s v="No Support Contact"/>
    <s v="No"/>
    <s v="No Support Contact"/>
    <s v="Not Applicable"/>
    <m/>
    <s v="No drop-off"/>
    <n v="4"/>
    <n v="19"/>
    <n v="50"/>
    <x v="1"/>
    <n v="1"/>
    <n v="1"/>
    <n v="0"/>
    <n v="1"/>
  </r>
  <r>
    <s v="NSF-001089"/>
    <s v="USR-00519"/>
    <s v="SES-2601-22771"/>
    <d v="2026-01-13T00:00:00"/>
    <s v="North East"/>
    <s v="Newcastle"/>
    <x v="2"/>
    <s v="18-24"/>
    <s v="Male"/>
    <s v="Android"/>
    <s v="Android Phone"/>
    <s v="3-6 months"/>
    <s v="Free"/>
    <s v="Affiliate"/>
    <x v="2"/>
    <s v="First Use"/>
    <s v="Fee Transparency Panel"/>
    <s v="Control"/>
    <n v="5"/>
    <s v="5 steps"/>
    <n v="158"/>
    <s v="No"/>
    <x v="0"/>
    <x v="1"/>
    <s v="No Error"/>
    <x v="0"/>
    <n v="103.72"/>
    <n v="0"/>
    <n v="0"/>
    <s v="No Support Contact"/>
    <s v="No"/>
    <s v="No Support Contact"/>
    <s v="Not Applicable"/>
    <m/>
    <s v="No drop-off"/>
    <n v="3"/>
    <n v="-3"/>
    <n v="0"/>
    <x v="0"/>
    <n v="1"/>
    <n v="1"/>
    <n v="0"/>
    <n v="0"/>
  </r>
  <r>
    <s v="NSF-001378"/>
    <s v="USR-00486"/>
    <s v="SES-2605-12518"/>
    <d v="2026-05-07T00:00:00"/>
    <s v="North West"/>
    <s v="Preston"/>
    <x v="5"/>
    <s v="35-44"/>
    <s v="Male"/>
    <s v="Web"/>
    <s v="Desktop"/>
    <s v="2+ years"/>
    <s v="Premium"/>
    <s v="Paid Search"/>
    <x v="5"/>
    <s v="Repeat Use"/>
    <s v="New Cta Copy"/>
    <s v="Control"/>
    <n v="8"/>
    <n v="8"/>
    <n v="171"/>
    <s v="No"/>
    <x v="0"/>
    <x v="1"/>
    <s v="No Error"/>
    <x v="0"/>
    <n v="332.08"/>
    <n v="2.5299999999999998"/>
    <n v="0.37"/>
    <s v="No Support Contact"/>
    <s v="No"/>
    <s v="No Support Contact"/>
    <s v="Not Applicable"/>
    <m/>
    <s v="No drop-off"/>
    <n v="4"/>
    <n v="-7"/>
    <n v="34"/>
    <x v="1"/>
    <n v="1"/>
    <n v="1"/>
    <n v="0"/>
    <n v="1"/>
  </r>
  <r>
    <s v="NSF-000333"/>
    <s v="USR-00517"/>
    <s v="SES-2504-46926"/>
    <d v="2025-04-21T00:00:00"/>
    <s v="London"/>
    <s v="Hammersmith"/>
    <x v="3"/>
    <s v="25-34"/>
    <s v="Female"/>
    <s v="Android"/>
    <s v="Android Phone"/>
    <s v="3-6 months"/>
    <s v="Free"/>
    <s v="Affiliate"/>
    <x v="9"/>
    <s v="Repeat Use"/>
    <s v="Simplified Onboarding"/>
    <s v="Control"/>
    <n v="5"/>
    <n v="5"/>
    <n v="94"/>
    <s v="No"/>
    <x v="1"/>
    <x v="1"/>
    <s v="No Error"/>
    <x v="1"/>
    <n v="0"/>
    <n v="0"/>
    <n v="0"/>
    <s v="No Support Contact"/>
    <s v="No"/>
    <s v="No Support Contact"/>
    <s v="Not Applicable"/>
    <m/>
    <s v="Too many steps"/>
    <n v="5"/>
    <n v="12"/>
    <n v="50"/>
    <x v="0"/>
    <n v="0"/>
    <n v="0"/>
    <n v="0"/>
    <n v="0"/>
  </r>
  <r>
    <s v="NSF-001228"/>
    <s v="USR-00408"/>
    <s v="SES-2603-81961"/>
    <d v="2026-03-21T00:00:00"/>
    <s v="London"/>
    <s v="Hackney"/>
    <x v="2"/>
    <s v="45-54"/>
    <s v="Female"/>
    <s v="Android"/>
    <s v="Android Phone"/>
    <s v="&lt;3 months"/>
    <s v="Premium"/>
    <s v="App Store"/>
    <x v="5"/>
    <s v="Reactivated"/>
    <s v="No Experiment"/>
    <s v="Control"/>
    <n v="8"/>
    <n v="6"/>
    <n v="295"/>
    <s v="Yes"/>
    <x v="1"/>
    <x v="1"/>
    <s v="No Error"/>
    <x v="1"/>
    <n v="0"/>
    <n v="0"/>
    <n v="0"/>
    <s v="No Support Contact"/>
    <s v="No"/>
    <s v="No Support Contact"/>
    <s v="Not Applicable"/>
    <m/>
    <s v="Unexpected fee"/>
    <n v="3"/>
    <n v="-36"/>
    <n v="33"/>
    <x v="0"/>
    <n v="0"/>
    <n v="0"/>
    <n v="0"/>
    <n v="0"/>
  </r>
  <r>
    <s v="NSF-000929"/>
    <s v="USR-00595"/>
    <s v="SES-2511-58587"/>
    <d v="2025-11-14T00:00:00"/>
    <s v="North East"/>
    <s v="Sunderland"/>
    <x v="0"/>
    <s v="35-44"/>
    <s v="Male"/>
    <s v="Android"/>
    <s v="Android Phone"/>
    <s v="7-12 months"/>
    <s v="Free"/>
    <s v="Referral"/>
    <x v="10"/>
    <s v="Repeat Use"/>
    <s v="No Experiment"/>
    <s v="Control"/>
    <n v="9"/>
    <n v="9"/>
    <n v="217"/>
    <s v="No"/>
    <x v="0"/>
    <x v="1"/>
    <s v="No Error"/>
    <x v="0"/>
    <n v="171.19"/>
    <n v="3.29"/>
    <n v="0"/>
    <s v="No Support Contact"/>
    <s v="No"/>
    <s v="No Support Contact"/>
    <s v="Not Applicable"/>
    <m/>
    <s v="No drop-off"/>
    <n v="3"/>
    <n v="12"/>
    <n v="36"/>
    <x v="1"/>
    <n v="1"/>
    <n v="1"/>
    <n v="0"/>
    <n v="1"/>
  </r>
  <r>
    <s v="NSF-001346"/>
    <s v="USR-00111"/>
    <s v="SES-2604-54606"/>
    <d v="2026-04-24T00:00:00"/>
    <s v="Scotland"/>
    <s v="Aberdeen"/>
    <x v="3"/>
    <s v="35-44"/>
    <s v="Male"/>
    <s v="Web"/>
    <s v="Mobile Browser"/>
    <s v="2+ years"/>
    <s v="Free"/>
    <s v="App Store"/>
    <x v="2"/>
    <s v="Repeat Use"/>
    <s v="No Experiment"/>
    <s v="Control"/>
    <n v="5"/>
    <n v="5"/>
    <n v="145"/>
    <s v="No"/>
    <x v="0"/>
    <x v="1"/>
    <s v="No Error"/>
    <x v="1"/>
    <n v="0"/>
    <n v="0"/>
    <n v="0"/>
    <s v="No Support Contact"/>
    <s v="No"/>
    <s v="No Support Contact"/>
    <s v="Not Applicable"/>
    <m/>
    <s v="No drop-off"/>
    <n v="4"/>
    <n v="38"/>
    <n v="22"/>
    <x v="0"/>
    <n v="1"/>
    <n v="0"/>
    <n v="0"/>
    <n v="0"/>
  </r>
  <r>
    <s v="NSF-000692"/>
    <s v="USR-00427"/>
    <s v="SES-2508-37582"/>
    <d v="2025-08-25T00:00:00"/>
    <s v="Northern Ireland"/>
    <s v="Lisburn"/>
    <x v="2"/>
    <s v="35-44"/>
    <s v="Female"/>
    <s v="Android"/>
    <s v="Android Phone"/>
    <s v="1-2 years"/>
    <s v="Free"/>
    <s v="App Store"/>
    <x v="1"/>
    <s v="First Use"/>
    <s v="Contextual Help"/>
    <s v="Treatment"/>
    <n v="4"/>
    <n v="4"/>
    <n v="106"/>
    <s v="No"/>
    <x v="0"/>
    <x v="1"/>
    <s v="No Error"/>
    <x v="0"/>
    <n v="101.23"/>
    <n v="0.18"/>
    <n v="0"/>
    <s v="No Support Contact"/>
    <s v="No"/>
    <s v="No Support Contact"/>
    <s v="Not Applicable"/>
    <m/>
    <s v="No drop-off"/>
    <n v="5"/>
    <n v="53"/>
    <s v="0 days"/>
    <x v="1"/>
    <n v="1"/>
    <n v="1"/>
    <n v="0"/>
    <n v="1"/>
  </r>
  <r>
    <s v="NSF-001317"/>
    <s v="USR-00292"/>
    <s v="SES-2604-46865"/>
    <d v="2026-04-22T00:00:00"/>
    <s v="East England"/>
    <s v="Norwich"/>
    <x v="4"/>
    <s v="35-44"/>
    <s v="Male"/>
    <s v="Android"/>
    <s v="Android Phone"/>
    <s v="7-12 months"/>
    <s v="Free"/>
    <s v="Paid Social"/>
    <x v="2"/>
    <s v="Repeat Use"/>
    <s v="No Experiment"/>
    <s v="Control"/>
    <n v="5"/>
    <n v="4"/>
    <n v="149"/>
    <s v="Yes"/>
    <x v="0"/>
    <x v="1"/>
    <s v="No Error"/>
    <x v="0"/>
    <n v="105.25"/>
    <n v="0"/>
    <n v="0"/>
    <s v="Feature Navigation"/>
    <s v="Yes"/>
    <s v="Feature Navigation"/>
    <s v="Resolved"/>
    <n v="54"/>
    <s v="No drop-off"/>
    <n v="5"/>
    <n v="-5"/>
    <n v="47"/>
    <x v="1"/>
    <n v="1"/>
    <n v="1"/>
    <n v="0"/>
    <n v="1"/>
  </r>
  <r>
    <s v="NSF-000341"/>
    <s v="USR-00407"/>
    <s v="SES-2504-45481"/>
    <d v="2025-04-28T00:00:00"/>
    <s v="East England"/>
    <s v="Cambridge"/>
    <x v="1"/>
    <s v="18-24"/>
    <s v="Female"/>
    <s v="Android"/>
    <s v="Android Phone"/>
    <s v="&lt;3 months"/>
    <s v="Premium"/>
    <s v="Organic Search"/>
    <x v="10"/>
    <s v="First Use"/>
    <s v="No Experiment"/>
    <s v="Control"/>
    <s v="9 steps"/>
    <n v="7"/>
    <n v="283"/>
    <s v="Yes"/>
    <x v="1"/>
    <x v="1"/>
    <s v="No Error"/>
    <x v="0"/>
    <n v="134.04"/>
    <n v="3.24"/>
    <n v="0.37"/>
    <s v="Fees And Pricing"/>
    <s v="Yes"/>
    <s v="Fees And Pricing"/>
    <s v="Unresolved"/>
    <n v="2"/>
    <s v="Privacy concern"/>
    <n v="1"/>
    <n v="-46"/>
    <n v="0"/>
    <x v="1"/>
    <n v="0"/>
    <n v="1"/>
    <n v="0"/>
    <n v="1"/>
  </r>
  <r>
    <s v="NSF-001017"/>
    <s v="USR-00388"/>
    <s v="SES-2512-54171"/>
    <d v="2025-12-20T00:00:00"/>
    <s v="London"/>
    <s v="Croydon"/>
    <x v="3"/>
    <s v="45-54"/>
    <s v="Female"/>
    <s v="Ios"/>
    <s v="Iphone"/>
    <s v="&lt;3 months"/>
    <s v="Premium"/>
    <s v="App Store"/>
    <x v="7"/>
    <s v="Repeat Use"/>
    <s v="Progress Indicator"/>
    <s v="Control"/>
    <n v="4"/>
    <n v="4"/>
    <n v="104"/>
    <s v="No"/>
    <x v="0"/>
    <x v="0"/>
    <s v="Card Activation Failed"/>
    <x v="0"/>
    <n v="76.650000000000006"/>
    <n v="0.49"/>
    <n v="0.37"/>
    <s v="No Support Contact"/>
    <s v="No"/>
    <s v="No Support Contact"/>
    <s v="Not Applicable"/>
    <m/>
    <s v="No drop-off"/>
    <n v="2"/>
    <n v="-24"/>
    <n v="41"/>
    <x v="1"/>
    <n v="1"/>
    <n v="1"/>
    <n v="1"/>
    <n v="1"/>
  </r>
  <r>
    <s v="NSF-000183"/>
    <s v="USR-00406"/>
    <s v="SES-2502-43518"/>
    <d v="2025-02-27T00:00:00"/>
    <s v="North East"/>
    <s v="Newcastle"/>
    <x v="3"/>
    <s v="55-64"/>
    <s v="Female"/>
    <s v="Android"/>
    <s v="Android Phone"/>
    <s v="1-2 years"/>
    <s v="Plus"/>
    <s v="Direct"/>
    <x v="4"/>
    <s v="Repeat Use"/>
    <s v="Progress Indicator"/>
    <s v="Control"/>
    <s v="6 steps"/>
    <n v="5"/>
    <n v="302"/>
    <s v="Yes"/>
    <x v="1"/>
    <x v="1"/>
    <s v="No Error"/>
    <x v="1"/>
    <n v="0"/>
    <n v="0"/>
    <n v="0"/>
    <s v="No Support Contact"/>
    <s v="No"/>
    <s v="No Support Contact"/>
    <s v="Not Applicable"/>
    <m/>
    <s v="Too many steps"/>
    <n v="2"/>
    <n v="29"/>
    <n v="29"/>
    <x v="0"/>
    <n v="0"/>
    <n v="0"/>
    <n v="0"/>
    <n v="0"/>
  </r>
  <r>
    <s v="NSF-000290"/>
    <s v="USR-00181"/>
    <s v="SES-2503-77274"/>
    <d v="2025-03-01T00:00:00"/>
    <s v="Wales"/>
    <s v="Cardiff"/>
    <x v="5"/>
    <s v="18-24"/>
    <s v="Female"/>
    <s v="Android"/>
    <s v="Android Phone"/>
    <s v="7-12 months"/>
    <s v="Free"/>
    <s v="Paid Search"/>
    <x v="7"/>
    <s v="Reactivated"/>
    <s v="No Experiment"/>
    <s v="Control"/>
    <n v="4"/>
    <n v="4"/>
    <n v="121"/>
    <s v="No"/>
    <x v="0"/>
    <x v="1"/>
    <s v="No Error"/>
    <x v="0"/>
    <n v="48.88"/>
    <n v="0.52"/>
    <n v="0"/>
    <s v="Feature Navigation"/>
    <s v="Yes"/>
    <s v="Feature Navigation"/>
    <s v="Unresolved"/>
    <n v="22"/>
    <s v="No drop-off"/>
    <n v="5"/>
    <n v="45"/>
    <n v="13"/>
    <x v="1"/>
    <n v="1"/>
    <n v="1"/>
    <n v="0"/>
    <n v="1"/>
  </r>
  <r>
    <s v="NSF-000184"/>
    <s v="USR-00375"/>
    <s v="SES-2502-45443"/>
    <d v="2025-02-23T00:00:00"/>
    <s v="Wales"/>
    <s v="Wrexham"/>
    <x v="1"/>
    <s v="65+"/>
    <s v="Female"/>
    <s v="Android"/>
    <s v="Android Phone"/>
    <s v="7-12 months"/>
    <s v="Free"/>
    <s v="Organic Search"/>
    <x v="1"/>
    <s v="Repeat Use"/>
    <s v="Fee Transparency Panel"/>
    <s v="Control"/>
    <n v="4"/>
    <n v="4"/>
    <n v="87"/>
    <s v="No"/>
    <x v="0"/>
    <x v="1"/>
    <s v="No Error"/>
    <x v="0"/>
    <n v="201.91"/>
    <n v="0.2"/>
    <n v="0"/>
    <s v="No Support Contact"/>
    <s v="No"/>
    <s v="No Support Contact"/>
    <s v="Not Applicable"/>
    <m/>
    <s v="No drop-off"/>
    <n v="4"/>
    <n v="43"/>
    <n v="16"/>
    <x v="1"/>
    <n v="1"/>
    <n v="1"/>
    <n v="0"/>
    <n v="1"/>
  </r>
  <r>
    <s v="NSF-001236"/>
    <s v="usr-00704"/>
    <s v="SES-2603-14401"/>
    <d v="2026-03-11T00:00:00"/>
    <s v="Yorkshire &amp; Humber"/>
    <s v="Leeds"/>
    <x v="3"/>
    <s v="25-34"/>
    <s v="Male"/>
    <s v="Android"/>
    <s v="Android Phone"/>
    <s v="3-6 months"/>
    <s v="Free"/>
    <s v="Affiliate"/>
    <x v="8"/>
    <s v="Reactivated"/>
    <s v="No Experiment"/>
    <s v="Control"/>
    <n v="5"/>
    <n v="5"/>
    <n v="112"/>
    <s v="No"/>
    <x v="0"/>
    <x v="1"/>
    <s v="No Error"/>
    <x v="0"/>
    <n v="21.44"/>
    <n v="0"/>
    <n v="0"/>
    <s v="No Support Contact"/>
    <s v="No"/>
    <s v="No Support Contact"/>
    <s v="Not Applicable"/>
    <m/>
    <s v="No drop-off"/>
    <n v="5"/>
    <n v="28"/>
    <n v="11"/>
    <x v="1"/>
    <n v="1"/>
    <n v="1"/>
    <n v="0"/>
    <n v="1"/>
  </r>
  <r>
    <s v="NSF-000886"/>
    <s v="USR-00405"/>
    <s v="SES-2510-82598"/>
    <d v="2025-10-20T00:00:00"/>
    <s v="Yorkshire &amp; Humber"/>
    <s v="Leeds"/>
    <x v="7"/>
    <s v="18-24"/>
    <s v="Male"/>
    <s v="Ios"/>
    <s v="Iphone"/>
    <s v="1-2 years"/>
    <s v="Free"/>
    <s v="Paid Social"/>
    <x v="3"/>
    <s v="Reactivated"/>
    <s v="No Experiment"/>
    <s v="Control"/>
    <n v="6"/>
    <n v="6"/>
    <n v="117"/>
    <s v="No"/>
    <x v="0"/>
    <x v="1"/>
    <s v="No Error"/>
    <x v="0"/>
    <n v="15.96"/>
    <n v="0.09"/>
    <n v="0"/>
    <s v="No Support Contact"/>
    <s v="No"/>
    <s v="No Support Contact"/>
    <s v="Not Applicable"/>
    <m/>
    <s v="No drop-off"/>
    <n v="4"/>
    <n v="57"/>
    <n v="28"/>
    <x v="1"/>
    <n v="1"/>
    <n v="1"/>
    <n v="0"/>
    <n v="1"/>
  </r>
  <r>
    <s v="NSF-000945"/>
    <s v="USR-00240"/>
    <s v="SES-2511-50252"/>
    <d v="2025-11-20T00:00:00"/>
    <s v="North East"/>
    <s v="Middlesbrough"/>
    <x v="0"/>
    <s v="55-64"/>
    <s v="Male"/>
    <s v="Android"/>
    <s v="Android Phone"/>
    <s v="1-2 years"/>
    <s v="Free"/>
    <s v="Referral"/>
    <x v="7"/>
    <s v="First Use"/>
    <s v="No Experiment"/>
    <s v="Control"/>
    <n v="4"/>
    <n v="4"/>
    <n v="143"/>
    <s v="No"/>
    <x v="0"/>
    <x v="0"/>
    <s v="Card Activation Failed"/>
    <x v="0"/>
    <n v="83.04"/>
    <n v="0.44"/>
    <n v="0"/>
    <s v="No Support Contact"/>
    <s v="No"/>
    <s v="No Support Contact"/>
    <s v="Not Applicable"/>
    <m/>
    <s v="No drop-off"/>
    <n v="3"/>
    <n v="11"/>
    <n v="0"/>
    <x v="1"/>
    <n v="1"/>
    <n v="1"/>
    <n v="1"/>
    <n v="1"/>
  </r>
  <r>
    <s v="NSF-000755"/>
    <s v="USR-00566"/>
    <s v="SES-2509-31243"/>
    <d v="2025-09-09T00:00:00"/>
    <s v="South East"/>
    <s v="Guildford"/>
    <x v="0"/>
    <s v="35-44"/>
    <s v="Female"/>
    <s v="Ios"/>
    <s v="Iphone"/>
    <s v="3-6 months"/>
    <s v="Free"/>
    <s v="App Store"/>
    <x v="2"/>
    <s v="Repeat Use"/>
    <s v="No Experiment"/>
    <s v="Control"/>
    <n v="5"/>
    <s v="5 steps"/>
    <n v="144"/>
    <s v="No"/>
    <x v="0"/>
    <x v="1"/>
    <s v="No Error"/>
    <x v="0"/>
    <n v="25.55"/>
    <n v="0"/>
    <n v="0"/>
    <s v="No Support Contact"/>
    <s v="No"/>
    <s v="No Support Contact"/>
    <s v="Not Applicable"/>
    <m/>
    <s v="No drop-off"/>
    <n v="4"/>
    <n v="21"/>
    <n v="42"/>
    <x v="1"/>
    <n v="1"/>
    <n v="1"/>
    <n v="0"/>
    <n v="1"/>
  </r>
  <r>
    <s v="NSF-000375"/>
    <s v="USR-00057"/>
    <s v="SES-2504-21398"/>
    <d v="2025-04-06T00:00:00"/>
    <s v="South West"/>
    <s v="Bath"/>
    <x v="4"/>
    <s v="45-54"/>
    <s v="Female"/>
    <s v="Ios"/>
    <s v="Iphone"/>
    <s v="7-12 months"/>
    <s v="Premium"/>
    <s v="Paid Social"/>
    <x v="2"/>
    <s v="Repeat Use"/>
    <s v="No Experiment"/>
    <s v="Control"/>
    <n v="5"/>
    <s v="5 steps"/>
    <n v="159"/>
    <s v="No"/>
    <x v="0"/>
    <x v="1"/>
    <s v="No Error"/>
    <x v="0"/>
    <n v="168.27"/>
    <n v="0"/>
    <n v="0.37"/>
    <s v="No Support Contact"/>
    <s v="No"/>
    <s v="No Support Contact"/>
    <s v="Not Applicable"/>
    <m/>
    <s v="No drop-off"/>
    <n v="4"/>
    <n v="14"/>
    <n v="23"/>
    <x v="1"/>
    <n v="1"/>
    <n v="1"/>
    <n v="0"/>
    <n v="1"/>
  </r>
  <r>
    <s v="NSF-001182"/>
    <s v="USR-00531"/>
    <s v="SES-2602-70918"/>
    <d v="2026-02-12T00:00:00"/>
    <s v="East Midlands"/>
    <s v="Derby"/>
    <x v="0"/>
    <s v="35-44"/>
    <s v="Male"/>
    <s v="Ios"/>
    <s v="Iphone"/>
    <s v="3-6 months"/>
    <s v="Plus"/>
    <s v="Referral"/>
    <x v="3"/>
    <s v="Reactivated"/>
    <s v="Simplified Onboarding"/>
    <s v="Control"/>
    <n v="6"/>
    <n v="6"/>
    <n v="191"/>
    <s v="No"/>
    <x v="0"/>
    <x v="1"/>
    <s v="No Error"/>
    <x v="1"/>
    <n v="0"/>
    <n v="0"/>
    <n v="0"/>
    <s v="No Support Contact"/>
    <s v="No"/>
    <s v="No Support Contact"/>
    <s v="Not Applicable"/>
    <m/>
    <s v="No drop-off"/>
    <n v="4"/>
    <n v="-31"/>
    <s v="73 days"/>
    <x v="1"/>
    <n v="1"/>
    <n v="0"/>
    <n v="0"/>
    <n v="1"/>
  </r>
  <r>
    <s v="NSF-001188"/>
    <s v="USR-00161"/>
    <s v="SES-2602-14469"/>
    <d v="2026-02-25T00:00:00"/>
    <s v="South West"/>
    <s v="Plymouth"/>
    <x v="4"/>
    <s v="18-24"/>
    <s v="Non-Binary"/>
    <s v="Ios"/>
    <s v="Iphone"/>
    <s v="7-12 months"/>
    <s v="Free"/>
    <s v="Organic Search"/>
    <x v="9"/>
    <s v="Repeat Use"/>
    <s v="No Experiment"/>
    <s v="Control"/>
    <n v="5"/>
    <n v="4"/>
    <n v="193"/>
    <s v="Yes"/>
    <x v="1"/>
    <x v="1"/>
    <s v="No Error"/>
    <x v="0"/>
    <n v="130.12"/>
    <n v="0"/>
    <n v="0"/>
    <s v="Feature Navigation"/>
    <s v="Yes"/>
    <s v="Feature Navigation"/>
    <s v="Resolved"/>
    <n v="44"/>
    <s v="Instructions unclear"/>
    <n v="4"/>
    <n v="-6"/>
    <n v="25"/>
    <x v="1"/>
    <n v="0"/>
    <n v="1"/>
    <n v="0"/>
    <n v="1"/>
  </r>
  <r>
    <s v="NSF-000292"/>
    <s v="USR-00526"/>
    <s v="SES-2503-92782"/>
    <d v="2025-03-21T00:00:00"/>
    <s v="West Midlands"/>
    <s v="Coventry"/>
    <x v="2"/>
    <s v="45-54"/>
    <s v="Female"/>
    <s v="Ios"/>
    <s v="Iphone"/>
    <s v="1-2 years"/>
    <s v="Plus"/>
    <s v="App Store"/>
    <x v="3"/>
    <s v="Trial/Exploration"/>
    <s v="No Experiment"/>
    <s v="Control"/>
    <n v="6"/>
    <n v="6"/>
    <n v="138"/>
    <s v="No"/>
    <x v="0"/>
    <x v="1"/>
    <s v="No Error"/>
    <x v="0"/>
    <n v="0"/>
    <n v="0.09"/>
    <n v="0.17"/>
    <s v="No Support Contact"/>
    <s v="No"/>
    <s v="No Support Contact"/>
    <s v="Not Applicable"/>
    <m/>
    <s v="No drop-off"/>
    <n v="3"/>
    <n v="-5"/>
    <n v="21"/>
    <x v="0"/>
    <n v="1"/>
    <n v="1"/>
    <n v="0"/>
    <n v="0"/>
  </r>
  <r>
    <s v="NSF-000657"/>
    <s v="USR-00042"/>
    <s v="SES-2507-47304"/>
    <d v="2025-07-05T00:00:00"/>
    <s v="South West"/>
    <s v="Exeter"/>
    <x v="2"/>
    <s v="18-24"/>
    <s v="Female"/>
    <s v="Android"/>
    <s v="Android Phone"/>
    <s v="2+ years"/>
    <s v="Free"/>
    <s v="Employer Partnership"/>
    <x v="7"/>
    <s v="Reactivated"/>
    <s v="Simplified Onboarding"/>
    <s v="Control"/>
    <s v="N/A"/>
    <n v="4"/>
    <n v="103"/>
    <s v="No"/>
    <x v="0"/>
    <x v="1"/>
    <s v="No Error"/>
    <x v="0"/>
    <n v="62.92"/>
    <n v="0.47"/>
    <n v="0"/>
    <s v="No Support Contact"/>
    <s v="No"/>
    <s v="No Support Contact"/>
    <s v="Not Applicable"/>
    <m/>
    <s v="No drop-off"/>
    <n v="4"/>
    <n v="42"/>
    <n v="1"/>
    <x v="1"/>
    <n v="1"/>
    <n v="1"/>
    <n v="0"/>
    <n v="1"/>
  </r>
  <r>
    <s v="NSF-000625"/>
    <s v="USR-00007"/>
    <s v="SES-2507-60496"/>
    <d v="2025-07-10T00:00:00"/>
    <s v="South East"/>
    <s v="Reading"/>
    <x v="0"/>
    <s v="25-34"/>
    <s v="Female"/>
    <s v="Ios"/>
    <s v="Iphone"/>
    <s v="7-12 months"/>
    <s v="Free"/>
    <s v="App Store"/>
    <x v="8"/>
    <s v="Repeat Use"/>
    <s v="No Experiment"/>
    <s v="Control"/>
    <n v="5"/>
    <n v="5"/>
    <n v="107"/>
    <s v="No"/>
    <x v="0"/>
    <x v="1"/>
    <s v="No Error"/>
    <x v="0"/>
    <n v="107.19"/>
    <n v="0"/>
    <n v="0"/>
    <s v="No Support Contact"/>
    <s v="No"/>
    <s v="No Support Contact"/>
    <s v="Not Applicable"/>
    <m/>
    <s v="No drop-off"/>
    <n v="3"/>
    <n v="39"/>
    <n v="46"/>
    <x v="1"/>
    <n v="1"/>
    <n v="1"/>
    <n v="0"/>
    <n v="1"/>
  </r>
  <r>
    <s v="NSF-001369"/>
    <s v="USR-00413"/>
    <s v="SES-2605-79826"/>
    <d v="2026-05-23T00:00:00"/>
    <s v="East Midlands"/>
    <s v="Derby"/>
    <x v="1"/>
    <s v="25-34"/>
    <s v="Female"/>
    <s v="Android"/>
    <s v="Android Phone"/>
    <s v="1-2 years"/>
    <s v="Plus"/>
    <s v="Referral"/>
    <x v="3"/>
    <s v="Repeat Use"/>
    <s v="No Experiment"/>
    <s v="Control"/>
    <n v="6"/>
    <n v="5"/>
    <n v="272"/>
    <s v="Yes"/>
    <x v="1"/>
    <x v="1"/>
    <s v="No Error"/>
    <x v="1"/>
    <n v="0"/>
    <n v="0"/>
    <n v="0"/>
    <s v="Card Issue"/>
    <s v="Yes"/>
    <s v="Card Issue"/>
    <s v="Resolved"/>
    <n v="34"/>
    <s v="Privacy concern"/>
    <n v="2"/>
    <n v="-4"/>
    <n v="13"/>
    <x v="1"/>
    <n v="0"/>
    <n v="0"/>
    <n v="0"/>
    <n v="1"/>
  </r>
  <r>
    <s v="NSF-000541"/>
    <s v="USR-00769"/>
    <s v="SES-2506-61123"/>
    <d v="2025-06-27T00:00:00"/>
    <s v="Northern Ireland"/>
    <s v="Belfast"/>
    <x v="2"/>
    <s v="55-64"/>
    <s v="Male"/>
    <s v="Ios"/>
    <s v="Iphone"/>
    <s v="&lt;3 months"/>
    <s v="Basic"/>
    <s v="Organic Search"/>
    <x v="3"/>
    <s v="First Use"/>
    <s v="No Experiment"/>
    <s v="Control"/>
    <n v="6"/>
    <n v="6"/>
    <n v="139"/>
    <s v="No"/>
    <x v="0"/>
    <x v="1"/>
    <s v="No Error"/>
    <x v="0"/>
    <n v="0"/>
    <n v="0.11"/>
    <n v="0"/>
    <s v="No Support Contact"/>
    <s v="No"/>
    <s v="No Support Contact"/>
    <s v="Not Applicable"/>
    <m/>
    <s v="No drop-off"/>
    <n v="4"/>
    <n v="31"/>
    <n v="0"/>
    <x v="1"/>
    <n v="1"/>
    <n v="1"/>
    <n v="0"/>
    <n v="1"/>
  </r>
  <r>
    <s v="NSF-000109"/>
    <s v="USR-00149"/>
    <s v="SES-2502-89953"/>
    <d v="2025-02-26T00:00:00"/>
    <s v="North West"/>
    <s v="Chester"/>
    <x v="0"/>
    <s v="65+"/>
    <s v="Female"/>
    <s v="Ios"/>
    <s v="Iphone"/>
    <s v="7-12 months"/>
    <s v="Plus"/>
    <s v="Paid Social"/>
    <x v="2"/>
    <s v="Reactivated"/>
    <s v="No Experiment"/>
    <s v="Control"/>
    <n v="5"/>
    <n v="5"/>
    <n v="101"/>
    <s v="No"/>
    <x v="0"/>
    <x v="1"/>
    <s v="No Error"/>
    <x v="0"/>
    <n v="0"/>
    <n v="0"/>
    <n v="0.17"/>
    <s v="No Support Contact"/>
    <s v="No"/>
    <s v="No Support Contact"/>
    <s v="Not Applicable"/>
    <m/>
    <s v="No drop-off"/>
    <n v="4"/>
    <n v="43"/>
    <n v="22"/>
    <x v="1"/>
    <n v="1"/>
    <n v="1"/>
    <n v="0"/>
    <n v="1"/>
  </r>
  <r>
    <s v="NSF-000430"/>
    <s v="USR-00756"/>
    <s v="SES-2505-43334"/>
    <d v="2025-05-18T00:00:00"/>
    <s v="East England"/>
    <s v="Ipswich"/>
    <x v="0"/>
    <s v="35-44"/>
    <s v="Male"/>
    <s v="Ios"/>
    <s v="Iphone"/>
    <s v="1-2 years"/>
    <s v="Plus"/>
    <s v="Paid Social"/>
    <x v="0"/>
    <s v="Repeat Use"/>
    <s v="No Experiment"/>
    <s v="Control"/>
    <n v="7"/>
    <n v="7"/>
    <n v="176"/>
    <s v="No"/>
    <x v="0"/>
    <x v="1"/>
    <s v="No Error"/>
    <x v="0"/>
    <n v="0"/>
    <n v="0"/>
    <n v="0.17"/>
    <s v="No Support Contact"/>
    <s v="No"/>
    <s v="No Support Contact"/>
    <s v="Not Applicable"/>
    <m/>
    <s v="No drop-off"/>
    <n v="5"/>
    <n v="17"/>
    <n v="33"/>
    <x v="1"/>
    <n v="1"/>
    <n v="1"/>
    <n v="0"/>
    <n v="1"/>
  </r>
  <r>
    <s v="NSF-001388"/>
    <s v="USR-00309"/>
    <s v="SES-2605-50666"/>
    <d v="2026-06-05T00:00:00"/>
    <s v="Northern Ireland"/>
    <s v="Newry"/>
    <x v="7"/>
    <s v="55-64"/>
    <s v="Female"/>
    <s v="Android"/>
    <s v="Android Phone"/>
    <s v="2+ years"/>
    <s v="Free"/>
    <s v="Employer Partnership"/>
    <x v="1"/>
    <s v="Repeat Use"/>
    <s v="No Experiment"/>
    <s v="Control"/>
    <n v="4"/>
    <n v="4"/>
    <n v="129"/>
    <s v="No"/>
    <x v="1"/>
    <x v="0"/>
    <s v="Recipient Validation Error"/>
    <x v="1"/>
    <n v="0"/>
    <n v="0"/>
    <n v="0"/>
    <s v="No Support Contact"/>
    <s v="No"/>
    <s v="No Support Contact"/>
    <s v="Not Applicable"/>
    <m/>
    <s v="Technical error"/>
    <n v="3"/>
    <n v="-21"/>
    <n v="71"/>
    <x v="0"/>
    <n v="0"/>
    <n v="0"/>
    <n v="1"/>
    <n v="0"/>
  </r>
  <r>
    <s v="NSF-000094"/>
    <s v="USR-00387"/>
    <s v="SES-2501-41711"/>
    <d v="2025-01-07T00:00:00"/>
    <s v="South East"/>
    <s v="Brighton"/>
    <x v="2"/>
    <s v="65+"/>
    <s v="Male"/>
    <s v="Android"/>
    <s v="Android Phone"/>
    <s v="2+ years"/>
    <s v="Free"/>
    <s v="Employer Partnership"/>
    <x v="7"/>
    <s v="Trial/Exploration"/>
    <s v="New Cta Copy"/>
    <s v="Control"/>
    <n v="4"/>
    <s v="4 steps"/>
    <n v="73"/>
    <s v="No"/>
    <x v="0"/>
    <x v="1"/>
    <s v="No Error"/>
    <x v="0"/>
    <n v="59.39"/>
    <n v="0.44"/>
    <n v="0"/>
    <s v="Fees And Pricing"/>
    <s v="Yes"/>
    <s v="Fees And Pricing"/>
    <s v="Unresolved"/>
    <n v="49"/>
    <s v="No drop-off"/>
    <n v="4"/>
    <n v="56"/>
    <n v="34"/>
    <x v="1"/>
    <n v="1"/>
    <n v="1"/>
    <n v="0"/>
    <n v="1"/>
  </r>
  <r>
    <s v="NSF-000036"/>
    <s v="USR-00513"/>
    <s v="SES-2501-34624"/>
    <d v="2025-01-04T00:00:00"/>
    <s v="West Midlands"/>
    <s v="Wolverhampton"/>
    <x v="2"/>
    <s v="25-34"/>
    <s v="Female"/>
    <s v="Ios"/>
    <s v="Iphone"/>
    <s v="1-2 years"/>
    <s v="Plus"/>
    <s v="Referral"/>
    <x v="3"/>
    <s v="Repeat Use"/>
    <s v="No Experiment"/>
    <s v="Control"/>
    <n v="6"/>
    <n v="6"/>
    <n v="169"/>
    <s v="No"/>
    <x v="1"/>
    <x v="0"/>
    <s v="Split Amount Confusing"/>
    <x v="1"/>
    <n v="0"/>
    <n v="0"/>
    <n v="0"/>
    <s v="No Support Contact"/>
    <s v="No"/>
    <s v="No Support Contact"/>
    <s v="Not Applicable"/>
    <m/>
    <s v="Technical error"/>
    <n v="3"/>
    <n v="22"/>
    <n v="1"/>
    <x v="0"/>
    <n v="0"/>
    <n v="0"/>
    <n v="1"/>
    <n v="0"/>
  </r>
  <r>
    <s v="NSF-000887"/>
    <s v="USR-00438"/>
    <s v="SES-2510-14295"/>
    <d v="2025-10-16T00:00:00"/>
    <s v="Yorkshire &amp; Humber"/>
    <s v="Leeds"/>
    <x v="1"/>
    <s v="55-64"/>
    <s v="Female"/>
    <s v="Ios"/>
    <s v="Iphone"/>
    <s v="1-2 years"/>
    <s v="Free"/>
    <s v="Organic Search"/>
    <x v="7"/>
    <s v="Repeat Use"/>
    <s v="No Experiment"/>
    <s v="Control"/>
    <n v="4"/>
    <n v="4"/>
    <n v="113"/>
    <s v="No"/>
    <x v="0"/>
    <x v="1"/>
    <s v="No Error"/>
    <x v="0"/>
    <n v="72.349999999999994"/>
    <n v="0.46"/>
    <n v="0"/>
    <s v="Account Verification"/>
    <s v="Yes"/>
    <s v="Account Verification"/>
    <s v="Resolved"/>
    <n v="17"/>
    <s v="No drop-off"/>
    <n v="4"/>
    <n v="7"/>
    <n v="29"/>
    <x v="1"/>
    <n v="1"/>
    <n v="1"/>
    <n v="0"/>
    <n v="1"/>
  </r>
  <r>
    <s v="NSF-001363"/>
    <s v="USR-00556"/>
    <s v="SES-2605-63273"/>
    <d v="2026-05-01T00:00:00"/>
    <s v="East England"/>
    <s v="Ipswich"/>
    <x v="2"/>
    <s v="18-24"/>
    <s v="Female"/>
    <s v="Ios"/>
    <s v="Iphone"/>
    <s v="3-6 months"/>
    <s v="Free"/>
    <s v="Paid Search"/>
    <x v="7"/>
    <s v="Repeat Use"/>
    <s v="No Experiment"/>
    <s v="Control"/>
    <n v="4"/>
    <n v="4"/>
    <n v="72"/>
    <s v="No"/>
    <x v="0"/>
    <x v="1"/>
    <s v="No Error"/>
    <x v="0"/>
    <n v="0"/>
    <n v="0.44"/>
    <n v="0"/>
    <s v="No Support Contact"/>
    <s v="No"/>
    <s v="No Support Contact"/>
    <s v="Not Applicable"/>
    <m/>
    <s v="No drop-off"/>
    <n v="3"/>
    <n v="-3"/>
    <n v="34"/>
    <x v="0"/>
    <n v="1"/>
    <n v="1"/>
    <n v="0"/>
    <n v="0"/>
  </r>
  <r>
    <s v="NSF-000873"/>
    <s v="USR-00676"/>
    <s v="SES-2510-63846"/>
    <d v="2025-10-29T00:00:00"/>
    <s v="Wales"/>
    <s v="Newport"/>
    <x v="1"/>
    <s v="25-34"/>
    <s v="Male"/>
    <s v="Android"/>
    <s v="Android Phone"/>
    <s v="&lt;3 months"/>
    <s v="Free"/>
    <s v="App Store"/>
    <x v="2"/>
    <s v="First Use"/>
    <s v="Fee Transparency Panel"/>
    <s v="Control"/>
    <n v="5"/>
    <n v="4"/>
    <n v="271"/>
    <s v="Yes"/>
    <x v="0"/>
    <x v="0"/>
    <s v="Round-Up Not Activated"/>
    <x v="1"/>
    <n v="0"/>
    <n v="0"/>
    <n v="0"/>
    <s v="Account Verification"/>
    <s v="Yes"/>
    <s v="Account Verification"/>
    <s v="Resolved"/>
    <n v="30"/>
    <s v="No drop-off"/>
    <n v="3"/>
    <n v="-62"/>
    <s v="0 days"/>
    <x v="1"/>
    <n v="1"/>
    <n v="0"/>
    <n v="1"/>
    <n v="1"/>
  </r>
  <r>
    <s v="NSF-001427"/>
    <s v="USR-00500"/>
    <s v="SES-2606-64076"/>
    <d v="2026-06-07T00:00:00"/>
    <s v="Scotland"/>
    <s v="Glasgow"/>
    <x v="7"/>
    <s v="25-34"/>
    <s v="Non-Binary"/>
    <s v="Ios"/>
    <s v="Iphone"/>
    <s v="1-2 years"/>
    <s v="Premium"/>
    <s v="Organic Search"/>
    <x v="3"/>
    <s v="Repeat Use"/>
    <s v="No Experiment"/>
    <s v="Control"/>
    <n v="6"/>
    <n v="6"/>
    <n v="183"/>
    <s v="No"/>
    <x v="0"/>
    <x v="1"/>
    <s v="No Error"/>
    <x v="1"/>
    <n v="0"/>
    <n v="0"/>
    <n v="0"/>
    <s v="No Support Contact"/>
    <s v="No"/>
    <s v="No Support Contact"/>
    <s v="Not Applicable"/>
    <m/>
    <s v="No drop-off"/>
    <n v="5"/>
    <n v="-21"/>
    <n v="31"/>
    <x v="0"/>
    <n v="1"/>
    <n v="0"/>
    <n v="0"/>
    <n v="0"/>
  </r>
  <r>
    <s v="NSF-000586"/>
    <s v="USR-00256"/>
    <s v="SES-2507-24426"/>
    <d v="2025-07-11T00:00:00"/>
    <s v="Wales"/>
    <s v="Cardiff"/>
    <x v="3"/>
    <s v="55-64"/>
    <s v="Male"/>
    <s v="Android"/>
    <s v="Android Phone"/>
    <s v="1-2 years"/>
    <s v="Free"/>
    <s v="Paid Search"/>
    <x v="5"/>
    <s v="Repeat Use"/>
    <s v="Simplified Onboarding"/>
    <s v="Treatment"/>
    <n v="8"/>
    <n v="5"/>
    <n v="300"/>
    <s v="Yes"/>
    <x v="1"/>
    <x v="0"/>
    <s v="Recipient Details Rejected"/>
    <x v="1"/>
    <n v="0"/>
    <n v="0"/>
    <n v="0"/>
    <s v="No Support Contact"/>
    <s v="No"/>
    <s v="No Support Contact"/>
    <s v="Not Applicable"/>
    <m/>
    <s v="Changed mind"/>
    <n v="2"/>
    <n v="7"/>
    <n v="33"/>
    <x v="1"/>
    <n v="0"/>
    <n v="0"/>
    <n v="1"/>
    <n v="1"/>
  </r>
  <r>
    <s v="NSF-001148"/>
    <s v="USR-00064"/>
    <s v="SES-2602-41106"/>
    <d v="2026-02-19T00:00:00"/>
    <s v="Northern Ireland"/>
    <s v="Newry"/>
    <x v="0"/>
    <s v="35-44"/>
    <s v="Male"/>
    <s v="Ios"/>
    <s v="Iphone"/>
    <s v="7-12 months"/>
    <s v="Free"/>
    <s v="Direct"/>
    <x v="1"/>
    <s v="Repeat Use"/>
    <s v="Simplified Onboarding"/>
    <s v="Control"/>
    <n v="4"/>
    <n v="4"/>
    <n v="98"/>
    <s v="No"/>
    <x v="1"/>
    <x v="1"/>
    <s v="No Error"/>
    <x v="0"/>
    <n v="176.93"/>
    <n v="0.21"/>
    <n v="0"/>
    <s v="No Support Contact"/>
    <s v="No"/>
    <s v="No Support Contact"/>
    <s v="Not Applicable"/>
    <m/>
    <s v="No drop-off"/>
    <n v="3"/>
    <n v="5"/>
    <n v="47"/>
    <x v="0"/>
    <n v="0"/>
    <n v="1"/>
    <n v="0"/>
    <n v="0"/>
  </r>
  <r>
    <s v="NSF-000240"/>
    <s v="USR-00430"/>
    <s v="SES-2503-64107"/>
    <d v="2025-03-18T00:00:00"/>
    <s v="Northern Ireland"/>
    <s v="LISBURN"/>
    <x v="3"/>
    <s v="65+"/>
    <s v="Male"/>
    <s v="Android"/>
    <s v="Android Phone"/>
    <s v="7-12 months"/>
    <s v="Free"/>
    <s v="Paid Search"/>
    <x v="9"/>
    <s v="Repeat Use"/>
    <s v="Contextual Help"/>
    <s v="Control"/>
    <n v="5"/>
    <n v="5"/>
    <n v="156"/>
    <s v="No"/>
    <x v="1"/>
    <x v="1"/>
    <s v="No Error"/>
    <x v="0"/>
    <n v="32.78"/>
    <n v="0"/>
    <n v="0"/>
    <s v="No Support Contact"/>
    <s v="No"/>
    <s v="No Support Contact"/>
    <s v="Not Applicable"/>
    <m/>
    <s v="No drop-off"/>
    <n v="5"/>
    <n v="32"/>
    <s v="23 days"/>
    <x v="1"/>
    <n v="0"/>
    <n v="1"/>
    <n v="0"/>
    <n v="1"/>
  </r>
  <r>
    <s v="NSF-001270"/>
    <s v="USR-00702"/>
    <s v="SES-2603-47176"/>
    <d v="2026-03-24T00:00:00"/>
    <s v="West Midlands"/>
    <s v="Solihull"/>
    <x v="0"/>
    <s v="25-34"/>
    <s v="Male"/>
    <s v="Web"/>
    <s v="Desktop"/>
    <s v="3-6 months"/>
    <s v="Free"/>
    <s v="Referral"/>
    <x v="9"/>
    <s v="Repeat Use"/>
    <s v="Fee Transparency Panel"/>
    <s v="Control"/>
    <n v="5"/>
    <n v="5"/>
    <n v="94"/>
    <s v="No"/>
    <x v="0"/>
    <x v="1"/>
    <s v="No Error"/>
    <x v="0"/>
    <n v="177.45"/>
    <n v="0"/>
    <n v="0"/>
    <s v="No Support Contact"/>
    <s v="Unknown"/>
    <s v="No Support Contact"/>
    <s v="Not Applicable"/>
    <m/>
    <s v="No drop-off"/>
    <n v="4"/>
    <n v="3"/>
    <n v="26"/>
    <x v="1"/>
    <n v="1"/>
    <n v="1"/>
    <n v="0"/>
    <n v="1"/>
  </r>
  <r>
    <s v="NSF-000754"/>
    <s v="USR-00365"/>
    <s v="SES-2509-41872"/>
    <d v="2025-09-25T00:00:00"/>
    <s v="Wales"/>
    <s v="Wrexham"/>
    <x v="0"/>
    <s v="18-24"/>
    <s v="Male"/>
    <s v="Ios"/>
    <s v="Iphone"/>
    <s v="2+ years"/>
    <s v="Free"/>
    <s v="Paid Social"/>
    <x v="3"/>
    <s v="Trial/Exploration"/>
    <s v="Simplified Onboarding"/>
    <s v="Control"/>
    <n v="6"/>
    <n v="5"/>
    <n v="274"/>
    <s v="Yes"/>
    <x v="0"/>
    <x v="1"/>
    <s v="No Error"/>
    <x v="1"/>
    <n v="0"/>
    <n v="0"/>
    <n v="0"/>
    <s v="No Support Contact"/>
    <s v="No"/>
    <s v="No Support Contact"/>
    <s v="Not Applicable"/>
    <m/>
    <s v="No drop-off"/>
    <n v="3"/>
    <n v="-26"/>
    <n v="22"/>
    <x v="1"/>
    <n v="1"/>
    <n v="0"/>
    <n v="0"/>
    <n v="1"/>
  </r>
  <r>
    <s v="NSF-000270"/>
    <s v="USR-00740"/>
    <s v="SES-2503-26856"/>
    <d v="2025-03-21T00:00:00"/>
    <s v="South West"/>
    <s v="Bath"/>
    <x v="5"/>
    <s v="55-64"/>
    <s v="Male"/>
    <s v="Web"/>
    <s v="Desktop"/>
    <s v="3-6 months"/>
    <s v="Premium"/>
    <s v="App Store"/>
    <x v="9"/>
    <s v="Reactivated"/>
    <s v="Simplified Onboarding"/>
    <s v="Treatment"/>
    <n v="5"/>
    <n v="5"/>
    <n v="228"/>
    <s v="No"/>
    <x v="1"/>
    <x v="0"/>
    <s v="Payment Schedule Mismatch"/>
    <x v="0"/>
    <n v="144.09"/>
    <n v="0"/>
    <n v="0.37"/>
    <s v="No Support Contact"/>
    <s v="No"/>
    <s v="No Support Contact"/>
    <s v="Not Applicable"/>
    <m/>
    <s v="Technical error"/>
    <n v="4"/>
    <n v="46"/>
    <n v="28"/>
    <x v="0"/>
    <n v="0"/>
    <n v="1"/>
    <n v="1"/>
    <n v="0"/>
  </r>
  <r>
    <s v="NSF-000243"/>
    <s v="USR-00338"/>
    <s v="SES-2503-47370"/>
    <d v="2025-03-22T00:00:00"/>
    <s v="South East"/>
    <s v="Brighton"/>
    <x v="2"/>
    <s v="45-54"/>
    <s v="Male"/>
    <s v="Android"/>
    <s v="Android Phone"/>
    <s v="7-12 months"/>
    <s v="Plus"/>
    <s v="Affiliate"/>
    <x v="4"/>
    <s v="Trial/Exploration"/>
    <s v="Fee Transparency Panel"/>
    <s v="Control"/>
    <n v="6"/>
    <n v="6"/>
    <n v="120"/>
    <s v="No"/>
    <x v="0"/>
    <x v="1"/>
    <s v="No Error"/>
    <x v="0"/>
    <n v="0"/>
    <n v="0"/>
    <n v="0.17"/>
    <s v="No Support Contact"/>
    <s v="No"/>
    <s v="No Support Contact"/>
    <s v="Not Applicable"/>
    <m/>
    <s v="No drop-off"/>
    <n v="4"/>
    <n v="30"/>
    <n v="12"/>
    <x v="1"/>
    <n v="1"/>
    <n v="1"/>
    <n v="0"/>
    <n v="1"/>
  </r>
  <r>
    <s v="NSF-000732"/>
    <s v="USR-00760"/>
    <s v="SES-2508-79646"/>
    <d v="2025-08-08T00:00:00"/>
    <s v="London"/>
    <s v="Hammersmith"/>
    <x v="0"/>
    <s v="25-34"/>
    <s v="Female"/>
    <s v="Android"/>
    <s v="Android Phone"/>
    <s v="2+ years"/>
    <s v="Free"/>
    <s v="Referral"/>
    <x v="3"/>
    <s v="First Use"/>
    <s v="No Experiment"/>
    <s v="Control"/>
    <n v="6"/>
    <n v="4"/>
    <n v="273"/>
    <s v="Yes"/>
    <x v="1"/>
    <x v="0"/>
    <s v="Split Amount Confusing"/>
    <x v="0"/>
    <n v="44.34"/>
    <n v="0.09"/>
    <n v="0"/>
    <s v="No Support Contact"/>
    <s v="No"/>
    <s v="No Support Contact"/>
    <s v="Not Applicable"/>
    <m/>
    <s v="Technical error"/>
    <n v="1"/>
    <n v="-47"/>
    <n v="0"/>
    <x v="0"/>
    <n v="0"/>
    <n v="1"/>
    <n v="1"/>
    <n v="0"/>
  </r>
  <r>
    <s v="NSF-000699"/>
    <s v="USR-00521"/>
    <s v="SES-2508-22428"/>
    <d v="2025-08-03T00:00:00"/>
    <s v="East Midlands"/>
    <s v="Leicester"/>
    <x v="2"/>
    <s v="35-44"/>
    <s v="Female"/>
    <s v="Web"/>
    <s v="Mobile Browser"/>
    <s v="3-6 months"/>
    <s v="Free"/>
    <s v="Paid Search"/>
    <x v="1"/>
    <s v="First Use"/>
    <s v="New Cta Copy"/>
    <s v="Treatment"/>
    <n v="4"/>
    <n v="4"/>
    <n v="104"/>
    <s v="No"/>
    <x v="0"/>
    <x v="1"/>
    <s v="No Error"/>
    <x v="0"/>
    <n v="143.91"/>
    <n v="0.21"/>
    <n v="0"/>
    <s v="Transaction Failure"/>
    <s v="Yes"/>
    <s v="Transaction Failure"/>
    <s v="Resolved"/>
    <n v="21"/>
    <s v="No drop-off"/>
    <n v="3"/>
    <n v="15"/>
    <n v="0"/>
    <x v="0"/>
    <n v="1"/>
    <n v="1"/>
    <n v="0"/>
    <n v="0"/>
  </r>
  <r>
    <s v="NSF-001414"/>
    <s v="USR-00707"/>
    <s v="SES-2606-21970"/>
    <d v="2026-06-06T00:00:00"/>
    <s v="Yorkshire &amp; Humber"/>
    <s v="Hull"/>
    <x v="5"/>
    <s v="45-54"/>
    <s v="Non-Binary"/>
    <s v="Android"/>
    <s v="Android Phone"/>
    <s v="1-2 years"/>
    <s v="Free"/>
    <s v="Paid Search"/>
    <x v="8"/>
    <s v="Repeat Use"/>
    <s v="Progress Indicator"/>
    <s v="Treatment"/>
    <n v="5"/>
    <n v="5"/>
    <n v="140"/>
    <s v="No"/>
    <x v="0"/>
    <x v="1"/>
    <s v="No Error"/>
    <x v="0"/>
    <n v="25.52"/>
    <n v="0"/>
    <n v="0"/>
    <s v="No Support Contact"/>
    <s v="No"/>
    <s v="No Support Contact"/>
    <s v="Not Applicable"/>
    <m/>
    <s v="No drop-off"/>
    <n v="5"/>
    <n v="28"/>
    <n v="51"/>
    <x v="1"/>
    <n v="1"/>
    <n v="1"/>
    <n v="0"/>
    <n v="1"/>
  </r>
  <r>
    <s v="NSF-000898"/>
    <s v="USR-00718"/>
    <s v="SES-2510-43312"/>
    <d v="2025-10-11T00:00:00"/>
    <s v="North West"/>
    <s v="Preston"/>
    <x v="0"/>
    <s v="45-54"/>
    <s v="Male"/>
    <s v="Web"/>
    <s v="Mobile Browser"/>
    <s v="1-2 years"/>
    <s v="Premium"/>
    <s v="App Store"/>
    <x v="3"/>
    <s v="First Use"/>
    <s v="No Experiment"/>
    <s v="Control"/>
    <n v="6"/>
    <n v="6"/>
    <n v="147"/>
    <s v="No"/>
    <x v="1"/>
    <x v="1"/>
    <s v="No Error"/>
    <x v="1"/>
    <n v="0"/>
    <n v="0"/>
    <n v="0"/>
    <s v="No Support Contact"/>
    <s v="No"/>
    <s v="No Support Contact"/>
    <s v="Not Applicable"/>
    <m/>
    <s v="Too many steps"/>
    <n v="4"/>
    <n v="21"/>
    <n v="0"/>
    <x v="1"/>
    <n v="0"/>
    <n v="0"/>
    <n v="0"/>
    <n v="1"/>
  </r>
  <r>
    <s v="NSF-001420"/>
    <s v="USR-00486"/>
    <s v="SES-2606-51353"/>
    <d v="2026-06-02T00:00:00"/>
    <s v="East England"/>
    <s v="Ipswich"/>
    <x v="0"/>
    <s v="25-34"/>
    <s v="Male"/>
    <s v="Android"/>
    <s v="Android Phone"/>
    <s v="2+ years"/>
    <s v="Premium"/>
    <s v="App Store"/>
    <x v="9"/>
    <s v="Trial/Exploration"/>
    <s v="Simplified Onboarding"/>
    <s v="Control"/>
    <n v="5"/>
    <n v="5"/>
    <n v="189"/>
    <s v="No"/>
    <x v="1"/>
    <x v="0"/>
    <s v="Cancellation Unclear"/>
    <x v="1"/>
    <n v="0"/>
    <n v="0"/>
    <n v="0"/>
    <s v="No Support Contact"/>
    <s v="No"/>
    <s v="No Support Contact"/>
    <s v="Not Applicable"/>
    <m/>
    <s v="Technical error"/>
    <n v="3"/>
    <n v="0"/>
    <n v="22"/>
    <x v="2"/>
    <n v="0"/>
    <n v="0"/>
    <n v="1"/>
    <n v="0"/>
  </r>
  <r>
    <s v="NSF-000512"/>
    <s v="USR-00167"/>
    <s v="SES-2506-42887"/>
    <d v="2025-05-06T00:00:00"/>
    <s v="Yorkshire &amp; Humber"/>
    <s v="Sheffield"/>
    <x v="0"/>
    <s v="25-34"/>
    <s v="Male"/>
    <s v="Ios"/>
    <s v="Iphone"/>
    <s v="1-2 years"/>
    <s v="Free"/>
    <s v="Paid Search"/>
    <x v="1"/>
    <s v="Reactivated"/>
    <s v="Fee Transparency Panel"/>
    <s v="Control"/>
    <n v="4"/>
    <n v="4"/>
    <n v="106"/>
    <s v="No"/>
    <x v="0"/>
    <x v="1"/>
    <s v="No Error"/>
    <x v="0"/>
    <n v="95.42"/>
    <n v="0.17"/>
    <n v="0"/>
    <s v="No Support Contact"/>
    <s v="No"/>
    <s v="No Support Contact"/>
    <s v="Not Applicable"/>
    <m/>
    <s v="No drop-off"/>
    <n v="4"/>
    <n v="26"/>
    <n v="32"/>
    <x v="1"/>
    <n v="1"/>
    <n v="1"/>
    <n v="0"/>
    <n v="1"/>
  </r>
  <r>
    <s v="NSF-000609"/>
    <s v="USR-00789"/>
    <s v="SES-2507-85471"/>
    <d v="2025-07-26T00:00:00"/>
    <s v="Northern Ireland"/>
    <s v="Belfast"/>
    <x v="0"/>
    <s v="35-44"/>
    <s v="Non-Binary"/>
    <s v="Web"/>
    <s v="Mobile Browser"/>
    <s v="2+ years"/>
    <s v="Free"/>
    <s v="Referral"/>
    <x v="7"/>
    <s v="Repeat Use"/>
    <s v="No Experiment"/>
    <s v="Control"/>
    <n v="4"/>
    <n v="4"/>
    <n v="111"/>
    <s v="No"/>
    <x v="1"/>
    <x v="1"/>
    <s v="No Error"/>
    <x v="0"/>
    <n v="33.46"/>
    <n v="0.53"/>
    <n v="0"/>
    <s v="No Support Contact"/>
    <s v="No"/>
    <s v="No Support Contact"/>
    <s v="Not Applicable"/>
    <m/>
    <s v="No drop-off"/>
    <n v="4"/>
    <n v="52"/>
    <n v="19"/>
    <x v="1"/>
    <n v="0"/>
    <n v="1"/>
    <n v="0"/>
    <n v="1"/>
  </r>
  <r>
    <s v="NSF-000935"/>
    <s v="USR-00597"/>
    <s v="SES-2511-61880"/>
    <d v="2025-11-01T00:00:00"/>
    <s v="West Midlands"/>
    <s v="Solihull"/>
    <x v="0"/>
    <s v="35-44"/>
    <s v="Female"/>
    <s v="Android"/>
    <s v="Android Phone"/>
    <s v="3-6 months"/>
    <s v="Free"/>
    <s v="Referral"/>
    <x v="0"/>
    <s v="Repeat Use"/>
    <s v="No Experiment"/>
    <s v="Control"/>
    <n v="7"/>
    <n v="7"/>
    <n v="172"/>
    <s v="No"/>
    <x v="0"/>
    <x v="0"/>
    <s v="Category Setup Confusion"/>
    <x v="1"/>
    <n v="0"/>
    <n v="0"/>
    <n v="0"/>
    <s v="No Support Contact"/>
    <s v="No"/>
    <s v="No Support Contact"/>
    <s v="Not Applicable"/>
    <m/>
    <s v="No drop-off"/>
    <n v="3"/>
    <n v="25"/>
    <n v="36"/>
    <x v="1"/>
    <n v="1"/>
    <n v="0"/>
    <n v="1"/>
    <n v="1"/>
  </r>
  <r>
    <s v="NSF-000289"/>
    <s v="USR-00167"/>
    <s v="SES-2503-54524"/>
    <d v="2025-03-28T00:00:00"/>
    <s v="Yorkshire &amp; Humber"/>
    <s v="Leeds"/>
    <x v="0"/>
    <s v="35-44"/>
    <s v="Female"/>
    <s v="Android"/>
    <s v="Android Phone"/>
    <s v="3-6 months"/>
    <s v="Free"/>
    <s v="Referral"/>
    <x v="3"/>
    <s v="First Use"/>
    <s v="No Experiment"/>
    <s v="Control"/>
    <n v="6"/>
    <n v="3"/>
    <n v="336"/>
    <s v="Yes"/>
    <x v="1"/>
    <x v="0"/>
    <s v="Split Amount Confusing"/>
    <x v="1"/>
    <n v="0"/>
    <n v="0"/>
    <n v="0"/>
    <s v="No Support Contact"/>
    <s v="No"/>
    <s v="No Support Contact"/>
    <s v="Not Applicable"/>
    <m/>
    <s v="No drop-off"/>
    <n v="3"/>
    <n v="-45"/>
    <n v="0"/>
    <x v="1"/>
    <n v="0"/>
    <n v="0"/>
    <n v="1"/>
    <n v="1"/>
  </r>
  <r>
    <s v="NSF-000121"/>
    <s v="USR-00663"/>
    <s v="SES-2502-20092"/>
    <d v="2025-02-14T00:00:00"/>
    <s v="Scotland"/>
    <s v="Aberdeen"/>
    <x v="2"/>
    <s v="35-44"/>
    <s v="Female"/>
    <s v="Android"/>
    <s v="Android Phone"/>
    <s v="&lt;3 months"/>
    <s v="Free"/>
    <s v="App Store"/>
    <x v="1"/>
    <s v="Repeat Use"/>
    <s v="Simplified Onboarding"/>
    <s v="Treatment"/>
    <n v="4"/>
    <s v="4 steps"/>
    <n v="112"/>
    <s v="Unknown"/>
    <x v="0"/>
    <x v="1"/>
    <s v="No Error"/>
    <x v="0"/>
    <n v="169.36"/>
    <n v="0.23"/>
    <n v="0"/>
    <s v="Transaction Failure"/>
    <s v="Yes"/>
    <s v="Transaction Failure"/>
    <s v="Resolved"/>
    <n v="27"/>
    <s v="No drop-off"/>
    <n v="5"/>
    <n v="16"/>
    <n v="41"/>
    <x v="0"/>
    <n v="1"/>
    <n v="1"/>
    <n v="0"/>
    <n v="0"/>
  </r>
  <r>
    <s v="NSF-000247"/>
    <s v="USR-00690"/>
    <s v="SES-2503-95304"/>
    <d v="2025-03-22T00:00:00"/>
    <s v="South West"/>
    <s v="Gloucester"/>
    <x v="0"/>
    <s v="65+"/>
    <s v="Male"/>
    <s v="Web"/>
    <s v="Desktop"/>
    <s v="3-6 months"/>
    <s v="Free"/>
    <s v="Referral"/>
    <x v="9"/>
    <s v="Repeat Use"/>
    <s v="New Cta Copy"/>
    <s v="Control"/>
    <s v="5 steps"/>
    <n v="5"/>
    <n v="138"/>
    <s v="No"/>
    <x v="0"/>
    <x v="1"/>
    <s v="No Error"/>
    <x v="0"/>
    <n v="148.86000000000001"/>
    <n v="0"/>
    <n v="0"/>
    <s v="Feature Navigation"/>
    <s v="Yes"/>
    <s v="Feature Navigation"/>
    <s v="Resolved"/>
    <n v="23"/>
    <s v="No drop-off"/>
    <n v="5"/>
    <n v="18"/>
    <n v="1"/>
    <x v="1"/>
    <n v="1"/>
    <n v="1"/>
    <n v="0"/>
    <n v="1"/>
  </r>
  <r>
    <s v="NSF-000027"/>
    <s v="USR-00770"/>
    <s v="SES-2501-67057"/>
    <d v="2025-01-31T00:00:00"/>
    <s v="Yorkshire &amp; Humber"/>
    <s v="SHEFFIELD"/>
    <x v="1"/>
    <s v="35-44"/>
    <s v="Female"/>
    <s v="Ios"/>
    <s v="Ipad"/>
    <s v="2+ years"/>
    <s v="Free"/>
    <s v="App Store"/>
    <x v="5"/>
    <s v="Trial/Exploration"/>
    <s v="No Experiment"/>
    <s v="Control"/>
    <s v="8 steps"/>
    <s v="8 steps"/>
    <n v="238"/>
    <s v="No"/>
    <x v="0"/>
    <x v="1"/>
    <s v="No Error"/>
    <x v="0"/>
    <n v="406.07"/>
    <n v="2.2999999999999998"/>
    <n v="0"/>
    <s v="No Support Contact"/>
    <s v="No"/>
    <s v="No Support Contact"/>
    <s v="Not Applicable"/>
    <m/>
    <s v="No drop-off"/>
    <n v="4"/>
    <n v="20"/>
    <n v="2"/>
    <x v="1"/>
    <n v="1"/>
    <n v="1"/>
    <n v="0"/>
    <n v="1"/>
  </r>
  <r>
    <s v="NSF-000353"/>
    <s v="USR-00062"/>
    <s v="SES-2504-56657"/>
    <d v="2025-04-13T00:00:00"/>
    <s v="London"/>
    <s v="Camden"/>
    <x v="2"/>
    <s v="25-34"/>
    <s v="Female"/>
    <s v="Ios"/>
    <s v="Iphone"/>
    <s v="2+ years"/>
    <s v="Free"/>
    <s v="Paid Search"/>
    <x v="5"/>
    <s v="Repeat Use"/>
    <s v="Contextual Help"/>
    <s v="Control"/>
    <n v="8"/>
    <n v="8"/>
    <n v="188"/>
    <s v="No"/>
    <x v="0"/>
    <x v="1"/>
    <s v="No Error"/>
    <x v="0"/>
    <n v="449.29"/>
    <n v="2.58"/>
    <n v="0"/>
    <s v="No Support Contact"/>
    <s v="No"/>
    <s v="No Support Contact"/>
    <s v="Not Applicable"/>
    <m/>
    <s v="No drop-off"/>
    <n v="4"/>
    <n v="30"/>
    <s v="37 days"/>
    <x v="1"/>
    <n v="1"/>
    <n v="1"/>
    <n v="0"/>
    <n v="1"/>
  </r>
  <r>
    <s v="NSF-001186"/>
    <s v="USR-00337"/>
    <s v="SES-2602-54043"/>
    <d v="2026-02-23T00:00:00"/>
    <s v="Yorkshire &amp; Humber"/>
    <s v="Sheffield"/>
    <x v="7"/>
    <s v="25-34"/>
    <s v="Male"/>
    <s v="Ios"/>
    <s v="Iphone"/>
    <s v="7-12 months"/>
    <s v="Free"/>
    <s v="Employer Partnership"/>
    <x v="2"/>
    <s v="Repeat Use"/>
    <s v="No Experiment"/>
    <s v="Control"/>
    <n v="5"/>
    <n v="5"/>
    <n v="146"/>
    <s v="No"/>
    <x v="1"/>
    <x v="0"/>
    <s v="Funding Source Unclear"/>
    <x v="1"/>
    <n v="0"/>
    <n v="0"/>
    <n v="0"/>
    <s v="No Support Contact"/>
    <s v="No"/>
    <s v="No Support Contact"/>
    <s v="Not Applicable"/>
    <m/>
    <s v="No drop-off"/>
    <n v="3"/>
    <n v="-12"/>
    <s v="30 days"/>
    <x v="0"/>
    <n v="0"/>
    <n v="0"/>
    <n v="1"/>
    <n v="0"/>
  </r>
  <r>
    <s v="NSF-001008"/>
    <s v="USR-00411"/>
    <s v="SES-2512-27451"/>
    <d v="2025-12-01T00:00:00"/>
    <s v="North East"/>
    <s v="Sunderland"/>
    <x v="3"/>
    <s v="18-24"/>
    <s v="Male"/>
    <s v="Android"/>
    <s v="Android Phone"/>
    <s v="1-2 years"/>
    <s v="Free"/>
    <s v="Paid Search"/>
    <x v="1"/>
    <s v="Reactivated"/>
    <s v="No Experiment"/>
    <s v="Control"/>
    <n v="4"/>
    <n v="4"/>
    <n v="81"/>
    <s v="No"/>
    <x v="0"/>
    <x v="1"/>
    <s v="No Error"/>
    <x v="0"/>
    <n v="176.38"/>
    <n v="0.19"/>
    <n v="0"/>
    <s v="No Support Contact"/>
    <s v="No"/>
    <s v="No Support Contact"/>
    <s v="Not Applicable"/>
    <m/>
    <s v="No drop-off"/>
    <n v="4"/>
    <n v="18"/>
    <n v="47"/>
    <x v="1"/>
    <n v="1"/>
    <n v="1"/>
    <n v="0"/>
    <n v="1"/>
  </r>
  <r>
    <s v="NSF-001071"/>
    <s v="USR-00208"/>
    <s v="SES-2512-15717"/>
    <d v="2025-12-10T00:00:00"/>
    <s v="London"/>
    <s v="Southwark"/>
    <x v="2"/>
    <s v="25-34"/>
    <s v="Female"/>
    <s v="Android"/>
    <s v="Android Phone"/>
    <s v="2+ years"/>
    <s v="Free"/>
    <s v="Organic Search"/>
    <x v="3"/>
    <s v="Repeat Use"/>
    <s v="Fee Transparency Panel"/>
    <s v="Control"/>
    <n v="6"/>
    <n v="6"/>
    <n v="157"/>
    <s v="No"/>
    <x v="0"/>
    <x v="1"/>
    <s v="No Error"/>
    <x v="0"/>
    <n v="0"/>
    <n v="0.1"/>
    <n v="0"/>
    <s v="No Support Contact"/>
    <s v="No"/>
    <s v="No Support Contact"/>
    <s v="Not Applicable"/>
    <m/>
    <s v="No drop-off"/>
    <n v="3"/>
    <n v="44"/>
    <n v="71"/>
    <x v="0"/>
    <n v="1"/>
    <n v="1"/>
    <n v="0"/>
    <n v="0"/>
  </r>
  <r>
    <s v="NSF-000381"/>
    <s v="USR-00330"/>
    <s v="SES-2504-99951"/>
    <d v="2025-04-19T00:00:00"/>
    <s v="Scotland"/>
    <s v="Edinburgh"/>
    <x v="4"/>
    <s v="25-34"/>
    <s v="Male"/>
    <s v="Web"/>
    <s v="Desktop"/>
    <s v="2+ years"/>
    <s v="Plus"/>
    <s v="Organic Search"/>
    <x v="9"/>
    <s v="Repeat Use"/>
    <s v="No Experiment"/>
    <s v="Control"/>
    <n v="5"/>
    <n v="5"/>
    <n v="145"/>
    <s v="No"/>
    <x v="0"/>
    <x v="1"/>
    <s v="No Error"/>
    <x v="0"/>
    <n v="164.73"/>
    <n v="0"/>
    <n v="0.17"/>
    <s v="No Support Contact"/>
    <s v="No"/>
    <s v="No Support Contact"/>
    <s v="Not Applicable"/>
    <m/>
    <s v="No drop-off"/>
    <n v="5"/>
    <n v="13"/>
    <n v="20"/>
    <x v="1"/>
    <n v="1"/>
    <n v="1"/>
    <n v="0"/>
    <n v="1"/>
  </r>
  <r>
    <s v="NSF-001173"/>
    <s v="USR-00360"/>
    <s v="SES-2602-46074"/>
    <d v="2026-02-19T00:00:00"/>
    <s v="Scotland"/>
    <s v="Dundee"/>
    <x v="5"/>
    <s v="25-34"/>
    <s v="Male"/>
    <s v="Web"/>
    <s v="Desktop"/>
    <s v="1-2 years"/>
    <s v="Free"/>
    <s v="Direct"/>
    <x v="0"/>
    <s v="Trial/Exploration"/>
    <s v="New Cta Copy"/>
    <s v="Control"/>
    <n v="7"/>
    <n v="7"/>
    <n v="161"/>
    <s v="No"/>
    <x v="1"/>
    <x v="1"/>
    <s v="No Error"/>
    <x v="0"/>
    <n v="8.52"/>
    <n v="0"/>
    <n v="0"/>
    <s v="No Support Contact"/>
    <s v="No"/>
    <s v="No Support Contact"/>
    <s v="Not Applicable"/>
    <m/>
    <s v="No drop-off"/>
    <n v="3"/>
    <n v="5"/>
    <n v="41"/>
    <x v="0"/>
    <n v="0"/>
    <n v="1"/>
    <n v="0"/>
    <n v="0"/>
  </r>
  <r>
    <s v="NSF-000593"/>
    <s v="USR-00547"/>
    <s v="SES-2507-59626"/>
    <d v="2025-07-21T00:00:00"/>
    <s v="Yorkshire &amp; Humber"/>
    <s v="York"/>
    <x v="0"/>
    <s v="18-24"/>
    <s v="Female"/>
    <s v="Android"/>
    <s v="Android Phone"/>
    <s v="3-6 months"/>
    <s v="Free"/>
    <s v="App Store"/>
    <x v="2"/>
    <s v="Reactivated"/>
    <s v="Simplified Onboarding"/>
    <s v="Treatment"/>
    <n v="5"/>
    <s v="5 steps"/>
    <n v="147"/>
    <s v="No"/>
    <x v="0"/>
    <x v="1"/>
    <s v="No Error"/>
    <x v="0"/>
    <n v="44.68"/>
    <n v="0"/>
    <n v="0"/>
    <s v="No Support Contact"/>
    <s v="No"/>
    <s v="No Support Contact"/>
    <s v="Not Applicable"/>
    <m/>
    <s v="No drop-off"/>
    <n v="5"/>
    <n v="32"/>
    <n v="20"/>
    <x v="1"/>
    <n v="1"/>
    <n v="1"/>
    <n v="0"/>
    <n v="1"/>
  </r>
  <r>
    <s v="NSF-000137"/>
    <s v="USR-00552"/>
    <s v="SES-2502-35966"/>
    <d v="2025-02-07T00:00:00"/>
    <s v="Scotland"/>
    <s v="Aberdeen"/>
    <x v="4"/>
    <s v="35-44"/>
    <s v="Female"/>
    <s v="Android"/>
    <s v="Android Phone"/>
    <s v="3-6 months"/>
    <s v="Free"/>
    <s v="Paid Search"/>
    <x v="9"/>
    <s v="Repeat Use"/>
    <s v="No Experiment"/>
    <s v="Control"/>
    <n v="5"/>
    <n v="5"/>
    <n v="119"/>
    <s v="No"/>
    <x v="0"/>
    <x v="1"/>
    <s v="No Error"/>
    <x v="0"/>
    <n v="69.38"/>
    <n v="0"/>
    <n v="0"/>
    <s v="No Support Contact"/>
    <s v="No"/>
    <s v="No Support Contact"/>
    <s v="Not Applicable"/>
    <m/>
    <s v="No drop-off"/>
    <n v="4"/>
    <n v="45"/>
    <n v="39"/>
    <x v="1"/>
    <n v="1"/>
    <n v="1"/>
    <n v="0"/>
    <n v="1"/>
  </r>
  <r>
    <s v="NSF-000471"/>
    <s v="USR-00215"/>
    <s v="SES-2505-65552"/>
    <d v="2025-05-31T00:00:00"/>
    <s v="North West"/>
    <s v="Chester"/>
    <x v="1"/>
    <s v="65+"/>
    <s v="Female"/>
    <s v="Android"/>
    <s v="Android Phone"/>
    <s v="7-12 months"/>
    <s v="Plus"/>
    <s v="Direct"/>
    <x v="9"/>
    <s v="Repeat Use"/>
    <s v="Simplified Onboarding"/>
    <s v="Control"/>
    <n v="5"/>
    <n v="5"/>
    <n v="105"/>
    <s v="No"/>
    <x v="0"/>
    <x v="1"/>
    <s v="No Error"/>
    <x v="0"/>
    <n v="38.130000000000003"/>
    <n v="0"/>
    <n v="0.17"/>
    <s v="No Support Contact"/>
    <s v="No"/>
    <s v="No Support Contact"/>
    <s v="Not Applicable"/>
    <m/>
    <m/>
    <n v="5"/>
    <n v="71"/>
    <n v="42"/>
    <x v="1"/>
    <n v="1"/>
    <n v="1"/>
    <n v="0"/>
    <n v="1"/>
  </r>
  <r>
    <s v="NSF-001396"/>
    <s v="USR-00282"/>
    <s v="SES-2605-74622"/>
    <d v="2026-05-28T00:00:00"/>
    <s v="Northern Ireland"/>
    <s v="Derry"/>
    <x v="3"/>
    <s v="45-54"/>
    <s v="Male"/>
    <s v="Android"/>
    <s v="Android Phone"/>
    <s v="3-6 months"/>
    <s v="Free"/>
    <s v="Paid Search"/>
    <x v="7"/>
    <s v="Repeat Use"/>
    <s v="Contextual Help"/>
    <s v="Treatment"/>
    <n v="4"/>
    <n v="4"/>
    <n v="101"/>
    <s v="No"/>
    <x v="0"/>
    <x v="1"/>
    <s v="No Error"/>
    <x v="1"/>
    <n v="0"/>
    <n v="0"/>
    <n v="0"/>
    <s v="No Support Contact"/>
    <s v="No"/>
    <s v="No Support Contact"/>
    <s v="Not Applicable"/>
    <m/>
    <s v="No drop-off"/>
    <n v="4"/>
    <n v="69"/>
    <s v="10 days"/>
    <x v="1"/>
    <n v="1"/>
    <n v="0"/>
    <n v="0"/>
    <n v="1"/>
  </r>
  <r>
    <s v="NSF-000836"/>
    <s v="USR-00535"/>
    <s v="SES-2510-32105"/>
    <d v="2025-10-08T00:00:00"/>
    <s v="Scotland"/>
    <s v="Aberdeen"/>
    <x v="5"/>
    <s v="35-44"/>
    <s v="Female"/>
    <s v="Ios"/>
    <s v="Iphone"/>
    <s v="&lt;3 months"/>
    <s v="Basic"/>
    <s v="Affiliate"/>
    <x v="1"/>
    <s v="Reactivated"/>
    <s v="Progress Indicator"/>
    <s v="Control"/>
    <n v="4"/>
    <n v="4"/>
    <n v="121"/>
    <s v="No"/>
    <x v="0"/>
    <x v="1"/>
    <s v="No Error"/>
    <x v="0"/>
    <n v="138.28"/>
    <n v="0.17"/>
    <n v="0"/>
    <s v="No Support Contact"/>
    <s v="No"/>
    <s v="No Support Contact"/>
    <s v="Not Applicable"/>
    <m/>
    <s v="No drop-off"/>
    <n v="5"/>
    <n v="13"/>
    <n v="73"/>
    <x v="1"/>
    <n v="1"/>
    <n v="1"/>
    <n v="0"/>
    <n v="1"/>
  </r>
  <r>
    <s v="NSF-001394"/>
    <s v="USR-00035"/>
    <s v="SES-2605-80035"/>
    <d v="2026-12-05T00:00:00"/>
    <s v="Wales"/>
    <s v="Swansea"/>
    <x v="0"/>
    <s v="25-34"/>
    <s v="Female"/>
    <s v="Android"/>
    <s v="Android Phone"/>
    <s v="2+ years"/>
    <s v="Plus"/>
    <s v="Organic Search"/>
    <x v="1"/>
    <s v="Trial/Exploration"/>
    <s v="Contextual Help"/>
    <s v="Treatment"/>
    <n v="4"/>
    <n v="4"/>
    <n v="113"/>
    <s v="Unknown"/>
    <x v="1"/>
    <x v="1"/>
    <s v="No Error"/>
    <x v="0"/>
    <n v="142.02000000000001"/>
    <n v="0.17"/>
    <n v="0.17"/>
    <s v="No Support Contact"/>
    <s v="No"/>
    <s v="No Support Contact"/>
    <s v="Not Applicable"/>
    <m/>
    <s v="Too many steps"/>
    <n v="5"/>
    <n v="-4"/>
    <n v="41"/>
    <x v="0"/>
    <n v="0"/>
    <n v="1"/>
    <n v="0"/>
    <n v="0"/>
  </r>
  <r>
    <s v="NSF-000674"/>
    <s v="USR-00763"/>
    <s v="SES-2508-63446"/>
    <d v="2025-08-28T00:00:00"/>
    <s v="London"/>
    <s v="Hackney"/>
    <x v="0"/>
    <s v="25-34"/>
    <s v="Female"/>
    <s v="Ios"/>
    <s v="Iphone"/>
    <s v="2+ years"/>
    <s v="Premium"/>
    <s v="Affiliate"/>
    <x v="1"/>
    <s v="First Use"/>
    <s v="No Experiment"/>
    <s v="Control"/>
    <n v="4"/>
    <n v="3"/>
    <n v="103"/>
    <s v="Yes"/>
    <x v="1"/>
    <x v="1"/>
    <s v="No Error"/>
    <x v="0"/>
    <n v="158.47"/>
    <n v="0.21"/>
    <n v="0.37"/>
    <s v="No Support Contact"/>
    <s v="Unknown"/>
    <s v="No Support Contact"/>
    <s v="Not Applicable"/>
    <m/>
    <s v="Instructions unclear"/>
    <n v="3"/>
    <n v="-44"/>
    <n v="0"/>
    <x v="0"/>
    <n v="0"/>
    <n v="1"/>
    <n v="0"/>
    <n v="0"/>
  </r>
  <r>
    <s v="NSF-000108"/>
    <s v="USR-00216"/>
    <s v="SES-2502-89450"/>
    <d v="2025-02-26T00:00:00"/>
    <s v="West Midlands"/>
    <s v="Solihull"/>
    <x v="2"/>
    <s v="25-34"/>
    <s v="Female"/>
    <s v="Ios"/>
    <s v="Iphone"/>
    <s v="7-12 months"/>
    <s v="Free"/>
    <s v="Direct"/>
    <x v="4"/>
    <s v="Reactivated"/>
    <s v="Progress Indicator"/>
    <s v="Treatment"/>
    <n v="6"/>
    <n v="6"/>
    <n v="188"/>
    <s v="No"/>
    <x v="0"/>
    <x v="1"/>
    <s v="No Error"/>
    <x v="0"/>
    <n v="20.36"/>
    <n v="0"/>
    <n v="0"/>
    <s v="Card Issue"/>
    <s v="Yes"/>
    <s v="Card Issue"/>
    <s v="Resolved"/>
    <n v="23"/>
    <s v="No drop-off"/>
    <n v="5"/>
    <n v="25"/>
    <n v="5"/>
    <x v="0"/>
    <n v="1"/>
    <n v="1"/>
    <n v="0"/>
    <n v="0"/>
  </r>
  <r>
    <s v="NSF-000443"/>
    <s v="USR-00691"/>
    <s v="SES-2505-20164"/>
    <d v="2025-05-19T00:00:00"/>
    <s v="East Midlands"/>
    <s v="Lincoln"/>
    <x v="1"/>
    <s v="25-34"/>
    <s v="Female"/>
    <s v="Ios"/>
    <s v="Iphone"/>
    <s v="1-2 years"/>
    <s v="Free"/>
    <s v="Organic Search"/>
    <x v="9"/>
    <s v="Repeat Use"/>
    <s v="Fee Transparency Panel"/>
    <s v="Treatment"/>
    <n v="5"/>
    <n v="4"/>
    <n v="176"/>
    <s v="Yes"/>
    <x v="0"/>
    <x v="1"/>
    <s v="No Error"/>
    <x v="0"/>
    <n v="79.75"/>
    <n v="0"/>
    <n v="0"/>
    <s v="Transaction Failure"/>
    <s v="Yes"/>
    <s v="Transaction Failure"/>
    <s v="Resolved"/>
    <n v="46"/>
    <s v="No drop-off"/>
    <n v="4"/>
    <n v="39"/>
    <n v="7"/>
    <x v="1"/>
    <n v="1"/>
    <n v="1"/>
    <n v="0"/>
    <n v="1"/>
  </r>
  <r>
    <s v="NSF-001409"/>
    <s v="USR-00534"/>
    <s v="SES-2605-31442"/>
    <d v="2026-05-23T00:00:00"/>
    <s v="South East"/>
    <s v="Oxford"/>
    <x v="5"/>
    <s v="18-24"/>
    <s v="Male"/>
    <s v="Android"/>
    <s v="Android Phone"/>
    <s v="&lt;3 months"/>
    <s v="Free"/>
    <s v="Paid Social"/>
    <x v="7"/>
    <s v="Repeat Use"/>
    <s v="No Experiment"/>
    <s v="Control"/>
    <n v="4"/>
    <n v="4"/>
    <n v="84"/>
    <s v="No"/>
    <x v="1"/>
    <x v="1"/>
    <s v="No Error"/>
    <x v="2"/>
    <n v="0"/>
    <n v="0"/>
    <n v="0"/>
    <s v="No Support Contact"/>
    <s v="No"/>
    <s v="No Support Contact"/>
    <s v="Not Applicable"/>
    <m/>
    <s v="No drop-off"/>
    <n v="3"/>
    <n v="14"/>
    <n v="34"/>
    <x v="0"/>
    <n v="0"/>
    <n v="0"/>
    <n v="0"/>
    <n v="0"/>
  </r>
  <r>
    <s v="NSF-000272"/>
    <s v="USR-00250"/>
    <s v="SES-2503-78273"/>
    <d v="2025-03-05T00:00:00"/>
    <s v="Scotland"/>
    <s v="Aberdeen"/>
    <x v="3"/>
    <s v="25-34"/>
    <s v="Male"/>
    <s v="Android"/>
    <s v="Android Phone"/>
    <s v="1-2 years"/>
    <s v="Free"/>
    <s v="Referral"/>
    <x v="10"/>
    <s v="Trial/Exploration"/>
    <s v="New Cta Copy"/>
    <s v="Treatment"/>
    <n v="9"/>
    <n v="9"/>
    <n v="230"/>
    <s v="No"/>
    <x v="0"/>
    <x v="1"/>
    <s v="No Error"/>
    <x v="0"/>
    <n v="171.23"/>
    <n v="3.02"/>
    <n v="0"/>
    <s v="No Support Contact"/>
    <s v="No"/>
    <s v="No Support Contact"/>
    <s v="Not Applicable"/>
    <m/>
    <s v="No drop-off"/>
    <n v="3"/>
    <n v="25"/>
    <n v="29"/>
    <x v="1"/>
    <n v="1"/>
    <n v="1"/>
    <n v="0"/>
    <n v="1"/>
  </r>
  <r>
    <s v="NSF-001207"/>
    <s v="USR-00379"/>
    <s v="SES-2602-80047"/>
    <d v="2026-02-24T00:00:00"/>
    <s v="Northern Ireland"/>
    <s v="Lisburn"/>
    <x v="1"/>
    <s v="25-34"/>
    <s v="Female"/>
    <s v="Ios"/>
    <s v="Iphone"/>
    <s v="1-2 years"/>
    <s v="Plus"/>
    <s v="Paid Search"/>
    <x v="2"/>
    <s v="First Use"/>
    <s v="Simplified Onboarding"/>
    <s v="Control"/>
    <n v="5"/>
    <n v="4"/>
    <n v="219"/>
    <s v="Yes"/>
    <x v="0"/>
    <x v="1"/>
    <s v="No Error"/>
    <x v="0"/>
    <n v="4.1500000000000004"/>
    <n v="0"/>
    <n v="0.17"/>
    <s v="No Support Contact"/>
    <s v="No"/>
    <s v="No Support Contact"/>
    <s v="Not Applicable"/>
    <m/>
    <s v="No drop-off"/>
    <n v="4"/>
    <n v="-11"/>
    <n v="0"/>
    <x v="0"/>
    <n v="1"/>
    <n v="1"/>
    <n v="0"/>
    <n v="0"/>
  </r>
  <r>
    <s v="NSF-001131"/>
    <s v="USR-00393"/>
    <s v="SES-2601-21248"/>
    <d v="2026-01-19T00:00:00"/>
    <s v="Wales"/>
    <s v="Wrexham"/>
    <x v="3"/>
    <s v="45-54"/>
    <s v="Female"/>
    <s v="Android"/>
    <s v="Android Phone"/>
    <s v="3-6 months"/>
    <s v="Free"/>
    <s v="Paid Search"/>
    <x v="5"/>
    <s v="Repeat Use"/>
    <s v="New Cta Copy"/>
    <s v="Control"/>
    <n v="8"/>
    <n v="5"/>
    <n v="246"/>
    <s v="Yes"/>
    <x v="1"/>
    <x v="1"/>
    <s v="No Error"/>
    <x v="1"/>
    <n v="0"/>
    <n v="0"/>
    <n v="0"/>
    <s v="Feature Navigation"/>
    <s v="Yes"/>
    <s v="Feature Navigation"/>
    <s v="Unresolved"/>
    <n v="35"/>
    <s v="Changed mind"/>
    <n v="2"/>
    <n v="-25"/>
    <n v="35"/>
    <x v="0"/>
    <n v="0"/>
    <n v="0"/>
    <n v="0"/>
    <n v="0"/>
  </r>
  <r>
    <s v="NSF-001272"/>
    <s v="USR-00492"/>
    <s v="SES-2603-78281"/>
    <d v="2026-03-09T00:00:00"/>
    <s v="Scotland"/>
    <s v="Edinburgh"/>
    <x v="2"/>
    <s v="65+"/>
    <s v="Female"/>
    <s v="Ios"/>
    <s v="Iphone"/>
    <s v="&lt;3 months"/>
    <s v="Basic"/>
    <s v="App Store"/>
    <x v="4"/>
    <s v="First Use"/>
    <s v="No Experiment"/>
    <s v="Control"/>
    <n v="6"/>
    <n v="6"/>
    <n v="227"/>
    <s v="No"/>
    <x v="1"/>
    <x v="0"/>
    <s v="Insight Unclear"/>
    <x v="1"/>
    <n v="0"/>
    <n v="0"/>
    <n v="0"/>
    <s v="No Support Contact"/>
    <s v="No"/>
    <s v="No Support Contact"/>
    <s v="Not Applicable"/>
    <m/>
    <s v="Technical error"/>
    <n v="2"/>
    <n v="-43"/>
    <n v="0"/>
    <x v="0"/>
    <n v="0"/>
    <n v="0"/>
    <n v="1"/>
    <n v="0"/>
  </r>
  <r>
    <s v="NSF-001016"/>
    <s v="USR-00458"/>
    <s v="SES-2512-60677"/>
    <d v="2025-12-07T00:00:00"/>
    <s v="South East"/>
    <s v="Guildford"/>
    <x v="5"/>
    <s v="35-44"/>
    <s v="Male"/>
    <s v="Android"/>
    <s v="Android Phone"/>
    <s v="2+ years"/>
    <s v="Free"/>
    <s v="Direct"/>
    <x v="2"/>
    <s v="Repeat Use"/>
    <s v="Fee Transparency Panel"/>
    <s v="Control"/>
    <n v="5"/>
    <n v="5"/>
    <n v="174"/>
    <s v="No"/>
    <x v="0"/>
    <x v="0"/>
    <s v="Goal Setup Confusion"/>
    <x v="0"/>
    <n v="0"/>
    <n v="0"/>
    <n v="0"/>
    <s v="Transaction Failure"/>
    <s v="Yes"/>
    <s v="Transaction Failure"/>
    <s v="Resolved"/>
    <n v="14"/>
    <s v="No drop-off"/>
    <n v="3"/>
    <n v="54"/>
    <n v="28"/>
    <x v="1"/>
    <n v="1"/>
    <n v="1"/>
    <n v="1"/>
    <n v="1"/>
  </r>
  <r>
    <s v="NSF-001419"/>
    <s v="USR-00138"/>
    <s v="SES-2606-27477"/>
    <d v="2026-06-09T00:00:00"/>
    <s v="Northern Ireland"/>
    <s v="Newry"/>
    <x v="0"/>
    <s v="45-54"/>
    <s v="Female"/>
    <s v="Ios"/>
    <s v="Iphone"/>
    <s v="&lt;3 months"/>
    <s v="Free"/>
    <s v="App Store"/>
    <x v="4"/>
    <s v="Repeat Use"/>
    <s v="Fee Transparency Panel"/>
    <s v="Treatment"/>
    <n v="6"/>
    <n v="6"/>
    <n v="109"/>
    <s v="No"/>
    <x v="0"/>
    <x v="1"/>
    <s v="No Error"/>
    <x v="0"/>
    <n v="2.37"/>
    <n v="0"/>
    <n v="0"/>
    <s v="No Support Contact"/>
    <s v="No"/>
    <s v="No Support Contact"/>
    <s v="Not Applicable"/>
    <m/>
    <s v="No drop-off"/>
    <n v="4"/>
    <n v="33"/>
    <s v="58 days"/>
    <x v="1"/>
    <n v="1"/>
    <n v="1"/>
    <n v="0"/>
    <n v="1"/>
  </r>
  <r>
    <s v="NSF-000767"/>
    <s v="USR-00567"/>
    <s v="SES-2509-87877"/>
    <d v="2025-09-19T00:00:00"/>
    <s v="Wales"/>
    <s v="Swansea"/>
    <x v="7"/>
    <s v="18-24"/>
    <s v="Male"/>
    <s v="Android"/>
    <s v="Android Phone"/>
    <s v="3-6 months"/>
    <s v="Free"/>
    <s v="Direct"/>
    <x v="3"/>
    <s v="Repeat Use"/>
    <s v="No Experiment"/>
    <s v="Control"/>
    <n v="6"/>
    <n v="6"/>
    <n v="168"/>
    <s v="No"/>
    <x v="0"/>
    <x v="0"/>
    <s v="Split Amount Confusing"/>
    <x v="1"/>
    <n v="0"/>
    <n v="0"/>
    <n v="0"/>
    <s v="No Support Contact"/>
    <s v="No"/>
    <s v="No Support Contact"/>
    <s v="Not Applicable"/>
    <m/>
    <s v="No drop-off"/>
    <n v="3"/>
    <n v="6"/>
    <n v="1"/>
    <x v="1"/>
    <n v="1"/>
    <n v="0"/>
    <n v="1"/>
    <n v="1"/>
  </r>
  <r>
    <s v="NSF-001134"/>
    <s v="USR-00163"/>
    <s v="SES-2601-28078"/>
    <d v="2026-01-28T00:00:00"/>
    <s v="North West"/>
    <s v="Preston"/>
    <x v="0"/>
    <s v="18-24"/>
    <s v="Male"/>
    <s v="Android"/>
    <s v="Android Phone"/>
    <s v="2+ years"/>
    <s v="Free"/>
    <s v="Paid Search"/>
    <x v="8"/>
    <s v="Repeat Use"/>
    <s v="Contextual Help"/>
    <s v="Treatment"/>
    <n v="5"/>
    <n v="5"/>
    <n v="93"/>
    <s v="No"/>
    <x v="1"/>
    <x v="1"/>
    <s v="No Error"/>
    <x v="0"/>
    <n v="45.25"/>
    <n v="0"/>
    <n v="0"/>
    <s v="Fees And Pricing"/>
    <s v="Yes"/>
    <s v="Fees And Pricing"/>
    <s v="Resolved"/>
    <n v="39"/>
    <s v="Too many steps"/>
    <n v="3"/>
    <n v="64"/>
    <n v="25"/>
    <x v="1"/>
    <n v="0"/>
    <n v="1"/>
    <n v="0"/>
    <n v="1"/>
  </r>
  <r>
    <s v="NSF-000974"/>
    <s v="USR-00462"/>
    <s v="SES-2606-00003"/>
    <d v="2025-11-19T00:00:00"/>
    <s v="East Midlands"/>
    <s v="Lincoln"/>
    <x v="0"/>
    <s v="35-44"/>
    <s v="Male"/>
    <s v="Android"/>
    <s v="Android Phone"/>
    <s v="7-12 months"/>
    <s v="Free"/>
    <s v="App Store"/>
    <x v="4"/>
    <s v="Repeat Use"/>
    <s v="Progress Indicator"/>
    <s v="Treatment"/>
    <s v="6 steps"/>
    <n v="6"/>
    <n v="177"/>
    <s v="No"/>
    <x v="1"/>
    <x v="1"/>
    <s v="No Error"/>
    <x v="1"/>
    <n v="0"/>
    <n v="0"/>
    <n v="0"/>
    <s v="Account Verification"/>
    <s v="Yes"/>
    <s v="Account Verification"/>
    <s v="Resolved"/>
    <n v="29"/>
    <s v="No drop-off"/>
    <n v="4"/>
    <n v="-31"/>
    <n v="22"/>
    <x v="0"/>
    <n v="0"/>
    <n v="0"/>
    <n v="0"/>
    <n v="0"/>
  </r>
  <r>
    <s v="NSF-000910"/>
    <s v="USR-00272"/>
    <s v="SES-2510-93984"/>
    <d v="2025-10-07T00:00:00"/>
    <s v="South East"/>
    <s v="Reading"/>
    <x v="0"/>
    <s v="18-24"/>
    <s v="Male"/>
    <s v="Android"/>
    <s v="Android Phone"/>
    <s v="&lt;3 months"/>
    <s v="Plus"/>
    <s v="Organic Search"/>
    <x v="10"/>
    <s v="Trial/Exploration"/>
    <s v="Simplified Onboarding"/>
    <s v="Treatment"/>
    <n v="9"/>
    <n v="9"/>
    <n v="221"/>
    <s v="No"/>
    <x v="0"/>
    <x v="1"/>
    <s v="No Error"/>
    <x v="1"/>
    <n v="0"/>
    <n v="0"/>
    <n v="0"/>
    <s v="Other"/>
    <s v="Yes"/>
    <s v="Other"/>
    <s v="Resolved"/>
    <n v="38"/>
    <s v="No drop-off"/>
    <n v="3"/>
    <n v="58"/>
    <n v="28"/>
    <x v="0"/>
    <n v="1"/>
    <n v="0"/>
    <n v="0"/>
    <n v="0"/>
  </r>
  <r>
    <s v="NSF-000653"/>
    <s v="USR-00017"/>
    <s v="SES-2507-48003"/>
    <d v="2025-07-04T00:00:00"/>
    <s v="East Midlands"/>
    <s v="Derby"/>
    <x v="1"/>
    <s v="25-34"/>
    <s v="Female"/>
    <s v="Android"/>
    <s v="Android Phone"/>
    <s v="&lt;3 months"/>
    <s v="Free"/>
    <s v="Affiliate"/>
    <x v="1"/>
    <s v="Reactivated"/>
    <s v="Simplified Onboarding"/>
    <s v="Control"/>
    <n v="4"/>
    <n v="4"/>
    <n v="77"/>
    <s v="No"/>
    <x v="0"/>
    <x v="1"/>
    <s v="No Error"/>
    <x v="0"/>
    <n v="77.58"/>
    <n v="0.2"/>
    <n v="0"/>
    <s v="No Support Contact"/>
    <s v="No"/>
    <s v="No Support Contact"/>
    <s v="Not Applicable"/>
    <m/>
    <s v="No drop-off"/>
    <n v="5"/>
    <n v="50"/>
    <n v="17"/>
    <x v="1"/>
    <n v="1"/>
    <n v="1"/>
    <n v="0"/>
    <n v="1"/>
  </r>
  <r>
    <s v="NSF-000174"/>
    <s v="USR-00336"/>
    <s v="SES-2502-11084"/>
    <d v="2025-02-17T00:00:00"/>
    <s v="East England"/>
    <s v="Norwich"/>
    <x v="0"/>
    <s v="25-34"/>
    <s v="Female"/>
    <s v="Ios"/>
    <s v="Iphone"/>
    <s v="3-6 months"/>
    <s v="Free"/>
    <s v="Affiliate"/>
    <x v="2"/>
    <s v="Repeat Use"/>
    <s v="Simplified Onboarding"/>
    <s v="Treatment"/>
    <n v="5"/>
    <n v="5"/>
    <n v="146"/>
    <s v="No"/>
    <x v="1"/>
    <x v="1"/>
    <s v="No Error"/>
    <x v="0"/>
    <n v="8.27"/>
    <n v="0"/>
    <n v="0"/>
    <s v="No Support Contact"/>
    <s v="No"/>
    <s v="No Support Contact"/>
    <s v="Not Applicable"/>
    <m/>
    <s v="No drop-off"/>
    <n v="3"/>
    <n v="32"/>
    <n v="46"/>
    <x v="1"/>
    <n v="0"/>
    <n v="1"/>
    <n v="0"/>
    <n v="1"/>
  </r>
  <r>
    <s v="NSF-000956"/>
    <s v="USR-00769"/>
    <s v="SES-2511-26950"/>
    <d v="2025-11-13T00:00:00"/>
    <s v="Scotland"/>
    <s v="Edinburgh"/>
    <x v="2"/>
    <s v="25-34"/>
    <s v="Male"/>
    <s v="Android"/>
    <s v="Android Phone"/>
    <s v="3-6 months"/>
    <s v="Free"/>
    <s v="Paid Social"/>
    <x v="8"/>
    <s v="Trial/Exploration"/>
    <s v="No Experiment"/>
    <s v="Control"/>
    <n v="5"/>
    <n v="4"/>
    <n v="135"/>
    <s v="Yes"/>
    <x v="0"/>
    <x v="1"/>
    <s v="No Error"/>
    <x v="0"/>
    <n v="87.31"/>
    <n v="0"/>
    <n v="0"/>
    <s v="No Support Contact"/>
    <s v="No"/>
    <s v="No Support Contact"/>
    <s v="Not Applicable"/>
    <m/>
    <s v="No drop-off"/>
    <n v="3"/>
    <n v="15"/>
    <n v="66"/>
    <x v="1"/>
    <n v="1"/>
    <n v="1"/>
    <n v="0"/>
    <n v="1"/>
  </r>
  <r>
    <s v="NSF-000779"/>
    <s v="USR-00565"/>
    <s v="SES-2509-13935"/>
    <d v="2025-09-26T00:00:00"/>
    <s v="Scotland"/>
    <s v="Edinburgh"/>
    <x v="7"/>
    <s v="35-44"/>
    <s v="Male"/>
    <s v="Ios"/>
    <s v="Iphone"/>
    <s v="1-2 years"/>
    <s v="Free"/>
    <s v="Referral"/>
    <x v="9"/>
    <s v="First Use"/>
    <s v="No Experiment"/>
    <s v="Control"/>
    <n v="5"/>
    <n v="4"/>
    <n v="183"/>
    <s v="Yes"/>
    <x v="0"/>
    <x v="1"/>
    <s v="No Error"/>
    <x v="0"/>
    <n v="132.69"/>
    <n v="0"/>
    <n v="0"/>
    <s v="No Support Contact"/>
    <s v="No"/>
    <s v="No Support Contact"/>
    <s v="Not Applicable"/>
    <m/>
    <s v="No drop-off"/>
    <n v="3"/>
    <n v="9"/>
    <n v="0"/>
    <x v="1"/>
    <n v="1"/>
    <n v="1"/>
    <n v="0"/>
    <n v="1"/>
  </r>
  <r>
    <s v="NSF-000367"/>
    <s v="USR-00343"/>
    <s v="SES-2504-10739"/>
    <d v="2025-04-15T00:00:00"/>
    <s v="South West"/>
    <s v="Exeter"/>
    <x v="0"/>
    <s v="35-44"/>
    <s v="Female"/>
    <s v="Android"/>
    <s v="Android Phone"/>
    <s v="1-2 years"/>
    <s v="Free"/>
    <s v="Paid Social"/>
    <x v="5"/>
    <s v="Repeat Use"/>
    <s v="New Cta Copy"/>
    <s v="Treatment"/>
    <n v="8"/>
    <n v="7"/>
    <n v="341"/>
    <s v="Yes"/>
    <x v="1"/>
    <x v="1"/>
    <s v="No Error"/>
    <x v="0"/>
    <n v="423.92"/>
    <n v="2.17"/>
    <n v="0"/>
    <s v="No Support Contact"/>
    <s v="No"/>
    <s v="No Support Contact"/>
    <s v="Not Applicable"/>
    <m/>
    <s v="Instructions unclear"/>
    <n v="4"/>
    <n v="14"/>
    <n v="30"/>
    <x v="1"/>
    <n v="0"/>
    <n v="1"/>
    <n v="0"/>
    <n v="1"/>
  </r>
  <r>
    <s v="NSF-000273"/>
    <s v="USR-00524"/>
    <s v="SES-2503-41400"/>
    <d v="2025-03-17T00:00:00"/>
    <s v="West Midlands"/>
    <s v="Birmingham"/>
    <x v="0"/>
    <s v="45-54"/>
    <s v="Female"/>
    <s v="Android"/>
    <s v="Android Phone"/>
    <s v="&lt;3 months"/>
    <s v="Plus"/>
    <s v="Affiliate"/>
    <x v="2"/>
    <s v="Repeat Use"/>
    <s v="New Cta Copy"/>
    <s v="Treatment"/>
    <n v="5"/>
    <n v="5"/>
    <n v="124"/>
    <s v="No"/>
    <x v="0"/>
    <x v="1"/>
    <s v="No Error"/>
    <x v="0"/>
    <n v="85.99"/>
    <n v="0"/>
    <n v="0.17"/>
    <s v="No Support Contact"/>
    <s v="No"/>
    <s v="No Support Contact"/>
    <s v="Not Applicable"/>
    <m/>
    <s v="No drop-off"/>
    <n v="4"/>
    <n v="94"/>
    <n v="41"/>
    <x v="1"/>
    <n v="1"/>
    <n v="1"/>
    <n v="0"/>
    <n v="1"/>
  </r>
  <r>
    <s v="NSF-001482"/>
    <s v="USR-00735"/>
    <s v="SES-2512-84385"/>
    <d v="2025-12-05T00:00:00"/>
    <s v="London"/>
    <s v="Camden"/>
    <x v="3"/>
    <s v="45-54"/>
    <s v="Female"/>
    <s v="Ios"/>
    <s v="Iphone"/>
    <s v="3-6 months"/>
    <s v="Free"/>
    <s v="Paid Social"/>
    <x v="3"/>
    <s v="Trial/Exploration"/>
    <s v="Simplified Onboarding"/>
    <s v="Control"/>
    <n v="6"/>
    <n v="6"/>
    <n v="167"/>
    <s v="No"/>
    <x v="0"/>
    <x v="1"/>
    <s v="No Error"/>
    <x v="0"/>
    <n v="31.41"/>
    <n v="0.09"/>
    <n v="0"/>
    <s v="Fees And Pricing"/>
    <s v="Yes"/>
    <s v="Fees And Pricing"/>
    <s v="Resolved"/>
    <n v="32"/>
    <s v="No drop-off"/>
    <n v="5"/>
    <n v="33"/>
    <n v="26"/>
    <x v="1"/>
    <n v="1"/>
    <n v="1"/>
    <n v="0"/>
    <n v="1"/>
  </r>
  <r>
    <s v="NSF-001373"/>
    <s v="USR-00425"/>
    <s v="SES-2605-85345"/>
    <d v="2026-05-21T00:00:00"/>
    <s v="East England"/>
    <s v="Ipswich"/>
    <x v="2"/>
    <s v="55-64"/>
    <s v="Male"/>
    <s v="Ios"/>
    <s v="Iphone"/>
    <s v="&lt;3 months"/>
    <s v="Premium"/>
    <s v="Paid Social"/>
    <x v="1"/>
    <s v="First Use"/>
    <s v="Progress Indicator"/>
    <s v="Control"/>
    <n v="4"/>
    <n v="4"/>
    <n v="83"/>
    <s v="No"/>
    <x v="0"/>
    <x v="1"/>
    <s v="No Error"/>
    <x v="0"/>
    <n v="253.14"/>
    <n v="0.21"/>
    <n v="0.37"/>
    <s v="No Support Contact"/>
    <s v="No"/>
    <s v="No Support Contact"/>
    <s v="Not Applicable"/>
    <m/>
    <s v="No drop-off"/>
    <n v="4"/>
    <n v="29"/>
    <n v="0"/>
    <x v="1"/>
    <n v="1"/>
    <n v="1"/>
    <n v="0"/>
    <n v="1"/>
  </r>
  <r>
    <s v="NSF-001391"/>
    <s v="USR-00552"/>
    <s v="SES-2605-99431"/>
    <d v="2026-05-21T00:00:00"/>
    <s v="North West"/>
    <s v="Preston"/>
    <x v="1"/>
    <s v="55-64"/>
    <s v="Female"/>
    <s v="Ios"/>
    <s v="Ipad"/>
    <s v="3-6 months"/>
    <s v="Free"/>
    <s v="Referral"/>
    <x v="2"/>
    <s v="Trial/Exploration"/>
    <s v="No Experiment"/>
    <s v="Control"/>
    <n v="5"/>
    <n v="5"/>
    <n v="119"/>
    <s v="No"/>
    <x v="0"/>
    <x v="1"/>
    <s v="No Error"/>
    <x v="0"/>
    <n v="8.25"/>
    <n v="0"/>
    <n v="0"/>
    <s v="No Support Contact"/>
    <s v="No"/>
    <s v="No Support Contact"/>
    <s v="Not Applicable"/>
    <m/>
    <s v="No drop-off"/>
    <n v="5"/>
    <n v="6"/>
    <n v="33"/>
    <x v="0"/>
    <n v="1"/>
    <n v="1"/>
    <n v="0"/>
    <n v="0"/>
  </r>
  <r>
    <s v="NSF-000973"/>
    <s v="USR-00635"/>
    <s v="SES-2511-50023"/>
    <d v="2025-11-09T00:00:00"/>
    <s v="West Midlands"/>
    <s v="Coventry"/>
    <x v="3"/>
    <s v="55-64"/>
    <s v="Female"/>
    <s v="Ios"/>
    <s v="Iphone"/>
    <s v="2+ years"/>
    <s v="Premium"/>
    <s v="Paid Social"/>
    <x v="1"/>
    <s v="Repeat Use"/>
    <s v="New Cta Copy"/>
    <s v="Treatment"/>
    <n v="4"/>
    <n v="4"/>
    <n v="102"/>
    <s v="No"/>
    <x v="0"/>
    <x v="1"/>
    <s v="No Error"/>
    <x v="0"/>
    <n v="171.3"/>
    <n v="0.19"/>
    <n v="0.37"/>
    <s v="No Support Contact"/>
    <s v="No"/>
    <s v="No Support Contact"/>
    <s v="Not Applicable"/>
    <m/>
    <s v="No drop-off"/>
    <n v="4"/>
    <n v="66"/>
    <n v="35"/>
    <x v="1"/>
    <n v="1"/>
    <n v="1"/>
    <n v="0"/>
    <n v="1"/>
  </r>
  <r>
    <s v="NSF-001202"/>
    <s v="USR-00570"/>
    <s v="SES-2602-68843"/>
    <d v="2026-02-20T00:00:00"/>
    <s v="Wales"/>
    <s v="Swansea"/>
    <x v="2"/>
    <s v="35-44"/>
    <s v="Female"/>
    <s v="Android"/>
    <s v="Android Phone"/>
    <s v="1-2 years"/>
    <s v="Free"/>
    <s v="Paid Social"/>
    <x v="7"/>
    <s v="Trial/Exploration"/>
    <s v="Simplified Onboarding"/>
    <s v="Control"/>
    <n v="4"/>
    <n v="3"/>
    <n v="156"/>
    <s v="Yes"/>
    <x v="0"/>
    <x v="1"/>
    <s v="No Error"/>
    <x v="0"/>
    <n v="87.78"/>
    <n v="0.43"/>
    <n v="0"/>
    <s v="No Support Contact"/>
    <s v="No"/>
    <s v="No Support Contact"/>
    <s v="Not Applicable"/>
    <m/>
    <s v="No drop-off"/>
    <n v="5"/>
    <n v="9"/>
    <n v="11"/>
    <x v="1"/>
    <n v="1"/>
    <n v="1"/>
    <n v="0"/>
    <n v="1"/>
  </r>
  <r>
    <s v="NSF-001154"/>
    <s v="USR-00132"/>
    <s v="SES-2602-41790"/>
    <d v="2026-02-06T00:00:00"/>
    <s v="Yorkshire &amp; Humber"/>
    <s v="Sheffield"/>
    <x v="0"/>
    <s v="25-34"/>
    <s v="Female"/>
    <s v="Android"/>
    <s v="Android Tablet"/>
    <s v="1-2 years"/>
    <s v="Basic"/>
    <s v="Paid Social"/>
    <x v="7"/>
    <s v="Trial/Exploration"/>
    <s v="No Experiment"/>
    <s v="Control"/>
    <n v="4"/>
    <n v="4"/>
    <n v="98"/>
    <s v="No"/>
    <x v="0"/>
    <x v="1"/>
    <s v="No Error"/>
    <x v="0"/>
    <n v="21.35"/>
    <n v="0.54"/>
    <n v="0"/>
    <s v="No Support Contact"/>
    <s v="No"/>
    <s v="No Support Contact"/>
    <s v="Not Applicable"/>
    <m/>
    <s v="No drop-off"/>
    <n v="5"/>
    <n v="17"/>
    <s v="20 days"/>
    <x v="1"/>
    <n v="1"/>
    <n v="1"/>
    <n v="0"/>
    <n v="1"/>
  </r>
  <r>
    <s v="NSF-000032"/>
    <s v="USR-00815"/>
    <s v="SES-2501-88001"/>
    <d v="2025-01-29T00:00:00"/>
    <s v="Northern Ireland"/>
    <s v="Lisburn"/>
    <x v="5"/>
    <s v="35-44"/>
    <s v="Male"/>
    <s v="Ios"/>
    <s v="Iphone"/>
    <s v="7-12 months"/>
    <s v="Plus"/>
    <s v="Paid Social"/>
    <x v="0"/>
    <s v="Trial/Exploration"/>
    <s v="Progress Indicator"/>
    <s v="Control"/>
    <n v="7"/>
    <n v="7"/>
    <n v="172"/>
    <s v="No"/>
    <x v="0"/>
    <x v="1"/>
    <s v="No Error"/>
    <x v="0"/>
    <n v="76.099999999999994"/>
    <n v="0"/>
    <n v="0.17"/>
    <s v="No Support Contact"/>
    <s v="No"/>
    <s v="No Support Contact"/>
    <s v="Not Applicable"/>
    <m/>
    <s v="No drop-off"/>
    <n v="4"/>
    <n v="12"/>
    <n v="51"/>
    <x v="1"/>
    <n v="1"/>
    <n v="1"/>
    <n v="0"/>
    <n v="1"/>
  </r>
  <r>
    <s v="NSF-000105"/>
    <s v="USR-00355"/>
    <s v="SES-2502-67844"/>
    <d v="2025-02-12T00:00:00"/>
    <s v="East Midlands"/>
    <s v="Lincoln"/>
    <x v="7"/>
    <s v="18-24"/>
    <s v="Female"/>
    <s v="Android"/>
    <s v="Android Phone"/>
    <s v="2+ years"/>
    <s v="Free"/>
    <s v="Referral"/>
    <x v="3"/>
    <s v="Repeat Use"/>
    <s v="Simplified Onboarding"/>
    <s v="Control"/>
    <n v="6"/>
    <n v="5"/>
    <n v="308"/>
    <s v="Yes"/>
    <x v="1"/>
    <x v="0"/>
    <s v="Contact Permission Denied"/>
    <x v="1"/>
    <n v="0"/>
    <n v="0"/>
    <n v="0"/>
    <s v="No Support Contact"/>
    <s v="No"/>
    <s v="No Support Contact"/>
    <s v="Not Applicable"/>
    <m/>
    <s v="Technical error"/>
    <n v="1"/>
    <n v="-2"/>
    <n v="42"/>
    <x v="0"/>
    <n v="0"/>
    <n v="0"/>
    <n v="1"/>
    <n v="0"/>
  </r>
  <r>
    <s v="NSF-000642"/>
    <s v="USR-00502"/>
    <s v="SES-2507-68202"/>
    <d v="2025-07-28T00:00:00"/>
    <s v="Yorkshire &amp; Humber"/>
    <s v="Sheffield"/>
    <x v="7"/>
    <s v="25-34"/>
    <s v="Female"/>
    <s v="Android"/>
    <s v="Android Phone"/>
    <s v="3-6 months"/>
    <s v="Plus"/>
    <s v="Organic Search"/>
    <x v="5"/>
    <s v="Reactivated"/>
    <s v="No Experiment"/>
    <s v="Control"/>
    <s v="8 steps"/>
    <n v="8"/>
    <n v="164"/>
    <s v="Unknown"/>
    <x v="1"/>
    <x v="1"/>
    <s v="No Error"/>
    <x v="0"/>
    <n v="373.34"/>
    <n v="2.31"/>
    <n v="0.17"/>
    <s v="No Support Contact"/>
    <s v="No"/>
    <s v="No Support Contact"/>
    <s v="Not Applicable"/>
    <m/>
    <s v="Technical error"/>
    <n v="3"/>
    <n v="30"/>
    <n v="42"/>
    <x v="1"/>
    <n v="0"/>
    <n v="1"/>
    <n v="0"/>
    <n v="1"/>
  </r>
  <r>
    <s v="NSF-000230"/>
    <s v="USR-00828"/>
    <s v="SES-2503-95588"/>
    <d v="2025-03-06T00:00:00"/>
    <s v="South East"/>
    <s v="Brighton"/>
    <x v="2"/>
    <s v="45-54"/>
    <s v="Prefer Not To Say"/>
    <s v="Web"/>
    <s v="Desktop"/>
    <s v="1-2 years"/>
    <s v="Free"/>
    <s v="Organic Search"/>
    <x v="10"/>
    <s v="Repeat Use"/>
    <s v="Fee Transparency Panel"/>
    <s v="Control"/>
    <s v="9 steps"/>
    <n v="9"/>
    <n v="266"/>
    <s v="No"/>
    <x v="1"/>
    <x v="0"/>
    <s v="Eligibility Unclear"/>
    <x v="1"/>
    <n v="0"/>
    <n v="0"/>
    <n v="0"/>
    <s v="No Support Contact"/>
    <s v="No"/>
    <s v="No Support Contact"/>
    <s v="Not Applicable"/>
    <m/>
    <s v="No drop-off"/>
    <n v="3"/>
    <n v="-14"/>
    <n v="28"/>
    <x v="1"/>
    <n v="0"/>
    <n v="0"/>
    <n v="1"/>
    <n v="1"/>
  </r>
  <r>
    <s v="NSF-000912"/>
    <s v="USR-00286"/>
    <s v="SES-2510-23516"/>
    <d v="2025-10-12T00:00:00"/>
    <s v="South West"/>
    <s v="Plymouth"/>
    <x v="1"/>
    <s v="25-34"/>
    <s v="Female"/>
    <s v="Android"/>
    <s v="Android Phone"/>
    <s v="3-6 months"/>
    <s v="Premium"/>
    <s v="Referral"/>
    <x v="0"/>
    <s v="Reactivated"/>
    <s v="Fee Transparency Panel"/>
    <s v="Control"/>
    <s v="7 steps"/>
    <n v="6"/>
    <n v="281"/>
    <s v="Yes"/>
    <x v="1"/>
    <x v="1"/>
    <s v="No Error"/>
    <x v="0"/>
    <n v="0"/>
    <n v="0"/>
    <n v="0.37"/>
    <s v="No Support Contact"/>
    <s v="No"/>
    <s v="No Support Contact"/>
    <s v="Not Applicable"/>
    <m/>
    <s v="No drop-off"/>
    <n v="2"/>
    <n v="-15"/>
    <n v="57"/>
    <x v="1"/>
    <n v="0"/>
    <n v="1"/>
    <n v="0"/>
    <n v="1"/>
  </r>
  <r>
    <s v="NSF-001097"/>
    <s v="USR-00078"/>
    <s v="SES-2601-96228"/>
    <d v="2026-01-01T00:00:00"/>
    <s v="South West"/>
    <s v="Bristol"/>
    <x v="7"/>
    <s v="18-24"/>
    <s v="Female"/>
    <s v="Ios"/>
    <s v="Iphone"/>
    <s v="2+ years"/>
    <s v="Free"/>
    <s v="Affiliate"/>
    <x v="0"/>
    <s v="Trial/Exploration"/>
    <s v="No Experiment"/>
    <s v="Control"/>
    <n v="7"/>
    <n v="6"/>
    <n v="348"/>
    <s v="Yes"/>
    <x v="1"/>
    <x v="1"/>
    <s v="No Error"/>
    <x v="0"/>
    <n v="30.26"/>
    <n v="0"/>
    <n v="0"/>
    <s v="No Support Contact"/>
    <s v="No"/>
    <s v="No Support Contact"/>
    <s v="Not Applicable"/>
    <m/>
    <s v="Unexpected fee"/>
    <n v="2"/>
    <n v="-52"/>
    <n v="58"/>
    <x v="0"/>
    <n v="0"/>
    <n v="1"/>
    <n v="0"/>
    <n v="0"/>
  </r>
  <r>
    <s v="NSF-000357"/>
    <s v="USR-00629"/>
    <s v="SES-2504-42814"/>
    <d v="2025-04-10T00:00:00"/>
    <s v="East England"/>
    <s v="Cambridge"/>
    <x v="0"/>
    <s v="35-44"/>
    <s v="Male"/>
    <s v="Ios"/>
    <s v="Iphone"/>
    <s v="1-2 years"/>
    <s v="Basic"/>
    <s v="Paid Social"/>
    <x v="5"/>
    <s v="Repeat Use"/>
    <s v="Progress Indicator"/>
    <s v="Control"/>
    <n v="8"/>
    <n v="4"/>
    <n v="252"/>
    <s v="Yes"/>
    <x v="0"/>
    <x v="1"/>
    <s v="No Error"/>
    <x v="0"/>
    <n v="451.41"/>
    <n v="2.4700000000000002"/>
    <n v="0"/>
    <s v="No Support Contact"/>
    <s v="No"/>
    <s v="No Support Contact"/>
    <s v="Not Applicable"/>
    <m/>
    <s v="No drop-off"/>
    <n v="4"/>
    <n v="-38"/>
    <n v="22"/>
    <x v="1"/>
    <n v="1"/>
    <n v="1"/>
    <n v="0"/>
    <n v="1"/>
  </r>
  <r>
    <s v="NSF-001005"/>
    <s v="USR-00302"/>
    <s v="SES-2512-19578"/>
    <d v="2025-12-31T00:00:00"/>
    <s v="Yorkshire &amp; Humber"/>
    <s v="York"/>
    <x v="2"/>
    <s v="18-24"/>
    <s v="Male"/>
    <s v="Ios"/>
    <s v="Iphone"/>
    <s v="7-12 months"/>
    <s v="Free"/>
    <s v="Referral"/>
    <x v="7"/>
    <s v="Repeat Use"/>
    <s v="No Experiment"/>
    <s v="Control"/>
    <n v="4"/>
    <n v="3"/>
    <n v="211"/>
    <s v="Yes"/>
    <x v="0"/>
    <x v="1"/>
    <s v="No Error"/>
    <x v="0"/>
    <n v="101.21"/>
    <n v="0.54"/>
    <n v="0"/>
    <s v="No Support Contact"/>
    <s v="No"/>
    <s v="No Support Contact"/>
    <s v="Not Applicable"/>
    <m/>
    <s v="No drop-off"/>
    <n v="3"/>
    <n v="22"/>
    <n v="14"/>
    <x v="1"/>
    <n v="1"/>
    <n v="1"/>
    <n v="0"/>
    <n v="1"/>
  </r>
  <r>
    <s v="NSF-000903"/>
    <s v="USR-00397"/>
    <s v="SES-2510-99275"/>
    <d v="2025-10-23T00:00:00"/>
    <s v="Northern Ireland"/>
    <s v="Lisburn"/>
    <x v="3"/>
    <s v="18-24"/>
    <s v="Male"/>
    <s v="Ios"/>
    <s v="Iphone"/>
    <s v="3-6 months"/>
    <s v="Free"/>
    <s v="Employer Partnership"/>
    <x v="8"/>
    <s v="First Use"/>
    <s v="No Experiment"/>
    <s v="Control"/>
    <n v="5"/>
    <n v="5"/>
    <n v="158"/>
    <s v="No"/>
    <x v="0"/>
    <x v="1"/>
    <s v="No Error"/>
    <x v="0"/>
    <n v="152.24"/>
    <n v="0"/>
    <n v="0"/>
    <s v="No Support Contact"/>
    <s v="No"/>
    <s v="No Support Contact"/>
    <s v="Not Applicable"/>
    <m/>
    <s v="No drop-off"/>
    <n v="4"/>
    <n v="48"/>
    <n v="0"/>
    <x v="1"/>
    <n v="1"/>
    <n v="1"/>
    <n v="0"/>
    <n v="1"/>
  </r>
  <r>
    <s v="NSF-000132"/>
    <s v="USR-00649"/>
    <s v="SES-2502-30590"/>
    <d v="2025-02-27T00:00:00"/>
    <s v="North West"/>
    <s v="Manchester"/>
    <x v="6"/>
    <s v="18-24"/>
    <s v="Female"/>
    <s v="Web"/>
    <s v="Desktop"/>
    <s v="7-12 months"/>
    <s v="Plus"/>
    <s v="Paid Search"/>
    <x v="2"/>
    <s v="First Use"/>
    <s v="No Experiment"/>
    <s v="Control"/>
    <n v="5"/>
    <n v="5"/>
    <n v="126"/>
    <s v="No"/>
    <x v="0"/>
    <x v="1"/>
    <s v="No Error"/>
    <x v="0"/>
    <n v="0.6"/>
    <n v="0"/>
    <n v="0.17"/>
    <s v="No Support Contact"/>
    <s v="No"/>
    <s v="No Support Contact"/>
    <s v="Not Applicable"/>
    <m/>
    <s v="No drop-off"/>
    <n v="4"/>
    <n v="46"/>
    <n v="0"/>
    <x v="0"/>
    <n v="1"/>
    <n v="1"/>
    <n v="0"/>
    <n v="0"/>
  </r>
  <r>
    <s v="NSF-000985"/>
    <s v="USR-00055"/>
    <s v="SES-2511-31870"/>
    <d v="2025-11-01T00:00:00"/>
    <s v="East Midlands"/>
    <s v="Leicester"/>
    <x v="0"/>
    <s v="45-54"/>
    <s v="Female"/>
    <s v="Ios"/>
    <s v="Iphone"/>
    <s v="3-6 months"/>
    <s v="Free"/>
    <s v="Referral"/>
    <x v="6"/>
    <s v="Repeat Use"/>
    <s v="No Experiment"/>
    <s v="Control"/>
    <n v="4"/>
    <n v="4"/>
    <n v="164"/>
    <s v="No"/>
    <x v="0"/>
    <x v="0"/>
    <s v="Bank Connection Failed"/>
    <x v="0"/>
    <n v="121.04"/>
    <n v="0.21"/>
    <n v="0"/>
    <s v="Card Issue"/>
    <s v="Yes"/>
    <s v="Card Issue"/>
    <s v="Resolved"/>
    <n v="26"/>
    <s v="No drop-off"/>
    <n v="4"/>
    <n v="12"/>
    <n v="23"/>
    <x v="0"/>
    <n v="1"/>
    <n v="1"/>
    <n v="1"/>
    <n v="0"/>
  </r>
  <r>
    <s v="NSF-000096"/>
    <s v="USR-00258"/>
    <s v="SES-2501-65709"/>
    <d v="2025-01-13T00:00:00"/>
    <s v="Yorkshire &amp; Humber"/>
    <s v="Sheffield"/>
    <x v="2"/>
    <s v="65+"/>
    <s v="Female"/>
    <s v="Ios"/>
    <s v="Iphone"/>
    <s v="1-2 years"/>
    <s v="Free"/>
    <s v="Direct"/>
    <x v="5"/>
    <s v="Repeat Use"/>
    <s v="Simplified Onboarding"/>
    <s v="Control"/>
    <n v="8"/>
    <n v="5"/>
    <n v="211"/>
    <s v="Yes"/>
    <x v="1"/>
    <x v="1"/>
    <s v="No Error"/>
    <x v="1"/>
    <n v="0"/>
    <n v="0"/>
    <n v="0"/>
    <s v="No Support Contact"/>
    <s v="No"/>
    <s v="No Support Contact"/>
    <s v="Not Applicable"/>
    <m/>
    <s v="Privacy concern"/>
    <n v="3"/>
    <n v="-10"/>
    <n v="1"/>
    <x v="0"/>
    <n v="0"/>
    <n v="0"/>
    <n v="0"/>
    <n v="0"/>
  </r>
  <r>
    <s v="NSF-000951"/>
    <s v="USR-00762"/>
    <s v="SES-2511-89808"/>
    <d v="2025-11-12T00:00:00"/>
    <s v="West Midlands"/>
    <s v="Birmingham"/>
    <x v="4"/>
    <s v="45-54"/>
    <s v="Male"/>
    <s v="Ios"/>
    <s v="Iphone"/>
    <s v="3-6 months"/>
    <s v="Plus"/>
    <s v="Paid Search"/>
    <x v="8"/>
    <s v="Repeat Use"/>
    <s v="Simplified Onboarding"/>
    <s v="Treatment"/>
    <n v="5"/>
    <n v="5"/>
    <n v="136"/>
    <s v="No"/>
    <x v="0"/>
    <x v="1"/>
    <s v="No Error"/>
    <x v="0"/>
    <n v="48.21"/>
    <n v="0"/>
    <n v="0.17"/>
    <s v="No Support Contact"/>
    <s v="No"/>
    <s v="No Support Contact"/>
    <s v="Not Applicable"/>
    <m/>
    <s v="No drop-off"/>
    <n v="5"/>
    <n v="47"/>
    <n v="56"/>
    <x v="1"/>
    <n v="1"/>
    <n v="1"/>
    <n v="0"/>
    <n v="1"/>
  </r>
  <r>
    <s v="NSF-000239"/>
    <s v="USR-00009"/>
    <s v="SES-2503-37445"/>
    <d v="2025-03-13T00:00:00"/>
    <s v="North East"/>
    <s v="Sunderland"/>
    <x v="2"/>
    <s v="25-34"/>
    <s v="Male"/>
    <s v="Android"/>
    <s v="Android Phone"/>
    <s v="1-2 years"/>
    <s v="Plus"/>
    <s v="Affiliate"/>
    <x v="1"/>
    <s v="Repeat Use"/>
    <s v="No Experiment"/>
    <s v="Control"/>
    <n v="4"/>
    <n v="4"/>
    <n v="89"/>
    <s v="No"/>
    <x v="0"/>
    <x v="1"/>
    <s v="No Error"/>
    <x v="0"/>
    <n v="95.21"/>
    <n v="0.23"/>
    <n v="0.17"/>
    <s v="No Support Contact"/>
    <s v="No"/>
    <s v="No Support Contact"/>
    <s v="Not Applicable"/>
    <m/>
    <s v="No drop-off"/>
    <n v="4"/>
    <n v="26"/>
    <n v="19"/>
    <x v="1"/>
    <n v="1"/>
    <n v="1"/>
    <n v="0"/>
    <n v="1"/>
  </r>
  <r>
    <s v="NSF-001033"/>
    <s v="USR-00569"/>
    <s v="SES-2512-45217"/>
    <d v="2025-12-15T00:00:00"/>
    <s v="East England"/>
    <s v="Cambridge"/>
    <x v="5"/>
    <s v="25-34"/>
    <s v="Female"/>
    <s v="Ios"/>
    <s v="Iphone"/>
    <s v="3-6 months"/>
    <s v="Free"/>
    <s v="Affiliate"/>
    <x v="2"/>
    <s v="Reactivated"/>
    <s v="Simplified Onboarding"/>
    <s v="Control"/>
    <n v="5"/>
    <n v="5"/>
    <n v="180"/>
    <s v="No"/>
    <x v="0"/>
    <x v="0"/>
    <s v="Round-Up Not Activated"/>
    <x v="0"/>
    <n v="46.88"/>
    <n v="0"/>
    <n v="0"/>
    <s v="Transaction Failure"/>
    <s v="Yes"/>
    <s v="Transaction Failure"/>
    <s v="Resolved"/>
    <n v="50"/>
    <s v="No drop-off"/>
    <n v="3"/>
    <n v="-14"/>
    <n v="57"/>
    <x v="1"/>
    <n v="1"/>
    <n v="1"/>
    <n v="1"/>
    <n v="1"/>
  </r>
  <r>
    <s v="NSF-000342"/>
    <s v="USR-00746"/>
    <s v="SES-2504-68867"/>
    <d v="2025-04-14T00:00:00"/>
    <s v="Wales"/>
    <s v="Cardiff"/>
    <x v="0"/>
    <s v="25-34"/>
    <s v="Male"/>
    <s v="Web"/>
    <s v="Mobile Browser"/>
    <s v="1-2 years"/>
    <s v="Free"/>
    <s v="Paid Search"/>
    <x v="5"/>
    <s v="Reactivated"/>
    <s v="No Experiment"/>
    <s v="Control"/>
    <n v="8"/>
    <n v="7"/>
    <n v="235"/>
    <s v="Yes"/>
    <x v="1"/>
    <x v="1"/>
    <s v="No Error"/>
    <x v="1"/>
    <n v="0"/>
    <n v="0"/>
    <n v="0"/>
    <s v="No Support Contact"/>
    <s v="No"/>
    <s v="No Support Contact"/>
    <s v="Not Applicable"/>
    <m/>
    <s v="Unexpected fee"/>
    <n v="1"/>
    <n v="-9"/>
    <n v="1"/>
    <x v="0"/>
    <n v="0"/>
    <n v="0"/>
    <n v="0"/>
    <n v="0"/>
  </r>
  <r>
    <s v="NSF-000268"/>
    <s v="USR-00319"/>
    <s v="SES-2503-98037"/>
    <d v="2025-03-25T00:00:00"/>
    <s v="Yorkshire &amp; Humber"/>
    <s v="York"/>
    <x v="7"/>
    <s v="25-34"/>
    <s v="Female"/>
    <s v="Ios"/>
    <s v="Iphone"/>
    <s v="1-2 years"/>
    <s v="Free"/>
    <s v="Paid Search"/>
    <x v="5"/>
    <s v="Reactivated"/>
    <s v="No Experiment"/>
    <s v="Control"/>
    <n v="8"/>
    <n v="8"/>
    <n v="239"/>
    <s v="No"/>
    <x v="0"/>
    <x v="1"/>
    <s v="No Error"/>
    <x v="0"/>
    <n v="440.34"/>
    <n v="2.4700000000000002"/>
    <n v="0"/>
    <s v="Feature Navigation"/>
    <s v="Yes"/>
    <s v="Feature Navigation"/>
    <s v="Unresolved"/>
    <n v="48"/>
    <s v="No drop-off"/>
    <n v="3"/>
    <n v="11"/>
    <n v="11"/>
    <x v="1"/>
    <n v="1"/>
    <n v="1"/>
    <n v="0"/>
    <n v="1"/>
  </r>
  <r>
    <s v="NSF-001020"/>
    <s v="USR-00549"/>
    <s v="SES-2512-53616"/>
    <d v="2025-12-20T00:00:00"/>
    <s v="Northern Ireland"/>
    <s v="Belfast"/>
    <x v="2"/>
    <s v="25-34"/>
    <s v="Female"/>
    <s v="Ios"/>
    <s v="Iphone"/>
    <s v="2+ years"/>
    <s v="Premium"/>
    <s v="App Store"/>
    <x v="0"/>
    <s v="First Use"/>
    <s v="No Experiment"/>
    <s v="Control"/>
    <n v="7"/>
    <n v="7"/>
    <n v="183"/>
    <s v="No"/>
    <x v="0"/>
    <x v="1"/>
    <s v="No Error"/>
    <x v="0"/>
    <n v="29.16"/>
    <n v="0"/>
    <n v="0.37"/>
    <s v="No Support Contact"/>
    <s v="No"/>
    <s v="No Support Contact"/>
    <s v="Not Applicable"/>
    <m/>
    <s v="No drop-off"/>
    <n v="3"/>
    <n v="2"/>
    <n v="0"/>
    <x v="1"/>
    <n v="1"/>
    <n v="1"/>
    <n v="0"/>
    <n v="1"/>
  </r>
  <r>
    <s v="NSF-000067"/>
    <s v="USR-00731"/>
    <s v="SES-2501-43290"/>
    <d v="2025-01-18T00:00:00"/>
    <s v="West Midlands"/>
    <s v="Solihull"/>
    <x v="1"/>
    <s v="25-34"/>
    <s v="Male"/>
    <s v="Ios"/>
    <s v="Iphone"/>
    <s v="1-2 years"/>
    <s v="Free"/>
    <s v="Organic Search"/>
    <x v="7"/>
    <s v="Repeat Use"/>
    <s v="No Experiment"/>
    <s v="Control"/>
    <n v="4"/>
    <n v="4"/>
    <n v="121"/>
    <s v="No"/>
    <x v="0"/>
    <x v="1"/>
    <s v="No Error"/>
    <x v="0"/>
    <n v="48.36"/>
    <n v="0.51"/>
    <n v="0"/>
    <s v="No Support Contact"/>
    <s v="No"/>
    <s v="No Support Contact"/>
    <s v="Not Applicable"/>
    <m/>
    <s v="No drop-off"/>
    <n v="4"/>
    <n v="45"/>
    <n v="11"/>
    <x v="1"/>
    <n v="1"/>
    <n v="1"/>
    <n v="0"/>
    <n v="1"/>
  </r>
  <r>
    <s v="NSF-001192"/>
    <s v="USR-00110"/>
    <s v="SES-2602-72293"/>
    <d v="2026-02-18T00:00:00"/>
    <s v="West Midlands"/>
    <s v="Birmingham"/>
    <x v="2"/>
    <s v="35-44"/>
    <s v="Female"/>
    <s v="Web"/>
    <s v="Desktop"/>
    <s v="2+ years"/>
    <s v="Premium"/>
    <s v="Paid Search"/>
    <x v="9"/>
    <s v="Repeat Use"/>
    <s v="Simplified Onboarding"/>
    <s v="Treatment"/>
    <n v="5"/>
    <n v="5"/>
    <n v="143"/>
    <s v="No"/>
    <x v="0"/>
    <x v="1"/>
    <s v="No Error"/>
    <x v="0"/>
    <n v="118.63"/>
    <n v="0"/>
    <n v="0.37"/>
    <s v="No Support Contact"/>
    <s v="No"/>
    <s v="No Support Contact"/>
    <s v="Not Applicable"/>
    <m/>
    <s v="No drop-off"/>
    <n v="4"/>
    <n v="-7"/>
    <n v="49"/>
    <x v="1"/>
    <n v="1"/>
    <n v="1"/>
    <n v="0"/>
    <n v="1"/>
  </r>
  <r>
    <s v="NSF-000157"/>
    <s v="USR-00434"/>
    <s v="SES-2502-97870"/>
    <d v="2025-02-12T00:00:00"/>
    <s v="Scotland"/>
    <s v="Glasgow"/>
    <x v="5"/>
    <s v="35-44"/>
    <s v="Male"/>
    <s v="Android"/>
    <s v="Android Phone"/>
    <s v="7-12 months"/>
    <s v="Free"/>
    <s v="App Store"/>
    <x v="0"/>
    <s v="First Use"/>
    <s v="Fee Transparency Panel"/>
    <s v="Treatment"/>
    <n v="7"/>
    <n v="7"/>
    <n v="181"/>
    <s v="No"/>
    <x v="1"/>
    <x v="1"/>
    <s v="No Error"/>
    <x v="1"/>
    <n v="0"/>
    <n v="0"/>
    <n v="0"/>
    <s v="No Support Contact"/>
    <s v="No"/>
    <s v="No Support Contact"/>
    <s v="Not Applicable"/>
    <m/>
    <s v="Too many steps"/>
    <n v="4"/>
    <n v="8"/>
    <n v="0"/>
    <x v="0"/>
    <n v="0"/>
    <n v="0"/>
    <n v="0"/>
    <n v="0"/>
  </r>
  <r>
    <s v="NSF-001028"/>
    <s v="USR-00423"/>
    <s v="SES-2512-63752"/>
    <d v="2025-12-21T00:00:00"/>
    <s v="South East"/>
    <s v="Reading"/>
    <x v="7"/>
    <s v="25-34"/>
    <s v="Male"/>
    <s v="Web"/>
    <s v="Mobile Browser"/>
    <s v="1-2 years"/>
    <s v="Free"/>
    <s v="Paid Search"/>
    <x v="5"/>
    <s v="First Use"/>
    <s v="No Experiment"/>
    <s v="Control"/>
    <n v="8"/>
    <n v="8"/>
    <n v="294"/>
    <s v="No"/>
    <x v="0"/>
    <x v="0"/>
    <s v="Fx Rate Confusion"/>
    <x v="0"/>
    <n v="328.7"/>
    <n v="2.83"/>
    <n v="0"/>
    <s v="No Support Contact"/>
    <s v="No"/>
    <s v="No Support Contact"/>
    <s v="Not Applicable"/>
    <m/>
    <s v="No drop-off"/>
    <n v="2"/>
    <n v="-26"/>
    <n v="0"/>
    <x v="0"/>
    <n v="1"/>
    <n v="1"/>
    <n v="1"/>
    <n v="0"/>
  </r>
  <r>
    <s v="NSF-000045"/>
    <s v="USR-00095"/>
    <s v="SES-2501-20555"/>
    <d v="2025-01-25T00:00:00"/>
    <s v="East Midlands"/>
    <s v="Derby"/>
    <x v="0"/>
    <s v="25-34"/>
    <s v="Male"/>
    <s v="Android"/>
    <s v="Android Phone"/>
    <s v="2+ years"/>
    <s v="Free"/>
    <s v="Referral"/>
    <x v="5"/>
    <s v="Reactivated"/>
    <s v="No Experiment"/>
    <s v="Control"/>
    <n v="8"/>
    <n v="6"/>
    <n v="243"/>
    <s v="Yes"/>
    <x v="1"/>
    <x v="0"/>
    <s v="Recipient Details Rejected"/>
    <x v="1"/>
    <n v="0"/>
    <n v="0"/>
    <n v="0"/>
    <s v="Feature Navigation"/>
    <s v="Yes"/>
    <s v="Feature Navigation"/>
    <s v="Resolved"/>
    <n v="46"/>
    <s v="Instructions unclear"/>
    <n v="2"/>
    <n v="1"/>
    <n v="8"/>
    <x v="0"/>
    <n v="0"/>
    <n v="0"/>
    <n v="1"/>
    <n v="0"/>
  </r>
  <r>
    <s v="NSF-000980"/>
    <s v="USR-00089"/>
    <s v="SES-2511-97852"/>
    <d v="2025-11-10T00:00:00"/>
    <s v="South West"/>
    <s v="Exeter"/>
    <x v="0"/>
    <s v="35-44"/>
    <s v="Female"/>
    <s v="Ios"/>
    <s v="Iphone"/>
    <s v="3-6 months"/>
    <s v="Plus"/>
    <s v="Paid Social"/>
    <x v="10"/>
    <s v="First Use"/>
    <s v="No Experiment"/>
    <s v="Control"/>
    <n v="9"/>
    <n v="9"/>
    <n v="170"/>
    <s v="No"/>
    <x v="1"/>
    <x v="1"/>
    <s v="No Error"/>
    <x v="1"/>
    <n v="0"/>
    <n v="0"/>
    <n v="0"/>
    <s v="No Support Contact"/>
    <s v="No"/>
    <s v="No Support Contact"/>
    <s v="Not Applicable"/>
    <m/>
    <s v="No drop-off"/>
    <n v="2"/>
    <n v="19"/>
    <n v="0"/>
    <x v="0"/>
    <n v="0"/>
    <n v="0"/>
    <n v="0"/>
    <n v="0"/>
  </r>
  <r>
    <s v="NSF-001138"/>
    <s v="USR-00363"/>
    <s v="SES-2601-59025"/>
    <d v="2026-01-07T00:00:00"/>
    <s v="Wales"/>
    <s v="Cardiff"/>
    <x v="0"/>
    <s v="18-24"/>
    <s v="Male"/>
    <s v="Android"/>
    <s v="Android Phone"/>
    <s v="7-12 months"/>
    <s v="Unknown"/>
    <s v="Paid Search"/>
    <x v="3"/>
    <s v="First Use"/>
    <s v="No Experiment"/>
    <s v="Control"/>
    <n v="6"/>
    <n v="4"/>
    <n v="306"/>
    <s v="Yes"/>
    <x v="1"/>
    <x v="0"/>
    <s v="Contact Permission Denied"/>
    <x v="1"/>
    <n v="0"/>
    <n v="0"/>
    <n v="0"/>
    <s v="No Support Contact"/>
    <s v="No"/>
    <s v="No Support Contact"/>
    <s v="Not Applicable"/>
    <m/>
    <s v="Too many steps"/>
    <n v="3"/>
    <n v="-33"/>
    <n v="0"/>
    <x v="0"/>
    <n v="0"/>
    <n v="0"/>
    <n v="1"/>
    <n v="0"/>
  </r>
  <r>
    <s v="NSF-001356"/>
    <s v="USR-00014"/>
    <s v="SES-2605-46008"/>
    <d v="2026-05-06T00:00:00"/>
    <s v="Scotland"/>
    <s v="Dundee"/>
    <x v="0"/>
    <s v="45-54"/>
    <s v="Female"/>
    <s v="Ios"/>
    <s v="Iphone"/>
    <s v="2+ years"/>
    <s v="Premium"/>
    <s v="App Store"/>
    <x v="5"/>
    <s v="First Use"/>
    <s v="Simplified Onboarding"/>
    <s v="Treatment"/>
    <n v="8"/>
    <n v="8"/>
    <n v="205"/>
    <s v="No"/>
    <x v="0"/>
    <x v="1"/>
    <s v="No Error"/>
    <x v="0"/>
    <n v="357.29"/>
    <n v="2.86"/>
    <n v="0.37"/>
    <s v="Fees And Pricing"/>
    <s v="Yes"/>
    <s v="Fees And Pricing"/>
    <s v="Resolved"/>
    <n v="19"/>
    <s v="No drop-off"/>
    <n v="4"/>
    <n v="7"/>
    <s v="0 days"/>
    <x v="1"/>
    <n v="1"/>
    <n v="1"/>
    <n v="0"/>
    <n v="1"/>
  </r>
  <r>
    <s v="NSF-000700"/>
    <s v="USR-00322"/>
    <s v="SES-2508-73315"/>
    <d v="2025-08-16T00:00:00"/>
    <s v="South East"/>
    <s v="Reading"/>
    <x v="3"/>
    <s v="18-24"/>
    <s v="Male"/>
    <s v="Ios"/>
    <s v="Iphone"/>
    <s v="1-2 years"/>
    <s v="Free"/>
    <s v="App Store"/>
    <x v="9"/>
    <s v="Repeat Use"/>
    <s v="Progress Indicator"/>
    <s v="Treatment"/>
    <n v="5"/>
    <n v="5"/>
    <n v="116"/>
    <s v="No"/>
    <x v="0"/>
    <x v="1"/>
    <s v="No Error"/>
    <x v="0"/>
    <n v="145.80000000000001"/>
    <n v="0"/>
    <n v="0"/>
    <s v="No Support Contact"/>
    <s v="No"/>
    <s v="No Support Contact"/>
    <s v="Not Applicable"/>
    <m/>
    <s v="No drop-off"/>
    <n v="4"/>
    <n v="53"/>
    <n v="9"/>
    <x v="1"/>
    <n v="1"/>
    <n v="1"/>
    <n v="0"/>
    <n v="1"/>
  </r>
  <r>
    <s v="NSF-001408"/>
    <s v="USR-00440"/>
    <s v="SES-2605-57060"/>
    <d v="2026-05-03T00:00:00"/>
    <s v="North East"/>
    <s v="Sunderland"/>
    <x v="5"/>
    <s v="18-24"/>
    <s v="Male"/>
    <s v="Android"/>
    <s v="Android Phone"/>
    <s v="&lt;3 months"/>
    <s v="Plus"/>
    <s v="Organic Search"/>
    <x v="3"/>
    <s v="Reactivated"/>
    <s v="New Cta Copy"/>
    <s v="Treatment"/>
    <n v="6"/>
    <n v="6"/>
    <n v="142"/>
    <s v="No"/>
    <x v="1"/>
    <x v="1"/>
    <s v="No Error"/>
    <x v="1"/>
    <n v="0"/>
    <n v="0"/>
    <n v="0"/>
    <s v="No Support Contact"/>
    <s v="No"/>
    <s v="No Support Contact"/>
    <s v="Not Applicable"/>
    <m/>
    <s v="Verification took too long"/>
    <n v="4"/>
    <n v="50"/>
    <n v="37"/>
    <x v="0"/>
    <n v="0"/>
    <n v="0"/>
    <n v="0"/>
    <n v="0"/>
  </r>
  <r>
    <s v="NSF-000314"/>
    <s v="USR-00717"/>
    <s v="SES-2504-66653"/>
    <d v="2025-04-19T00:00:00"/>
    <s v="Scotland"/>
    <s v="Edinburgh"/>
    <x v="4"/>
    <s v="35-44"/>
    <s v="Male"/>
    <s v="Web"/>
    <s v="Desktop"/>
    <s v="1-2 years"/>
    <s v="Premium"/>
    <s v="Direct"/>
    <x v="1"/>
    <s v="Repeat Use"/>
    <s v="Fee Transparency Panel"/>
    <s v="Treatment"/>
    <n v="4"/>
    <n v="2"/>
    <n v="118"/>
    <s v="Yes"/>
    <x v="0"/>
    <x v="1"/>
    <s v="No Error"/>
    <x v="0"/>
    <n v="192.46"/>
    <n v="0.18"/>
    <n v="0.37"/>
    <s v="Other"/>
    <s v="Yes"/>
    <s v="Other"/>
    <s v="Resolved"/>
    <n v="48"/>
    <s v="No drop-off"/>
    <n v="3"/>
    <n v="18"/>
    <n v="13"/>
    <x v="1"/>
    <n v="1"/>
    <n v="1"/>
    <n v="0"/>
    <n v="1"/>
  </r>
  <r>
    <s v="NSF-000398"/>
    <s v="USR-00674"/>
    <s v="SES-2505-47362"/>
    <d v="2025-05-18T00:00:00"/>
    <s v="East Midlands"/>
    <s v="Derby"/>
    <x v="1"/>
    <s v="45-54"/>
    <s v="Female"/>
    <s v="Android"/>
    <s v="Android Phone"/>
    <s v="&lt;3 months"/>
    <s v="Free"/>
    <s v="Direct"/>
    <x v="5"/>
    <s v="Repeat Use"/>
    <s v="New Cta Copy"/>
    <s v="Control"/>
    <s v="8 steps"/>
    <n v="8"/>
    <n v="206"/>
    <s v="No"/>
    <x v="1"/>
    <x v="0"/>
    <s v="Fx Rate Confusion"/>
    <x v="1"/>
    <n v="0"/>
    <n v="0"/>
    <n v="0"/>
    <s v="Transaction Failure"/>
    <s v="Yes"/>
    <s v="Transaction Failure"/>
    <s v="Resolved"/>
    <n v="6"/>
    <s v="No drop-off"/>
    <n v="3"/>
    <n v="18"/>
    <s v="4 days"/>
    <x v="0"/>
    <n v="0"/>
    <n v="0"/>
    <n v="1"/>
    <n v="0"/>
  </r>
  <r>
    <s v="NSF-001176"/>
    <s v="USR-00006"/>
    <s v="SES-2602-88575"/>
    <d v="2026-02-16T00:00:00"/>
    <s v="South West"/>
    <s v="Gloucester"/>
    <x v="5"/>
    <s v="25-34"/>
    <s v="Male"/>
    <s v="Android"/>
    <s v="Android Tablet"/>
    <s v="3-6 months"/>
    <s v="Free"/>
    <s v="App Store"/>
    <x v="7"/>
    <s v="Repeat Use"/>
    <s v="Progress Indicator"/>
    <s v="Treatment"/>
    <n v="4"/>
    <n v="3"/>
    <n v="148"/>
    <s v="Yes"/>
    <x v="0"/>
    <x v="1"/>
    <s v="No Error"/>
    <x v="0"/>
    <n v="141.78"/>
    <n v="0.45"/>
    <n v="0"/>
    <s v="No Support Contact"/>
    <s v="No"/>
    <s v="No Support Contact"/>
    <s v="Not Applicable"/>
    <m/>
    <s v="No drop-off"/>
    <n v="4"/>
    <n v="28"/>
    <n v="20"/>
    <x v="1"/>
    <n v="1"/>
    <n v="1"/>
    <n v="0"/>
    <n v="1"/>
  </r>
  <r>
    <s v="NSF-000675"/>
    <s v="USR-00340"/>
    <s v="SES-2508-45210"/>
    <d v="2025-08-02T00:00:00"/>
    <s v="Wales"/>
    <s v="Swansea"/>
    <x v="5"/>
    <s v="25-34"/>
    <s v="Male"/>
    <s v="Android"/>
    <s v="Android Phone"/>
    <s v="7-12 months"/>
    <s v="Free"/>
    <s v="App Store"/>
    <x v="0"/>
    <s v="Repeat Use"/>
    <s v="No Experiment"/>
    <s v="Control"/>
    <n v="7"/>
    <n v="6"/>
    <n v="191"/>
    <s v="Yes"/>
    <x v="1"/>
    <x v="1"/>
    <s v="No Error"/>
    <x v="0"/>
    <n v="24.05"/>
    <n v="0"/>
    <n v="0"/>
    <s v="No Support Contact"/>
    <s v="No"/>
    <s v="No Support Contact"/>
    <s v="Not Applicable"/>
    <m/>
    <s v="Privacy concern"/>
    <n v="2"/>
    <n v="-21"/>
    <n v="17"/>
    <x v="1"/>
    <n v="0"/>
    <n v="1"/>
    <n v="0"/>
    <n v="1"/>
  </r>
  <r>
    <s v="NSF-000988"/>
    <s v="USR-00425"/>
    <s v="SES-2511-16066"/>
    <d v="2025-11-22T00:00:00"/>
    <s v="South East"/>
    <s v="Canterbury"/>
    <x v="3"/>
    <s v="65+"/>
    <s v="Female"/>
    <s v="Android"/>
    <s v="Android Phone"/>
    <s v="&lt;3 months"/>
    <s v="Free"/>
    <s v="Employer Partnership"/>
    <x v="4"/>
    <s v="First Use"/>
    <s v="No Experiment"/>
    <s v="Control"/>
    <n v="6"/>
    <n v="5"/>
    <n v="190"/>
    <s v="Yes"/>
    <x v="1"/>
    <x v="1"/>
    <s v="No Error"/>
    <x v="1"/>
    <n v="0"/>
    <n v="0"/>
    <n v="0"/>
    <s v="No Support Contact"/>
    <s v="No"/>
    <s v="No Support Contact"/>
    <s v="Not Applicable"/>
    <m/>
    <s v="Instructions unclear"/>
    <n v="3"/>
    <n v="-1"/>
    <n v="0"/>
    <x v="0"/>
    <n v="0"/>
    <n v="0"/>
    <n v="0"/>
    <n v="0"/>
  </r>
  <r>
    <s v="NSF-001235"/>
    <s v="USR-00303"/>
    <s v="SES-2603-46257"/>
    <d v="2026-03-28T00:00:00"/>
    <s v="Northern Ireland"/>
    <s v="Newry"/>
    <x v="1"/>
    <s v="45-54"/>
    <s v="Non-Binary"/>
    <s v="Ios"/>
    <s v="Iphone"/>
    <s v="3-6 months"/>
    <s v="Premium"/>
    <s v="Paid Social"/>
    <x v="5"/>
    <s v="Repeat Use"/>
    <s v="No Experiment"/>
    <s v="Control"/>
    <s v="8 steps"/>
    <n v="8"/>
    <n v="215"/>
    <s v="No"/>
    <x v="0"/>
    <x v="0"/>
    <s v="Compliance Review Delay"/>
    <x v="1"/>
    <n v="0"/>
    <n v="0"/>
    <n v="0"/>
    <s v="Other"/>
    <s v="Yes"/>
    <s v="Other"/>
    <s v="Resolved"/>
    <n v="20"/>
    <s v="No drop-off"/>
    <n v="3"/>
    <n v="-40"/>
    <n v="45"/>
    <x v="1"/>
    <n v="1"/>
    <n v="0"/>
    <n v="1"/>
    <n v="1"/>
  </r>
  <r>
    <s v="NSF-001392"/>
    <s v="USR-00447"/>
    <s v="SES-2605-81712"/>
    <d v="2026-05-13T00:00:00"/>
    <s v="East Midlands"/>
    <s v="Derby"/>
    <x v="2"/>
    <s v="45-54"/>
    <s v="Male"/>
    <s v="Web"/>
    <s v="Desktop"/>
    <s v="1-2 years"/>
    <s v="Free"/>
    <s v="App Store"/>
    <x v="2"/>
    <s v="Repeat Use"/>
    <s v="Simplified Onboarding"/>
    <s v="Control"/>
    <n v="5"/>
    <n v="5"/>
    <n v="93"/>
    <s v="No"/>
    <x v="0"/>
    <x v="1"/>
    <s v="No Error"/>
    <x v="0"/>
    <n v="31.18"/>
    <n v="0"/>
    <n v="0"/>
    <s v="No Support Contact"/>
    <s v="No"/>
    <s v="No Support Contact"/>
    <s v="Not Applicable"/>
    <m/>
    <s v="No drop-off"/>
    <n v="4"/>
    <n v="24"/>
    <n v="40"/>
    <x v="1"/>
    <n v="1"/>
    <n v="1"/>
    <n v="0"/>
    <n v="1"/>
  </r>
  <r>
    <s v="NSF-000259"/>
    <s v="USR-00346"/>
    <s v="SES-2503-28088"/>
    <d v="2025-03-13T00:00:00"/>
    <s v="Scotland"/>
    <s v="Dundee"/>
    <x v="3"/>
    <s v="25-34"/>
    <s v="Male"/>
    <s v="Web"/>
    <s v="Desktop"/>
    <s v="7-12 months"/>
    <s v="Free"/>
    <s v="Referral"/>
    <x v="5"/>
    <s v="Repeat Use"/>
    <s v="No Experiment"/>
    <s v="Control"/>
    <n v="8"/>
    <n v="8"/>
    <n v="212"/>
    <s v="No"/>
    <x v="1"/>
    <x v="1"/>
    <s v="No Error"/>
    <x v="1"/>
    <n v="0"/>
    <n v="0"/>
    <n v="0"/>
    <s v="No Support Contact"/>
    <s v="No"/>
    <s v="No Support Contact"/>
    <s v="Not Applicable"/>
    <m/>
    <s v="Technical error"/>
    <n v="3"/>
    <n v="19"/>
    <n v="26"/>
    <x v="0"/>
    <n v="0"/>
    <n v="0"/>
    <n v="0"/>
    <n v="0"/>
  </r>
  <r>
    <s v="NSF-000620"/>
    <s v="USR-00179"/>
    <s v="SES-2507-55207"/>
    <d v="2025-07-01T00:00:00"/>
    <s v="South West"/>
    <s v="Plymouth"/>
    <x v="7"/>
    <s v="35-44"/>
    <s v="Female"/>
    <s v="Android"/>
    <s v="Android Phone"/>
    <s v="&lt;3 months"/>
    <s v="Plus"/>
    <s v="App Store"/>
    <x v="2"/>
    <s v="Repeat Use"/>
    <s v="No Experiment"/>
    <s v="Control"/>
    <n v="5"/>
    <n v="4"/>
    <n v="183"/>
    <s v="Yes"/>
    <x v="1"/>
    <x v="1"/>
    <s v="No Error"/>
    <x v="0"/>
    <n v="140.65"/>
    <n v="0"/>
    <n v="0.17"/>
    <s v="No Support Contact"/>
    <s v="No"/>
    <s v="No Support Contact"/>
    <s v="Not Applicable"/>
    <m/>
    <s v="Privacy concern"/>
    <n v="4"/>
    <n v="47"/>
    <n v="1"/>
    <x v="0"/>
    <n v="0"/>
    <n v="1"/>
    <n v="0"/>
    <n v="0"/>
  </r>
  <r>
    <s v="NSF-001063"/>
    <s v="USR-00250"/>
    <s v="SES-2512-26074"/>
    <d v="2025-12-27T00:00:00"/>
    <s v="Yorkshire &amp; Humber"/>
    <s v="Sheffield"/>
    <x v="2"/>
    <s v="45-54"/>
    <s v="Male"/>
    <s v="Android"/>
    <s v="Android Phone"/>
    <s v="&lt;3 months"/>
    <s v="Free"/>
    <s v="Organic Search"/>
    <x v="1"/>
    <s v="First Use"/>
    <s v="No Experiment"/>
    <s v="Control"/>
    <n v="4"/>
    <n v="4"/>
    <n v="97"/>
    <s v="No"/>
    <x v="0"/>
    <x v="1"/>
    <s v="No Error"/>
    <x v="0"/>
    <n v="138.37"/>
    <n v="0.19"/>
    <n v="0"/>
    <s v="No Support Contact"/>
    <s v="No"/>
    <s v="No Support Contact"/>
    <s v="Not Applicable"/>
    <m/>
    <s v="No drop-off"/>
    <n v="3"/>
    <n v="-17"/>
    <n v="0"/>
    <x v="1"/>
    <n v="1"/>
    <n v="1"/>
    <n v="0"/>
    <n v="1"/>
  </r>
  <r>
    <s v="NSF-000199"/>
    <s v="USR-00062"/>
    <s v="SES-2503-59936"/>
    <d v="2025-03-08T00:00:00"/>
    <s v="London"/>
    <s v="Southwark"/>
    <x v="5"/>
    <s v="35-44"/>
    <s v="Female"/>
    <s v="Ios"/>
    <s v="Iphone"/>
    <s v="1-2 years"/>
    <s v="Free"/>
    <s v="Referral"/>
    <x v="2"/>
    <s v="Repeat Use"/>
    <s v="No Experiment"/>
    <s v="Control"/>
    <n v="5"/>
    <n v="4"/>
    <n v="186"/>
    <s v="Yes"/>
    <x v="0"/>
    <x v="1"/>
    <s v="No Error"/>
    <x v="1"/>
    <n v="0"/>
    <n v="0"/>
    <n v="0"/>
    <s v="No Support Contact"/>
    <s v="No"/>
    <s v="No Support Contact"/>
    <s v="Not Applicable"/>
    <m/>
    <s v="No drop-off"/>
    <n v="4"/>
    <n v="-7"/>
    <n v="25"/>
    <x v="1"/>
    <n v="1"/>
    <n v="0"/>
    <n v="0"/>
    <n v="1"/>
  </r>
  <r>
    <s v="NSF-000258"/>
    <s v="USR-00336"/>
    <s v="SES-2503-30254"/>
    <d v="2025-03-08T00:00:00"/>
    <s v="Northern Ireland"/>
    <s v="Derry"/>
    <x v="5"/>
    <s v="35-44"/>
    <s v="Male"/>
    <s v="Android"/>
    <s v="Android Phone"/>
    <s v="1-2 years"/>
    <s v="Premium"/>
    <s v="Referral"/>
    <x v="0"/>
    <s v="Repeat Use"/>
    <s v="No Experiment"/>
    <s v="Control"/>
    <n v="7"/>
    <n v="7"/>
    <n v="194"/>
    <s v="No"/>
    <x v="0"/>
    <x v="1"/>
    <s v="No Error"/>
    <x v="0"/>
    <n v="0"/>
    <n v="0"/>
    <n v="0.37"/>
    <s v="No Support Contact"/>
    <s v="No"/>
    <s v="No Support Contact"/>
    <s v="Not Applicable"/>
    <m/>
    <s v="No drop-off"/>
    <n v="4"/>
    <n v="33"/>
    <n v="-5"/>
    <x v="1"/>
    <n v="1"/>
    <n v="1"/>
    <n v="0"/>
    <n v="1"/>
  </r>
  <r>
    <s v="NSF-000340"/>
    <s v="USR-00547"/>
    <s v="SES-2504-70484"/>
    <d v="2025-04-19T00:00:00"/>
    <s v="Northern Ireland"/>
    <s v="Newry"/>
    <x v="0"/>
    <s v="18-24"/>
    <s v="Male"/>
    <s v="Android"/>
    <s v="Android Phone"/>
    <s v="1-2 years"/>
    <s v="Free"/>
    <s v="Affiliate"/>
    <x v="0"/>
    <s v="Repeat Use"/>
    <s v="Progress Indicator"/>
    <s v="Control"/>
    <n v="7"/>
    <n v="5"/>
    <n v="256"/>
    <s v="Yes"/>
    <x v="1"/>
    <x v="1"/>
    <s v="No Error"/>
    <x v="1"/>
    <n v="0"/>
    <n v="-10"/>
    <n v="0"/>
    <s v="Feature Navigation"/>
    <s v="Yes"/>
    <s v="Feature Navigation"/>
    <s v="Resolved"/>
    <n v="9"/>
    <s v="Too many steps"/>
    <n v="2"/>
    <n v="-22"/>
    <n v="13"/>
    <x v="1"/>
    <n v="0"/>
    <n v="0"/>
    <n v="0"/>
    <n v="1"/>
  </r>
  <r>
    <s v="NSF-000274"/>
    <s v="USR-00209"/>
    <s v="SES-2503-97808"/>
    <d v="2025-03-20T00:00:00"/>
    <s v="Scotland"/>
    <s v="Glasgow"/>
    <x v="5"/>
    <s v="18-24"/>
    <s v="Male"/>
    <s v="Android"/>
    <s v="Android Phone"/>
    <s v="2+ years"/>
    <s v="Plus"/>
    <s v="Organic Search"/>
    <x v="1"/>
    <s v="Trial/Exploration"/>
    <s v="No Experiment"/>
    <s v="Control"/>
    <n v="4"/>
    <n v="4"/>
    <n v="120"/>
    <s v="No"/>
    <x v="0"/>
    <x v="1"/>
    <s v="No Error"/>
    <x v="0"/>
    <n v="142.9"/>
    <n v="0.21"/>
    <n v="0.17"/>
    <s v="No Support Contact"/>
    <s v="No"/>
    <s v="No Support Contact"/>
    <s v="Not Applicable"/>
    <m/>
    <s v="No drop-off"/>
    <n v="4"/>
    <n v="34"/>
    <n v="1"/>
    <x v="1"/>
    <n v="1"/>
    <n v="1"/>
    <n v="0"/>
    <n v="1"/>
  </r>
  <r>
    <s v="NSF-000092"/>
    <s v="USR-00628"/>
    <s v="SES-2501-64104"/>
    <d v="2025-01-07T00:00:00"/>
    <s v="West Midlands"/>
    <s v="Solihull"/>
    <x v="5"/>
    <s v="25-34"/>
    <s v="Female"/>
    <s v="Web"/>
    <s v="Mobile Browser"/>
    <s v="7-12 months"/>
    <s v="Free"/>
    <s v="Paid Social"/>
    <x v="1"/>
    <s v="First Use"/>
    <s v="Fee Transparency Panel"/>
    <s v="Treatment"/>
    <s v="4 steps"/>
    <n v="4"/>
    <n v="89"/>
    <s v="No"/>
    <x v="0"/>
    <x v="1"/>
    <s v="No Error"/>
    <x v="0"/>
    <n v="153.44999999999999"/>
    <n v="0.17"/>
    <n v="0"/>
    <s v="No Support Contact"/>
    <s v="No"/>
    <s v="No Support Contact"/>
    <s v="Not Applicable"/>
    <m/>
    <s v="No drop-off"/>
    <n v="5"/>
    <n v="17"/>
    <n v="0"/>
    <x v="1"/>
    <n v="1"/>
    <n v="1"/>
    <n v="0"/>
    <n v="1"/>
  </r>
  <r>
    <s v="NSF-000241"/>
    <s v="USR-00209"/>
    <s v="SES-2503-25443"/>
    <d v="2025-03-14T00:00:00"/>
    <s v="Northern Ireland"/>
    <s v="Derry"/>
    <x v="1"/>
    <s v="25-34"/>
    <s v="Female"/>
    <s v="Android"/>
    <s v="Android Phone"/>
    <s v="3-6 months"/>
    <s v="Free"/>
    <s v="App Store"/>
    <x v="3"/>
    <s v="First Use"/>
    <s v="Simplified Onboarding"/>
    <s v="Treatment"/>
    <n v="6"/>
    <n v="6"/>
    <n v="183"/>
    <s v="No"/>
    <x v="0"/>
    <x v="1"/>
    <s v="No Error"/>
    <x v="0"/>
    <n v="0"/>
    <n v="0.09"/>
    <n v="0"/>
    <s v="No Support Contact"/>
    <s v="No"/>
    <s v="No Support Contact"/>
    <s v="Not Applicable"/>
    <m/>
    <s v="No drop-off"/>
    <n v="5"/>
    <n v="37"/>
    <n v="0"/>
    <x v="1"/>
    <n v="1"/>
    <n v="1"/>
    <n v="0"/>
    <n v="1"/>
  </r>
  <r>
    <s v="NSF-001386"/>
    <s v="USR-00453"/>
    <s v="SES-2605-61575"/>
    <d v="2026-05-19T00:00:00"/>
    <s v="North East"/>
    <s v="Middlesbrough"/>
    <x v="1"/>
    <s v="25-34"/>
    <s v="Male"/>
    <s v="Android"/>
    <s v="Android Phone"/>
    <s v="7-12 months"/>
    <s v="Plus"/>
    <s v="App Store"/>
    <x v="1"/>
    <s v="Repeat Use"/>
    <s v="No Experiment"/>
    <s v="Control"/>
    <s v="4 steps"/>
    <n v="4"/>
    <n v="126"/>
    <s v="No"/>
    <x v="0"/>
    <x v="1"/>
    <s v="No Error"/>
    <x v="0"/>
    <n v="141.36000000000001"/>
    <n v="0.18"/>
    <n v="0.17"/>
    <s v="Feature Navigation"/>
    <s v="Yes"/>
    <s v="Feature Navigation"/>
    <s v="Resolved"/>
    <n v="26"/>
    <s v="No drop-off"/>
    <n v="5"/>
    <n v="-19"/>
    <n v="50"/>
    <x v="1"/>
    <n v="1"/>
    <n v="1"/>
    <n v="0"/>
    <n v="1"/>
  </r>
  <r>
    <s v="NSF-000990"/>
    <s v="USR-00584"/>
    <s v="SES-2511-17674"/>
    <d v="2025-11-25T00:00:00"/>
    <s v="South West"/>
    <s v="Plymouth"/>
    <x v="0"/>
    <s v="18-24"/>
    <s v="Female"/>
    <s v="Android"/>
    <s v="Android Phone"/>
    <s v="&lt;3 months"/>
    <s v="Free"/>
    <s v="Organic Search"/>
    <x v="5"/>
    <s v="Repeat Use"/>
    <s v="No Experiment"/>
    <s v="Control"/>
    <n v="8"/>
    <n v="8"/>
    <n v="171"/>
    <s v="No"/>
    <x v="0"/>
    <x v="1"/>
    <s v="No Error"/>
    <x v="0"/>
    <n v="487.51"/>
    <n v="2.69"/>
    <n v="0"/>
    <s v="Account Verification"/>
    <s v="Yes"/>
    <s v="Account Verification"/>
    <s v="Resolved"/>
    <n v="44"/>
    <s v="No drop-off"/>
    <n v="3"/>
    <n v="4"/>
    <n v="68"/>
    <x v="1"/>
    <n v="1"/>
    <n v="1"/>
    <n v="0"/>
    <n v="1"/>
  </r>
  <r>
    <s v="NSF-000566"/>
    <s v="USR-00436"/>
    <s v="SES-2506-67953"/>
    <d v="2025-06-27T00:00:00"/>
    <s v="South West"/>
    <s v="Bristol"/>
    <x v="5"/>
    <s v="55-64"/>
    <s v="Female"/>
    <s v="Ios"/>
    <s v="Iphone"/>
    <s v="7-12 months"/>
    <s v="Plus"/>
    <s v="Organic Search"/>
    <x v="9"/>
    <s v="Reactivated"/>
    <s v="No Experiment"/>
    <s v="Control"/>
    <n v="5"/>
    <n v="5"/>
    <n v="103"/>
    <s v="No"/>
    <x v="0"/>
    <x v="1"/>
    <s v="No Error"/>
    <x v="0"/>
    <n v="58.87"/>
    <n v="0"/>
    <n v="0.17"/>
    <s v="Account Verification"/>
    <s v="Yes"/>
    <s v="Account Verification"/>
    <s v="Resolved"/>
    <n v="23"/>
    <s v="No drop-off"/>
    <n v="5"/>
    <n v="67"/>
    <n v="41"/>
    <x v="1"/>
    <n v="1"/>
    <n v="1"/>
    <n v="0"/>
    <n v="1"/>
  </r>
  <r>
    <s v="NSF-000597"/>
    <s v="USR-00473"/>
    <s v="SES-2507-29398"/>
    <d v="2025-07-21T00:00:00"/>
    <s v="Wales"/>
    <s v="Swansea"/>
    <x v="2"/>
    <s v="18-24"/>
    <s v="Male"/>
    <s v="Web"/>
    <s v="Mobile Browser"/>
    <s v="3-6 months"/>
    <s v="Plus"/>
    <s v="Employer Partnership"/>
    <x v="7"/>
    <s v="First Use"/>
    <s v="Simplified Onboarding"/>
    <s v="Control"/>
    <n v="4"/>
    <n v="4"/>
    <n v="112"/>
    <s v="No"/>
    <x v="0"/>
    <x v="1"/>
    <s v="No Error"/>
    <x v="0"/>
    <n v="71.64"/>
    <n v="0.46"/>
    <n v="0.17"/>
    <s v="No Support Contact"/>
    <s v="No"/>
    <s v="No Support Contact"/>
    <s v="Not Applicable"/>
    <m/>
    <s v="No drop-off"/>
    <n v="4"/>
    <n v="40"/>
    <n v="0"/>
    <x v="1"/>
    <n v="1"/>
    <n v="1"/>
    <n v="0"/>
    <n v="1"/>
  </r>
  <r>
    <s v="NSF-001295"/>
    <s v="USR-00740"/>
    <s v="SES-2604-90888"/>
    <d v="2026-04-13T00:00:00"/>
    <s v="South West"/>
    <s v="Bath"/>
    <x v="5"/>
    <s v="45-54"/>
    <s v="Female"/>
    <s v="Ios"/>
    <s v="Iphone"/>
    <s v="2+ years"/>
    <s v="Free"/>
    <s v="Paid Social"/>
    <x v="7"/>
    <s v="Repeat Use"/>
    <s v="Fee Transparency Panel"/>
    <s v="Control"/>
    <n v="4"/>
    <n v="4"/>
    <n v="97"/>
    <s v="No"/>
    <x v="0"/>
    <x v="1"/>
    <s v="No Error"/>
    <x v="0"/>
    <n v="97.2"/>
    <n v="0.56999999999999995"/>
    <n v="0"/>
    <s v="No Support Contact"/>
    <s v="No"/>
    <s v="No Support Contact"/>
    <s v="Not Applicable"/>
    <m/>
    <s v="No drop-off"/>
    <n v="5"/>
    <n v="30"/>
    <n v="28"/>
    <x v="1"/>
    <n v="1"/>
    <n v="1"/>
    <n v="0"/>
    <n v="1"/>
  </r>
  <r>
    <s v="NSF-001171"/>
    <s v="USR-00832"/>
    <s v="SES-2602-95110"/>
    <d v="2026-02-18T00:00:00"/>
    <s v="East England"/>
    <s v="Norwich"/>
    <x v="2"/>
    <s v="45-54"/>
    <s v="Male"/>
    <s v="Android"/>
    <s v="Android Tablet"/>
    <s v="7-12 months"/>
    <s v="Free"/>
    <s v="App Store"/>
    <x v="1"/>
    <s v="Repeat Use"/>
    <s v="Simplified Onboarding"/>
    <s v="Control"/>
    <n v="4"/>
    <n v="4"/>
    <n v="75"/>
    <s v="No"/>
    <x v="0"/>
    <x v="1"/>
    <s v="No Error"/>
    <x v="0"/>
    <n v="152.51"/>
    <n v="0.22"/>
    <n v="0"/>
    <s v="No Support Contact"/>
    <s v="No"/>
    <s v="No Support Contact"/>
    <s v="Not Applicable"/>
    <m/>
    <s v="No drop-off"/>
    <n v="3"/>
    <n v="25"/>
    <n v="34"/>
    <x v="1"/>
    <n v="1"/>
    <n v="1"/>
    <n v="0"/>
    <n v="1"/>
  </r>
  <r>
    <s v="NSF-000757"/>
    <s v="USR-00184"/>
    <s v="SES-2509-89421"/>
    <d v="2025-09-19T00:00:00"/>
    <s v="East England"/>
    <s v="Norwich"/>
    <x v="0"/>
    <s v="18-24"/>
    <s v="Female"/>
    <s v="Ios"/>
    <s v="Iphone"/>
    <s v="1-2 years"/>
    <s v="Free"/>
    <s v="Paid Social"/>
    <x v="0"/>
    <s v="Repeat Use"/>
    <s v="No Experiment"/>
    <s v="Control"/>
    <n v="7"/>
    <n v="7"/>
    <n v="162"/>
    <s v="No"/>
    <x v="0"/>
    <x v="1"/>
    <s v="No Error"/>
    <x v="1"/>
    <n v="0"/>
    <n v="0"/>
    <n v="0"/>
    <s v="No Support Contact"/>
    <s v="No"/>
    <s v="No Support Contact"/>
    <s v="Not Applicable"/>
    <m/>
    <s v="No drop-off"/>
    <n v="5"/>
    <n v="31"/>
    <n v="24"/>
    <x v="1"/>
    <n v="1"/>
    <n v="0"/>
    <n v="0"/>
    <n v="1"/>
  </r>
  <r>
    <s v="NSF-001269"/>
    <s v="USR-00013"/>
    <s v="SES-2603-64105"/>
    <d v="2026-03-25T00:00:00"/>
    <s v="East England"/>
    <s v="Ipswich"/>
    <x v="0"/>
    <s v="25-34"/>
    <s v="Male"/>
    <s v="Web"/>
    <s v="Desktop"/>
    <s v="&lt;3 months"/>
    <s v="Free"/>
    <s v="Employer Partnership"/>
    <x v="2"/>
    <s v="First Use"/>
    <s v="Progress Indicator"/>
    <s v="Control"/>
    <n v="5"/>
    <n v="5"/>
    <n v="126"/>
    <s v="No"/>
    <x v="1"/>
    <x v="1"/>
    <s v="No Error"/>
    <x v="0"/>
    <n v="92.25"/>
    <n v="0"/>
    <n v="0"/>
    <s v="No Support Contact"/>
    <s v="No"/>
    <s v="No Support Contact"/>
    <s v="Not Applicable"/>
    <m/>
    <s v="Verification took too long"/>
    <n v="4"/>
    <n v="33"/>
    <n v="0"/>
    <x v="1"/>
    <n v="0"/>
    <n v="1"/>
    <n v="0"/>
    <n v="1"/>
  </r>
  <r>
    <s v="NSF-000588"/>
    <s v="USR-00056"/>
    <s v="SES-2507-18550"/>
    <d v="2025-07-17T00:00:00"/>
    <s v="North West"/>
    <s v="Preston"/>
    <x v="3"/>
    <s v="45-54"/>
    <s v="Female"/>
    <s v="Android"/>
    <s v="Android Phone"/>
    <s v="7-12 months"/>
    <s v="Free"/>
    <s v="Direct"/>
    <x v="5"/>
    <s v="Trial/Exploration"/>
    <s v="No Experiment"/>
    <s v="Control"/>
    <n v="8"/>
    <n v="8"/>
    <n v="236"/>
    <s v="No"/>
    <x v="1"/>
    <x v="0"/>
    <s v="Fx Rate Confusion"/>
    <x v="1"/>
    <n v="0"/>
    <n v="0"/>
    <n v="0"/>
    <s v="No Support Contact"/>
    <s v="No"/>
    <s v="No Support Contact"/>
    <s v="Not Applicable"/>
    <m/>
    <s v="Unexpected fee"/>
    <n v="2"/>
    <n v="-29"/>
    <n v="1"/>
    <x v="0"/>
    <n v="0"/>
    <n v="0"/>
    <n v="1"/>
    <n v="0"/>
  </r>
  <r>
    <s v="NSF-001057"/>
    <s v="USR-00456"/>
    <s v="SES-2512-19925"/>
    <d v="2025-12-20T00:00:00"/>
    <s v="East Midlands"/>
    <s v="Lincoln"/>
    <x v="3"/>
    <s v="18-24"/>
    <s v="Male"/>
    <s v="Ios"/>
    <s v="Iphone"/>
    <s v="2+ years"/>
    <s v="Free"/>
    <s v="Paid Social"/>
    <x v="4"/>
    <s v="Reactivated"/>
    <s v="Progress Indicator"/>
    <s v="Control"/>
    <n v="6"/>
    <n v="6"/>
    <n v="236"/>
    <s v="No"/>
    <x v="0"/>
    <x v="0"/>
    <s v="Transaction Classification Wrong"/>
    <x v="1"/>
    <n v="0"/>
    <n v="0"/>
    <n v="0"/>
    <s v="No Support Contact"/>
    <s v="No"/>
    <s v="No Support Contact"/>
    <s v="Not Applicable"/>
    <m/>
    <s v="No drop-off"/>
    <n v="3"/>
    <n v="10"/>
    <n v="60"/>
    <x v="1"/>
    <n v="1"/>
    <n v="0"/>
    <n v="1"/>
    <n v="1"/>
  </r>
  <r>
    <s v="NSF-001076"/>
    <s v="USR-00265"/>
    <s v="SES-2601-49356"/>
    <d v="2026-01-10T00:00:00"/>
    <s v="Northern Ireland"/>
    <s v="Belfast"/>
    <x v="3"/>
    <s v="25-34"/>
    <s v="Female"/>
    <s v="Web"/>
    <s v="Desktop"/>
    <s v="2+ years"/>
    <s v="Free"/>
    <s v="Paid Search"/>
    <x v="0"/>
    <s v="Repeat Use"/>
    <s v="New Cta Copy"/>
    <s v="Treatment"/>
    <s v="7 steps"/>
    <n v="7"/>
    <n v="221"/>
    <s v="No"/>
    <x v="0"/>
    <x v="1"/>
    <s v="No Error"/>
    <x v="1"/>
    <n v="0"/>
    <n v="0"/>
    <n v="0"/>
    <s v="No Support Contact"/>
    <s v="No"/>
    <s v="No Support Contact"/>
    <s v="Not Applicable"/>
    <m/>
    <s v="No drop-off"/>
    <n v="4"/>
    <n v="7"/>
    <n v="16"/>
    <x v="0"/>
    <n v="1"/>
    <n v="0"/>
    <n v="0"/>
    <n v="0"/>
  </r>
  <r>
    <s v="NSF-000060"/>
    <s v="USR-00510"/>
    <s v="SES-2501-71758"/>
    <d v="2025-01-07T00:00:00"/>
    <s v="South East"/>
    <s v="Oxford"/>
    <x v="2"/>
    <s v="45-54"/>
    <s v="Male"/>
    <s v="Web"/>
    <s v="Desktop"/>
    <s v="3-6 months"/>
    <s v="Free"/>
    <s v="Organic Search"/>
    <x v="10"/>
    <s v="Repeat Use"/>
    <s v="New Cta Copy"/>
    <s v="Treatment"/>
    <n v="9"/>
    <n v="9"/>
    <n v="197"/>
    <s v="No"/>
    <x v="0"/>
    <x v="1"/>
    <s v="No Error"/>
    <x v="0"/>
    <n v="237.1"/>
    <n v="2.92"/>
    <n v="0"/>
    <s v="No Support Contact"/>
    <s v="No"/>
    <s v="No Support Contact"/>
    <s v="Not Applicable"/>
    <m/>
    <s v="No drop-off"/>
    <n v="3"/>
    <n v="36"/>
    <n v="55"/>
    <x v="0"/>
    <n v="1"/>
    <n v="1"/>
    <n v="0"/>
    <n v="0"/>
  </r>
  <r>
    <s v="NSF-001240"/>
    <s v="USR-00477"/>
    <s v="SES-2603-87819"/>
    <d v="2026-03-16T00:00:00"/>
    <s v="South West"/>
    <s v="Exeter"/>
    <x v="2"/>
    <s v="65+"/>
    <s v="Male"/>
    <s v="Android"/>
    <s v="Android Phone"/>
    <s v="7-12 months"/>
    <s v="Free"/>
    <s v="Referral"/>
    <x v="1"/>
    <s v="Repeat Use"/>
    <s v="Progress Indicator"/>
    <s v="Treatment"/>
    <n v="4"/>
    <n v="4"/>
    <n v="89"/>
    <s v="No"/>
    <x v="0"/>
    <x v="1"/>
    <s v="No Error"/>
    <x v="0"/>
    <n v="171.17"/>
    <n v="0.22"/>
    <n v="0"/>
    <s v="No Support Contact"/>
    <s v="No"/>
    <s v="No Support Contact"/>
    <s v="Not Applicable"/>
    <m/>
    <s v="No drop-off"/>
    <n v="5"/>
    <n v="20"/>
    <n v="28"/>
    <x v="1"/>
    <n v="1"/>
    <n v="1"/>
    <n v="0"/>
    <n v="1"/>
  </r>
  <r>
    <s v="NSF-000410"/>
    <s v="USR-00738"/>
    <s v="SES-2505-84303"/>
    <d v="2025-05-20T00:00:00"/>
    <s v="East Midlands"/>
    <s v="Leicester"/>
    <x v="3"/>
    <s v="35-44"/>
    <s v="Female"/>
    <s v="Ios"/>
    <s v="Iphone"/>
    <s v="7-12 months"/>
    <s v="Plus"/>
    <s v="Paid Social"/>
    <x v="4"/>
    <s v="Repeat Use"/>
    <s v="New Cta Copy"/>
    <s v="Control"/>
    <n v="6"/>
    <n v="4"/>
    <n v="244"/>
    <s v="Yes"/>
    <x v="1"/>
    <x v="1"/>
    <s v="No Error"/>
    <x v="1"/>
    <n v="0"/>
    <n v="0"/>
    <n v="0"/>
    <s v="Transaction Failure"/>
    <s v="Yes"/>
    <s v="Transaction Failure"/>
    <s v="Resolved"/>
    <n v="41"/>
    <s v="Instructions unclear"/>
    <n v="3"/>
    <n v="21"/>
    <n v="37"/>
    <x v="0"/>
    <n v="0"/>
    <n v="0"/>
    <n v="0"/>
    <n v="0"/>
  </r>
  <r>
    <s v="NSF-000015"/>
    <s v="USR-00358"/>
    <s v="SES-2501-24537"/>
    <d v="2025-01-19T00:00:00"/>
    <s v="East England"/>
    <s v="Luton"/>
    <x v="0"/>
    <s v="35-44"/>
    <s v="Male"/>
    <s v="Android"/>
    <s v="Android Phone"/>
    <s v="7-12 months"/>
    <s v="Premium"/>
    <s v="Paid Social"/>
    <x v="2"/>
    <s v="Reactivated"/>
    <s v="Progress Indicator"/>
    <s v="Treatment"/>
    <s v="5 steps"/>
    <n v="5"/>
    <n v="101"/>
    <s v="No"/>
    <x v="0"/>
    <x v="1"/>
    <s v="No Error"/>
    <x v="0"/>
    <n v="117.03"/>
    <n v="0"/>
    <n v="0.37"/>
    <s v="No Support Contact"/>
    <s v="No"/>
    <s v="No Support Contact"/>
    <s v="Not Applicable"/>
    <m/>
    <s v="No drop-off"/>
    <n v="5"/>
    <n v="52"/>
    <n v="46"/>
    <x v="1"/>
    <n v="1"/>
    <n v="1"/>
    <n v="0"/>
    <n v="1"/>
  </r>
  <r>
    <s v="NSF-000130"/>
    <s v="USR-00697"/>
    <s v="SES-2502-96617"/>
    <d v="2025-02-09T00:00:00"/>
    <s v="North East"/>
    <s v="Middlesbrough"/>
    <x v="2"/>
    <s v="35-44"/>
    <s v="Male"/>
    <s v="Ios"/>
    <s v="Ipad"/>
    <s v="1-2 years"/>
    <s v="Plus"/>
    <s v="Organic Search"/>
    <x v="9"/>
    <s v="Reactivated"/>
    <s v="Progress Indicator"/>
    <s v="Control"/>
    <n v="5"/>
    <s v="4 steps"/>
    <n v="178"/>
    <s v="Yes"/>
    <x v="1"/>
    <x v="1"/>
    <s v="No Error"/>
    <x v="1"/>
    <n v="0"/>
    <n v="0"/>
    <n v="0"/>
    <s v="No Support Contact"/>
    <s v="No"/>
    <s v="No Support Contact"/>
    <s v="Not Applicable"/>
    <m/>
    <s v="Privacy concern"/>
    <n v="2"/>
    <n v="54"/>
    <n v="31"/>
    <x v="0"/>
    <n v="0"/>
    <n v="0"/>
    <n v="0"/>
    <n v="0"/>
  </r>
  <r>
    <s v="NSF-000914"/>
    <s v="USR-00088"/>
    <s v="SES-2511-82227"/>
    <d v="2025-11-03T00:00:00"/>
    <s v="South East"/>
    <s v="Oxford"/>
    <x v="4"/>
    <s v="25-34"/>
    <s v="Male"/>
    <s v="Ios"/>
    <s v="Ipad"/>
    <s v="7-12 months"/>
    <s v="Plus"/>
    <s v="Organic Search"/>
    <x v="2"/>
    <s v="First Use"/>
    <s v="No Experiment"/>
    <s v="Control"/>
    <n v="5"/>
    <n v="5"/>
    <n v="129"/>
    <s v="No"/>
    <x v="0"/>
    <x v="1"/>
    <s v="No Error"/>
    <x v="0"/>
    <n v="50.02"/>
    <n v="0"/>
    <n v="0.17"/>
    <s v="No Support Contact"/>
    <s v="No"/>
    <s v="No Support Contact"/>
    <s v="Not Applicable"/>
    <m/>
    <s v="No drop-off"/>
    <n v="4"/>
    <n v="16"/>
    <n v="0"/>
    <x v="0"/>
    <n v="1"/>
    <n v="1"/>
    <n v="0"/>
    <n v="0"/>
  </r>
  <r>
    <s v="NSF-000447"/>
    <s v="USR-00550"/>
    <s v="SES-2505-38494"/>
    <d v="2025-05-07T00:00:00"/>
    <s v="Northern Ireland"/>
    <s v="Derry"/>
    <x v="0"/>
    <s v="45-54"/>
    <s v="Female"/>
    <s v="Web"/>
    <s v="Mobile Browser"/>
    <s v="3-6 months"/>
    <s v="Free"/>
    <s v="Referral"/>
    <x v="9"/>
    <s v="Trial/Exploration"/>
    <s v="No Experiment"/>
    <s v="Control"/>
    <n v="5"/>
    <n v="5"/>
    <n v="96"/>
    <s v="No"/>
    <x v="0"/>
    <x v="1"/>
    <s v="No Error"/>
    <x v="0"/>
    <n v="156.19999999999999"/>
    <n v="0"/>
    <n v="0"/>
    <s v="No Support Contact"/>
    <s v="No"/>
    <s v="No Support Contact"/>
    <s v="Not Applicable"/>
    <m/>
    <s v="No drop-off"/>
    <n v="4"/>
    <n v="65"/>
    <n v="39"/>
    <x v="1"/>
    <n v="1"/>
    <n v="1"/>
    <n v="0"/>
    <n v="1"/>
  </r>
  <r>
    <s v="NSF-000425"/>
    <s v="USR-00137"/>
    <s v="SES-2505-41127"/>
    <d v="2025-05-20T00:00:00"/>
    <s v="Scotland"/>
    <s v="Edinburgh"/>
    <x v="4"/>
    <s v="25-34"/>
    <s v="Male"/>
    <s v="Android"/>
    <s v="Android Phone"/>
    <s v="7-12 months"/>
    <s v="Free"/>
    <s v="Paid Social"/>
    <x v="1"/>
    <s v="Repeat Use"/>
    <s v="No Experiment"/>
    <s v="Control"/>
    <n v="4"/>
    <s v="4 steps"/>
    <n v="87"/>
    <s v="No"/>
    <x v="0"/>
    <x v="1"/>
    <s v="No Error"/>
    <x v="1"/>
    <n v="0"/>
    <n v="0"/>
    <n v="0"/>
    <s v="No Support Contact"/>
    <s v="No"/>
    <s v="No Support Contact"/>
    <s v="Not Applicable"/>
    <m/>
    <s v="No drop-off"/>
    <n v="5"/>
    <n v="46"/>
    <n v="17"/>
    <x v="1"/>
    <n v="1"/>
    <n v="0"/>
    <n v="0"/>
    <n v="1"/>
  </r>
  <r>
    <s v="NSF-000149"/>
    <s v="USR-00406"/>
    <s v="SES-2502-80648"/>
    <d v="2025-02-27T00:00:00"/>
    <s v="East England"/>
    <s v="Luton"/>
    <x v="1"/>
    <s v="35-44"/>
    <s v="Female"/>
    <s v="Android"/>
    <s v="Android Phone"/>
    <s v="2+ years"/>
    <s v="Free"/>
    <s v="Paid Social"/>
    <x v="1"/>
    <s v="Reactivated"/>
    <s v="No Experiment"/>
    <s v="Control"/>
    <n v="4"/>
    <n v="2"/>
    <n v="174"/>
    <s v="Yes"/>
    <x v="0"/>
    <x v="1"/>
    <s v="No Error"/>
    <x v="0"/>
    <n v="80.790000000000006"/>
    <n v="0.22"/>
    <n v="0"/>
    <s v="No Support Contact"/>
    <s v="No"/>
    <s v="No Support Contact"/>
    <s v="Not Applicable"/>
    <m/>
    <s v="No drop-off"/>
    <n v="3"/>
    <n v="-3"/>
    <n v="12"/>
    <x v="1"/>
    <n v="1"/>
    <n v="1"/>
    <n v="0"/>
    <n v="1"/>
  </r>
  <r>
    <s v="NSF-000813"/>
    <s v="USR-00454"/>
    <s v="SES-2509-16649"/>
    <d v="2025-09-17T00:00:00"/>
    <s v="South West"/>
    <s v="Bath"/>
    <x v="0"/>
    <s v="25-34"/>
    <s v="Male"/>
    <s v="Android"/>
    <s v="Android Phone"/>
    <s v="7-12 months"/>
    <s v="Free"/>
    <s v="Paid Search"/>
    <x v="1"/>
    <s v="Repeat Use"/>
    <s v="Contextual Help"/>
    <s v="Control"/>
    <s v="4 steps"/>
    <n v="4"/>
    <n v="108"/>
    <s v="No"/>
    <x v="0"/>
    <x v="1"/>
    <s v="No Error"/>
    <x v="0"/>
    <n v="154.96"/>
    <n v="0.2"/>
    <n v="0"/>
    <s v="No Support Contact"/>
    <s v="No"/>
    <s v="No Support Contact"/>
    <s v="Not Applicable"/>
    <m/>
    <s v="No drop-off"/>
    <n v="3"/>
    <n v="20"/>
    <n v="1"/>
    <x v="0"/>
    <n v="1"/>
    <n v="1"/>
    <n v="0"/>
    <n v="0"/>
  </r>
  <r>
    <s v="NSF-001040"/>
    <s v="USR-00218"/>
    <s v="SES-2512-78444"/>
    <d v="2025-12-03T00:00:00"/>
    <s v="North East"/>
    <s v="Newcastle"/>
    <x v="0"/>
    <s v="55-64"/>
    <s v="Male"/>
    <s v="Ios"/>
    <s v="Iphone"/>
    <s v="2+ years"/>
    <s v="Free"/>
    <s v="Affiliate"/>
    <x v="7"/>
    <s v="Repeat Use"/>
    <s v="Contextual Help"/>
    <s v="Treatment"/>
    <n v="4"/>
    <n v="2"/>
    <n v="145"/>
    <s v="Yes"/>
    <x v="1"/>
    <x v="1"/>
    <s v="No Error"/>
    <x v="0"/>
    <n v="98.69"/>
    <n v="0.55000000000000004"/>
    <n v="0"/>
    <s v="No Support Contact"/>
    <s v="No"/>
    <s v="No Support Contact"/>
    <s v="Not Applicable"/>
    <m/>
    <s v="No drop-off"/>
    <n v="4"/>
    <n v="17"/>
    <n v="59"/>
    <x v="1"/>
    <n v="0"/>
    <n v="1"/>
    <n v="0"/>
    <n v="1"/>
  </r>
  <r>
    <s v="NSF-000177"/>
    <s v="USR-00031"/>
    <s v="SES-2502-36497"/>
    <d v="2025-02-25T00:00:00"/>
    <s v="Yorkshire &amp; Humber"/>
    <s v="Hull"/>
    <x v="0"/>
    <s v="45-54"/>
    <s v="Male"/>
    <s v="Android"/>
    <s v="Android Phone"/>
    <s v="3-6 months"/>
    <s v="Plus"/>
    <s v="Organic Search"/>
    <x v="3"/>
    <s v="Repeat Use"/>
    <s v="No Experiment"/>
    <s v="Control"/>
    <n v="6"/>
    <n v="6"/>
    <n v="184"/>
    <s v="Unknown"/>
    <x v="0"/>
    <x v="1"/>
    <s v="No Error"/>
    <x v="0"/>
    <n v="65.44"/>
    <n v="0.11"/>
    <n v="0.17"/>
    <s v="No Support Contact"/>
    <s v="No"/>
    <s v="No Support Contact"/>
    <s v="Not Applicable"/>
    <m/>
    <s v="No drop-off"/>
    <n v="4"/>
    <n v="8"/>
    <n v="41"/>
    <x v="1"/>
    <n v="1"/>
    <n v="1"/>
    <n v="0"/>
    <n v="1"/>
  </r>
  <r>
    <s v="NSF-000516"/>
    <s v="USR-00251"/>
    <s v="SES-2506-57842"/>
    <d v="2025-06-19T00:00:00"/>
    <s v="London"/>
    <s v="Croydon"/>
    <x v="4"/>
    <s v="35-44"/>
    <s v="Male"/>
    <s v="Web"/>
    <s v="Desktop"/>
    <s v="2+ years"/>
    <s v="Free"/>
    <s v="Organic Search"/>
    <x v="9"/>
    <s v="Repeat Use"/>
    <s v="Simplified Onboarding"/>
    <s v="Treatment"/>
    <n v="5"/>
    <s v="5 steps"/>
    <n v="143"/>
    <s v="No"/>
    <x v="0"/>
    <x v="1"/>
    <s v="No Error"/>
    <x v="0"/>
    <n v="80.64"/>
    <n v="0"/>
    <n v="0"/>
    <s v="No Support Contact"/>
    <s v="No"/>
    <s v="No Support Contact"/>
    <s v="Not Applicable"/>
    <m/>
    <s v="No drop-off"/>
    <n v="5"/>
    <n v="57"/>
    <n v="33"/>
    <x v="1"/>
    <n v="1"/>
    <n v="1"/>
    <n v="0"/>
    <n v="1"/>
  </r>
  <r>
    <s v="NSF-000600"/>
    <s v="USR-00628"/>
    <s v="SES-2507-81080"/>
    <d v="2025-07-13T00:00:00"/>
    <s v="Scotland"/>
    <s v="Aberdeen"/>
    <x v="0"/>
    <s v="55-64"/>
    <s v="Female"/>
    <s v="Ios"/>
    <s v="Iphone"/>
    <s v="3-6 months"/>
    <s v="Free"/>
    <s v="Referral"/>
    <x v="7"/>
    <s v="Repeat Use"/>
    <s v="No Experiment"/>
    <s v="Control"/>
    <n v="4"/>
    <n v="3"/>
    <n v="180"/>
    <s v="Yes"/>
    <x v="0"/>
    <x v="1"/>
    <s v="No Error"/>
    <x v="0"/>
    <n v="74.209999999999994"/>
    <n v="0.49"/>
    <n v="0"/>
    <s v="Feature Navigation"/>
    <s v="Yes"/>
    <s v="Feature Navigation"/>
    <s v="Unresolved"/>
    <n v="17"/>
    <s v="No drop-off"/>
    <n v="3"/>
    <n v="22"/>
    <n v="46"/>
    <x v="1"/>
    <n v="1"/>
    <n v="1"/>
    <n v="0"/>
    <n v="1"/>
  </r>
  <r>
    <s v="NSF-000807"/>
    <s v="USR-00292"/>
    <s v="SES-2509-18951"/>
    <d v="2025-09-25T00:00:00"/>
    <s v="Yorkshire &amp; Humber"/>
    <s v="Leeds"/>
    <x v="2"/>
    <s v="35-44"/>
    <s v="Male"/>
    <s v="Ios"/>
    <s v="Iphone"/>
    <s v="7-12 months"/>
    <s v="Free"/>
    <s v="Organic Search"/>
    <x v="7"/>
    <s v="Repeat Use"/>
    <s v="New Cta Copy"/>
    <s v="Control"/>
    <n v="4"/>
    <n v="2"/>
    <n v="109"/>
    <s v="Yes"/>
    <x v="0"/>
    <x v="1"/>
    <s v="No Error"/>
    <x v="0"/>
    <n v="80.12"/>
    <n v="0.44"/>
    <n v="0"/>
    <s v="No Support Contact"/>
    <s v="No"/>
    <s v="No Support Contact"/>
    <s v="Not Applicable"/>
    <m/>
    <s v="No drop-off"/>
    <n v="3"/>
    <n v="-24"/>
    <n v="31"/>
    <x v="0"/>
    <n v="1"/>
    <n v="1"/>
    <n v="0"/>
    <n v="0"/>
  </r>
  <r>
    <s v="NSF-001273"/>
    <s v="USR-00468"/>
    <s v="SES-2603-84802"/>
    <d v="2026-03-13T00:00:00"/>
    <s v="South West"/>
    <s v="Exeter"/>
    <x v="7"/>
    <s v="35-44"/>
    <s v="Male"/>
    <s v="Android"/>
    <s v="Android Phone"/>
    <s v="1-2 years"/>
    <s v="Free"/>
    <s v="Direct"/>
    <x v="1"/>
    <s v="Repeat Use"/>
    <s v="Simplified Onboarding"/>
    <s v="Treatment"/>
    <n v="4"/>
    <n v="2"/>
    <n v="199"/>
    <s v="Yes"/>
    <x v="0"/>
    <x v="0"/>
    <s v="Recipient Validation Error"/>
    <x v="0"/>
    <n v="171.32"/>
    <n v="0.17"/>
    <n v="0"/>
    <s v="Account Verification"/>
    <s v="Yes"/>
    <s v="Account Verification"/>
    <s v="Resolved"/>
    <n v="62"/>
    <s v="No drop-off"/>
    <n v="3"/>
    <n v="-18"/>
    <s v="24 days"/>
    <x v="0"/>
    <n v="1"/>
    <n v="1"/>
    <n v="1"/>
    <n v="0"/>
  </r>
  <r>
    <s v="NSF-000908"/>
    <s v="USR-00406"/>
    <s v="SES-2510-36244"/>
    <d v="2025-10-09T00:00:00"/>
    <s v="Scotland"/>
    <s v="Edinburgh"/>
    <x v="1"/>
    <s v="55-64"/>
    <s v="Male"/>
    <s v="Ios"/>
    <s v="Iphone"/>
    <s v="1-2 years"/>
    <s v="Free"/>
    <s v="Organic Search"/>
    <x v="1"/>
    <s v="Repeat Use"/>
    <s v="No Experiment"/>
    <s v="Control"/>
    <n v="4"/>
    <n v="4"/>
    <n v="101"/>
    <s v="No"/>
    <x v="0"/>
    <x v="1"/>
    <s v="No Error"/>
    <x v="1"/>
    <n v="0"/>
    <n v="0"/>
    <n v="0"/>
    <s v="No Support Contact"/>
    <s v="No"/>
    <s v="No Support Contact"/>
    <s v="Not Applicable"/>
    <m/>
    <s v="No drop-off"/>
    <n v="4"/>
    <n v="54"/>
    <n v="26"/>
    <x v="0"/>
    <n v="1"/>
    <n v="0"/>
    <n v="0"/>
    <n v="0"/>
  </r>
  <r>
    <s v="NSF-000484"/>
    <s v="USR-00031"/>
    <s v="SES-2506-76366"/>
    <d v="2025-06-26T00:00:00"/>
    <s v="Wales"/>
    <s v="Newport"/>
    <x v="5"/>
    <s v="35-44"/>
    <s v="Male"/>
    <s v="Android"/>
    <s v="Android Phone"/>
    <s v="&lt;3 months"/>
    <s v="Free"/>
    <s v="Affiliate"/>
    <x v="4"/>
    <s v="Repeat Use"/>
    <s v="No Experiment"/>
    <s v="Control"/>
    <n v="6"/>
    <n v="6"/>
    <n v="190"/>
    <s v="No"/>
    <x v="0"/>
    <x v="1"/>
    <s v="No Error"/>
    <x v="1"/>
    <n v="0"/>
    <n v="0"/>
    <n v="0"/>
    <s v="No Support Contact"/>
    <s v="No"/>
    <s v="No Support Contact"/>
    <s v="Not Applicable"/>
    <m/>
    <s v="No drop-off"/>
    <n v="3"/>
    <n v="-17"/>
    <n v="44"/>
    <x v="1"/>
    <n v="1"/>
    <n v="0"/>
    <n v="0"/>
    <n v="1"/>
  </r>
  <r>
    <s v="NSF-001141"/>
    <s v="USR-00696"/>
    <s v="SES-2601-50527"/>
    <d v="2026-01-02T00:00:00"/>
    <s v="Yorkshire &amp; Humber"/>
    <s v="York"/>
    <x v="7"/>
    <s v="35-44"/>
    <s v="Male"/>
    <s v="Ios"/>
    <s v="Iphone"/>
    <s v="3-6 months"/>
    <s v="Free"/>
    <s v="Paid Search"/>
    <x v="1"/>
    <s v="Trial/Exploration"/>
    <s v="Simplified Onboarding"/>
    <s v="Control"/>
    <n v="4"/>
    <s v="4 steps"/>
    <n v="102"/>
    <s v="No"/>
    <x v="1"/>
    <x v="1"/>
    <s v="No Error"/>
    <x v="1"/>
    <n v="0"/>
    <n v="0"/>
    <n v="0"/>
    <s v="No Support Contact"/>
    <s v="No"/>
    <s v="No Support Contact"/>
    <s v="Not Applicable"/>
    <m/>
    <s v="No drop-off"/>
    <n v="3"/>
    <n v="20"/>
    <n v="17"/>
    <x v="1"/>
    <n v="0"/>
    <n v="0"/>
    <n v="0"/>
    <n v="1"/>
  </r>
  <r>
    <s v="NSF-000961"/>
    <s v="USR-00242"/>
    <s v="SES-2511-73515"/>
    <d v="2025-11-02T00:00:00"/>
    <s v="Wales"/>
    <s v="Cardiff"/>
    <x v="0"/>
    <s v="18-24"/>
    <s v="Male"/>
    <s v="Ios"/>
    <s v="Ipad"/>
    <s v="7-12 months"/>
    <s v="Plus"/>
    <s v="Direct"/>
    <x v="5"/>
    <s v="Reactivated"/>
    <s v="No Experiment"/>
    <s v="Control"/>
    <n v="8"/>
    <n v="6"/>
    <n v="224"/>
    <s v="Yes"/>
    <x v="1"/>
    <x v="1"/>
    <s v="No Error"/>
    <x v="0"/>
    <n v="419.88"/>
    <n v="2.61"/>
    <n v="0.17"/>
    <s v="No Support Contact"/>
    <s v="No"/>
    <s v="No Support Contact"/>
    <s v="Not Applicable"/>
    <m/>
    <s v="Too many steps"/>
    <n v="2"/>
    <n v="9"/>
    <n v="36"/>
    <x v="0"/>
    <n v="0"/>
    <n v="1"/>
    <n v="0"/>
    <n v="0"/>
  </r>
  <r>
    <s v="NSF-000421"/>
    <s v="USR-00634"/>
    <s v="SES-2505-58963"/>
    <d v="2025-05-09T00:00:00"/>
    <s v="East Midlands"/>
    <s v="NOTTINGHAM"/>
    <x v="4"/>
    <s v="18-24"/>
    <s v="Non-Binary"/>
    <s v="Ios"/>
    <s v="Iphone"/>
    <s v="1-2 years"/>
    <s v="Basic"/>
    <s v="Direct"/>
    <x v="7"/>
    <s v="Repeat Use"/>
    <s v="No Experiment"/>
    <s v="Control"/>
    <n v="4"/>
    <n v="4"/>
    <n v="87"/>
    <s v="No"/>
    <x v="1"/>
    <x v="1"/>
    <s v="No Error"/>
    <x v="0"/>
    <n v="88.52"/>
    <n v="0.49"/>
    <n v="0"/>
    <s v="No Support Contact"/>
    <s v="No"/>
    <s v="No Support Contact"/>
    <s v="Not Applicable"/>
    <m/>
    <s v="No drop-off"/>
    <n v="4"/>
    <n v="30"/>
    <n v="26"/>
    <x v="0"/>
    <n v="0"/>
    <n v="1"/>
    <n v="0"/>
    <n v="0"/>
  </r>
  <r>
    <s v="NSF-000693"/>
    <s v="USR-00037"/>
    <s v="SES-2508-19277"/>
    <d v="2025-08-15T00:00:00"/>
    <s v="Scotland"/>
    <s v="Glasgow"/>
    <x v="2"/>
    <s v="35-44"/>
    <s v="Male"/>
    <s v="Ios"/>
    <s v="Iphone"/>
    <s v="&lt;3 months"/>
    <s v="Plus"/>
    <s v="Organic Search"/>
    <x v="3"/>
    <s v="Repeat Use"/>
    <s v="Fee Transparency Panel"/>
    <s v="Treatment"/>
    <n v="6"/>
    <n v="6"/>
    <n v="179"/>
    <s v="No"/>
    <x v="0"/>
    <x v="2"/>
    <s v="Split Amount Confusing"/>
    <x v="1"/>
    <n v="0"/>
    <n v="0"/>
    <n v="0"/>
    <s v="No Support Contact"/>
    <s v="No"/>
    <s v="No Support Contact"/>
    <s v="Not Applicable"/>
    <m/>
    <s v="No drop-off"/>
    <n v="3"/>
    <n v="8"/>
    <n v="1"/>
    <x v="1"/>
    <n v="1"/>
    <n v="0"/>
    <n v="0"/>
    <n v="1"/>
  </r>
  <r>
    <s v="NSF-001337"/>
    <s v="USR-00595"/>
    <s v="SES-2604-87676"/>
    <d v="2026-04-15T00:00:00"/>
    <s v="South East"/>
    <s v="Brighton"/>
    <x v="1"/>
    <s v="18-24"/>
    <s v="Male"/>
    <s v="Web"/>
    <s v="Tablet Browser"/>
    <s v="3-6 months"/>
    <s v="Plus"/>
    <s v="Referral"/>
    <x v="3"/>
    <s v="Repeat Use"/>
    <s v="Simplified Onboarding"/>
    <s v="Treatment"/>
    <n v="6"/>
    <n v="6"/>
    <n v="134"/>
    <s v="No"/>
    <x v="1"/>
    <x v="1"/>
    <s v="No Error"/>
    <x v="1"/>
    <n v="0"/>
    <n v="0"/>
    <n v="0"/>
    <s v="No Support Contact"/>
    <s v="No"/>
    <s v="No Support Contact"/>
    <s v="Not Applicable"/>
    <m/>
    <s v="No drop-off"/>
    <n v="4"/>
    <n v="32"/>
    <n v="54"/>
    <x v="0"/>
    <n v="0"/>
    <n v="0"/>
    <n v="0"/>
    <n v="0"/>
  </r>
  <r>
    <s v="NSF-000941"/>
    <s v="USR-00600"/>
    <s v="SES-2511-92740"/>
    <d v="2025-11-09T00:00:00"/>
    <s v="East Midlands"/>
    <s v="Leicester"/>
    <x v="0"/>
    <s v="25-34"/>
    <s v="Male"/>
    <s v="Android"/>
    <s v="Android Phone"/>
    <s v="3-6 months"/>
    <s v="Plus"/>
    <s v="Referral"/>
    <x v="3"/>
    <s v="Repeat Use"/>
    <s v="Simplified Onboarding"/>
    <s v="Treatment"/>
    <n v="6"/>
    <s v="4 steps"/>
    <n v="184"/>
    <s v="Yes"/>
    <x v="0"/>
    <x v="1"/>
    <s v="No Error"/>
    <x v="0"/>
    <n v="0.59"/>
    <n v="0.11"/>
    <n v="0.17"/>
    <s v="No Support Contact"/>
    <s v="No"/>
    <s v="No Support Contact"/>
    <s v="Not Applicable"/>
    <m/>
    <s v="No drop-off"/>
    <n v="4"/>
    <n v="1"/>
    <n v="30"/>
    <x v="1"/>
    <n v="1"/>
    <n v="1"/>
    <n v="0"/>
    <n v="1"/>
  </r>
  <r>
    <s v="NSF-000283"/>
    <s v="USR-00126"/>
    <s v="SES-2503-89678"/>
    <d v="2025-03-26T00:00:00"/>
    <s v="East England"/>
    <s v="Cambridge"/>
    <x v="0"/>
    <s v="45-54"/>
    <s v="Male"/>
    <s v="Android"/>
    <s v="Android Tablet"/>
    <s v="1-2 years"/>
    <s v="Free"/>
    <s v="Organic Search"/>
    <x v="1"/>
    <s v="Repeat Use"/>
    <s v="Fee Transparency Panel"/>
    <s v="Treatment"/>
    <n v="4"/>
    <n v="4"/>
    <n v="100"/>
    <s v="No"/>
    <x v="0"/>
    <x v="1"/>
    <s v="No Error"/>
    <x v="0"/>
    <n v="192.03"/>
    <n v="0.18"/>
    <n v="0"/>
    <s v="Feature Navigation"/>
    <s v="Yes"/>
    <s v="Feature Navigation"/>
    <s v="Resolved"/>
    <n v="37"/>
    <s v="No drop-off"/>
    <n v="4"/>
    <n v="12"/>
    <n v="14"/>
    <x v="1"/>
    <n v="1"/>
    <n v="1"/>
    <n v="0"/>
    <n v="1"/>
  </r>
  <r>
    <s v="NSF-000346"/>
    <s v="USR-00200"/>
    <s v="SES-2504-90100"/>
    <d v="2025-04-17T00:00:00"/>
    <s v="North West"/>
    <s v="Liverpool"/>
    <x v="3"/>
    <s v="18-24"/>
    <s v="Female"/>
    <s v="Android"/>
    <s v="Android Phone"/>
    <s v="3-6 months"/>
    <s v="Free"/>
    <s v="Organic Search"/>
    <x v="5"/>
    <s v="Reactivated"/>
    <s v="No Experiment"/>
    <s v="Control"/>
    <n v="8"/>
    <n v="8"/>
    <n v="192"/>
    <s v="No"/>
    <x v="1"/>
    <x v="1"/>
    <s v="No Error"/>
    <x v="1"/>
    <n v="0"/>
    <n v="0"/>
    <n v="0"/>
    <s v="No Support Contact"/>
    <s v="No"/>
    <s v="No Support Contact"/>
    <s v="Not Applicable"/>
    <m/>
    <s v="Too many steps"/>
    <n v="3"/>
    <n v="-16"/>
    <n v="43"/>
    <x v="1"/>
    <n v="0"/>
    <n v="0"/>
    <n v="0"/>
    <n v="1"/>
  </r>
  <r>
    <s v="NSF-001354"/>
    <s v="USR-00231"/>
    <s v="SES-2604-78508"/>
    <d v="2026-04-18T00:00:00"/>
    <s v="Yorkshire &amp; Humber"/>
    <s v="Hull"/>
    <x v="2"/>
    <s v="65+"/>
    <s v="Male"/>
    <s v="Ios"/>
    <s v="Iphone"/>
    <s v="7-12 months"/>
    <s v="Free"/>
    <s v="Paid Social"/>
    <x v="7"/>
    <s v="Repeat Use"/>
    <s v="Simplified Onboarding"/>
    <s v="Control"/>
    <n v="4"/>
    <n v="4"/>
    <n v="115"/>
    <s v="No"/>
    <x v="0"/>
    <x v="0"/>
    <s v="Card Details Not Displayed"/>
    <x v="0"/>
    <n v="110.88"/>
    <n v="0.47"/>
    <n v="0"/>
    <s v="Transaction Failure"/>
    <s v="Unknown"/>
    <s v="Transaction Failure"/>
    <s v="Resolved"/>
    <n v="11"/>
    <s v="No drop-off"/>
    <n v="3"/>
    <n v="-23"/>
    <n v="49"/>
    <x v="0"/>
    <n v="1"/>
    <n v="1"/>
    <n v="1"/>
    <n v="0"/>
  </r>
  <r>
    <s v="NSF-001213"/>
    <s v="USR-00055"/>
    <s v="SES-2602-22305"/>
    <d v="2026-02-27T00:00:00"/>
    <s v="London"/>
    <s v="Croydon"/>
    <x v="7"/>
    <s v="35-44"/>
    <s v="Prefer Not To Say"/>
    <s v="Ios"/>
    <s v="Iphone"/>
    <s v="&lt;3 months"/>
    <s v="Free"/>
    <s v="Organic Search"/>
    <x v="0"/>
    <s v="Repeat Use"/>
    <s v="No Experiment"/>
    <s v="Control"/>
    <n v="7"/>
    <n v="7"/>
    <n v="154"/>
    <s v="No"/>
    <x v="0"/>
    <x v="1"/>
    <s v="No Error"/>
    <x v="0"/>
    <n v="0"/>
    <n v="0"/>
    <n v="0"/>
    <s v="Card Issue"/>
    <s v="Yes"/>
    <s v="Card Issue"/>
    <s v="Resolved"/>
    <n v="33"/>
    <s v="No drop-off"/>
    <n v="0"/>
    <n v="0"/>
    <n v="40"/>
    <x v="1"/>
    <n v="1"/>
    <n v="1"/>
    <n v="0"/>
    <n v="1"/>
  </r>
  <r>
    <s v="NSF-001139"/>
    <s v="USR-00442"/>
    <s v="SES-2601-88155"/>
    <d v="2026-01-11T00:00:00"/>
    <s v="Yorkshire &amp; Humber"/>
    <s v="Sheffield"/>
    <x v="3"/>
    <s v="18-24"/>
    <s v="Female"/>
    <s v="Android"/>
    <s v="Android Phone"/>
    <s v="7-12 months"/>
    <s v="Free"/>
    <s v="Paid Search"/>
    <x v="7"/>
    <s v="First Use"/>
    <s v="No Experiment"/>
    <s v="Control"/>
    <n v="4"/>
    <n v="4"/>
    <n v="104"/>
    <s v="No"/>
    <x v="0"/>
    <x v="1"/>
    <s v="No Error"/>
    <x v="0"/>
    <n v="37.19"/>
    <n v="0.49"/>
    <n v="0"/>
    <s v="No Support Contact"/>
    <s v="No"/>
    <s v="No Support Contact"/>
    <s v="Not Applicable"/>
    <m/>
    <s v="No drop-off"/>
    <n v="5"/>
    <n v="26"/>
    <n v="0"/>
    <x v="0"/>
    <n v="1"/>
    <n v="1"/>
    <n v="0"/>
    <n v="0"/>
  </r>
  <r>
    <s v="NSF-000667"/>
    <s v="USR-00049"/>
    <s v="SES-2508-46112"/>
    <d v="2025-08-30T00:00:00"/>
    <s v="East England"/>
    <s v="Norwich"/>
    <x v="0"/>
    <s v="25-34"/>
    <s v="Male"/>
    <s v="Web"/>
    <s v="Mobile Browser"/>
    <s v="7-12 months"/>
    <s v="Plus"/>
    <s v="App Store"/>
    <x v="4"/>
    <s v="Repeat Use"/>
    <s v="Simplified Onboarding"/>
    <s v="Treatment"/>
    <n v="6"/>
    <n v="6"/>
    <n v="123"/>
    <s v="No"/>
    <x v="1"/>
    <x v="1"/>
    <s v="No Error"/>
    <x v="0"/>
    <n v="0"/>
    <n v="0"/>
    <n v="0.17"/>
    <s v="Feature Navigation"/>
    <s v="Yes"/>
    <s v="Feature Navigation"/>
    <s v="Resolved"/>
    <n v="18"/>
    <s v="No drop-off"/>
    <n v="3"/>
    <n v="0"/>
    <n v="11"/>
    <x v="1"/>
    <n v="0"/>
    <n v="1"/>
    <n v="0"/>
    <n v="1"/>
  </r>
  <r>
    <s v="NSF-000981"/>
    <s v="USR-00160"/>
    <s v="SES-2511-21441"/>
    <d v="2025-11-04T00:00:00"/>
    <s v="North West"/>
    <s v="Liverpool"/>
    <x v="0"/>
    <s v="45-54"/>
    <s v="Male"/>
    <s v="Ios"/>
    <s v="Iphone"/>
    <s v="1-2 years"/>
    <s v="Free"/>
    <s v="Paid Social"/>
    <x v="0"/>
    <s v="Repeat Use"/>
    <s v="Simplified Onboarding"/>
    <s v="Control"/>
    <n v="7"/>
    <n v="4"/>
    <n v="352"/>
    <s v="Yes"/>
    <x v="1"/>
    <x v="1"/>
    <s v="No Error"/>
    <x v="0"/>
    <n v="0"/>
    <n v="0"/>
    <n v="0"/>
    <s v="No Support Contact"/>
    <s v="No"/>
    <s v="No Support Contact"/>
    <s v="Not Applicable"/>
    <m/>
    <s v="Unexpected fee"/>
    <n v="4"/>
    <n v="-32"/>
    <n v="21"/>
    <x v="0"/>
    <n v="0"/>
    <n v="1"/>
    <n v="0"/>
    <n v="0"/>
  </r>
  <r>
    <s v="NSF-000249"/>
    <s v="usr-00064"/>
    <s v="SES-2503-14068"/>
    <d v="2025-03-01T00:00:00"/>
    <s v="North West"/>
    <s v="Chester"/>
    <x v="4"/>
    <s v="25-34"/>
    <s v="Female"/>
    <s v="Ios"/>
    <s v="Iphone"/>
    <s v="1-2 years"/>
    <s v="Plus"/>
    <s v="App Store"/>
    <x v="9"/>
    <s v="Repeat Use"/>
    <s v="No Experiment"/>
    <s v="Control"/>
    <n v="5"/>
    <n v="3"/>
    <n v="210"/>
    <s v="Yes"/>
    <x v="0"/>
    <x v="1"/>
    <s v="No Error"/>
    <x v="0"/>
    <n v="133.18"/>
    <n v="0"/>
    <n v="0.17"/>
    <s v="No Support Contact"/>
    <s v="No"/>
    <s v="No Support Contact"/>
    <s v="Not Applicable"/>
    <m/>
    <s v="No drop-off"/>
    <n v="4"/>
    <n v="-9"/>
    <n v="67"/>
    <x v="0"/>
    <n v="1"/>
    <n v="1"/>
    <n v="0"/>
    <n v="0"/>
  </r>
  <r>
    <s v="NSF-000009"/>
    <s v="USR-00413"/>
    <s v="SES-2501-29929"/>
    <d v="2025-01-14T00:00:00"/>
    <s v="South West"/>
    <s v="Plymouth"/>
    <x v="0"/>
    <s v="25-34"/>
    <s v="Female"/>
    <s v="Android"/>
    <s v="Android Phone"/>
    <s v="2+ years"/>
    <s v="Plus"/>
    <s v="Organic Search"/>
    <x v="7"/>
    <s v="Repeat Use"/>
    <s v="No Experiment"/>
    <s v="Control"/>
    <s v="4 steps"/>
    <n v="4"/>
    <n v="86"/>
    <s v="No"/>
    <x v="0"/>
    <x v="1"/>
    <s v="No Error"/>
    <x v="0"/>
    <n v="69.73"/>
    <n v="0.44"/>
    <n v="0.17"/>
    <s v="No Support Contact"/>
    <s v="No"/>
    <s v="No Support Contact"/>
    <s v="Not Applicable"/>
    <m/>
    <s v="No drop-off"/>
    <n v="4"/>
    <n v="11"/>
    <s v="13 days"/>
    <x v="1"/>
    <n v="1"/>
    <n v="1"/>
    <n v="0"/>
    <n v="1"/>
  </r>
  <r>
    <s v="NSF-001064"/>
    <s v="USR-00621"/>
    <s v="SES-2512-86156"/>
    <d v="2025-12-20T00:00:00"/>
    <s v="South West"/>
    <s v="Bristol"/>
    <x v="3"/>
    <s v="18-24"/>
    <s v="Female"/>
    <s v="Ios"/>
    <s v="Iphone"/>
    <s v="3-6 months"/>
    <s v="Free"/>
    <s v="Direct"/>
    <x v="5"/>
    <s v="First Use"/>
    <s v="No Experiment"/>
    <s v="Control"/>
    <n v="8"/>
    <n v="8"/>
    <n v="168"/>
    <s v="No"/>
    <x v="1"/>
    <x v="1"/>
    <s v="No Error"/>
    <x v="0"/>
    <n v="303.89"/>
    <n v="2.35"/>
    <n v="0"/>
    <s v="No Support Contact"/>
    <s v="No"/>
    <s v="No Support Contact"/>
    <s v="Not Applicable"/>
    <m/>
    <s v="No drop-off"/>
    <n v="4"/>
    <n v="-3"/>
    <n v="0"/>
    <x v="0"/>
    <n v="0"/>
    <n v="1"/>
    <n v="0"/>
    <n v="0"/>
  </r>
  <r>
    <s v="NSF-000611"/>
    <s v="USR-00305"/>
    <s v="SES-2507-44453"/>
    <d v="2025-07-21T00:00:00"/>
    <s v="Scotland"/>
    <s v="Dundee"/>
    <x v="2"/>
    <s v="55-64"/>
    <s v="Male"/>
    <s v="Ios"/>
    <s v="Iphone"/>
    <s v="2+ years"/>
    <s v="Free"/>
    <s v="Paid Search"/>
    <x v="0"/>
    <s v="Reactivated"/>
    <s v="Progress Indicator"/>
    <s v="Treatment"/>
    <n v="7"/>
    <n v="7"/>
    <n v="244"/>
    <s v="No"/>
    <x v="0"/>
    <x v="0"/>
    <s v="Too Many Steps"/>
    <x v="0"/>
    <n v="0"/>
    <n v="0"/>
    <n v="0"/>
    <s v="No Support Contact"/>
    <s v="No"/>
    <s v="No Support Contact"/>
    <s v="Not Applicable"/>
    <m/>
    <s v="No drop-off"/>
    <n v="4"/>
    <n v="-31"/>
    <n v="33"/>
    <x v="1"/>
    <n v="1"/>
    <n v="1"/>
    <n v="1"/>
    <n v="1"/>
  </r>
  <r>
    <s v="NSF-000248"/>
    <s v="USR-00304"/>
    <s v="SES-2503-62319"/>
    <d v="2025-03-17T00:00:00"/>
    <s v="Yorkshire &amp; Humber"/>
    <s v="York"/>
    <x v="0"/>
    <s v="18-24"/>
    <s v="Female"/>
    <s v="Ios"/>
    <s v="Iphone"/>
    <s v="2+ years"/>
    <s v="Plus"/>
    <s v="Affiliate"/>
    <x v="8"/>
    <s v="Repeat Use"/>
    <s v="Simplified Onboarding"/>
    <s v="Treatment"/>
    <n v="5"/>
    <n v="4"/>
    <n v="239"/>
    <s v="Yes"/>
    <x v="0"/>
    <x v="1"/>
    <s v="No Error"/>
    <x v="0"/>
    <n v="0"/>
    <n v="0"/>
    <n v="0.17"/>
    <s v="Transaction Failure"/>
    <s v="Yes"/>
    <s v="Transaction Failure"/>
    <s v="Resolved"/>
    <n v="31"/>
    <s v="No drop-off"/>
    <n v="3"/>
    <n v="67"/>
    <n v="49"/>
    <x v="0"/>
    <n v="1"/>
    <n v="1"/>
    <n v="0"/>
    <n v="0"/>
  </r>
  <r>
    <s v="NSF-001070"/>
    <s v="USR-00021"/>
    <s v="SES-2512-81479"/>
    <d v="2025-12-20T00:00:00"/>
    <s v="Yorkshire &amp; Humber"/>
    <s v="Leeds"/>
    <x v="2"/>
    <s v="35-44"/>
    <s v="Male"/>
    <s v="Ios"/>
    <s v="Iphone"/>
    <s v="7-12 months"/>
    <s v="Free"/>
    <s v="Paid Search"/>
    <x v="7"/>
    <s v="Trial/Exploration"/>
    <s v="No Experiment"/>
    <s v="Control"/>
    <n v="4"/>
    <n v="4"/>
    <n v="86"/>
    <s v="No"/>
    <x v="0"/>
    <x v="1"/>
    <s v="No Error"/>
    <x v="0"/>
    <n v="68.91"/>
    <n v="0.46"/>
    <n v="0"/>
    <s v="No Support Contact"/>
    <s v="No"/>
    <s v="No Support Contact"/>
    <s v="Not Applicable"/>
    <m/>
    <s v="No drop-off"/>
    <n v="3"/>
    <n v="73"/>
    <n v="29"/>
    <x v="1"/>
    <n v="1"/>
    <n v="1"/>
    <n v="0"/>
    <n v="1"/>
  </r>
  <r>
    <s v="NSF-001034"/>
    <s v="USR-00243"/>
    <s v="SES-2512-25603"/>
    <d v="2025-12-01T00:00:00"/>
    <s v="Scotland"/>
    <s v="Dundee"/>
    <x v="5"/>
    <s v="25-34"/>
    <s v="Male"/>
    <s v="Web"/>
    <s v="Mobile Browser"/>
    <s v="3-6 months"/>
    <s v="Free"/>
    <s v="Paid Social"/>
    <x v="5"/>
    <s v="Repeat Use"/>
    <s v="No Experiment"/>
    <s v="Control"/>
    <n v="8"/>
    <n v="8"/>
    <n v="261"/>
    <s v="No"/>
    <x v="1"/>
    <x v="0"/>
    <s v="Recipient Details Rejected"/>
    <x v="1"/>
    <n v="0"/>
    <n v="0"/>
    <n v="0"/>
    <s v="Transaction Failure"/>
    <s v="Yes"/>
    <s v="Transaction Failure"/>
    <s v="Resolved"/>
    <n v="27"/>
    <s v="Technical error"/>
    <n v="3"/>
    <n v="-39"/>
    <n v="11"/>
    <x v="0"/>
    <n v="0"/>
    <n v="0"/>
    <n v="1"/>
    <n v="0"/>
  </r>
  <r>
    <s v="NSF-000354"/>
    <s v="USR-00827"/>
    <s v="SES-2504-28155"/>
    <d v="2025-04-13T00:00:00"/>
    <s v="South West"/>
    <s v="Bath"/>
    <x v="3"/>
    <s v="25-34"/>
    <s v="Female"/>
    <s v="Ios"/>
    <s v="Iphone"/>
    <s v="1-2 years"/>
    <s v="Free"/>
    <s v="Employer Partnership"/>
    <x v="2"/>
    <s v="First Use"/>
    <s v="Simplified Onboarding"/>
    <s v="Control"/>
    <s v="5 steps"/>
    <n v="5"/>
    <n v="101"/>
    <s v="No"/>
    <x v="1"/>
    <x v="1"/>
    <s v="No Error"/>
    <x v="0"/>
    <n v="63.33"/>
    <n v="0"/>
    <n v="0"/>
    <s v="No Support Contact"/>
    <s v="No"/>
    <s v="No Support Contact"/>
    <s v="Not Applicable"/>
    <m/>
    <s v="Instructions unclear"/>
    <n v="4"/>
    <n v="2"/>
    <n v="0"/>
    <x v="1"/>
    <n v="0"/>
    <n v="1"/>
    <n v="0"/>
    <n v="1"/>
  </r>
  <r>
    <s v="NSF-000255"/>
    <s v="USR-00281"/>
    <s v="SES-2503-49973"/>
    <d v="2025-03-23T00:00:00"/>
    <s v="North East"/>
    <s v="Middlesbrough"/>
    <x v="3"/>
    <s v="25-34"/>
    <s v="Female"/>
    <s v="Android"/>
    <s v="Android Phone"/>
    <s v="7-12 months"/>
    <s v="Premium"/>
    <s v="Paid Social"/>
    <x v="7"/>
    <s v="First Use"/>
    <s v="Progress Indicator"/>
    <s v="Control"/>
    <n v="4"/>
    <n v="4"/>
    <n v="73"/>
    <s v="No"/>
    <x v="0"/>
    <x v="1"/>
    <s v="No Error"/>
    <x v="0"/>
    <n v="17.29"/>
    <n v="0.49"/>
    <n v="0.37"/>
    <s v="No Support Contact"/>
    <s v="No"/>
    <s v="No Support Contact"/>
    <s v="Not Applicable"/>
    <m/>
    <s v="No drop-off"/>
    <n v="4"/>
    <n v="9"/>
    <n v="0"/>
    <x v="1"/>
    <n v="1"/>
    <n v="1"/>
    <n v="0"/>
    <n v="1"/>
  </r>
  <r>
    <s v="NSF-001328"/>
    <s v="USR-00412"/>
    <s v="SES-2604-41935"/>
    <d v="2026-04-27T00:00:00"/>
    <s v="South West"/>
    <s v="Bristol"/>
    <x v="5"/>
    <s v="18-24"/>
    <s v="Non-Binary"/>
    <s v="Android"/>
    <s v="Android Phone"/>
    <s v="1-2 years"/>
    <s v="Free"/>
    <s v="Paid Search"/>
    <x v="0"/>
    <s v="Trial/Exploration"/>
    <s v="Progress Indicator"/>
    <s v="Treatment"/>
    <n v="7"/>
    <n v="7"/>
    <n v="181"/>
    <s v="No"/>
    <x v="1"/>
    <x v="1"/>
    <s v="No Error"/>
    <x v="0"/>
    <n v="75.069999999999993"/>
    <n v="0"/>
    <n v="0"/>
    <s v="No Support Contact"/>
    <s v="No"/>
    <s v="No Support Contact"/>
    <s v="Not Applicable"/>
    <m/>
    <s v="Instructions unclear"/>
    <n v="3"/>
    <n v="-12"/>
    <n v="45"/>
    <x v="0"/>
    <n v="0"/>
    <n v="1"/>
    <n v="0"/>
    <n v="0"/>
  </r>
  <r>
    <s v="NSF-000017"/>
    <s v="USR-00578"/>
    <s v="SES-2501-46972"/>
    <d v="2025-05-01T00:00:00"/>
    <s v="London"/>
    <s v="Camden"/>
    <x v="7"/>
    <s v="35-44"/>
    <s v="Male"/>
    <s v="Web"/>
    <s v="Mobile Browser"/>
    <s v="&lt;3 months"/>
    <s v="Plus"/>
    <s v="Organic Search"/>
    <x v="3"/>
    <s v="First Use"/>
    <s v="No Experiment"/>
    <s v="Control"/>
    <n v="6"/>
    <n v="4"/>
    <n v="304"/>
    <s v="Yes"/>
    <x v="1"/>
    <x v="1"/>
    <s v="No Error"/>
    <x v="0"/>
    <n v="26"/>
    <n v="0.1"/>
    <n v="0.17"/>
    <s v="No Support Contact"/>
    <s v="No"/>
    <s v="No Support Contact"/>
    <s v="Not Applicable"/>
    <m/>
    <s v="Too many steps"/>
    <n v="3"/>
    <n v="30"/>
    <n v="0"/>
    <x v="1"/>
    <n v="0"/>
    <n v="1"/>
    <n v="0"/>
    <n v="1"/>
  </r>
  <r>
    <s v="NSF-001303"/>
    <s v="USR-00296"/>
    <s v="SES-2604-29613"/>
    <d v="2026-04-25T00:00:00"/>
    <s v="London"/>
    <s v="Southwark"/>
    <x v="1"/>
    <s v="55-64"/>
    <s v="Female"/>
    <s v="Ios"/>
    <s v="Iphone"/>
    <s v="1-2 years"/>
    <s v="Free"/>
    <s v="Employer Partnership"/>
    <x v="4"/>
    <s v="Repeat Use"/>
    <s v="New Cta Copy"/>
    <s v="Control"/>
    <n v="6"/>
    <n v="6"/>
    <n v="207"/>
    <s v="No"/>
    <x v="0"/>
    <x v="0"/>
    <s v="Data Refresh Delayed"/>
    <x v="0"/>
    <n v="13.73"/>
    <n v="0"/>
    <n v="0"/>
    <s v="Feature Navigation"/>
    <s v="Yes"/>
    <s v="Feature Navigation"/>
    <s v="Resolved"/>
    <n v="21"/>
    <s v="No drop-off"/>
    <n v="3"/>
    <n v="-73"/>
    <n v="34"/>
    <x v="0"/>
    <n v="1"/>
    <n v="1"/>
    <n v="1"/>
    <n v="0"/>
  </r>
  <r>
    <s v="NSF-001284"/>
    <s v="USR-00531"/>
    <s v="SES-2603-20195"/>
    <d v="2026-03-05T00:00:00"/>
    <s v="North East"/>
    <s v="Durham"/>
    <x v="0"/>
    <s v="45-54"/>
    <s v="Female"/>
    <s v="Android"/>
    <s v="Android Phone"/>
    <s v="&lt;3 months"/>
    <s v="Free"/>
    <s v="Organic Search"/>
    <x v="9"/>
    <s v="Repeat Use"/>
    <s v="No Experiment"/>
    <s v="Control"/>
    <n v="5"/>
    <n v="5"/>
    <n v="155"/>
    <s v="No"/>
    <x v="0"/>
    <x v="1"/>
    <s v="No Error"/>
    <x v="0"/>
    <n v="24.79"/>
    <n v="0"/>
    <n v="0"/>
    <s v="No Support Contact"/>
    <s v="No"/>
    <s v="No Support Contact"/>
    <s v="Not Applicable"/>
    <m/>
    <s v="No drop-off"/>
    <n v="4"/>
    <n v="60"/>
    <n v="17"/>
    <x v="1"/>
    <n v="1"/>
    <n v="1"/>
    <n v="0"/>
    <n v="1"/>
  </r>
  <r>
    <s v="NSF-000616"/>
    <s v="USR-00100"/>
    <s v="SES-2507-11873"/>
    <d v="2025-07-17T00:00:00"/>
    <s v="Yorkshire &amp; Humber"/>
    <s v="York"/>
    <x v="3"/>
    <s v="45-54"/>
    <s v="Male"/>
    <s v="Web"/>
    <s v="Desktop"/>
    <s v="2+ years"/>
    <s v="Free"/>
    <s v="Affiliate"/>
    <x v="9"/>
    <s v="Trial/Exploration"/>
    <s v="Fee Transparency Panel"/>
    <s v="Treatment"/>
    <n v="5"/>
    <n v="5"/>
    <n v="143"/>
    <s v="No"/>
    <x v="0"/>
    <x v="1"/>
    <s v="No Error"/>
    <x v="0"/>
    <n v="1.69"/>
    <n v="0"/>
    <n v="0"/>
    <s v="No Support Contact"/>
    <s v="No"/>
    <s v="No Support Contact"/>
    <s v="Not Applicable"/>
    <m/>
    <s v="No drop-off"/>
    <n v="4"/>
    <n v="38"/>
    <n v="26"/>
    <x v="1"/>
    <n v="1"/>
    <n v="1"/>
    <n v="0"/>
    <n v="1"/>
  </r>
  <r>
    <s v="NSF-001267"/>
    <s v="USR-00600"/>
    <s v="SES-2603-24723"/>
    <d v="2026-03-14T00:00:00"/>
    <s v="North East"/>
    <s v="Sunderland"/>
    <x v="5"/>
    <s v="45-54"/>
    <s v="Female"/>
    <s v="Android"/>
    <s v="Android Phone"/>
    <s v="&lt;3 months"/>
    <s v="Plus"/>
    <s v="Direct"/>
    <x v="4"/>
    <s v="Reactivated"/>
    <s v="New Cta Copy"/>
    <s v="Treatment"/>
    <n v="6"/>
    <n v="4"/>
    <n v="195"/>
    <s v="Yes"/>
    <x v="1"/>
    <x v="1"/>
    <s v="No Error"/>
    <x v="0"/>
    <n v="37.979999999999997"/>
    <n v="0"/>
    <n v="0.17"/>
    <s v="No Support Contact"/>
    <s v="No"/>
    <s v="No Support Contact"/>
    <s v="Not Applicable"/>
    <m/>
    <s v="Instructions unclear"/>
    <n v="3"/>
    <n v="12"/>
    <n v="22"/>
    <x v="0"/>
    <n v="0"/>
    <n v="1"/>
    <n v="0"/>
    <n v="0"/>
  </r>
  <r>
    <s v="NSF-001256"/>
    <s v="USR-00011"/>
    <s v="SES-2603-80514"/>
    <d v="2026-03-30T00:00:00"/>
    <s v="North East"/>
    <s v="Middlesbrough"/>
    <x v="2"/>
    <s v="25-34"/>
    <s v="Male"/>
    <s v="Ios"/>
    <s v="Iphone"/>
    <s v="2+ years"/>
    <s v="Plus"/>
    <s v="App Store"/>
    <x v="5"/>
    <s v="Reactivated"/>
    <s v="Progress Indicator"/>
    <s v="Treatment"/>
    <n v="8"/>
    <n v="8"/>
    <n v="201"/>
    <s v="No"/>
    <x v="0"/>
    <x v="0"/>
    <s v="Fx Rate Confusion"/>
    <x v="1"/>
    <n v="0"/>
    <n v="0"/>
    <n v="0"/>
    <s v="Feature Navigation"/>
    <s v="Yes"/>
    <s v="Feature Navigation"/>
    <s v="Unresolved"/>
    <n v="33"/>
    <s v="No drop-off"/>
    <n v="1"/>
    <n v="-3"/>
    <n v="38"/>
    <x v="1"/>
    <n v="1"/>
    <n v="0"/>
    <n v="1"/>
    <n v="1"/>
  </r>
  <r>
    <s v="NSF-000705"/>
    <s v="USR-00172"/>
    <s v="SES-2508-10620"/>
    <d v="2025-08-14T00:00:00"/>
    <s v="Yorkshire &amp; Humber"/>
    <s v="Sheffield"/>
    <x v="5"/>
    <s v="25-34"/>
    <s v="Male"/>
    <s v="Ios"/>
    <s v="Iphone"/>
    <s v="1-2 years"/>
    <s v="Free"/>
    <s v="App Store"/>
    <x v="2"/>
    <s v="First Use"/>
    <s v="New Cta Copy"/>
    <s v="Treatment"/>
    <n v="5"/>
    <n v="5"/>
    <n v="104"/>
    <s v="No"/>
    <x v="0"/>
    <x v="1"/>
    <s v="No Error"/>
    <x v="1"/>
    <n v="0"/>
    <n v="0"/>
    <n v="0"/>
    <s v="No Support Contact"/>
    <s v="No"/>
    <s v="No Support Contact"/>
    <s v="Not Applicable"/>
    <m/>
    <s v="No drop-off"/>
    <n v="4"/>
    <n v="37"/>
    <n v="0"/>
    <x v="1"/>
    <n v="1"/>
    <n v="0"/>
    <n v="0"/>
    <n v="1"/>
  </r>
  <r>
    <s v="NSF-000178"/>
    <s v="USR-00165"/>
    <s v="SES-2502-60448"/>
    <d v="2025-02-13T00:00:00"/>
    <s v="East Midlands"/>
    <s v="Lincoln"/>
    <x v="0"/>
    <s v="25-34"/>
    <s v="Female"/>
    <s v="Ios"/>
    <s v="Iphone"/>
    <s v="1-2 years"/>
    <s v="Free"/>
    <s v="App Store"/>
    <x v="0"/>
    <s v="Repeat Use"/>
    <s v="No Experiment"/>
    <s v="Control"/>
    <s v="7 steps"/>
    <n v="7"/>
    <n v="271"/>
    <s v="No"/>
    <x v="1"/>
    <x v="0"/>
    <s v="Too Many Steps"/>
    <x v="1"/>
    <n v="0"/>
    <n v="0"/>
    <n v="0"/>
    <s v="No Support Contact"/>
    <s v="No"/>
    <s v="No Support Contact"/>
    <s v="Not Applicable"/>
    <m/>
    <s v="Technical error"/>
    <n v="3"/>
    <n v="19"/>
    <n v="16"/>
    <x v="0"/>
    <n v="0"/>
    <n v="0"/>
    <n v="1"/>
    <n v="0"/>
  </r>
  <r>
    <s v="NSF-000215"/>
    <s v="USR-00284"/>
    <s v="SES-2503-12680"/>
    <d v="2025-03-02T00:00:00"/>
    <s v="East England"/>
    <s v="Luton"/>
    <x v="4"/>
    <s v="45-54"/>
    <s v="Female"/>
    <s v="Ios"/>
    <s v="Iphone"/>
    <s v="2+ years"/>
    <s v="Free"/>
    <s v="Unknown"/>
    <x v="5"/>
    <s v="First Use"/>
    <s v="Simplified Onboarding"/>
    <s v="Treatment"/>
    <n v="8"/>
    <n v="8"/>
    <n v="156"/>
    <s v="No"/>
    <x v="0"/>
    <x v="1"/>
    <s v="No Error"/>
    <x v="0"/>
    <n v="426.51"/>
    <n v="2.64"/>
    <n v="0"/>
    <s v="No Support Contact"/>
    <s v="No"/>
    <s v="No Support Contact"/>
    <s v="Not Applicable"/>
    <m/>
    <s v="No drop-off"/>
    <n v="4"/>
    <n v="-18"/>
    <n v="0"/>
    <x v="0"/>
    <n v="1"/>
    <n v="1"/>
    <n v="0"/>
    <n v="0"/>
  </r>
  <r>
    <s v="NSF-001483"/>
    <s v="USR-00354"/>
    <s v="SES-2502-11617"/>
    <d v="2025-02-24T00:00:00"/>
    <s v="East Midlands"/>
    <s v="LINCOLN"/>
    <x v="5"/>
    <s v="45-54"/>
    <s v="Female"/>
    <s v="Ios"/>
    <s v="Iphone"/>
    <s v="1-2 years"/>
    <s v="Free"/>
    <s v="Employer Partnership"/>
    <x v="2"/>
    <s v="First Use"/>
    <s v="No Experiment"/>
    <s v="Control"/>
    <n v="5"/>
    <n v="5"/>
    <n v="137"/>
    <s v="No"/>
    <x v="1"/>
    <x v="1"/>
    <s v="No Error"/>
    <x v="1"/>
    <n v="0"/>
    <n v="0"/>
    <n v="0"/>
    <s v="No Support Contact"/>
    <s v="No"/>
    <s v="No Support Contact"/>
    <s v="Not Applicable"/>
    <m/>
    <s v="No drop-off"/>
    <n v="4"/>
    <n v="46"/>
    <n v="0"/>
    <x v="0"/>
    <n v="0"/>
    <n v="0"/>
    <n v="0"/>
    <n v="0"/>
  </r>
  <r>
    <s v="NSF-000575"/>
    <s v="USR-00458"/>
    <s v="SES-2507-18784"/>
    <d v="2025-07-21T00:00:00"/>
    <s v="Wales"/>
    <s v="Wrexham"/>
    <x v="2"/>
    <s v="18-24"/>
    <s v="Male"/>
    <s v="Web"/>
    <s v="Desktop"/>
    <s v="3-6 months"/>
    <s v="Free"/>
    <s v="Organic Search"/>
    <x v="1"/>
    <s v="Reactivated"/>
    <s v="No Experiment"/>
    <s v="Control"/>
    <n v="4"/>
    <n v="4"/>
    <n v="73"/>
    <s v="No"/>
    <x v="0"/>
    <x v="1"/>
    <s v="No Error"/>
    <x v="0"/>
    <n v="130.63999999999999"/>
    <n v="0.19"/>
    <n v="0"/>
    <s v="No Support Contact"/>
    <s v="No"/>
    <s v="No Support Contact"/>
    <s v="Not Applicable"/>
    <m/>
    <s v="No drop-off"/>
    <n v="3"/>
    <n v="49"/>
    <n v="42"/>
    <x v="1"/>
    <n v="1"/>
    <n v="1"/>
    <n v="0"/>
    <n v="1"/>
  </r>
  <r>
    <s v="NSF-000224"/>
    <s v="USR-00708"/>
    <s v="SES-2503-13878"/>
    <d v="2025-03-20T00:00:00"/>
    <s v="North East"/>
    <s v="Durham"/>
    <x v="5"/>
    <s v="45-54"/>
    <s v="Male"/>
    <s v="Ios"/>
    <s v="Iphone"/>
    <s v="7-12 months"/>
    <s v="Free"/>
    <s v="Organic Search"/>
    <x v="3"/>
    <s v="Reactivated"/>
    <s v="New Cta Copy"/>
    <s v="Control"/>
    <n v="6"/>
    <n v="6"/>
    <n v="173"/>
    <s v="No"/>
    <x v="0"/>
    <x v="1"/>
    <s v="No Error"/>
    <x v="0"/>
    <n v="40.18"/>
    <n v="0.09"/>
    <n v="0"/>
    <s v="No Support Contact"/>
    <s v="No"/>
    <s v="No Support Contact"/>
    <s v="N/A"/>
    <m/>
    <s v="No drop-off"/>
    <n v="4"/>
    <n v="59"/>
    <n v="24"/>
    <x v="1"/>
    <n v="1"/>
    <n v="1"/>
    <n v="0"/>
    <n v="1"/>
  </r>
  <r>
    <s v="NSF-000233"/>
    <s v="USR-00475"/>
    <s v="SES-2503-52612"/>
    <d v="2025-03-07T00:00:00"/>
    <s v="Scotland"/>
    <s v="Aberdeen"/>
    <x v="2"/>
    <s v="25-34"/>
    <s v="Female"/>
    <s v="Ios"/>
    <s v="Iphone"/>
    <s v="1-2 years"/>
    <s v="Plus"/>
    <s v="Paid Search"/>
    <x v="2"/>
    <s v="First Use"/>
    <s v="No Experiment"/>
    <s v="Control"/>
    <n v="5"/>
    <n v="5"/>
    <n v="108"/>
    <s v="No"/>
    <x v="0"/>
    <x v="1"/>
    <s v="No Error"/>
    <x v="1"/>
    <n v="0"/>
    <n v="0"/>
    <n v="0"/>
    <s v="No Support Contact"/>
    <s v="No"/>
    <s v="No Support Contact"/>
    <s v="Not Applicable"/>
    <m/>
    <s v="No drop-off"/>
    <n v="5"/>
    <n v="15"/>
    <n v="0"/>
    <x v="1"/>
    <n v="1"/>
    <n v="0"/>
    <n v="0"/>
    <n v="1"/>
  </r>
  <r>
    <s v="NSF-001334"/>
    <s v="USR-00823"/>
    <s v="SES-2604-67227"/>
    <d v="2026-04-18T00:00:00"/>
    <s v="East England"/>
    <s v="Norwich"/>
    <x v="5"/>
    <s v="18-24"/>
    <s v="Female"/>
    <s v="Ios"/>
    <s v="Iphone"/>
    <s v="&lt;3 months"/>
    <s v="Free"/>
    <s v="Referral"/>
    <x v="10"/>
    <s v="Reactivated"/>
    <s v="Simplified Onboarding"/>
    <s v="Treatment"/>
    <n v="9"/>
    <n v="9"/>
    <n v="243"/>
    <s v="No"/>
    <x v="0"/>
    <x v="1"/>
    <s v="No Error"/>
    <x v="0"/>
    <n v="165.03"/>
    <n v="3.14"/>
    <n v="0"/>
    <s v="No Support Contact"/>
    <s v="No"/>
    <s v="No Support Contact"/>
    <s v="Not Applicable"/>
    <m/>
    <s v="No drop-off"/>
    <n v="4"/>
    <n v="5"/>
    <n v="40"/>
    <x v="1"/>
    <n v="1"/>
    <n v="1"/>
    <n v="0"/>
    <n v="1"/>
  </r>
  <r>
    <s v="NSF-001428"/>
    <s v="USR-00586"/>
    <s v="SES-2606-78286"/>
    <d v="2026-06-09T00:00:00"/>
    <s v="Wales"/>
    <s v="Newport"/>
    <x v="7"/>
    <s v="55-64"/>
    <s v="Female"/>
    <s v="Ios"/>
    <s v="Iphone"/>
    <s v="1-2 years"/>
    <s v="Plus"/>
    <s v="Paid Search"/>
    <x v="7"/>
    <s v="Repeat Use"/>
    <s v="No Experiment"/>
    <s v="Control"/>
    <n v="4"/>
    <n v="4"/>
    <n v="83"/>
    <s v="No"/>
    <x v="1"/>
    <x v="1"/>
    <s v="No Error"/>
    <x v="1"/>
    <n v="0"/>
    <n v="0"/>
    <n v="0"/>
    <s v="No Support Contact"/>
    <s v="No"/>
    <s v="No Support Contact"/>
    <s v="Not Applicable"/>
    <m/>
    <s v="No drop-off"/>
    <n v="3"/>
    <n v="-13"/>
    <n v="55"/>
    <x v="0"/>
    <n v="0"/>
    <n v="0"/>
    <n v="0"/>
    <n v="0"/>
  </r>
  <r>
    <s v="NSF-000380"/>
    <s v="USR-00764"/>
    <s v="SES-2504-52856"/>
    <d v="2025-04-17T00:00:00"/>
    <s v="Scotland"/>
    <s v="Glasgow"/>
    <x v="2"/>
    <s v="35-44"/>
    <s v="Female"/>
    <s v="Android"/>
    <s v="Android Phone"/>
    <s v="&lt;3 months"/>
    <s v="Free"/>
    <s v="Paid Search"/>
    <x v="3"/>
    <s v="Repeat Use"/>
    <s v="No Experiment"/>
    <s v="Control"/>
    <n v="6"/>
    <n v="6"/>
    <n v="202"/>
    <s v="No"/>
    <x v="0"/>
    <x v="0"/>
    <s v="Split Amount Confusing"/>
    <x v="1"/>
    <n v="0"/>
    <n v="0"/>
    <n v="0"/>
    <s v="Account Verification"/>
    <s v="Yes"/>
    <s v="Account Verification"/>
    <s v="Unresolved"/>
    <n v="32"/>
    <s v="No drop-off"/>
    <n v="4"/>
    <n v="-13"/>
    <s v="8 days"/>
    <x v="1"/>
    <n v="1"/>
    <n v="0"/>
    <n v="1"/>
    <n v="1"/>
  </r>
  <r>
    <s v="NSF-000666"/>
    <s v="USR-00487"/>
    <s v="SES-2508-62248"/>
    <d v="2025-08-22T00:00:00"/>
    <s v="London"/>
    <s v="Southwark"/>
    <x v="1"/>
    <s v="55-64"/>
    <s v="Female"/>
    <s v="Ios"/>
    <s v="Iphone"/>
    <s v="1-2 years"/>
    <s v="Plus"/>
    <s v="Referral"/>
    <x v="1"/>
    <s v="Repeat Use"/>
    <s v="Simplified Onboarding"/>
    <s v="Treatment"/>
    <n v="4"/>
    <n v="4"/>
    <n v="113"/>
    <s v="No"/>
    <x v="0"/>
    <x v="1"/>
    <s v="No Error"/>
    <x v="0"/>
    <n v="212.63"/>
    <n v="0.2"/>
    <n v="0.17"/>
    <s v="No Support Contact"/>
    <s v="No"/>
    <s v="No Support Contact"/>
    <s v="Not Applicable"/>
    <m/>
    <s v="No drop-off"/>
    <n v="5"/>
    <n v="44"/>
    <n v="47"/>
    <x v="1"/>
    <n v="1"/>
    <n v="1"/>
    <n v="0"/>
    <n v="1"/>
  </r>
  <r>
    <s v="NSF-000992"/>
    <s v="USR-00030"/>
    <s v="SES-2511-24351"/>
    <d v="2025-11-12T00:00:00"/>
    <s v="East Midlands"/>
    <s v="Lincoln"/>
    <x v="3"/>
    <s v="55-64"/>
    <s v="Male"/>
    <s v="Ios"/>
    <s v="Iphone"/>
    <s v="2+ years"/>
    <s v="Free"/>
    <s v="App Store"/>
    <x v="1"/>
    <s v="Repeat Use"/>
    <s v="Fee Transparency Panel"/>
    <s v="Treatment"/>
    <n v="4"/>
    <n v="4"/>
    <n v="166"/>
    <s v="No"/>
    <x v="0"/>
    <x v="0"/>
    <s v="Recipient Validation Error"/>
    <x v="0"/>
    <n v="77.12"/>
    <n v="0.18"/>
    <n v="0"/>
    <s v="Transaction Failure"/>
    <s v="Yes"/>
    <s v="Transaction Failure"/>
    <s v="Resolved"/>
    <n v="2"/>
    <s v="No drop-off"/>
    <n v="5"/>
    <n v="-26"/>
    <n v="33"/>
    <x v="1"/>
    <n v="1"/>
    <n v="1"/>
    <n v="1"/>
    <n v="1"/>
  </r>
  <r>
    <s v="NSF-000139"/>
    <s v="USR-00851"/>
    <s v="SES-2502-57160"/>
    <d v="2025-02-06T00:00:00"/>
    <s v="East Midlands"/>
    <s v="Nottingham"/>
    <x v="0"/>
    <s v="18-24"/>
    <s v="Male"/>
    <s v="Ios"/>
    <s v="Iphone"/>
    <s v="3-6 months"/>
    <s v="Plus"/>
    <s v="Affiliate"/>
    <x v="1"/>
    <s v="Repeat Use"/>
    <s v="No Experiment"/>
    <s v="Control"/>
    <n v="4"/>
    <n v="4"/>
    <n v="106"/>
    <s v="No"/>
    <x v="0"/>
    <x v="1"/>
    <s v="No Error"/>
    <x v="0"/>
    <n v="47.13"/>
    <n v="0.21"/>
    <n v="0.17"/>
    <s v="No Support Contact"/>
    <s v="No"/>
    <s v="No Support Contact"/>
    <s v="Not Applicable"/>
    <m/>
    <s v="No drop-off"/>
    <n v="4"/>
    <n v="49"/>
    <s v="33 days"/>
    <x v="1"/>
    <n v="1"/>
    <n v="1"/>
    <n v="0"/>
    <n v="1"/>
  </r>
  <r>
    <s v="NSF-000936"/>
    <s v="USR-00366"/>
    <s v="SES-2511-40685"/>
    <d v="2025-11-10T00:00:00"/>
    <s v="North West"/>
    <s v="Manchester"/>
    <x v="3"/>
    <s v="55-64"/>
    <s v="Female"/>
    <s v="Web"/>
    <s v="Desktop"/>
    <s v="7-12 months"/>
    <s v="Free"/>
    <s v="Paid Search"/>
    <x v="2"/>
    <s v="Reactivated"/>
    <s v="No Experiment"/>
    <s v="Control"/>
    <n v="5"/>
    <n v="5"/>
    <n v="117"/>
    <s v="No"/>
    <x v="0"/>
    <x v="1"/>
    <s v="No Error"/>
    <x v="0"/>
    <n v="97.42"/>
    <n v="0"/>
    <n v="0"/>
    <s v="No Support Contact"/>
    <s v="No"/>
    <s v="No Support Contact"/>
    <s v="Not Applicable"/>
    <m/>
    <s v="No drop-off"/>
    <n v="4"/>
    <n v="20"/>
    <n v="29"/>
    <x v="1"/>
    <n v="1"/>
    <n v="1"/>
    <n v="0"/>
    <n v="1"/>
  </r>
  <r>
    <s v="NSF-000306"/>
    <s v="USR-00603"/>
    <s v="SES-2504-44500"/>
    <d v="2025-04-04T00:00:00"/>
    <s v="West Midlands"/>
    <s v="Birmingham"/>
    <x v="1"/>
    <s v="18-24"/>
    <s v="Female"/>
    <s v="Android"/>
    <s v="Android Phone"/>
    <s v="1-2 years"/>
    <s v="Free"/>
    <s v="Organic Search"/>
    <x v="9"/>
    <s v="Repeat Use"/>
    <s v="Fee Transparency Panel"/>
    <s v="Control"/>
    <n v="5"/>
    <n v="5"/>
    <n v="127"/>
    <s v="No"/>
    <x v="0"/>
    <x v="1"/>
    <s v="No Error"/>
    <x v="0"/>
    <n v="39.78"/>
    <n v="0"/>
    <n v="0"/>
    <s v="No Support Contact"/>
    <s v="No"/>
    <s v="No Support Contact"/>
    <s v="Not Applicable"/>
    <m/>
    <s v="No drop-off"/>
    <n v="4"/>
    <n v="19"/>
    <n v="24"/>
    <x v="1"/>
    <n v="1"/>
    <n v="1"/>
    <n v="0"/>
    <n v="1"/>
  </r>
  <r>
    <s v="NSF-000759"/>
    <s v="USR-00470"/>
    <s v="SES-2509-92782"/>
    <d v="2025-09-21T00:00:00"/>
    <s v="East England"/>
    <s v="Cambridge"/>
    <x v="5"/>
    <s v="18-24"/>
    <s v="Female"/>
    <s v="Web"/>
    <s v="Desktop"/>
    <s v="1-2 years"/>
    <s v="Free"/>
    <s v="Organic Search"/>
    <x v="9"/>
    <s v="Repeat Use"/>
    <s v="Progress Indicator"/>
    <s v="Treatment"/>
    <n v="5"/>
    <n v="5"/>
    <n v="122"/>
    <s v="No"/>
    <x v="0"/>
    <x v="1"/>
    <s v="No Error"/>
    <x v="0"/>
    <n v="50.55"/>
    <n v="0"/>
    <n v="0"/>
    <s v="No Support Contact"/>
    <s v="No"/>
    <s v="No Support Contact"/>
    <s v="Not Applicable"/>
    <m/>
    <s v="No drop-off"/>
    <n v="3"/>
    <n v="64"/>
    <n v="38"/>
    <x v="0"/>
    <n v="1"/>
    <n v="1"/>
    <n v="0"/>
    <n v="0"/>
  </r>
  <r>
    <s v="NSF-001324"/>
    <s v="USR-00199"/>
    <s v="SES-2604-35883"/>
    <d v="2026-04-01T00:00:00"/>
    <s v="North East"/>
    <s v="Sunderland"/>
    <x v="1"/>
    <s v="45-54"/>
    <s v="Male"/>
    <s v="Android"/>
    <s v="Android Tablet"/>
    <s v="3-6 months"/>
    <s v="Free"/>
    <s v="Organic Search"/>
    <x v="1"/>
    <s v="Trial/Exploration"/>
    <s v="No Experiment"/>
    <s v="Control"/>
    <n v="4"/>
    <n v="4"/>
    <n v="106"/>
    <s v="No"/>
    <x v="0"/>
    <x v="0"/>
    <s v="Transfer Pending"/>
    <x v="0"/>
    <n v="138.97"/>
    <n v="0.2"/>
    <n v="0"/>
    <s v="No Support Contact"/>
    <s v="No"/>
    <s v="No Support Contact"/>
    <s v="Not Applicable"/>
    <m/>
    <s v="No drop-off"/>
    <n v="4"/>
    <n v="4"/>
    <n v="45"/>
    <x v="1"/>
    <n v="1"/>
    <n v="1"/>
    <n v="1"/>
    <n v="1"/>
  </r>
  <r>
    <s v="NSF-001268"/>
    <s v="USR-00325"/>
    <s v="SES-2603-81340"/>
    <d v="2026-03-21T00:00:00"/>
    <s v="East Midlands"/>
    <s v="Derby"/>
    <x v="2"/>
    <s v="35-44"/>
    <s v="Male"/>
    <s v="Ios"/>
    <s v="Iphone"/>
    <s v="2+ years"/>
    <s v="Free"/>
    <s v="Direct"/>
    <x v="1"/>
    <s v="Trial/Exploration"/>
    <s v="Fee Transparency Panel"/>
    <s v="Treatment"/>
    <n v="4"/>
    <n v="4"/>
    <n v="79"/>
    <s v="No"/>
    <x v="0"/>
    <x v="1"/>
    <s v="No Error"/>
    <x v="0"/>
    <n v="143.65"/>
    <n v="0.2"/>
    <n v="0"/>
    <s v="No Support Contact"/>
    <s v="No"/>
    <s v="No Support Contact"/>
    <s v="Not Applicable"/>
    <m/>
    <s v="No drop-off"/>
    <n v="5"/>
    <n v="-12"/>
    <n v="29"/>
    <x v="1"/>
    <n v="1"/>
    <n v="1"/>
    <n v="0"/>
    <n v="1"/>
  </r>
  <r>
    <s v="NSF-000025"/>
    <s v="USR-00110"/>
    <s v="SES-2501-40526"/>
    <d v="2025-01-31T00:00:00"/>
    <s v="North West"/>
    <s v="Manchester"/>
    <x v="0"/>
    <s v="35-44"/>
    <s v="Male"/>
    <s v="Android"/>
    <s v="Android Phone"/>
    <s v="&lt;3 months"/>
    <s v="Premium"/>
    <s v="Paid Social"/>
    <x v="2"/>
    <s v="Repeat Use"/>
    <s v="No Experiment"/>
    <s v="Control"/>
    <n v="5"/>
    <n v="5"/>
    <n v="119"/>
    <s v="No"/>
    <x v="0"/>
    <x v="1"/>
    <s v="No Error"/>
    <x v="0"/>
    <n v="80.849999999999994"/>
    <n v="0"/>
    <n v="0.37"/>
    <s v="No Support Contact"/>
    <s v="No"/>
    <s v="No Support Contact"/>
    <s v="Not Applicable"/>
    <m/>
    <s v="No drop-off"/>
    <n v="4"/>
    <n v="31"/>
    <n v="32"/>
    <x v="1"/>
    <n v="1"/>
    <n v="1"/>
    <n v="0"/>
    <n v="1"/>
  </r>
  <r>
    <s v="NSF-001219"/>
    <s v="USR-00726"/>
    <s v="SES-2603-45995"/>
    <d v="2026-03-14T00:00:00"/>
    <s v="Northern Ireland"/>
    <s v="NEWRY"/>
    <x v="3"/>
    <s v="35-44"/>
    <s v="Female"/>
    <s v="Ios"/>
    <s v="Iphone"/>
    <s v="3-6 months"/>
    <s v="Free"/>
    <s v="Organic Search"/>
    <x v="2"/>
    <s v="Trial/Exploration"/>
    <s v="No Experiment"/>
    <s v="Control"/>
    <s v="5 steps"/>
    <n v="3"/>
    <n v="132"/>
    <s v="Yes"/>
    <x v="0"/>
    <x v="1"/>
    <s v="No Error"/>
    <x v="0"/>
    <n v="23.67"/>
    <n v="0"/>
    <n v="0"/>
    <s v="No Support Contact"/>
    <s v="No"/>
    <s v="No Support Contact"/>
    <s v="Not Applicable"/>
    <m/>
    <s v="No drop-off"/>
    <n v="3"/>
    <n v="10"/>
    <n v="34"/>
    <x v="0"/>
    <n v="1"/>
    <n v="1"/>
    <n v="0"/>
    <n v="0"/>
  </r>
  <r>
    <s v="NSF-001484"/>
    <s v="USR-00153"/>
    <s v="SES-2603-13673"/>
    <d v="2026-03-07T00:00:00"/>
    <s v="Scotland"/>
    <s v="Glasgow"/>
    <x v="2"/>
    <s v="18-24"/>
    <s v="Male"/>
    <s v="Ios"/>
    <s v="Iphone"/>
    <s v="2+ years"/>
    <s v="Free"/>
    <s v="Organic Search"/>
    <x v="8"/>
    <s v="First Use"/>
    <s v="No Experiment"/>
    <s v="Control"/>
    <n v="5"/>
    <n v="5"/>
    <n v="186"/>
    <s v="No"/>
    <x v="0"/>
    <x v="0"/>
    <s v="Merchant Eligibility Mismatch"/>
    <x v="0"/>
    <n v="47.54"/>
    <n v="0"/>
    <n v="0"/>
    <s v="No Support Contact"/>
    <s v="No"/>
    <s v="No Support Contact"/>
    <s v="Not Applicable"/>
    <m/>
    <s v="No drop-off"/>
    <n v="4"/>
    <n v="-18"/>
    <s v="0 days"/>
    <x v="1"/>
    <n v="1"/>
    <n v="1"/>
    <n v="1"/>
    <n v="1"/>
  </r>
  <r>
    <s v="NSF-000526"/>
    <s v="USR-00819"/>
    <s v="SES-2506-52847"/>
    <d v="2025-06-23T00:00:00"/>
    <s v="Scotland"/>
    <s v="Glasgow"/>
    <x v="1"/>
    <s v="25-34"/>
    <s v="Female"/>
    <s v="Ios"/>
    <s v="Iphone"/>
    <s v="2+ years"/>
    <s v="Free"/>
    <s v="Organic Search"/>
    <x v="7"/>
    <s v="Repeat Use"/>
    <s v="Simplified Onboarding"/>
    <s v="Treatment"/>
    <n v="4"/>
    <n v="4"/>
    <n v="113"/>
    <s v="No"/>
    <x v="0"/>
    <x v="1"/>
    <s v="No Error"/>
    <x v="0"/>
    <n v="20.190000000000001"/>
    <n v="0"/>
    <n v="0"/>
    <s v="No Support Contact"/>
    <s v="No"/>
    <s v="No Support Contact"/>
    <s v="Not Applicable"/>
    <m/>
    <s v="No drop-off"/>
    <n v="5"/>
    <n v="66"/>
    <n v="50"/>
    <x v="1"/>
    <n v="1"/>
    <n v="1"/>
    <n v="0"/>
    <n v="1"/>
  </r>
  <r>
    <s v="NSF-001121"/>
    <s v="USR-00229"/>
    <s v="SES-2601-58471"/>
    <d v="2026-01-28T00:00:00"/>
    <s v="Northern Ireland"/>
    <s v="Newry"/>
    <x v="2"/>
    <s v="18-24"/>
    <s v="Male"/>
    <s v="Android"/>
    <s v="Android Phone"/>
    <s v="7-12 months"/>
    <s v="Free"/>
    <s v="Referral"/>
    <x v="1"/>
    <s v="Repeat Use"/>
    <s v="Simplified Onboarding"/>
    <s v="Control"/>
    <n v="4"/>
    <n v="3"/>
    <n v="143"/>
    <s v="Yes"/>
    <x v="0"/>
    <x v="1"/>
    <s v="No Error"/>
    <x v="0"/>
    <n v="152.06"/>
    <n v="0.2"/>
    <n v="0"/>
    <s v="No Support Contact"/>
    <s v="No"/>
    <s v="No Support Contact"/>
    <s v="Not Applicable"/>
    <m/>
    <s v="No drop-off"/>
    <n v="5"/>
    <n v="3"/>
    <n v="42"/>
    <x v="1"/>
    <n v="1"/>
    <n v="1"/>
    <n v="0"/>
    <n v="1"/>
  </r>
  <r>
    <s v="NSF-000534"/>
    <s v="USR-00309"/>
    <s v="SES-2506-31196"/>
    <d v="2025-06-08T00:00:00"/>
    <s v="East Midlands"/>
    <s v="NOTTINGHAM"/>
    <x v="0"/>
    <s v="55-64"/>
    <s v="Male"/>
    <s v="Ios"/>
    <s v="Iphone"/>
    <s v="1-2 years"/>
    <s v="Free"/>
    <s v="Employer Partnership"/>
    <x v="7"/>
    <s v="First Use"/>
    <s v="No Experiment"/>
    <s v="Control"/>
    <s v="4 steps"/>
    <n v="4"/>
    <n v="83"/>
    <s v="No"/>
    <x v="0"/>
    <x v="1"/>
    <s v="No Error"/>
    <x v="0"/>
    <n v="31.09"/>
    <n v="0.45"/>
    <n v="0"/>
    <s v="No Support Contact"/>
    <s v="No"/>
    <s v="No Support Contact"/>
    <s v="Not Applicable"/>
    <m/>
    <s v="No drop-off"/>
    <n v="5"/>
    <n v="13"/>
    <n v="0"/>
    <x v="1"/>
    <n v="1"/>
    <n v="1"/>
    <n v="0"/>
    <n v="1"/>
  </r>
  <r>
    <s v="NSF-001059"/>
    <s v="USR-00428"/>
    <s v="SES-2512-13551"/>
    <d v="2025-12-10T00:00:00"/>
    <s v="East England"/>
    <s v="Ipswich"/>
    <x v="0"/>
    <s v="55-64"/>
    <s v="Male"/>
    <s v="Android"/>
    <s v="Android Phone"/>
    <s v="1-2 years"/>
    <s v="Free"/>
    <s v="Organic Search"/>
    <x v="3"/>
    <s v="Reactivated"/>
    <s v="No Experiment"/>
    <s v="Control"/>
    <n v="6"/>
    <n v="6"/>
    <n v="153"/>
    <s v="No"/>
    <x v="0"/>
    <x v="1"/>
    <s v="No Error"/>
    <x v="0"/>
    <n v="58.69"/>
    <n v="0.1"/>
    <n v="0"/>
    <s v="No Support Contact"/>
    <s v="No"/>
    <s v="No Support Contact"/>
    <s v="Not Applicable"/>
    <m/>
    <s v="No drop-off"/>
    <n v="2"/>
    <n v="39"/>
    <n v="13"/>
    <x v="1"/>
    <n v="1"/>
    <n v="1"/>
    <n v="0"/>
    <n v="1"/>
  </r>
  <r>
    <s v="NSF-000714"/>
    <s v="USR-00741"/>
    <s v="SES-2508-26331"/>
    <d v="2025-08-07T00:00:00"/>
    <s v="North West"/>
    <s v="Manchester"/>
    <x v="0"/>
    <s v="35-44"/>
    <s v="Female"/>
    <s v="Android"/>
    <s v="Android Phone"/>
    <s v="7-12 months"/>
    <s v="Plus"/>
    <s v="Paid Search"/>
    <x v="3"/>
    <s v="Reactivated"/>
    <s v="No Experiment"/>
    <s v="Control"/>
    <n v="6"/>
    <n v="6"/>
    <n v="183"/>
    <s v="No"/>
    <x v="1"/>
    <x v="0"/>
    <s v="Friend Not Found"/>
    <x v="1"/>
    <n v="0"/>
    <n v="0"/>
    <n v="0"/>
    <s v="Transaction Failure"/>
    <s v="Yes"/>
    <s v="Transaction Failure"/>
    <s v="Resolved"/>
    <n v="32"/>
    <s v="Technical error"/>
    <n v="2"/>
    <n v="-7"/>
    <n v="16"/>
    <x v="0"/>
    <n v="0"/>
    <n v="0"/>
    <n v="1"/>
    <n v="0"/>
  </r>
  <r>
    <s v="NSF-000008"/>
    <s v="USR-00400"/>
    <s v="SES-2501-44697"/>
    <d v="2025-01-18T00:00:00"/>
    <s v="North West"/>
    <s v="Preston"/>
    <x v="2"/>
    <s v="18-24"/>
    <s v="Female"/>
    <s v="Android"/>
    <s v="Android Phone"/>
    <s v="1-2 years"/>
    <s v="Free"/>
    <s v="App Store"/>
    <x v="0"/>
    <s v="Trial/Exploration"/>
    <s v="No Experiment"/>
    <s v="Control"/>
    <n v="7"/>
    <n v="7"/>
    <n v="181"/>
    <s v="No"/>
    <x v="1"/>
    <x v="1"/>
    <s v="No Error"/>
    <x v="1"/>
    <n v="0"/>
    <n v="0"/>
    <n v="0"/>
    <s v="No Support Contact"/>
    <s v="No"/>
    <s v="No Support Contact"/>
    <s v="Not Applicable"/>
    <m/>
    <s v="Verification took too long"/>
    <n v="3"/>
    <n v="27"/>
    <n v="15"/>
    <x v="0"/>
    <n v="0"/>
    <n v="0"/>
    <n v="0"/>
    <n v="0"/>
  </r>
  <r>
    <s v="NSF-000387"/>
    <s v="USR-00648"/>
    <s v="SES-2504-78418"/>
    <d v="2025-04-25T00:00:00"/>
    <s v="East England"/>
    <s v="Luton"/>
    <x v="0"/>
    <s v="35-44"/>
    <s v="Male"/>
    <s v="Web"/>
    <s v="Desktop"/>
    <s v="1-2 years"/>
    <s v="Free"/>
    <s v="Paid Search"/>
    <x v="7"/>
    <s v="Repeat Use"/>
    <s v="No Experiment"/>
    <s v="Control"/>
    <n v="4"/>
    <n v="4"/>
    <n v="107"/>
    <s v="No"/>
    <x v="0"/>
    <x v="1"/>
    <s v="No Error"/>
    <x v="0"/>
    <n v="121.33"/>
    <n v="0.45"/>
    <n v="0"/>
    <s v="No Support Contact"/>
    <s v="No"/>
    <s v="No Support Contact"/>
    <s v="Not Applicable"/>
    <m/>
    <s v="No drop-off"/>
    <n v="4"/>
    <n v="21"/>
    <n v="1"/>
    <x v="1"/>
    <n v="1"/>
    <n v="1"/>
    <n v="0"/>
    <n v="1"/>
  </r>
  <r>
    <s v="NSF-001077"/>
    <s v="USR-00712"/>
    <s v="SES-2601-11683"/>
    <d v="2026-01-18T00:00:00"/>
    <s v="Northern Ireland"/>
    <s v="Lisburn"/>
    <x v="7"/>
    <s v="25-34"/>
    <s v="Male"/>
    <s v="Web"/>
    <s v="Desktop"/>
    <s v="1-2 years"/>
    <s v="Free"/>
    <s v="App Store"/>
    <x v="10"/>
    <s v="Reactivated"/>
    <s v="No Experiment"/>
    <s v="Control"/>
    <n v="9"/>
    <n v="9"/>
    <n v="254"/>
    <s v="No"/>
    <x v="0"/>
    <x v="1"/>
    <s v="No Error"/>
    <x v="1"/>
    <n v="0"/>
    <n v="0"/>
    <n v="0"/>
    <s v="Feature Navigation"/>
    <s v="Yes"/>
    <s v="Feature Navigation"/>
    <s v="Unresolved"/>
    <n v="45"/>
    <s v="No drop-off"/>
    <n v="4"/>
    <n v="13"/>
    <n v="13"/>
    <x v="1"/>
    <n v="1"/>
    <n v="0"/>
    <n v="0"/>
    <n v="1"/>
  </r>
  <r>
    <s v="NSF-000940"/>
    <s v="USR-00302"/>
    <s v="SES-2511-57424"/>
    <d v="2025-11-18T00:00:00"/>
    <s v="West Midlands"/>
    <s v="Coventry"/>
    <x v="0"/>
    <s v="25-34"/>
    <s v="Male"/>
    <s v="Android"/>
    <s v="Android Phone"/>
    <s v="7-12 months"/>
    <s v="Free"/>
    <s v="Direct"/>
    <x v="2"/>
    <s v="Repeat Use"/>
    <s v="Fee Transparency Panel"/>
    <s v="Treatment"/>
    <n v="5"/>
    <n v="5"/>
    <n v="155"/>
    <s v="No"/>
    <x v="0"/>
    <x v="1"/>
    <s v="No Error"/>
    <x v="0"/>
    <n v="4.82"/>
    <n v="0"/>
    <n v="0"/>
    <s v="No Support Contact"/>
    <s v="No"/>
    <s v="No Support Contact"/>
    <s v="Not Applicable"/>
    <m/>
    <s v="No drop-off"/>
    <n v="5"/>
    <n v="62"/>
    <n v="1"/>
    <x v="0"/>
    <n v="1"/>
    <n v="1"/>
    <n v="0"/>
    <n v="0"/>
  </r>
  <r>
    <s v="NSF-000523"/>
    <s v="USR-00403"/>
    <s v="SES-2506-89826"/>
    <d v="2025-06-22T00:00:00"/>
    <s v="Northern Ireland"/>
    <s v="Newry"/>
    <x v="5"/>
    <s v="18-24"/>
    <s v="Female"/>
    <s v="Ios"/>
    <s v="Iphone"/>
    <s v="7-12 months"/>
    <s v="Free"/>
    <s v="Affiliate"/>
    <x v="3"/>
    <s v="Repeat Use"/>
    <s v="No Experiment"/>
    <s v="Control"/>
    <n v="6"/>
    <n v="6"/>
    <n v="167"/>
    <s v="No"/>
    <x v="0"/>
    <x v="1"/>
    <s v="No Error"/>
    <x v="0"/>
    <n v="0"/>
    <n v="0.11"/>
    <n v="0"/>
    <s v="No Support Contact"/>
    <s v="No"/>
    <s v="No Support Contact"/>
    <s v="Not Applicable"/>
    <m/>
    <s v="No drop-off"/>
    <n v="3"/>
    <n v="29"/>
    <n v="57"/>
    <x v="1"/>
    <n v="1"/>
    <n v="1"/>
    <n v="0"/>
    <n v="1"/>
  </r>
  <r>
    <s v="NSF-001223"/>
    <s v="USR-00366"/>
    <s v="SES-2603-45367"/>
    <d v="2026-03-30T00:00:00"/>
    <s v="West Midlands"/>
    <s v="Solihull"/>
    <x v="0"/>
    <s v="25-34"/>
    <s v="Male"/>
    <s v="Android"/>
    <s v="Android Phone"/>
    <s v="7-12 months"/>
    <s v="Free"/>
    <s v="Paid Social"/>
    <x v="1"/>
    <s v="First Use"/>
    <s v="No Experiment"/>
    <s v="Control"/>
    <n v="4"/>
    <n v="4"/>
    <n v="114"/>
    <s v="No"/>
    <x v="0"/>
    <x v="1"/>
    <s v="No Error"/>
    <x v="0"/>
    <n v="130.12"/>
    <n v="0.22"/>
    <n v="0"/>
    <s v="Transaction Failure"/>
    <s v="Yes"/>
    <s v="Transaction Failure"/>
    <s v="Resolved"/>
    <n v="31"/>
    <s v="No drop-off"/>
    <n v="5"/>
    <n v="25"/>
    <n v="0"/>
    <x v="1"/>
    <n v="1"/>
    <n v="1"/>
    <n v="0"/>
    <n v="1"/>
  </r>
  <r>
    <s v="NSF-000365"/>
    <s v="USR-00489"/>
    <s v="SES-2504-59950"/>
    <d v="2025-04-07T00:00:00"/>
    <s v="Northern Ireland"/>
    <s v="Derry"/>
    <x v="0"/>
    <s v="25-34"/>
    <s v="Male"/>
    <s v="Android"/>
    <s v="Android Phone"/>
    <s v="2+ years"/>
    <s v="Free"/>
    <s v="Employer Partnership"/>
    <x v="5"/>
    <s v="Trial/Exploration"/>
    <s v="Contextual Help"/>
    <s v="Treatment"/>
    <n v="8"/>
    <n v="8"/>
    <n v="166"/>
    <s v="No"/>
    <x v="1"/>
    <x v="1"/>
    <s v="No Error"/>
    <x v="1"/>
    <n v="0"/>
    <n v="0"/>
    <n v="0"/>
    <s v="No Support Contact"/>
    <s v="No"/>
    <s v="No Support Contact"/>
    <s v="Not Applicable"/>
    <m/>
    <s v="No drop-off"/>
    <n v="5"/>
    <n v="17"/>
    <n v="55"/>
    <x v="1"/>
    <n v="0"/>
    <n v="0"/>
    <n v="0"/>
    <n v="1"/>
  </r>
  <r>
    <s v="NSF-000110"/>
    <s v="USR-00714"/>
    <s v="SES-2502-81276"/>
    <d v="2025-02-19T00:00:00"/>
    <s v="South East"/>
    <s v="Guildford"/>
    <x v="4"/>
    <s v="35-44"/>
    <s v="Female"/>
    <s v="Web"/>
    <s v="Mobile Browser"/>
    <s v="&lt;3 months"/>
    <s v="Free"/>
    <s v="Referral"/>
    <x v="4"/>
    <s v="Repeat Use"/>
    <s v="Fee Transparency Panel"/>
    <s v="Treatment"/>
    <s v="6 steps"/>
    <n v="6"/>
    <n v="179"/>
    <s v="No"/>
    <x v="1"/>
    <x v="0"/>
    <s v="Transaction Classification Wrong"/>
    <x v="1"/>
    <n v="0"/>
    <n v="0"/>
    <n v="0"/>
    <s v="Account Verification"/>
    <s v="Yes"/>
    <s v="Account Verification"/>
    <s v="Resolved"/>
    <n v="47"/>
    <s v="Technical error"/>
    <n v="3"/>
    <n v="-13"/>
    <n v="26"/>
    <x v="0"/>
    <n v="0"/>
    <n v="0"/>
    <n v="1"/>
    <n v="0"/>
  </r>
  <r>
    <s v="NSF-000347"/>
    <s v="USR-00739"/>
    <s v="SES-2504-19276"/>
    <d v="2025-04-14T00:00:00"/>
    <s v="East England"/>
    <s v="Ipswich"/>
    <x v="0"/>
    <s v="35-44"/>
    <s v="Male"/>
    <s v="Ios"/>
    <s v="Iphone"/>
    <s v="3-6 months"/>
    <s v="Basic"/>
    <s v="Referral"/>
    <x v="9"/>
    <s v="First Use"/>
    <s v="Fee Transparency Panel"/>
    <s v="Treatment"/>
    <n v="5"/>
    <n v="5"/>
    <n v="101"/>
    <s v="No"/>
    <x v="0"/>
    <x v="1"/>
    <s v="No Error"/>
    <x v="0"/>
    <n v="104.93"/>
    <n v="0"/>
    <n v="0"/>
    <s v="No Support Contact"/>
    <s v="No"/>
    <s v="No Support Contact"/>
    <s v="Not Applicable"/>
    <m/>
    <s v="No drop-off"/>
    <n v="3"/>
    <n v="56"/>
    <s v="0 days"/>
    <x v="1"/>
    <n v="1"/>
    <n v="1"/>
    <n v="0"/>
    <n v="1"/>
  </r>
  <r>
    <s v="NSF-000482"/>
    <s v="USR-00169"/>
    <s v="SES-2505-98890"/>
    <d v="2025-05-29T00:00:00"/>
    <s v="Northern Ireland"/>
    <s v="Derry"/>
    <x v="1"/>
    <s v="45-54"/>
    <s v="Female"/>
    <s v="Ios"/>
    <s v="Iphone"/>
    <s v="&lt;3 months"/>
    <s v="Premium"/>
    <s v="Direct"/>
    <x v="9"/>
    <s v="Trial/Exploration"/>
    <s v="No Experiment"/>
    <s v="Control"/>
    <s v="5 steps"/>
    <n v="5"/>
    <n v="155"/>
    <s v="No"/>
    <x v="0"/>
    <x v="1"/>
    <s v="No Error"/>
    <x v="0"/>
    <n v="97.69"/>
    <n v="0"/>
    <n v="0.37"/>
    <s v="Other"/>
    <s v="Yes"/>
    <s v="Other"/>
    <s v="Unresolved"/>
    <n v="3"/>
    <s v="No drop-off"/>
    <n v="3"/>
    <n v="18"/>
    <s v="19 days"/>
    <x v="1"/>
    <n v="1"/>
    <n v="1"/>
    <n v="0"/>
    <n v="1"/>
  </r>
  <r>
    <s v="NSF-000668"/>
    <s v="USR-00540"/>
    <s v="SES-2508-95865"/>
    <d v="2025-08-02T00:00:00"/>
    <s v="Yorkshire &amp; Humber"/>
    <s v="York"/>
    <x v="7"/>
    <s v="25-34"/>
    <s v="Male"/>
    <s v="Android"/>
    <s v="Android Phone"/>
    <s v="7-12 months"/>
    <s v="Free"/>
    <s v="Referral"/>
    <x v="2"/>
    <s v="Repeat Use"/>
    <s v="Simplified Onboarding"/>
    <s v="Control"/>
    <n v="5"/>
    <s v="3 steps"/>
    <n v="185"/>
    <s v="Yes"/>
    <x v="0"/>
    <x v="1"/>
    <s v="No Error"/>
    <x v="0"/>
    <n v="52.87"/>
    <n v="0"/>
    <n v="0"/>
    <s v="No Support Contact"/>
    <s v="No"/>
    <s v="No Support Contact"/>
    <s v="Not Applicable"/>
    <m/>
    <s v="No drop-off"/>
    <n v="3"/>
    <n v="40"/>
    <n v="69"/>
    <x v="0"/>
    <n v="1"/>
    <n v="1"/>
    <n v="0"/>
    <n v="0"/>
  </r>
  <r>
    <s v="NSF-001021"/>
    <s v="USR-00503"/>
    <s v="SES-2512-74176"/>
    <d v="2025-12-08T00:00:00"/>
    <s v="East England"/>
    <s v="Ipswich"/>
    <x v="0"/>
    <s v="35-44"/>
    <s v="Male"/>
    <s v="Ios"/>
    <s v="Iphone"/>
    <s v="2+ years"/>
    <s v="Plus"/>
    <s v="Paid Search"/>
    <x v="5"/>
    <s v="First Use"/>
    <s v="No Experiment"/>
    <s v="Control"/>
    <n v="8"/>
    <n v="8"/>
    <n v="178"/>
    <s v="No"/>
    <x v="0"/>
    <x v="1"/>
    <s v="No Error"/>
    <x v="0"/>
    <n v="364.35"/>
    <n v="2.19"/>
    <n v="0.17"/>
    <s v="No Support Contact"/>
    <s v="No"/>
    <s v="No Support Contact"/>
    <s v="Not Applicable"/>
    <m/>
    <s v="No drop-off"/>
    <n v="3"/>
    <n v="22"/>
    <n v="0"/>
    <x v="1"/>
    <n v="1"/>
    <n v="1"/>
    <n v="0"/>
    <n v="1"/>
  </r>
  <r>
    <s v="NSF-000821"/>
    <s v="USR-00370"/>
    <s v="SES-2509-24367"/>
    <d v="2025-09-17T00:00:00"/>
    <s v="South East"/>
    <s v="Canterbury"/>
    <x v="2"/>
    <s v="25-34"/>
    <s v="Male"/>
    <s v="Ios"/>
    <s v="Iphone"/>
    <s v="2+ years"/>
    <s v="Plus"/>
    <s v="Referral"/>
    <x v="1"/>
    <s v="Reactivated"/>
    <s v="No Experiment"/>
    <s v="Control"/>
    <n v="4"/>
    <n v="4"/>
    <n v="98"/>
    <s v="No"/>
    <x v="0"/>
    <x v="1"/>
    <s v="No Error"/>
    <x v="0"/>
    <n v="114.48"/>
    <n v="0.23"/>
    <n v="0.17"/>
    <s v="No Support Contact"/>
    <s v="No"/>
    <s v="No Support Contact"/>
    <s v="Not Applicable"/>
    <m/>
    <s v="No drop-off"/>
    <n v="5"/>
    <n v="52"/>
    <n v="51"/>
    <x v="1"/>
    <n v="1"/>
    <n v="1"/>
    <n v="0"/>
    <n v="1"/>
  </r>
  <r>
    <s v="NSF-000498"/>
    <s v="USR-00776"/>
    <s v="SES-2506-82325"/>
    <d v="2025-06-20T00:00:00"/>
    <s v="East England"/>
    <s v="Luton"/>
    <x v="0"/>
    <s v="25-34"/>
    <s v="Female"/>
    <s v="Android"/>
    <s v="Android Phone"/>
    <s v="2+ years"/>
    <s v="Free"/>
    <s v="Paid Search"/>
    <x v="2"/>
    <s v="First Use"/>
    <s v="Progress Indicator"/>
    <s v="Treatment"/>
    <n v="5"/>
    <n v="5"/>
    <n v="107"/>
    <s v="No"/>
    <x v="0"/>
    <x v="1"/>
    <s v="No Error"/>
    <x v="0"/>
    <n v="8.27"/>
    <n v="0"/>
    <n v="0"/>
    <s v="No Support Contact"/>
    <s v="No"/>
    <s v="No Support Contact"/>
    <s v="Not Applicable"/>
    <m/>
    <s v="No drop-off"/>
    <n v="5"/>
    <n v="22"/>
    <n v="0"/>
    <x v="1"/>
    <n v="1"/>
    <n v="1"/>
    <n v="0"/>
    <n v="1"/>
  </r>
  <r>
    <s v="NSF-000685"/>
    <s v="USR-00619"/>
    <s v="SES-2508-53118"/>
    <d v="2025-08-17T00:00:00"/>
    <s v="West Midlands"/>
    <s v="Solihull"/>
    <x v="1"/>
    <s v="55-64"/>
    <s v="Male"/>
    <s v="Android"/>
    <s v="Android Phone"/>
    <s v="2+ years"/>
    <s v="Basic"/>
    <s v="Organic Search"/>
    <x v="5"/>
    <s v="Repeat Use"/>
    <s v="Simplified Onboarding"/>
    <s v="Unknown"/>
    <n v="8"/>
    <n v="8"/>
    <n v="207"/>
    <s v="No"/>
    <x v="1"/>
    <x v="1"/>
    <s v="No Error"/>
    <x v="1"/>
    <n v="0"/>
    <n v="0"/>
    <n v="0"/>
    <s v="No Support Contact"/>
    <s v="No"/>
    <s v="No Support Contact"/>
    <s v="Not Applicable"/>
    <m/>
    <s v="Verification took too long"/>
    <n v="3"/>
    <n v="1"/>
    <n v="12"/>
    <x v="1"/>
    <n v="0"/>
    <n v="0"/>
    <n v="0"/>
    <n v="1"/>
  </r>
  <r>
    <s v="NSF-000161"/>
    <s v="USR-00667"/>
    <s v="SES-2502-66173"/>
    <d v="2025-02-07T00:00:00"/>
    <s v="North West"/>
    <s v="Liverpool"/>
    <x v="3"/>
    <s v="35-44"/>
    <s v="Female"/>
    <s v="Ios"/>
    <s v="Iphone"/>
    <s v="1-2 years"/>
    <s v="Free"/>
    <s v="App Store"/>
    <x v="4"/>
    <s v="Repeat Use"/>
    <s v="No Experiment"/>
    <s v="Control"/>
    <n v="6"/>
    <n v="6"/>
    <n v="152"/>
    <s v="No"/>
    <x v="0"/>
    <x v="1"/>
    <s v="No Error"/>
    <x v="1"/>
    <n v="0"/>
    <n v="0"/>
    <n v="0"/>
    <s v="No Support Contact"/>
    <s v="No"/>
    <s v="No Support Contact"/>
    <s v="Not Applicable"/>
    <m/>
    <s v="No drop-off"/>
    <n v="3"/>
    <n v="37"/>
    <n v="37"/>
    <x v="0"/>
    <n v="1"/>
    <n v="0"/>
    <n v="0"/>
    <n v="0"/>
  </r>
  <r>
    <s v="NSF-000701"/>
    <s v="USR-00026"/>
    <s v="SES-2508-56244"/>
    <d v="2025-08-29T00:00:00"/>
    <s v="East England"/>
    <s v="Norwich"/>
    <x v="0"/>
    <s v="45-54"/>
    <s v="Male"/>
    <s v="Ios"/>
    <s v="Iphone"/>
    <s v="7-12 months"/>
    <s v="Free"/>
    <s v="Unknown"/>
    <x v="4"/>
    <s v="Trial/Exploration"/>
    <s v="No Experiment"/>
    <s v="Control"/>
    <n v="6"/>
    <n v="6"/>
    <n v="181"/>
    <s v="No"/>
    <x v="0"/>
    <x v="1"/>
    <s v="No Error"/>
    <x v="0"/>
    <n v="0"/>
    <n v="0"/>
    <n v="0"/>
    <s v="No Support Contact"/>
    <s v="No"/>
    <s v="No Support Contact"/>
    <s v="Not Applicable"/>
    <m/>
    <s v="No drop-off"/>
    <n v="4"/>
    <n v="20"/>
    <s v="59 days"/>
    <x v="1"/>
    <n v="1"/>
    <n v="1"/>
    <n v="0"/>
    <n v="1"/>
  </r>
  <r>
    <s v="NSF-000285"/>
    <s v="USR-00503"/>
    <s v="SES-2503-66731"/>
    <d v="2025-03-16T00:00:00"/>
    <s v="East England"/>
    <s v="Cambridge"/>
    <x v="3"/>
    <s v="35-44"/>
    <s v="Female"/>
    <s v="Ios"/>
    <s v="Iphone"/>
    <s v="2+ years"/>
    <s v="Free"/>
    <s v="Organic Search"/>
    <x v="1"/>
    <s v="Repeat Use"/>
    <s v="Fee Transparency Panel"/>
    <s v="Treatment"/>
    <s v="4 steps"/>
    <n v="4"/>
    <n v="125"/>
    <s v="No"/>
    <x v="0"/>
    <x v="1"/>
    <s v="No Error"/>
    <x v="0"/>
    <n v="202.68"/>
    <n v="0.21"/>
    <n v="0"/>
    <s v="No Support Contact"/>
    <s v="No"/>
    <s v="No Support Contact"/>
    <s v="Not Applicable"/>
    <m/>
    <s v="No drop-off"/>
    <n v="5"/>
    <n v="66"/>
    <n v="1"/>
    <x v="1"/>
    <n v="1"/>
    <n v="1"/>
    <n v="0"/>
    <n v="1"/>
  </r>
  <r>
    <s v="NSF-001200"/>
    <s v="USR-00108"/>
    <s v="SES-2602-77556"/>
    <d v="2026-02-28T00:00:00"/>
    <s v="Northern Ireland"/>
    <s v="Belfast"/>
    <x v="2"/>
    <s v="25-34"/>
    <s v="Female"/>
    <s v="Android"/>
    <s v="Android Phone"/>
    <s v="3-6 months"/>
    <s v="Premium"/>
    <s v="Organic Search"/>
    <x v="2"/>
    <s v="First Use"/>
    <s v="Contextual Help"/>
    <s v="Treatment"/>
    <n v="5"/>
    <n v="3"/>
    <n v="154"/>
    <s v="Yes"/>
    <x v="0"/>
    <x v="1"/>
    <s v="No Error"/>
    <x v="0"/>
    <n v="124.4"/>
    <n v="0"/>
    <n v="0.37"/>
    <s v="No Support Contact"/>
    <s v="No"/>
    <s v="No Support Contact"/>
    <s v="Not Applicable"/>
    <m/>
    <s v="No drop-off"/>
    <n v="4"/>
    <n v="14"/>
    <n v="0"/>
    <x v="1"/>
    <n v="1"/>
    <n v="1"/>
    <n v="0"/>
    <n v="1"/>
  </r>
  <r>
    <s v="NSF-001274"/>
    <s v="USR-00704"/>
    <s v="SES-2603-53869"/>
    <d v="2026-03-18T00:00:00"/>
    <s v="Yorkshire &amp; Humber"/>
    <s v="York"/>
    <x v="1"/>
    <s v="18-24"/>
    <s v="Male"/>
    <s v="Ios"/>
    <s v="Ipad"/>
    <s v="&lt;3 months"/>
    <s v="Premium"/>
    <s v="Organic Search"/>
    <x v="5"/>
    <s v="Trial/Exploration"/>
    <s v="No Experiment"/>
    <s v="Control"/>
    <n v="8"/>
    <n v="8"/>
    <n v="295"/>
    <s v="No"/>
    <x v="0"/>
    <x v="0"/>
    <s v="Fx Rate Confusion"/>
    <x v="1"/>
    <n v="0"/>
    <n v="0"/>
    <n v="0"/>
    <s v="No Support Contact"/>
    <s v="No"/>
    <s v="No Support Contact"/>
    <s v="Not Applicable"/>
    <m/>
    <s v="No drop-off"/>
    <n v="4"/>
    <n v="-20"/>
    <n v="39"/>
    <x v="1"/>
    <n v="1"/>
    <n v="0"/>
    <n v="1"/>
    <n v="1"/>
  </r>
  <r>
    <s v="NSF-000939"/>
    <s v="USR-00542"/>
    <s v="SES-2511-61404"/>
    <d v="2025-10-11T00:00:00"/>
    <s v="South West"/>
    <s v="Bath"/>
    <x v="7"/>
    <s v="18-24"/>
    <s v="Female"/>
    <s v="Ios"/>
    <s v="Iphone"/>
    <s v="1-2 years"/>
    <s v="Basic"/>
    <s v="Referral"/>
    <x v="4"/>
    <s v="Trial/Exploration"/>
    <s v="New Cta Copy"/>
    <s v="Treatment"/>
    <n v="6"/>
    <n v="3"/>
    <n v="277"/>
    <s v="Yes"/>
    <x v="1"/>
    <x v="1"/>
    <s v="No Error"/>
    <x v="0"/>
    <n v="0"/>
    <n v="0"/>
    <n v="0"/>
    <s v="No Support Contact"/>
    <s v="No"/>
    <s v="No Support Contact"/>
    <s v="Not Applicable"/>
    <m/>
    <s v="Too many steps"/>
    <n v="2"/>
    <n v="7"/>
    <n v="26"/>
    <x v="0"/>
    <n v="0"/>
    <n v="1"/>
    <n v="0"/>
    <n v="0"/>
  </r>
  <r>
    <s v="NSF-000148"/>
    <s v="USR-00674"/>
    <s v="SES-2502-55243"/>
    <d v="2025-02-05T00:00:00"/>
    <s v="Northern Ireland"/>
    <s v="Lisburn"/>
    <x v="3"/>
    <s v="18-24"/>
    <s v="Male"/>
    <s v="Android"/>
    <s v="Android Phone"/>
    <s v="7-12 months"/>
    <s v="Free"/>
    <s v="Paid Search"/>
    <x v="1"/>
    <s v="Repeat Use"/>
    <s v="Contextual Help"/>
    <s v="Treatment"/>
    <n v="4"/>
    <n v="4"/>
    <n v="107"/>
    <s v="No"/>
    <x v="0"/>
    <x v="1"/>
    <s v="No Error"/>
    <x v="0"/>
    <n v="124.35"/>
    <n v="0.21"/>
    <n v="0"/>
    <s v="Transaction Failure"/>
    <s v="Yes"/>
    <s v="Transaction Failure"/>
    <s v="Resolved"/>
    <n v="9"/>
    <s v="No drop-off"/>
    <n v="5"/>
    <n v="58"/>
    <n v="36"/>
    <x v="1"/>
    <n v="1"/>
    <n v="1"/>
    <n v="0"/>
    <n v="1"/>
  </r>
  <r>
    <s v="NSF-000371"/>
    <s v="USR-00739"/>
    <s v="SES-2504-79243"/>
    <d v="2025-04-22T00:00:00"/>
    <s v="Scotland"/>
    <s v="Edinburgh"/>
    <x v="3"/>
    <s v="25-34"/>
    <s v="Prefer Not To Say"/>
    <s v="Ios"/>
    <s v="Iphone"/>
    <s v="&lt;3 months"/>
    <s v="Free"/>
    <s v="Referral"/>
    <x v="4"/>
    <s v="Repeat Use"/>
    <s v="New Cta Copy"/>
    <s v="Treatment"/>
    <n v="6"/>
    <n v="6"/>
    <n v="174"/>
    <s v="No"/>
    <x v="1"/>
    <x v="1"/>
    <s v="No Error"/>
    <x v="0"/>
    <n v="82.88"/>
    <n v="0"/>
    <n v="0"/>
    <s v="No Support Contact"/>
    <s v="No"/>
    <s v="No Support Contact"/>
    <s v="Not Applicable"/>
    <m/>
    <s v="No drop-off"/>
    <n v="4"/>
    <n v="32"/>
    <n v="42"/>
    <x v="0"/>
    <n v="0"/>
    <n v="1"/>
    <n v="0"/>
    <n v="0"/>
  </r>
  <r>
    <s v="NSF-000442"/>
    <s v="USR-00484"/>
    <s v="SES-2505-93524"/>
    <d v="2025-05-29T00:00:00"/>
    <s v="Scotland"/>
    <s v="Glasgow"/>
    <x v="2"/>
    <s v="25-34"/>
    <s v="Male"/>
    <s v="Android"/>
    <s v="Android Phone"/>
    <s v="2+ years"/>
    <s v="Free"/>
    <s v="Referral"/>
    <x v="1"/>
    <s v="Repeat Use"/>
    <s v="Fee Transparency Panel"/>
    <s v="Control"/>
    <n v="4"/>
    <n v="4"/>
    <n v="107"/>
    <s v="No"/>
    <x v="0"/>
    <x v="1"/>
    <s v="No Error"/>
    <x v="0"/>
    <n v="90.17"/>
    <n v="0.18"/>
    <n v="0"/>
    <s v="No Support Contact"/>
    <s v="No"/>
    <s v="No Support Contact"/>
    <s v="Not Applicable"/>
    <m/>
    <s v="No drop-off"/>
    <n v="5"/>
    <n v="23"/>
    <n v="18"/>
    <x v="1"/>
    <n v="1"/>
    <n v="1"/>
    <n v="0"/>
    <n v="1"/>
  </r>
  <r>
    <s v="NSF-000946"/>
    <s v="USR-00050"/>
    <s v="SES-2511-47946"/>
    <d v="2025-11-03T00:00:00"/>
    <s v="Northern Ireland"/>
    <s v="Belfast"/>
    <x v="1"/>
    <s v="25-34"/>
    <s v="Female"/>
    <s v="Android"/>
    <s v="Android Phone"/>
    <s v="1-2 years"/>
    <s v="Free"/>
    <s v="Referral"/>
    <x v="1"/>
    <s v="Reactivated"/>
    <s v="New Cta Copy"/>
    <s v="Treatment"/>
    <n v="4"/>
    <n v="4"/>
    <n v="77"/>
    <s v="No"/>
    <x v="0"/>
    <x v="1"/>
    <s v="No Error"/>
    <x v="0"/>
    <n v="148.16999999999999"/>
    <n v="0.22"/>
    <n v="0"/>
    <s v="No Support Contact"/>
    <s v="No"/>
    <s v="No Support Contact"/>
    <s v="Not Applicable"/>
    <m/>
    <s v="No drop-off"/>
    <n v="4"/>
    <n v="61"/>
    <n v="37"/>
    <x v="1"/>
    <n v="1"/>
    <n v="1"/>
    <n v="0"/>
    <n v="1"/>
  </r>
  <r>
    <s v="NSF-000234"/>
    <s v="USR-00759"/>
    <s v="SES-2503-86508"/>
    <d v="2025-03-05T00:00:00"/>
    <s v="Yorkshire &amp; Humber"/>
    <s v="Leeds"/>
    <x v="0"/>
    <s v="25-34"/>
    <s v="Female"/>
    <s v="Ios"/>
    <s v="Iphone"/>
    <s v="1-2 years"/>
    <s v="Plus"/>
    <s v="Paid Social"/>
    <x v="0"/>
    <s v="Repeat Use"/>
    <s v="No Experiment"/>
    <s v="Control"/>
    <n v="7"/>
    <n v="6"/>
    <n v="325"/>
    <s v="Yes"/>
    <x v="1"/>
    <x v="1"/>
    <s v="No Error"/>
    <x v="1"/>
    <n v="0"/>
    <n v="0"/>
    <n v="0"/>
    <s v="Feature Navigation"/>
    <s v="Yes"/>
    <s v="Feature Navigation"/>
    <s v="Resolved"/>
    <n v="28"/>
    <s v="Instructions unclear"/>
    <n v="3"/>
    <n v="-12"/>
    <n v="5"/>
    <x v="1"/>
    <n v="0"/>
    <n v="0"/>
    <n v="0"/>
    <n v="1"/>
  </r>
  <r>
    <s v="NSF-001030"/>
    <s v="USR-00772"/>
    <s v="SES-2512-11750"/>
    <d v="2025-12-10T00:00:00"/>
    <s v="Northern Ireland"/>
    <s v="Belfast"/>
    <x v="1"/>
    <s v="25-34"/>
    <s v="Female"/>
    <s v="Ios"/>
    <s v="Iphone"/>
    <s v="3-6 months"/>
    <s v="Premium"/>
    <s v="Paid Social"/>
    <x v="2"/>
    <s v="Trial/Exploration"/>
    <s v="Fee Transparency Panel"/>
    <s v="Treatment"/>
    <n v="5"/>
    <n v="5"/>
    <n v="161"/>
    <s v="No"/>
    <x v="0"/>
    <x v="0"/>
    <s v="Funding Source Unclear"/>
    <x v="0"/>
    <n v="91.82"/>
    <n v="0"/>
    <n v="0.37"/>
    <s v="Transaction Failure"/>
    <s v="Yes"/>
    <s v="Transaction Failure"/>
    <s v="Unresolved"/>
    <n v="58"/>
    <s v="No drop-off"/>
    <n v="4"/>
    <n v="37"/>
    <n v="68"/>
    <x v="1"/>
    <n v="1"/>
    <n v="1"/>
    <n v="1"/>
    <n v="1"/>
  </r>
  <r>
    <s v="NSF-001244"/>
    <s v="USR-00781"/>
    <s v="SES-2603-29419"/>
    <d v="2026-03-09T00:00:00"/>
    <s v="South West"/>
    <s v="Plymouth"/>
    <x v="2"/>
    <s v="45-54"/>
    <s v="Male"/>
    <s v="Ios"/>
    <s v="Iphone"/>
    <s v="1-2 years"/>
    <s v="Plus"/>
    <s v="App Store"/>
    <x v="1"/>
    <s v="Repeat Use"/>
    <s v="No Experiment"/>
    <s v="Control"/>
    <n v="4"/>
    <n v="4"/>
    <n v="100"/>
    <s v="No"/>
    <x v="0"/>
    <x v="1"/>
    <s v="No Error"/>
    <x v="0"/>
    <n v="105.16"/>
    <n v="0.22"/>
    <n v="0.17"/>
    <s v="No Support Contact"/>
    <s v="No"/>
    <s v="No Support Contact"/>
    <s v="Not Applicable"/>
    <m/>
    <s v="No drop-off"/>
    <n v="3"/>
    <n v="-1"/>
    <n v="33"/>
    <x v="1"/>
    <n v="1"/>
    <n v="1"/>
    <n v="0"/>
    <n v="1"/>
  </r>
  <r>
    <s v="NSF-000711"/>
    <s v="USR-00438"/>
    <s v="SES-2508-20577"/>
    <d v="2025-08-15T00:00:00"/>
    <s v="South West"/>
    <s v="Bristol"/>
    <x v="5"/>
    <s v="18-24"/>
    <s v="Male"/>
    <s v="Ios"/>
    <s v="Iphone"/>
    <s v="3-6 months"/>
    <s v="Free"/>
    <s v="Referral"/>
    <x v="5"/>
    <s v="Repeat Use"/>
    <s v="Fee Transparency Panel"/>
    <s v="Control"/>
    <n v="8"/>
    <n v="4"/>
    <n v="261"/>
    <s v="Yes"/>
    <x v="1"/>
    <x v="1"/>
    <s v="No Error"/>
    <x v="1"/>
    <n v="0"/>
    <n v="0"/>
    <n v="0"/>
    <s v="No Support Contact"/>
    <s v="No"/>
    <s v="No Support Contact"/>
    <s v="Not Applicable"/>
    <m/>
    <s v="Too many steps"/>
    <n v="2"/>
    <n v="-5"/>
    <n v="11"/>
    <x v="1"/>
    <n v="0"/>
    <n v="0"/>
    <n v="0"/>
    <n v="1"/>
  </r>
  <r>
    <s v="NSF-000040"/>
    <s v="USR-00584"/>
    <s v="SES-2501-71986"/>
    <d v="2025-01-14T00:00:00"/>
    <s v="Yorkshire &amp; Humber"/>
    <s v="York"/>
    <x v="1"/>
    <s v="35-44"/>
    <s v="Female"/>
    <s v="Android"/>
    <s v="Android Phone"/>
    <s v="&lt;3 months"/>
    <s v="Premium"/>
    <s v="Paid Social"/>
    <x v="1"/>
    <s v="Repeat Use"/>
    <s v="No Experiment"/>
    <s v="Control"/>
    <s v="4 steps"/>
    <n v="4"/>
    <n v="109"/>
    <s v="No"/>
    <x v="0"/>
    <x v="1"/>
    <s v="No Error"/>
    <x v="0"/>
    <n v="24.95"/>
    <n v="0.17"/>
    <n v="0.37"/>
    <s v="No Support Contact"/>
    <s v="No"/>
    <s v="No Support Contact"/>
    <s v="Not Applicable"/>
    <m/>
    <s v="No drop-off"/>
    <n v="4"/>
    <n v="44"/>
    <n v="6"/>
    <x v="1"/>
    <n v="1"/>
    <n v="1"/>
    <n v="0"/>
    <n v="1"/>
  </r>
  <r>
    <s v="NSF-000943"/>
    <s v="USR-00061"/>
    <s v="SES-2511-44513"/>
    <d v="2025-11-15T00:00:00"/>
    <s v="Yorkshire &amp; Humber"/>
    <s v="Leeds"/>
    <x v="1"/>
    <s v="65+"/>
    <s v="Male"/>
    <s v="Android"/>
    <s v="Android Phone"/>
    <s v="3-6 months"/>
    <s v="Free"/>
    <s v="Direct"/>
    <x v="9"/>
    <s v="Repeat Use"/>
    <s v="No Experiment"/>
    <s v="Control"/>
    <n v="5"/>
    <n v="5"/>
    <n v="94"/>
    <s v="No"/>
    <x v="0"/>
    <x v="1"/>
    <s v="No Error"/>
    <x v="0"/>
    <n v="116.29"/>
    <n v="0"/>
    <n v="0"/>
    <s v="No Support Contact"/>
    <s v="No"/>
    <s v="No Support Contact"/>
    <s v="Not Applicable"/>
    <m/>
    <s v="No drop-off"/>
    <n v="3"/>
    <n v="28"/>
    <n v="22"/>
    <x v="1"/>
    <n v="1"/>
    <n v="1"/>
    <n v="0"/>
    <n v="1"/>
  </r>
  <r>
    <s v="NSF-001025"/>
    <s v="USR-00292"/>
    <s v="SES-2512-56047"/>
    <d v="2025-12-22T00:00:00"/>
    <s v="South West"/>
    <s v="Bath"/>
    <x v="0"/>
    <s v="25-34"/>
    <s v="Male"/>
    <s v="Android"/>
    <s v="Android Phone"/>
    <s v="1-2 years"/>
    <s v="Basic"/>
    <s v="Paid Search"/>
    <x v="5"/>
    <s v="First Use"/>
    <s v="Fee Transparency Panel"/>
    <s v="Control"/>
    <s v="many"/>
    <n v="8"/>
    <n v="173"/>
    <s v="No"/>
    <x v="1"/>
    <x v="1"/>
    <s v="No Error"/>
    <x v="1"/>
    <n v="0"/>
    <n v="0"/>
    <n v="0"/>
    <s v="No Support Contact"/>
    <s v="No"/>
    <s v="No Support Contact"/>
    <s v="Not Applicable"/>
    <m/>
    <s v="Instructions unclear"/>
    <n v="3"/>
    <n v="-1"/>
    <n v="0"/>
    <x v="0"/>
    <n v="0"/>
    <n v="0"/>
    <n v="0"/>
    <n v="0"/>
  </r>
  <r>
    <s v="NSF-000631"/>
    <s v="USR-00540"/>
    <s v="SES-2507-22781"/>
    <d v="2025-07-13T00:00:00"/>
    <s v="West Midlands"/>
    <s v="Solihull"/>
    <x v="0"/>
    <s v="35-44"/>
    <s v="Male"/>
    <s v="Android"/>
    <s v="Android Phone"/>
    <s v="2+ years"/>
    <s v="Free"/>
    <s v="Referral"/>
    <x v="2"/>
    <s v="Trial/Exploration"/>
    <s v="No Experiment"/>
    <s v="Control"/>
    <n v="5"/>
    <n v="5"/>
    <n v="164"/>
    <s v="No"/>
    <x v="0"/>
    <x v="0"/>
    <s v="Funding Source Unclear"/>
    <x v="0"/>
    <n v="165.13"/>
    <n v="0"/>
    <n v="0"/>
    <s v="Account Verification"/>
    <s v="Yes"/>
    <s v="Account Verification"/>
    <s v="Resolved"/>
    <n v="13"/>
    <s v="No drop-off"/>
    <n v="4"/>
    <n v="5"/>
    <n v="30"/>
    <x v="1"/>
    <n v="1"/>
    <n v="1"/>
    <n v="1"/>
    <n v="1"/>
  </r>
  <r>
    <s v="NSF-000237"/>
    <s v="USR-00611"/>
    <s v="SES-2503-28980"/>
    <d v="2025-03-13T00:00:00"/>
    <s v="Northern Ireland"/>
    <s v="Lisburn"/>
    <x v="0"/>
    <s v="25-34"/>
    <s v="Female"/>
    <s v="Ios"/>
    <s v="Iphone"/>
    <s v="2+ years"/>
    <s v="Free"/>
    <s v="Direct"/>
    <x v="1"/>
    <s v="Trial/Exploration"/>
    <s v="Fee Transparency Panel"/>
    <s v="Treatment"/>
    <n v="4"/>
    <n v="4"/>
    <n v="143"/>
    <s v="No"/>
    <x v="0"/>
    <x v="0"/>
    <s v="Bank Connection Faild"/>
    <x v="1"/>
    <n v="0"/>
    <n v="0"/>
    <n v="0"/>
    <s v="No Support Contact"/>
    <s v="No"/>
    <s v="No Support Contact"/>
    <s v="Not Applicable"/>
    <m/>
    <s v="No drop-off"/>
    <n v="4"/>
    <n v="26"/>
    <n v="20"/>
    <x v="1"/>
    <n v="1"/>
    <n v="0"/>
    <n v="1"/>
    <n v="1"/>
  </r>
  <r>
    <s v="NSF-001313"/>
    <s v="USR-00075"/>
    <s v="SES-2604-60779"/>
    <d v="2026-04-01T00:00:00"/>
    <s v="Yorkshire &amp; Humber"/>
    <s v="York"/>
    <x v="7"/>
    <s v="25-34"/>
    <s v="Male"/>
    <s v="Ios"/>
    <s v="Iphone"/>
    <s v="2+ years"/>
    <s v="Free"/>
    <s v="Organic Search"/>
    <x v="1"/>
    <s v="Repeat Use"/>
    <s v="Fee Transparency Panel"/>
    <s v="Treatment"/>
    <n v="4"/>
    <s v="4 steps"/>
    <n v="95"/>
    <s v="No"/>
    <x v="0"/>
    <x v="1"/>
    <s v="No Error"/>
    <x v="0"/>
    <n v="59.16"/>
    <n v="0.18"/>
    <n v="0"/>
    <s v="Feature Navigation"/>
    <s v="Yes"/>
    <s v="Feature Navigation"/>
    <s v="Resolved"/>
    <n v="29"/>
    <s v="No drop-off"/>
    <n v="5"/>
    <n v="30"/>
    <s v="25 days"/>
    <x v="1"/>
    <n v="1"/>
    <n v="1"/>
    <n v="0"/>
    <n v="1"/>
  </r>
  <r>
    <s v="NSF-000329"/>
    <s v="USR-00189"/>
    <s v="SES-2504-73522"/>
    <d v="2025-04-30T00:00:00"/>
    <s v="East Midlands"/>
    <s v="Nottingham"/>
    <x v="5"/>
    <s v="45-54"/>
    <s v="Female"/>
    <s v="Android"/>
    <s v="Android Phone"/>
    <s v="3-6 months"/>
    <s v="Free"/>
    <s v="Affiliate"/>
    <x v="1"/>
    <s v="Repeat Use"/>
    <s v="No Experiment"/>
    <s v="Control"/>
    <n v="4"/>
    <n v="3"/>
    <n v="162"/>
    <s v="Yes"/>
    <x v="1"/>
    <x v="1"/>
    <s v="No Error"/>
    <x v="1"/>
    <n v="0"/>
    <n v="0"/>
    <n v="0"/>
    <s v="Feature Navigation"/>
    <s v="Yes"/>
    <s v="Feature Navigation"/>
    <s v="Resolved"/>
    <n v="23"/>
    <s v="Instructions unclear"/>
    <n v="3"/>
    <n v="-12"/>
    <n v="9"/>
    <x v="1"/>
    <n v="0"/>
    <n v="0"/>
    <n v="0"/>
    <n v="1"/>
  </r>
  <r>
    <s v="NSF-000580"/>
    <s v="USR-00375"/>
    <s v="SES-2507-21237"/>
    <d v="2025-07-22T00:00:00"/>
    <s v="South West"/>
    <s v="Bristol"/>
    <x v="3"/>
    <s v="25-34"/>
    <s v="Non-Binary"/>
    <s v="Android"/>
    <s v="Android Phone"/>
    <s v="7-12 months"/>
    <s v="Plus"/>
    <s v="Organic Search"/>
    <x v="2"/>
    <s v="Reactivated"/>
    <s v="No Experiment"/>
    <s v="Control"/>
    <n v="5"/>
    <s v="5 steps"/>
    <n v="153"/>
    <s v="No"/>
    <x v="0"/>
    <x v="1"/>
    <s v="No Error"/>
    <x v="0"/>
    <n v="0"/>
    <n v="0"/>
    <n v="0.17"/>
    <s v="No Support Contact"/>
    <s v="No"/>
    <s v="No Support Contact"/>
    <s v="Not Applicable"/>
    <m/>
    <s v="No drop-off"/>
    <n v="5"/>
    <n v="48"/>
    <n v="47"/>
    <x v="1"/>
    <n v="1"/>
    <n v="1"/>
    <n v="0"/>
    <n v="1"/>
  </r>
  <r>
    <s v="NSF-000570"/>
    <s v="USR-00735"/>
    <s v="SES-2506-60997"/>
    <d v="2025-06-07T00:00:00"/>
    <s v="Scotland"/>
    <s v="Edinburgh"/>
    <x v="2"/>
    <s v="45-54"/>
    <s v="Prefer Not To Say"/>
    <s v="Ios"/>
    <s v="Iphone"/>
    <s v="7-12 months"/>
    <s v="Plus"/>
    <s v="Paid Search"/>
    <x v="1"/>
    <s v="Repeat Use"/>
    <s v="Contextual Help"/>
    <s v="Control"/>
    <n v="4"/>
    <n v="2"/>
    <n v="155"/>
    <s v="Yes"/>
    <x v="0"/>
    <x v="1"/>
    <s v="No Error"/>
    <x v="0"/>
    <n v="158.82"/>
    <n v="0.21"/>
    <n v="0.17"/>
    <s v="No Support Contact"/>
    <s v="No"/>
    <s v="No Support Contact"/>
    <s v="Not Applicable"/>
    <m/>
    <s v="No drop-off"/>
    <n v="4"/>
    <n v="38"/>
    <n v="26"/>
    <x v="1"/>
    <n v="1"/>
    <n v="1"/>
    <n v="0"/>
    <n v="1"/>
  </r>
  <r>
    <s v="NSF-001010"/>
    <s v="USR-00851"/>
    <s v="SES-2512-24890"/>
    <d v="2025-12-25T00:00:00"/>
    <s v="Northern Ireland"/>
    <s v="Belfast"/>
    <x v="2"/>
    <s v="65+"/>
    <s v="Male"/>
    <s v="Ios"/>
    <s v="Ipad"/>
    <s v="2+ years"/>
    <s v="Plus"/>
    <s v="App Store"/>
    <x v="2"/>
    <s v="Repeat Use"/>
    <s v="No Experiment"/>
    <s v="Control"/>
    <n v="5"/>
    <s v="5 steps"/>
    <n v="235"/>
    <s v="No"/>
    <x v="1"/>
    <x v="0"/>
    <s v="Funding Source Unclear"/>
    <x v="1"/>
    <n v="0"/>
    <n v="0"/>
    <n v="0"/>
    <s v="Transaction Failure"/>
    <s v="Yes"/>
    <s v="Transaction Failure"/>
    <s v="Resolved"/>
    <n v="17"/>
    <s v="No drop-off"/>
    <n v="3"/>
    <n v="5"/>
    <n v="49"/>
    <x v="0"/>
    <n v="0"/>
    <n v="0"/>
    <n v="1"/>
    <n v="0"/>
  </r>
  <r>
    <s v="NSF-000313"/>
    <s v="USR-00650"/>
    <s v="SES-2504-60649"/>
    <d v="2025-04-26T00:00:00"/>
    <s v="West Midlands"/>
    <s v="Solihull"/>
    <x v="2"/>
    <s v="18-24"/>
    <s v="Male"/>
    <s v="Ios"/>
    <s v="Iphone"/>
    <s v="2+ years"/>
    <s v="Plus"/>
    <s v="Paid Social"/>
    <x v="10"/>
    <s v="Trial/Exploration"/>
    <s v="No Experiment"/>
    <s v="Control"/>
    <n v="9"/>
    <s v="9 steps"/>
    <n v="272"/>
    <s v="No"/>
    <x v="1"/>
    <x v="0"/>
    <s v="Income Verification Failed"/>
    <x v="1"/>
    <n v="0"/>
    <n v="0"/>
    <n v="0"/>
    <s v="No Support Contact"/>
    <s v="No"/>
    <s v="No Support Contact"/>
    <s v="Not Applicable"/>
    <m/>
    <s v="Too many steps"/>
    <n v="3"/>
    <n v="-39"/>
    <n v="36"/>
    <x v="0"/>
    <n v="0"/>
    <n v="0"/>
    <n v="1"/>
    <n v="0"/>
  </r>
  <r>
    <s v="NSF-000124"/>
    <s v="USR-00087"/>
    <s v="SES-2502-24778"/>
    <d v="2025-02-02T00:00:00"/>
    <s v="London"/>
    <s v="Southwark"/>
    <x v="1"/>
    <s v="55-64"/>
    <s v="Female"/>
    <s v="Ios"/>
    <s v="Iphone"/>
    <s v="&lt;3 months"/>
    <s v="Free"/>
    <s v="Paid Social"/>
    <x v="9"/>
    <s v="First Use"/>
    <s v="No Experiment"/>
    <s v="Control"/>
    <n v="5"/>
    <n v="5"/>
    <n v="112"/>
    <s v="No"/>
    <x v="0"/>
    <x v="0"/>
    <s v="Cancellation Unclear"/>
    <x v="0"/>
    <n v="20.91"/>
    <n v="0"/>
    <n v="0"/>
    <s v="Transaction Failure"/>
    <s v="Yes"/>
    <s v="Transaction Failure"/>
    <s v="Resolved"/>
    <n v="22"/>
    <s v="No drop-off"/>
    <n v="4"/>
    <n v="37"/>
    <n v="0"/>
    <x v="1"/>
    <n v="1"/>
    <n v="1"/>
    <n v="1"/>
    <n v="1"/>
  </r>
  <r>
    <s v="NSF-000673"/>
    <s v="USR-00675"/>
    <s v="SES-2508-18394"/>
    <d v="2025-08-15T00:00:00"/>
    <s v="North East"/>
    <s v="Durham"/>
    <x v="1"/>
    <s v="25-34"/>
    <s v="Female"/>
    <s v="Android"/>
    <s v="Android Tablet"/>
    <s v="&lt;3 months"/>
    <s v="Basic"/>
    <s v="Paid Search"/>
    <x v="1"/>
    <s v="Repeat Use"/>
    <s v="No Experiment"/>
    <s v="Control"/>
    <n v="4"/>
    <n v="4"/>
    <n v="78"/>
    <s v="No"/>
    <x v="1"/>
    <x v="1"/>
    <s v="No Error"/>
    <x v="0"/>
    <n v="97.55"/>
    <n v="0.23"/>
    <n v="0"/>
    <s v="No Support Contact"/>
    <s v="Unknown"/>
    <s v="No Support Contact"/>
    <s v="Not Applicable"/>
    <m/>
    <s v="Unexpected fee"/>
    <n v="3"/>
    <n v="19"/>
    <n v="48"/>
    <x v="1"/>
    <n v="0"/>
    <n v="1"/>
    <n v="0"/>
    <n v="1"/>
  </r>
  <r>
    <s v="NSF-000868"/>
    <s v="USR-00419"/>
    <s v="SES-2510-54869"/>
    <d v="2025-10-25T00:00:00"/>
    <s v="East England"/>
    <s v="Ipswich"/>
    <x v="2"/>
    <s v="35-44"/>
    <s v="Female"/>
    <s v="Android"/>
    <s v="Android Phone"/>
    <s v="&lt;3 months"/>
    <s v="Free"/>
    <s v="Affiliate"/>
    <x v="7"/>
    <s v="First Use"/>
    <s v="No Experiment"/>
    <s v="Control"/>
    <n v="4"/>
    <n v="4"/>
    <n v="139"/>
    <s v="No"/>
    <x v="1"/>
    <x v="0"/>
    <s v="Merchant Declined Card"/>
    <x v="1"/>
    <n v="0"/>
    <n v="0"/>
    <n v="0"/>
    <s v="No Support Contact"/>
    <s v="No"/>
    <s v="No Support Contact"/>
    <s v="Not Applicable"/>
    <m/>
    <s v="Too many steps"/>
    <n v="3"/>
    <n v="34"/>
    <n v="0"/>
    <x v="1"/>
    <n v="0"/>
    <n v="0"/>
    <n v="1"/>
    <n v="1"/>
  </r>
  <r>
    <s v="NSF-000223"/>
    <s v="USR-00718"/>
    <s v="SES-2503-10478"/>
    <d v="2025-03-10T00:00:00"/>
    <s v="East England"/>
    <s v="Ipswich"/>
    <x v="0"/>
    <s v="45-54"/>
    <s v="Male"/>
    <s v="Ios"/>
    <s v="Iphone"/>
    <s v="3-6 months"/>
    <s v="Free"/>
    <s v="Organic Search"/>
    <x v="3"/>
    <s v="Reactivated"/>
    <s v="Progress Indicator"/>
    <s v="Control"/>
    <n v="6"/>
    <n v="6"/>
    <n v="130"/>
    <s v="No"/>
    <x v="1"/>
    <x v="1"/>
    <s v="No Error"/>
    <x v="1"/>
    <n v="0"/>
    <n v="0"/>
    <n v="0"/>
    <s v="No Support Contact"/>
    <s v="No"/>
    <s v="No Support Contact"/>
    <s v="Not Applicable"/>
    <m/>
    <s v="Unexpected fee"/>
    <n v="3"/>
    <n v="29"/>
    <n v="10"/>
    <x v="1"/>
    <n v="0"/>
    <n v="0"/>
    <n v="0"/>
    <n v="1"/>
  </r>
  <r>
    <s v="NSF-000971"/>
    <s v="USR-00417"/>
    <s v="SES-2511-21569"/>
    <d v="2025-11-23T00:00:00"/>
    <s v="East England"/>
    <s v="Cambridge"/>
    <x v="3"/>
    <s v="45-54"/>
    <s v="Female"/>
    <s v="Ios"/>
    <s v="Iphone"/>
    <s v="3-6 months"/>
    <s v="Plus"/>
    <s v="Organic Search"/>
    <x v="9"/>
    <s v="Trial/Exploration"/>
    <s v="Simplified Onboarding"/>
    <s v="Treatment"/>
    <n v="5"/>
    <n v="3"/>
    <n v="185"/>
    <s v="Yes"/>
    <x v="0"/>
    <x v="1"/>
    <s v="No Error"/>
    <x v="0"/>
    <n v="87.66"/>
    <n v="0"/>
    <n v="0.17"/>
    <s v="No Support Contact"/>
    <s v="No"/>
    <s v="No Support Contact"/>
    <s v="Not Applicable"/>
    <m/>
    <s v="No drop-off"/>
    <n v="5"/>
    <n v="-10"/>
    <n v="44"/>
    <x v="1"/>
    <n v="1"/>
    <n v="1"/>
    <n v="0"/>
    <n v="1"/>
  </r>
  <r>
    <s v="NSF-000840"/>
    <s v="USR-00055"/>
    <s v="SES-2510-21139"/>
    <d v="2025-10-18T00:00:00"/>
    <s v="North East"/>
    <s v="Middlesbrough"/>
    <x v="5"/>
    <s v="25-34"/>
    <s v="Female"/>
    <s v="Android"/>
    <s v="Android Phone"/>
    <s v="1-2 years"/>
    <s v="Free"/>
    <s v="Paid Social"/>
    <x v="2"/>
    <s v="Repeat Use"/>
    <s v="Fee Transparency Panel"/>
    <s v="Control"/>
    <n v="5"/>
    <n v="5"/>
    <n v="95"/>
    <s v="No"/>
    <x v="0"/>
    <x v="1"/>
    <s v="No Error"/>
    <x v="0"/>
    <n v="34.24"/>
    <n v="0"/>
    <n v="0"/>
    <s v="No Support Contact"/>
    <s v="No"/>
    <s v="No Support Contact"/>
    <s v="Not Applicable"/>
    <m/>
    <s v="No drop-off"/>
    <n v="3"/>
    <n v="15"/>
    <n v="42"/>
    <x v="1"/>
    <n v="1"/>
    <n v="1"/>
    <n v="0"/>
    <n v="1"/>
  </r>
  <r>
    <s v="NSF-000051"/>
    <s v="USR-00629"/>
    <s v="SES-2501-61196"/>
    <d v="2025-01-13T00:00:00"/>
    <s v="London"/>
    <s v="Hammersmith"/>
    <x v="4"/>
    <s v="25-34"/>
    <s v="Female"/>
    <s v="Ios"/>
    <s v="Iphone"/>
    <s v="3-6 months"/>
    <s v="Premium"/>
    <s v="Paid Search"/>
    <x v="9"/>
    <s v="Repeat Use"/>
    <s v="Contextual Help"/>
    <s v="Treatment"/>
    <n v="5"/>
    <n v="4"/>
    <n v="231"/>
    <s v="Yes"/>
    <x v="0"/>
    <x v="1"/>
    <s v="No Error"/>
    <x v="0"/>
    <n v="82.2"/>
    <n v="0"/>
    <n v="0.37"/>
    <s v="Account Verification"/>
    <s v="Yes"/>
    <s v="Account Verification"/>
    <s v="Resolved"/>
    <n v="43"/>
    <s v="No drop-off"/>
    <n v="4"/>
    <n v="45"/>
    <n v="19"/>
    <x v="1"/>
    <n v="1"/>
    <n v="1"/>
    <n v="0"/>
    <n v="1"/>
  </r>
  <r>
    <s v="NSF-000858"/>
    <s v="USR-00717"/>
    <s v="SES-2510-66139"/>
    <d v="2025-10-16T00:00:00"/>
    <s v="South West"/>
    <s v="Bath"/>
    <x v="0"/>
    <s v="18-24"/>
    <s v="Male"/>
    <s v="Web"/>
    <s v="Desktop"/>
    <s v="3-6 months"/>
    <s v="Premium"/>
    <s v="Affiliate"/>
    <x v="2"/>
    <s v="First Use"/>
    <s v="Progress Indicator"/>
    <s v="Control"/>
    <n v="5"/>
    <n v="5"/>
    <n v="129"/>
    <s v="No"/>
    <x v="0"/>
    <x v="1"/>
    <s v="No Error"/>
    <x v="0"/>
    <n v="110.73"/>
    <n v="0"/>
    <n v="0.37"/>
    <s v="No Support Contact"/>
    <s v="No"/>
    <s v="No Support Contact"/>
    <s v="Not Applicable"/>
    <m/>
    <s v="No drop-off"/>
    <n v="4"/>
    <n v="-8"/>
    <s v="0 days"/>
    <x v="1"/>
    <n v="1"/>
    <n v="1"/>
    <n v="0"/>
    <n v="1"/>
  </r>
  <r>
    <s v="NSF-001238"/>
    <s v="USR-00536"/>
    <s v="SES-2603-65518"/>
    <d v="2026-03-04T00:00:00"/>
    <s v="East Midlands"/>
    <s v="Leicester"/>
    <x v="1"/>
    <s v="25-34"/>
    <s v="Female"/>
    <s v="Ios"/>
    <s v="Iphone"/>
    <s v="3-6 months"/>
    <s v="Plus"/>
    <s v="Organic Search"/>
    <x v="0"/>
    <s v="Reactivated"/>
    <s v="No Experiment"/>
    <s v="Control"/>
    <n v="7"/>
    <n v="7"/>
    <n v="210"/>
    <s v="No"/>
    <x v="1"/>
    <x v="1"/>
    <s v="No Error"/>
    <x v="1"/>
    <n v="0"/>
    <n v="0"/>
    <n v="0"/>
    <s v="No Support Contact"/>
    <s v="No"/>
    <s v="No Support Contact"/>
    <s v="Not Applicable"/>
    <m/>
    <s v="No drop-off"/>
    <n v="3"/>
    <n v="20"/>
    <n v="5"/>
    <x v="0"/>
    <n v="0"/>
    <n v="0"/>
    <n v="0"/>
    <n v="0"/>
  </r>
  <r>
    <s v="NSF-000228"/>
    <s v="USR-00435"/>
    <s v="SES-2503-40458"/>
    <d v="2025-03-02T00:00:00"/>
    <s v="North West"/>
    <s v="Manchester"/>
    <x v="5"/>
    <s v="25-34"/>
    <s v="Female"/>
    <s v="Ios"/>
    <s v="Iphone"/>
    <s v="7-12 months"/>
    <s v="Plus"/>
    <s v="Referral"/>
    <x v="9"/>
    <s v="First Use"/>
    <s v="New Cta Copy"/>
    <s v="Treatment"/>
    <n v="5"/>
    <n v="3"/>
    <n v="179"/>
    <s v="Yes"/>
    <x v="0"/>
    <x v="1"/>
    <s v="No Error"/>
    <x v="0"/>
    <n v="172.27"/>
    <n v="0"/>
    <n v="0.17"/>
    <s v="No Support Contact"/>
    <s v="No"/>
    <s v="No Support Contact"/>
    <s v="Not Applicable"/>
    <m/>
    <s v="No drop-off"/>
    <n v="4"/>
    <n v="15"/>
    <n v="0"/>
    <x v="0"/>
    <n v="1"/>
    <n v="1"/>
    <n v="0"/>
    <n v="0"/>
  </r>
  <r>
    <s v="NSF-000875"/>
    <s v="USR-00542"/>
    <s v="SES-2510-69732"/>
    <d v="2025-10-10T00:00:00"/>
    <s v="North East"/>
    <s v="Durham"/>
    <x v="1"/>
    <s v="35-44"/>
    <s v="Female"/>
    <s v="Web"/>
    <s v="Desktop"/>
    <s v="7-12 months"/>
    <s v="Plus"/>
    <s v="Referral"/>
    <x v="1"/>
    <s v="First Use"/>
    <s v="Fee Transparency Panel"/>
    <s v="Control"/>
    <n v="4"/>
    <n v="4"/>
    <n v="75"/>
    <s v="No"/>
    <x v="0"/>
    <x v="1"/>
    <s v="No Error"/>
    <x v="0"/>
    <n v="135.56"/>
    <n v="0.23"/>
    <n v="0.17"/>
    <s v="Account Verification"/>
    <s v="Yes"/>
    <s v="Account Verification"/>
    <s v="Resolved"/>
    <n v="29"/>
    <s v="No drop-off"/>
    <n v="4"/>
    <n v="-3"/>
    <n v="0"/>
    <x v="1"/>
    <n v="1"/>
    <n v="1"/>
    <n v="0"/>
    <n v="1"/>
  </r>
  <r>
    <s v="NSF-000093"/>
    <s v="USR-00227"/>
    <s v="SES-2501-48605"/>
    <d v="2025-01-01T00:00:00"/>
    <s v="Northern Ireland"/>
    <s v="Belfast"/>
    <x v="3"/>
    <s v="25-34"/>
    <s v="Female"/>
    <s v="Web"/>
    <s v="Desktop"/>
    <s v="7-12 months"/>
    <s v="Premium"/>
    <s v="Affiliate"/>
    <x v="1"/>
    <s v="First Use"/>
    <s v="New Cta Copy"/>
    <s v="Control"/>
    <n v="4"/>
    <n v="99"/>
    <n v="88"/>
    <s v="No"/>
    <x v="0"/>
    <x v="1"/>
    <s v="No Error"/>
    <x v="1"/>
    <n v="0"/>
    <n v="0"/>
    <n v="0"/>
    <s v="No Support Contact"/>
    <s v="No"/>
    <s v="No Support Contact"/>
    <s v="Not Applicable"/>
    <m/>
    <s v="No drop-off"/>
    <n v="4"/>
    <n v="54"/>
    <n v="0"/>
    <x v="0"/>
    <n v="1"/>
    <n v="0"/>
    <n v="0"/>
    <n v="0"/>
  </r>
  <r>
    <s v="NSF-000709"/>
    <s v="USR-00776"/>
    <s v="SES-2508-66125"/>
    <d v="2025-08-21T00:00:00"/>
    <s v="Scotland"/>
    <s v="Dundee"/>
    <x v="0"/>
    <s v="65+"/>
    <s v="Female"/>
    <s v="Android"/>
    <s v="Android Phone"/>
    <s v="3-6 months"/>
    <s v="Free"/>
    <s v="Paid Search"/>
    <x v="5"/>
    <s v="Reactivated"/>
    <s v="Simplified Onboarding"/>
    <s v="Control"/>
    <n v="8"/>
    <n v="7"/>
    <n v="272"/>
    <s v="Yes"/>
    <x v="0"/>
    <x v="1"/>
    <s v="No Error"/>
    <x v="0"/>
    <n v="343.8"/>
    <n v="2.4500000000000002"/>
    <n v="0"/>
    <s v="No Support Contact"/>
    <s v="No"/>
    <s v="No Support Contact"/>
    <s v="Not Applicable"/>
    <m/>
    <s v="No drop-off"/>
    <n v="3"/>
    <n v="-37"/>
    <n v="14"/>
    <x v="0"/>
    <n v="1"/>
    <n v="1"/>
    <n v="0"/>
    <n v="0"/>
  </r>
  <r>
    <s v="NSF-001096"/>
    <s v="USR-00552"/>
    <s v="SES-2601-24990"/>
    <d v="2026-01-30T00:00:00"/>
    <s v="South East"/>
    <s v="Reading"/>
    <x v="5"/>
    <s v="25-34"/>
    <s v="Male"/>
    <s v="Android"/>
    <s v="Android Phone"/>
    <s v="&lt;3 months"/>
    <s v="Free"/>
    <s v="Direct"/>
    <x v="2"/>
    <s v="Repeat Use"/>
    <s v="New Cta Copy"/>
    <s v="Control"/>
    <n v="5"/>
    <n v="5"/>
    <n v="104"/>
    <s v="No"/>
    <x v="0"/>
    <x v="1"/>
    <s v="No Error"/>
    <x v="0"/>
    <n v="152.69999999999999"/>
    <n v="0"/>
    <n v="0"/>
    <s v="No Support Contact"/>
    <s v="No"/>
    <s v="No Support Contact"/>
    <s v="Not Applicable"/>
    <m/>
    <s v="No drop-off"/>
    <n v="3"/>
    <n v="33"/>
    <n v="50"/>
    <x v="0"/>
    <n v="1"/>
    <n v="1"/>
    <n v="0"/>
    <n v="0"/>
  </r>
  <r>
    <s v="NSF-000777"/>
    <s v="USR-00356"/>
    <s v="SES-2509-63466"/>
    <d v="2025-09-07T00:00:00"/>
    <s v="North East"/>
    <s v="Sunderland"/>
    <x v="0"/>
    <s v="35-44"/>
    <s v="Female"/>
    <s v="Ios"/>
    <s v="Ipad"/>
    <s v="2+ years"/>
    <s v="Free"/>
    <s v="App Store"/>
    <x v="10"/>
    <s v="Reactivated"/>
    <s v="Progress Indicator"/>
    <s v="Treatment"/>
    <n v="9"/>
    <n v="9"/>
    <n v="250"/>
    <s v="No"/>
    <x v="0"/>
    <x v="1"/>
    <s v="No Error"/>
    <x v="1"/>
    <n v="0"/>
    <n v="0"/>
    <n v="0"/>
    <s v="No Support Contact"/>
    <s v="No"/>
    <s v="No Support Contact"/>
    <s v="Not Applicable"/>
    <m/>
    <s v="No drop-off"/>
    <n v="4"/>
    <n v="-21"/>
    <n v="40"/>
    <x v="1"/>
    <n v="1"/>
    <n v="0"/>
    <n v="0"/>
    <n v="1"/>
  </r>
  <r>
    <s v="NSF-001291"/>
    <s v="USR-00490"/>
    <s v="SES-2604-37483"/>
    <d v="2026-04-15T00:00:00"/>
    <s v="North West"/>
    <s v="Liverpool"/>
    <x v="2"/>
    <s v="55-64"/>
    <s v="Male"/>
    <s v="Android"/>
    <s v="Android Phone"/>
    <s v="7-12 months"/>
    <s v="Free"/>
    <s v="Affiliate"/>
    <x v="7"/>
    <s v="Reactivated"/>
    <s v="No Experiment"/>
    <s v="Control"/>
    <n v="4"/>
    <n v="4"/>
    <n v="103"/>
    <s v="No"/>
    <x v="1"/>
    <x v="1"/>
    <s v="No Error"/>
    <x v="1"/>
    <n v="0"/>
    <n v="0"/>
    <n v="0"/>
    <s v="No Support Contact"/>
    <s v="No"/>
    <s v="No Support Contact"/>
    <s v="Not Applicable"/>
    <m/>
    <s v="Instructions unclear"/>
    <n v="5"/>
    <n v="55"/>
    <n v="37"/>
    <x v="0"/>
    <n v="0"/>
    <n v="0"/>
    <n v="0"/>
    <n v="0"/>
  </r>
  <r>
    <s v="NSF-000846"/>
    <s v="USR-00249"/>
    <s v="SES-2510-57213"/>
    <d v="2025-10-05T00:00:00"/>
    <s v="South West"/>
    <s v="Gloucester"/>
    <x v="7"/>
    <s v="25-34"/>
    <s v="Non-Binary"/>
    <s v="Android"/>
    <s v="Android Phone"/>
    <s v="7-12 months"/>
    <s v="Plus"/>
    <s v="Organic Search"/>
    <x v="3"/>
    <s v="Trial/Exploration"/>
    <s v="Fee Transparency Panel"/>
    <s v="Treatment"/>
    <n v="6"/>
    <n v="6"/>
    <n v="149"/>
    <s v="No"/>
    <x v="1"/>
    <x v="1"/>
    <s v="No Error"/>
    <x v="1"/>
    <n v="0"/>
    <n v="0"/>
    <n v="0"/>
    <s v="No Support Contact"/>
    <s v="No"/>
    <s v="No Support Contact"/>
    <s v="Not Applicable"/>
    <m/>
    <s v="Too many steps"/>
    <n v="3"/>
    <n v="50"/>
    <s v="19 days"/>
    <x v="0"/>
    <n v="0"/>
    <n v="0"/>
    <n v="0"/>
    <n v="0"/>
  </r>
  <r>
    <s v="NSF-000581"/>
    <s v="USR-00160"/>
    <s v="SES-2507-74996"/>
    <d v="2025-07-03T00:00:00"/>
    <s v="East Midlands"/>
    <s v="Leicester"/>
    <x v="0"/>
    <s v="25-34"/>
    <s v="Female"/>
    <s v="Ios"/>
    <s v="Iphone"/>
    <s v="1-2 years"/>
    <s v="Basic"/>
    <s v="Direct"/>
    <x v="0"/>
    <s v="Repeat Use"/>
    <s v="No Experiment"/>
    <s v="Control"/>
    <n v="7"/>
    <s v="7 steps"/>
    <n v="257"/>
    <s v="No"/>
    <x v="0"/>
    <x v="0"/>
    <s v="Bank Feed Mismatch"/>
    <x v="0"/>
    <n v="0"/>
    <n v="0"/>
    <n v="0"/>
    <s v="No Support Contact"/>
    <s v="No"/>
    <s v="No Support Contact"/>
    <s v="Not Applicable"/>
    <m/>
    <s v="No drop-off"/>
    <n v="3"/>
    <n v="52"/>
    <n v="5"/>
    <x v="0"/>
    <n v="1"/>
    <n v="1"/>
    <n v="1"/>
    <n v="0"/>
  </r>
  <r>
    <s v="NSF-000004"/>
    <s v="USR-00185"/>
    <s v="SES-2501-47303"/>
    <d v="2025-01-13T00:00:00"/>
    <s v="Scotland"/>
    <s v="Glasgow"/>
    <x v="4"/>
    <s v="35-44"/>
    <s v="Female"/>
    <s v="Web"/>
    <s v="Tablet Browser"/>
    <s v="7-12 months"/>
    <s v="Free"/>
    <s v="Referral"/>
    <x v="1"/>
    <s v="Reactivated"/>
    <s v="Simplified Onboarding"/>
    <s v="Treatment"/>
    <n v="4"/>
    <n v="4"/>
    <n v="92"/>
    <s v="No"/>
    <x v="0"/>
    <x v="1"/>
    <s v="No Error"/>
    <x v="0"/>
    <n v="138.51"/>
    <n v="0.18"/>
    <n v="0"/>
    <s v="No Support Contact"/>
    <s v="No"/>
    <s v="No Support Contact"/>
    <s v="Not Applicable"/>
    <m/>
    <s v="No drop-off"/>
    <n v="4"/>
    <n v="74"/>
    <n v="15"/>
    <x v="1"/>
    <n v="1"/>
    <n v="1"/>
    <n v="0"/>
    <n v="1"/>
  </r>
  <r>
    <s v="NSF-000227"/>
    <s v="USR-00122"/>
    <s v="SES-2503-39404"/>
    <d v="2025-03-20T00:00:00"/>
    <s v="North East"/>
    <s v="Durham"/>
    <x v="1"/>
    <s v="45-54"/>
    <s v="Male"/>
    <s v="Android"/>
    <s v="Android Phone"/>
    <s v="3-6 months"/>
    <s v="Premium"/>
    <s v="Affiliate"/>
    <x v="4"/>
    <s v="Repeat Use"/>
    <s v="Simplified Onboarding"/>
    <s v="Treatment"/>
    <n v="6"/>
    <n v="6"/>
    <n v="174"/>
    <s v="No"/>
    <x v="1"/>
    <x v="1"/>
    <s v="No Error"/>
    <x v="0"/>
    <n v="7.83"/>
    <n v="0"/>
    <n v="0.37"/>
    <s v="No Support Contact"/>
    <s v="No"/>
    <s v="No Support Contact"/>
    <s v="Not Applicable"/>
    <m/>
    <s v="No drop-off"/>
    <n v="4"/>
    <n v="28"/>
    <n v="18"/>
    <x v="1"/>
    <n v="0"/>
    <n v="1"/>
    <n v="0"/>
    <n v="1"/>
  </r>
  <r>
    <s v="NSF-000217"/>
    <s v="USR-00429"/>
    <s v="SES-2503-98033"/>
    <d v="2025-03-10T00:00:00"/>
    <s v="Wales"/>
    <s v="Cardiff"/>
    <x v="2"/>
    <s v="35-44"/>
    <s v="Male"/>
    <s v="Android"/>
    <s v="Android Phone"/>
    <s v="3-6 months"/>
    <s v="Free"/>
    <s v="Direct"/>
    <x v="9"/>
    <s v="Trial/Exploration"/>
    <s v="No Experiment"/>
    <s v="Control"/>
    <n v="5"/>
    <n v="5"/>
    <n v="97"/>
    <s v="No"/>
    <x v="0"/>
    <x v="1"/>
    <s v="No Error"/>
    <x v="0"/>
    <n v="149.76"/>
    <n v="0"/>
    <n v="0"/>
    <s v="No Support Contact"/>
    <s v="No"/>
    <s v="No Support Contact"/>
    <s v="Not Applicable"/>
    <m/>
    <s v="No drop-off"/>
    <n v="4"/>
    <n v="31"/>
    <n v="45"/>
    <x v="2"/>
    <n v="1"/>
    <n v="1"/>
    <n v="0"/>
    <n v="0"/>
  </r>
  <r>
    <s v="NSF-001065"/>
    <s v="USR-00437"/>
    <s v="SES-2512-47272"/>
    <d v="2025-12-26T00:00:00"/>
    <s v="South East"/>
    <s v="Oxford"/>
    <x v="2"/>
    <s v="25-34"/>
    <s v="Female"/>
    <s v="Ios"/>
    <s v="Iphone"/>
    <s v="1-2 years"/>
    <s v="Premium"/>
    <s v="Referral"/>
    <x v="9"/>
    <s v="First Use"/>
    <s v="Simplified Onboarding"/>
    <s v="Control"/>
    <n v="5"/>
    <n v="5"/>
    <n v="127"/>
    <s v="No"/>
    <x v="0"/>
    <x v="1"/>
    <s v="No Error"/>
    <x v="0"/>
    <n v="121.25"/>
    <n v="0"/>
    <n v="0.37"/>
    <s v="No Support Contact"/>
    <s v="No"/>
    <s v="No Support Contact"/>
    <s v="Not Applicable"/>
    <m/>
    <s v="No drop-off"/>
    <n v="4"/>
    <n v="16"/>
    <n v="0"/>
    <x v="2"/>
    <n v="1"/>
    <n v="1"/>
    <n v="0"/>
    <n v="0"/>
  </r>
  <r>
    <s v="NSF-000444"/>
    <s v="USR-00591"/>
    <s v="SES-2505-44283"/>
    <d v="2025-05-26T00:00:00"/>
    <s v="North West"/>
    <s v="Preston"/>
    <x v="3"/>
    <s v="35-44"/>
    <s v="Female"/>
    <s v="Android"/>
    <s v="Android Phone"/>
    <s v="&lt;3 months"/>
    <s v="Premium"/>
    <s v="Paid Social"/>
    <x v="1"/>
    <s v="Trial/Exploration"/>
    <s v="Simplified Onboarding"/>
    <s v="Control"/>
    <n v="4"/>
    <n v="4"/>
    <n v="91"/>
    <s v="No"/>
    <x v="0"/>
    <x v="1"/>
    <s v="No Error"/>
    <x v="1"/>
    <n v="0"/>
    <n v="0"/>
    <n v="0"/>
    <s v="No Support Contact"/>
    <s v="No"/>
    <s v="No Support Contact"/>
    <s v="Not Applicable"/>
    <m/>
    <s v="No drop-off"/>
    <n v="4"/>
    <n v="47"/>
    <n v="38"/>
    <x v="1"/>
    <n v="1"/>
    <n v="0"/>
    <n v="0"/>
    <n v="1"/>
  </r>
  <r>
    <s v="NSF-001310"/>
    <s v="USR-00790"/>
    <s v="SES-2604-47816"/>
    <d v="2026-04-04T00:00:00"/>
    <s v="South East"/>
    <s v="Brighton"/>
    <x v="7"/>
    <s v="18-24"/>
    <s v="Female"/>
    <s v="Android"/>
    <s v="Android Phone"/>
    <s v="2+ years"/>
    <s v="Plus"/>
    <s v="App Store"/>
    <x v="7"/>
    <s v="Repeat Use"/>
    <s v="No Experiment"/>
    <s v="Control"/>
    <n v="4"/>
    <n v="4"/>
    <n v="81"/>
    <s v="No"/>
    <x v="0"/>
    <x v="1"/>
    <s v="No Error"/>
    <x v="1"/>
    <n v="0"/>
    <n v="0"/>
    <n v="0"/>
    <s v="Feature Navigation"/>
    <s v="Yes"/>
    <s v="Feature Navigation"/>
    <s v="Resolved"/>
    <n v="33"/>
    <s v="No drop-off"/>
    <n v="5"/>
    <n v="20"/>
    <n v="75"/>
    <x v="0"/>
    <n v="1"/>
    <n v="0"/>
    <n v="0"/>
    <n v="0"/>
  </r>
  <r>
    <s v="NSF-000028"/>
    <s v="USR-00096"/>
    <s v="SES-2501-85116"/>
    <d v="2025-01-10T00:00:00"/>
    <s v="Scotland"/>
    <s v="Edinburgh"/>
    <x v="2"/>
    <s v="55-64"/>
    <s v="Male"/>
    <s v="Web"/>
    <s v="Desktop"/>
    <s v="7-12 months"/>
    <s v="Free"/>
    <s v="Referral"/>
    <x v="1"/>
    <s v="Repeat Use"/>
    <s v="Simplified Onboarding"/>
    <s v="Control"/>
    <n v="4"/>
    <n v="4"/>
    <n v="85"/>
    <s v="No"/>
    <x v="0"/>
    <x v="1"/>
    <s v="No Error"/>
    <x v="0"/>
    <n v="179.22"/>
    <n v="0.18"/>
    <n v="0"/>
    <s v="No Support Contact"/>
    <s v="No"/>
    <s v="No Support Contact"/>
    <s v="Not Applicable"/>
    <m/>
    <s v="No drop-off"/>
    <n v="4"/>
    <n v="63"/>
    <n v="13"/>
    <x v="1"/>
    <n v="1"/>
    <n v="1"/>
    <n v="0"/>
    <n v="1"/>
  </r>
  <r>
    <s v="NSF-000650"/>
    <s v="USR-00845"/>
    <s v="SES-2507-14002"/>
    <d v="2025-07-27T00:00:00"/>
    <s v="North West"/>
    <s v="Liverpool"/>
    <x v="2"/>
    <s v="35-44"/>
    <s v="Female"/>
    <s v="Ios"/>
    <s v="Iphone"/>
    <s v="1-2 years"/>
    <s v="Free"/>
    <s v="Paid Search"/>
    <x v="10"/>
    <s v="First Use"/>
    <s v="No Experiment"/>
    <s v="Control"/>
    <n v="9"/>
    <n v="7"/>
    <n v="326"/>
    <s v="Yes"/>
    <x v="1"/>
    <x v="1"/>
    <s v="No Error"/>
    <x v="1"/>
    <n v="0"/>
    <n v="0"/>
    <n v="0"/>
    <s v="No Support Contact"/>
    <s v="No"/>
    <s v="No Support Contact"/>
    <s v="Not Applicable"/>
    <m/>
    <s v="Unexpected fee"/>
    <n v="2"/>
    <n v="-29"/>
    <n v="0"/>
    <x v="2"/>
    <n v="0"/>
    <n v="0"/>
    <n v="0"/>
    <n v="0"/>
  </r>
  <r>
    <s v="NSF-000377"/>
    <s v="USR-00221"/>
    <s v="SES-2504-49537"/>
    <d v="2025-04-25T00:00:00"/>
    <s v="Northern Ireland"/>
    <s v="Lisburn"/>
    <x v="5"/>
    <s v="18-24"/>
    <s v="Female"/>
    <s v="Web"/>
    <s v="Desktop"/>
    <s v="7-12 months"/>
    <s v="Plus"/>
    <s v="Paid Social"/>
    <x v="9"/>
    <s v="Repeat Use"/>
    <s v="Progress Indicator"/>
    <s v="Control"/>
    <n v="5"/>
    <n v="5"/>
    <n v="90"/>
    <s v="No"/>
    <x v="1"/>
    <x v="1"/>
    <s v="No Error"/>
    <x v="0"/>
    <n v="108.38"/>
    <n v="0"/>
    <n v="0.17"/>
    <s v="No Support Contact"/>
    <s v="No"/>
    <s v="No Support Contact"/>
    <s v="Not Applicable"/>
    <m/>
    <s v="Instructions unclear"/>
    <n v="3"/>
    <n v="25"/>
    <n v="45"/>
    <x v="1"/>
    <n v="0"/>
    <n v="1"/>
    <n v="0"/>
    <n v="1"/>
  </r>
  <r>
    <s v="NSF-000604"/>
    <s v="USR-00807"/>
    <s v="SES-2507-69879"/>
    <d v="2025-07-24T00:00:00"/>
    <s v="Northern Ireland"/>
    <s v="Lisburn"/>
    <x v="3"/>
    <s v="18-24"/>
    <s v="Female"/>
    <s v="Web"/>
    <s v="Desktop"/>
    <s v="7-12 months"/>
    <s v="Free"/>
    <s v="Paid Social"/>
    <x v="0"/>
    <s v="Repeat Use"/>
    <s v="Simplified Onboarding"/>
    <s v="Control"/>
    <n v="7"/>
    <n v="7"/>
    <n v="206"/>
    <s v="No"/>
    <x v="0"/>
    <x v="1"/>
    <s v="No Error"/>
    <x v="1"/>
    <n v="0"/>
    <n v="0"/>
    <n v="0"/>
    <s v="No Support Contact"/>
    <s v="No"/>
    <s v="No Support Contact"/>
    <s v="Not Applicable"/>
    <m/>
    <s v="No drop-off"/>
    <n v="3"/>
    <n v="-25"/>
    <n v="39"/>
    <x v="1"/>
    <n v="1"/>
    <n v="0"/>
    <n v="0"/>
    <n v="1"/>
  </r>
  <r>
    <s v="NSF-001109"/>
    <s v="USR-00162"/>
    <s v="SES-2601-34015"/>
    <d v="2026-01-04T00:00:00"/>
    <s v="West Midlands"/>
    <s v="Birmingham"/>
    <x v="3"/>
    <s v="25-34"/>
    <s v="Female"/>
    <s v="Web"/>
    <s v="Mobile Browser"/>
    <s v="1-2 years"/>
    <s v="Free"/>
    <s v="Paid Search"/>
    <x v="2"/>
    <s v="First Use"/>
    <s v="Fee Transparency Panel"/>
    <s v="Treatment"/>
    <n v="5"/>
    <n v="4"/>
    <n v="190"/>
    <s v="Yes"/>
    <x v="0"/>
    <x v="1"/>
    <s v="No Error"/>
    <x v="0"/>
    <n v="80.11"/>
    <n v="0"/>
    <n v="0"/>
    <s v="No Support Contact"/>
    <s v="No"/>
    <s v="No Support Contact"/>
    <s v="Not Applicable"/>
    <m/>
    <s v="No drop-off"/>
    <n v="4"/>
    <n v="15"/>
    <n v="0"/>
    <x v="1"/>
    <n v="1"/>
    <n v="1"/>
    <n v="0"/>
    <n v="1"/>
  </r>
  <r>
    <s v="NSF-000465"/>
    <s v="USR-00479"/>
    <s v="SES-2505-21229"/>
    <d v="2025-05-06T00:00:00"/>
    <s v="London"/>
    <s v="Hackney"/>
    <x v="1"/>
    <s v="35-44"/>
    <s v="Non-Binary"/>
    <s v="Android"/>
    <s v="Android Phone"/>
    <s v="3-6 months"/>
    <s v="Free"/>
    <s v="Affiliate"/>
    <x v="5"/>
    <s v="Repeat Use"/>
    <s v="No Experiment"/>
    <s v="Control"/>
    <n v="8"/>
    <n v="5"/>
    <n v="392"/>
    <s v="Yes"/>
    <x v="1"/>
    <x v="1"/>
    <s v="No Error"/>
    <x v="0"/>
    <n v="395.75"/>
    <n v="2.57"/>
    <n v="0"/>
    <s v="No Support Contact"/>
    <s v="No"/>
    <s v="No Support Contact"/>
    <s v="Not Applicable"/>
    <m/>
    <s v="Too many steps"/>
    <n v="3"/>
    <n v="-31"/>
    <s v="1 days"/>
    <x v="0"/>
    <n v="0"/>
    <n v="1"/>
    <n v="0"/>
    <n v="0"/>
  </r>
  <r>
    <s v="NSF-001160"/>
    <s v="USR-00278"/>
    <s v="SES-2602-26284"/>
    <d v="2026-02-01T00:00:00"/>
    <s v="North East"/>
    <s v="Newcastle"/>
    <x v="0"/>
    <s v="25-34"/>
    <s v="Female"/>
    <s v="Ios"/>
    <s v="Iphone"/>
    <s v="1-2 years"/>
    <s v="Free"/>
    <s v="Organic Search"/>
    <x v="2"/>
    <s v="Reactivated"/>
    <s v="Contextual Help"/>
    <s v="Treatment"/>
    <n v="5"/>
    <n v="5"/>
    <n v="140"/>
    <s v="No"/>
    <x v="0"/>
    <x v="1"/>
    <s v="No Error"/>
    <x v="0"/>
    <n v="70.349999999999994"/>
    <n v="0"/>
    <n v="0"/>
    <s v="No Support Contact"/>
    <s v="No"/>
    <s v="No Support Contact"/>
    <s v="Not Applicable"/>
    <m/>
    <s v="No drop-off"/>
    <n v="3"/>
    <n v="3"/>
    <n v="55"/>
    <x v="0"/>
    <n v="1"/>
    <n v="1"/>
    <n v="0"/>
    <n v="0"/>
  </r>
  <r>
    <s v="NSF-000499"/>
    <s v="USR-00542"/>
    <s v="SES-2506-11222"/>
    <d v="2025-06-15T00:00:00"/>
    <s v="East Midlands"/>
    <s v="Derby"/>
    <x v="0"/>
    <s v="25-34"/>
    <s v="Female"/>
    <s v="Android"/>
    <s v="Android Phone"/>
    <s v="3-6 months"/>
    <s v="Free"/>
    <s v="Organic Search"/>
    <x v="2"/>
    <s v="First Use"/>
    <s v="No Experiment"/>
    <s v="Control"/>
    <n v="5"/>
    <n v="5"/>
    <n v="158"/>
    <s v="No"/>
    <x v="0"/>
    <x v="1"/>
    <s v="No Error"/>
    <x v="0"/>
    <n v="54.51"/>
    <n v="0"/>
    <n v="0"/>
    <s v="No Support Contact"/>
    <s v="No"/>
    <s v="No Support Contact"/>
    <s v="Not Applicable"/>
    <m/>
    <s v="No drop-off"/>
    <n v="5"/>
    <n v="1"/>
    <n v="0"/>
    <x v="1"/>
    <n v="1"/>
    <n v="1"/>
    <n v="0"/>
    <n v="1"/>
  </r>
  <r>
    <s v="NSF-000626"/>
    <s v="USR-00216"/>
    <s v="SES-2507-27577"/>
    <d v="2025-07-31T00:00:00"/>
    <s v="North East"/>
    <s v="Middlesbrough"/>
    <x v="0"/>
    <s v="25-34"/>
    <s v="Female"/>
    <s v="Android"/>
    <s v="Android Phone"/>
    <s v="1-2 years"/>
    <s v="Plus"/>
    <s v="Affiliate"/>
    <x v="0"/>
    <s v="Trial/Exploration"/>
    <s v="No Experiment"/>
    <s v="Control"/>
    <n v="7"/>
    <n v="7"/>
    <n v="174"/>
    <s v="No"/>
    <x v="0"/>
    <x v="1"/>
    <s v="No Error"/>
    <x v="0"/>
    <n v="39.479999999999997"/>
    <n v="0"/>
    <n v="0.17"/>
    <s v="No Support Contact"/>
    <s v="No"/>
    <s v="No Support Contact"/>
    <s v="Not Applicable"/>
    <m/>
    <s v="No drop-off"/>
    <n v="4"/>
    <n v="14"/>
    <n v="33"/>
    <x v="0"/>
    <n v="1"/>
    <n v="1"/>
    <n v="0"/>
    <n v="0"/>
  </r>
  <r>
    <s v="NSF-000437"/>
    <s v="USR-00680"/>
    <s v="SES-2505-57421"/>
    <d v="2025-05-15T00:00:00"/>
    <s v="East England"/>
    <s v="Norwich"/>
    <x v="5"/>
    <s v="35-44"/>
    <s v="Female"/>
    <s v="Ios"/>
    <s v="Iphone"/>
    <s v="2+ years"/>
    <s v="Free"/>
    <s v="Affiliate"/>
    <x v="2"/>
    <s v="Reactivated"/>
    <s v="No Experiment"/>
    <s v="Control"/>
    <n v="5"/>
    <n v="5"/>
    <n v="103"/>
    <s v="No"/>
    <x v="0"/>
    <x v="1"/>
    <s v="No Error"/>
    <x v="0"/>
    <n v="24.87"/>
    <n v="0"/>
    <n v="0"/>
    <s v="No Support Contact"/>
    <s v="No"/>
    <s v="No Support Contact"/>
    <s v="Not Applicable"/>
    <m/>
    <s v="No drop-off"/>
    <n v="3"/>
    <n v="6"/>
    <n v="31"/>
    <x v="1"/>
    <n v="1"/>
    <n v="1"/>
    <n v="0"/>
    <n v="1"/>
  </r>
  <r>
    <s v="NSF-000470"/>
    <s v="USR-00345"/>
    <s v="SES-2505-51457"/>
    <d v="2025-05-23T00:00:00"/>
    <s v="Yorkshire &amp; Humber"/>
    <s v="Sheffield"/>
    <x v="2"/>
    <s v="25-34"/>
    <s v="Male"/>
    <s v="Ios"/>
    <s v="Iphone"/>
    <s v="1-2 years"/>
    <s v="Pro"/>
    <s v="Paid Search"/>
    <x v="3"/>
    <s v="First Use"/>
    <s v="New Cta Copy"/>
    <s v="Treatment"/>
    <n v="6"/>
    <n v="6"/>
    <n v="122"/>
    <s v="No"/>
    <x v="0"/>
    <x v="1"/>
    <s v="No Error"/>
    <x v="0"/>
    <n v="27.96"/>
    <n v="0.09"/>
    <n v="0.37"/>
    <s v="No Support Contact"/>
    <s v="No"/>
    <s v="No Support Contact"/>
    <s v="Not Applicable"/>
    <m/>
    <s v="No drop-off"/>
    <n v="5"/>
    <n v="58"/>
    <n v="0"/>
    <x v="1"/>
    <n v="1"/>
    <n v="1"/>
    <n v="0"/>
    <n v="1"/>
  </r>
  <r>
    <s v="NSF-000652"/>
    <s v="USR-00808"/>
    <s v="SES-2507-44279"/>
    <d v="2025-07-01T00:00:00"/>
    <s v="London"/>
    <s v="Hammersmith"/>
    <x v="7"/>
    <s v="18-24"/>
    <s v="Non-Binary"/>
    <s v="Android"/>
    <s v="Android Phone"/>
    <s v="2+ years"/>
    <s v="Free"/>
    <s v="Direct"/>
    <x v="2"/>
    <s v="Repeat Use"/>
    <s v="No Experiment"/>
    <s v="Control"/>
    <n v="5"/>
    <s v="5 steps"/>
    <n v="144"/>
    <s v="No"/>
    <x v="1"/>
    <x v="1"/>
    <s v="No Error"/>
    <x v="0"/>
    <n v="92.43"/>
    <n v="0"/>
    <n v="0"/>
    <s v="No Support Contact"/>
    <s v="No"/>
    <s v="No Support Contact"/>
    <s v="Not Applicable"/>
    <m/>
    <s v="Unexpected fee"/>
    <n v="4"/>
    <n v="24"/>
    <n v="19"/>
    <x v="0"/>
    <n v="0"/>
    <n v="1"/>
    <n v="0"/>
    <n v="0"/>
  </r>
  <r>
    <s v="NSF-000208"/>
    <s v="USR-00834"/>
    <s v="SES-2503-54426"/>
    <d v="2025-03-15T00:00:00"/>
    <s v="London"/>
    <s v="Croydon"/>
    <x v="3"/>
    <s v="25-34"/>
    <s v="Female"/>
    <s v="Android"/>
    <s v="Android Phone"/>
    <s v="1-2 years"/>
    <s v="Plus"/>
    <s v="Referral"/>
    <x v="5"/>
    <s v="Repeat Use"/>
    <s v="Fee Transparency Panel"/>
    <s v="Treatment"/>
    <n v="8"/>
    <n v="8"/>
    <n v="238"/>
    <s v="No"/>
    <x v="0"/>
    <x v="1"/>
    <s v="No Error"/>
    <x v="0"/>
    <n v="417.01"/>
    <n v="2.36"/>
    <n v="0.17"/>
    <s v="No Support Contact"/>
    <s v="No"/>
    <s v="No Support Contact"/>
    <s v="Not Applicable"/>
    <m/>
    <s v="No drop-off"/>
    <n v="3"/>
    <n v="17"/>
    <n v="22"/>
    <x v="1"/>
    <n v="1"/>
    <n v="1"/>
    <n v="0"/>
    <n v="1"/>
  </r>
  <r>
    <s v="NSF-001227"/>
    <s v="USR-00659"/>
    <s v="SES-2603-60710"/>
    <d v="2026-03-20T00:00:00"/>
    <s v="North West"/>
    <s v="Chester"/>
    <x v="7"/>
    <s v="25-34"/>
    <s v="Male"/>
    <s v="Android"/>
    <s v="Android Phone"/>
    <s v="1-2 years"/>
    <s v="Free"/>
    <s v="Paid Social"/>
    <x v="4"/>
    <s v="Repeat Use"/>
    <s v="Fee Transparency Panel"/>
    <s v="Control"/>
    <n v="6"/>
    <n v="6"/>
    <n v="207"/>
    <s v="No"/>
    <x v="1"/>
    <x v="0"/>
    <s v="Insight Unclear"/>
    <x v="1"/>
    <n v="0"/>
    <n v="0"/>
    <n v="0"/>
    <s v="Feature Navigation"/>
    <s v="Yes"/>
    <s v="Feature Navigation"/>
    <s v="Resolved"/>
    <n v="9"/>
    <s v="Instructions unclear"/>
    <n v="4"/>
    <n v="-13"/>
    <n v="32"/>
    <x v="1"/>
    <n v="0"/>
    <n v="0"/>
    <n v="1"/>
    <n v="1"/>
  </r>
  <r>
    <s v="NSF-000041"/>
    <s v="USR-00781"/>
    <s v="SES-2501-76738"/>
    <d v="2025-01-31T00:00:00"/>
    <s v="Yorkshire &amp; Humber"/>
    <s v="Hull"/>
    <x v="4"/>
    <s v="55-64"/>
    <s v="Female"/>
    <s v="Ios"/>
    <s v="Iphone"/>
    <s v="3-6 months"/>
    <s v="Plus"/>
    <s v="Affiliate"/>
    <x v="3"/>
    <s v="Repeat Use"/>
    <s v="Simplified Onboarding"/>
    <s v="Treatment"/>
    <n v="6"/>
    <n v="6"/>
    <n v="181"/>
    <s v="No"/>
    <x v="0"/>
    <x v="1"/>
    <s v="No Error"/>
    <x v="0"/>
    <n v="102.44"/>
    <n v="0.11"/>
    <n v="0.17"/>
    <s v="No Support Contact"/>
    <s v="No"/>
    <s v="No Support Contact"/>
    <s v="Not Applicable"/>
    <m/>
    <s v="No drop-off"/>
    <n v="4"/>
    <n v="35"/>
    <n v="22"/>
    <x v="0"/>
    <n v="1"/>
    <n v="1"/>
    <n v="0"/>
    <n v="0"/>
  </r>
  <r>
    <s v="NSF-000862"/>
    <s v="USR-00567"/>
    <s v="SES-2510-35955"/>
    <d v="2025-10-28T00:00:00"/>
    <s v="East England"/>
    <s v="Luton"/>
    <x v="1"/>
    <s v="45-54"/>
    <s v="Male"/>
    <s v="Ios"/>
    <s v="Iphone"/>
    <s v="3-6 months"/>
    <s v="Premium"/>
    <s v="Direct"/>
    <x v="5"/>
    <s v="Repeat Use"/>
    <s v="No Experiment"/>
    <s v="Control"/>
    <n v="8"/>
    <n v="6"/>
    <n v="249"/>
    <s v="Yes"/>
    <x v="0"/>
    <x v="1"/>
    <s v="No Error"/>
    <x v="0"/>
    <n v="471.65"/>
    <n v="2.4700000000000002"/>
    <n v="0.37"/>
    <s v="No Support Contact"/>
    <s v="No"/>
    <s v="No Support Contact"/>
    <s v="Not Applicable"/>
    <m/>
    <s v="No drop-off"/>
    <n v="3"/>
    <n v="-24"/>
    <n v="62"/>
    <x v="1"/>
    <n v="1"/>
    <n v="1"/>
    <n v="0"/>
    <n v="1"/>
  </r>
  <r>
    <s v="NSF-000592"/>
    <s v="usr-00390"/>
    <s v="SES-2507-50433"/>
    <d v="2025-07-19T00:00:00"/>
    <s v="East Midlands"/>
    <s v="Derby"/>
    <x v="5"/>
    <s v="35-44"/>
    <s v="Female"/>
    <s v="Ios"/>
    <s v="Iphone"/>
    <s v="3-6 months"/>
    <s v="Free"/>
    <s v="Paid Search"/>
    <x v="4"/>
    <s v="Repeat Use"/>
    <s v="No Experiment"/>
    <s v="Control"/>
    <n v="6"/>
    <n v="6"/>
    <n v="170"/>
    <s v="No"/>
    <x v="1"/>
    <x v="1"/>
    <s v="No Error"/>
    <x v="0"/>
    <n v="0"/>
    <n v="0"/>
    <n v="0"/>
    <s v="No Support Contact"/>
    <s v="No"/>
    <s v="No Support Contact"/>
    <s v="Not Applicable"/>
    <m/>
    <s v="Unexpected fee"/>
    <n v="3"/>
    <n v="31"/>
    <s v="24 days"/>
    <x v="0"/>
    <n v="0"/>
    <n v="1"/>
    <n v="0"/>
    <n v="0"/>
  </r>
  <r>
    <s v="NSF-000403"/>
    <s v="USR-00665"/>
    <s v="SES-2505-14381"/>
    <d v="2025-05-19T00:00:00"/>
    <s v="Yorkshire &amp; Humber"/>
    <s v="Hull"/>
    <x v="1"/>
    <s v="25-34"/>
    <s v="Female"/>
    <s v="Ios"/>
    <s v="Iphone"/>
    <s v="7-12 months"/>
    <s v="Free"/>
    <s v="Affiliate"/>
    <x v="0"/>
    <s v="First Use"/>
    <s v="Fee Transparency Panel"/>
    <s v="Control"/>
    <n v="7"/>
    <n v="7"/>
    <n v="182"/>
    <s v="No"/>
    <x v="1"/>
    <x v="1"/>
    <s v="No Error"/>
    <x v="0"/>
    <n v="9.35"/>
    <n v="0"/>
    <n v="0"/>
    <s v="No Support Contact"/>
    <s v="No"/>
    <s v="No Support Contact"/>
    <s v="Not Applicable"/>
    <m/>
    <s v="No drop-off"/>
    <n v="2"/>
    <n v="10"/>
    <n v="0"/>
    <x v="0"/>
    <n v="0"/>
    <n v="1"/>
    <n v="0"/>
    <n v="0"/>
  </r>
  <r>
    <s v="NSF-000404"/>
    <s v="USR-00651"/>
    <s v="SES-2505-95169"/>
    <d v="2025-05-02T00:00:00"/>
    <s v="East Midlands"/>
    <s v="Leicester"/>
    <x v="0"/>
    <s v="25-34"/>
    <s v="Female"/>
    <s v="Android"/>
    <s v="Android Phone"/>
    <s v="2+ years"/>
    <s v="Free"/>
    <s v="App Store"/>
    <x v="7"/>
    <s v="Repeat Use"/>
    <s v="Progress Indicator"/>
    <s v="Treatment"/>
    <n v="4"/>
    <s v="4 steps"/>
    <n v="91"/>
    <s v="No"/>
    <x v="0"/>
    <x v="1"/>
    <s v="No Error"/>
    <x v="0"/>
    <n v="135.52000000000001"/>
    <n v="0.45"/>
    <n v="0"/>
    <s v="No Support Contact"/>
    <s v="No"/>
    <s v="No Support Contact"/>
    <s v="Not Applicable"/>
    <m/>
    <s v="No drop-off"/>
    <n v="5"/>
    <n v="76"/>
    <s v="38 days"/>
    <x v="0"/>
    <n v="1"/>
    <n v="1"/>
    <n v="0"/>
    <n v="0"/>
  </r>
  <r>
    <s v="NSF-000667"/>
    <s v="USR-00049"/>
    <s v="SES-2508-46112"/>
    <d v="2025-08-30T00:00:00"/>
    <s v="East England"/>
    <s v="Norwich"/>
    <x v="0"/>
    <s v="25-34"/>
    <s v="Male"/>
    <s v="Web"/>
    <s v="Mobile Browser"/>
    <s v="7-12 months"/>
    <s v="Plus"/>
    <s v="App Store"/>
    <x v="4"/>
    <s v="Repeat Use"/>
    <s v="Simplified Onboarding"/>
    <s v="Treatment"/>
    <n v="6"/>
    <n v="6"/>
    <n v="123"/>
    <s v="No"/>
    <x v="1"/>
    <x v="1"/>
    <s v="No Error"/>
    <x v="0"/>
    <n v="0"/>
    <n v="0"/>
    <n v="0.17"/>
    <s v="Feature Navigation"/>
    <s v="Unknown"/>
    <s v="Feature Navigation"/>
    <s v="Resolved"/>
    <n v="18"/>
    <s v="No drop-off"/>
    <n v="3"/>
    <n v="0"/>
    <n v="11"/>
    <x v="1"/>
    <n v="0"/>
    <n v="1"/>
    <n v="0"/>
    <n v="1"/>
  </r>
  <r>
    <s v="NSF-001485"/>
    <s v="USR-00554"/>
    <s v="SES-2601-39953"/>
    <d v="2026-01-18T00:00:00"/>
    <s v="East England"/>
    <s v="Ipswich"/>
    <x v="3"/>
    <s v="55-64"/>
    <s v="Male"/>
    <s v="Android"/>
    <s v="Android Phone"/>
    <s v="2+ years"/>
    <s v="Premium"/>
    <s v="Referral"/>
    <x v="10"/>
    <s v="Repeat Use"/>
    <s v="No Experiment"/>
    <s v="Control"/>
    <s v="9 steps"/>
    <n v="9"/>
    <n v="181"/>
    <s v="No"/>
    <x v="0"/>
    <x v="1"/>
    <s v="No Error"/>
    <x v="1"/>
    <n v="0"/>
    <n v="0"/>
    <n v="0"/>
    <s v="No Support Contact"/>
    <s v="No"/>
    <s v="No Support Contact"/>
    <s v="Not Applicable"/>
    <m/>
    <s v="No drop-off"/>
    <n v="4"/>
    <n v="37"/>
    <n v="31"/>
    <x v="1"/>
    <n v="1"/>
    <n v="0"/>
    <n v="0"/>
    <n v="1"/>
  </r>
  <r>
    <s v="NSF-000948"/>
    <s v="USR-00397"/>
    <s v="SES-2511-18022"/>
    <d v="2025-11-15T00:00:00"/>
    <s v="Wales"/>
    <s v="Newport"/>
    <x v="2"/>
    <s v="25-34"/>
    <s v="Female"/>
    <s v="Ios"/>
    <s v="Iphone"/>
    <s v="1-2 years"/>
    <s v="Plus"/>
    <s v="Organic Search"/>
    <x v="2"/>
    <s v="Repeat Use"/>
    <s v="No Experiment"/>
    <s v="Control"/>
    <s v="5 steps"/>
    <n v="5"/>
    <n v="101"/>
    <s v="No"/>
    <x v="0"/>
    <x v="1"/>
    <s v="No Error"/>
    <x v="0"/>
    <n v="102.09"/>
    <n v="0"/>
    <n v="0.17"/>
    <s v="No Support Contact"/>
    <s v="No"/>
    <s v="No Support Contact"/>
    <s v="Not Applicable"/>
    <m/>
    <s v="No drop-off"/>
    <n v="5"/>
    <n v="3"/>
    <n v="38"/>
    <x v="0"/>
    <n v="1"/>
    <n v="1"/>
    <n v="0"/>
    <n v="0"/>
  </r>
  <r>
    <s v="NSF-001265"/>
    <s v="USR-00784"/>
    <s v="SES-2603-32248"/>
    <d v="2026-03-27T00:00:00"/>
    <s v="South East"/>
    <s v="Oxford"/>
    <x v="0"/>
    <s v="25-34"/>
    <s v="Female"/>
    <s v="Android"/>
    <s v="Android Phone"/>
    <s v="3-6 months"/>
    <s v="Free"/>
    <s v="Affiliate"/>
    <x v="0"/>
    <s v="First Use"/>
    <s v="Progress Indicator"/>
    <s v="Treatment"/>
    <n v="7"/>
    <n v="4"/>
    <n v="392"/>
    <s v="Yes"/>
    <x v="1"/>
    <x v="0"/>
    <s v="Too Many Steps"/>
    <x v="1"/>
    <n v="0"/>
    <n v="0"/>
    <n v="0"/>
    <s v="No Support Contact"/>
    <s v="No"/>
    <s v="No Support Contact"/>
    <s v="Not Applicable"/>
    <m/>
    <s v="Too many steps"/>
    <n v="3"/>
    <n v="-57"/>
    <n v="0"/>
    <x v="0"/>
    <n v="0"/>
    <n v="0"/>
    <n v="1"/>
    <n v="0"/>
  </r>
  <r>
    <s v="NSF-001405"/>
    <s v="USR-00052"/>
    <s v="SES-2605-10043"/>
    <d v="2026-05-30T00:00:00"/>
    <s v="South East"/>
    <s v="Canterbury"/>
    <x v="0"/>
    <s v="35-44"/>
    <s v="Male"/>
    <s v="Ios"/>
    <s v="Iphone"/>
    <s v="&lt;3 months"/>
    <s v="Free"/>
    <s v="Employer Partnership"/>
    <x v="10"/>
    <s v="Reactivated"/>
    <s v="No Experiment"/>
    <s v="Control"/>
    <n v="9"/>
    <n v="5"/>
    <n v="335"/>
    <s v="Yes"/>
    <x v="1"/>
    <x v="0"/>
    <s v="Eligibility Unclear"/>
    <x v="1"/>
    <n v="0"/>
    <n v="0"/>
    <n v="0"/>
    <s v="No Support Contact"/>
    <s v="No"/>
    <s v="No Support Contact"/>
    <s v="Not Applicable"/>
    <m/>
    <s v="Technical error"/>
    <n v="1"/>
    <n v="-42"/>
    <n v="49"/>
    <x v="0"/>
    <n v="0"/>
    <n v="0"/>
    <n v="1"/>
    <n v="0"/>
  </r>
  <r>
    <s v="NSF-000502"/>
    <s v="USR-00712"/>
    <s v="SES-2506-89003"/>
    <d v="2025-06-06T00:00:00"/>
    <s v="South East"/>
    <s v="Reading"/>
    <x v="5"/>
    <s v="35-44"/>
    <s v="Female"/>
    <s v="Ios"/>
    <s v="Iphone"/>
    <s v="7-12 months"/>
    <s v="Plus"/>
    <s v="Organic Search"/>
    <x v="9"/>
    <s v="First Use"/>
    <s v="Simplified Onboarding"/>
    <s v="Treatment"/>
    <n v="-1"/>
    <n v="5"/>
    <n v="107"/>
    <s v="No"/>
    <x v="0"/>
    <x v="1"/>
    <s v="No Error"/>
    <x v="0"/>
    <n v="14.49"/>
    <n v="0"/>
    <n v="0.17"/>
    <s v="No Support Contact"/>
    <s v="No"/>
    <s v="No Support Contact"/>
    <s v="Not Applicable"/>
    <m/>
    <s v="No drop-off"/>
    <n v="5"/>
    <n v="32"/>
    <n v="0"/>
    <x v="1"/>
    <n v="1"/>
    <n v="1"/>
    <n v="0"/>
    <n v="1"/>
  </r>
  <r>
    <s v="NSF-000902"/>
    <s v="USR-00518"/>
    <s v="SES-2510-95243"/>
    <d v="2025-10-20T00:00:00"/>
    <s v="South East"/>
    <s v="Reading"/>
    <x v="3"/>
    <s v="35-44"/>
    <s v="Male"/>
    <s v="Ios"/>
    <s v="Ipad"/>
    <s v="3-6 months"/>
    <s v="Plus"/>
    <s v="Paid Social"/>
    <x v="2"/>
    <s v="First Use"/>
    <s v="Simplified Onboarding"/>
    <s v="Control"/>
    <n v="5"/>
    <n v="5"/>
    <n v="125"/>
    <s v="No"/>
    <x v="0"/>
    <x v="1"/>
    <s v="No Error"/>
    <x v="0"/>
    <n v="0"/>
    <n v="0"/>
    <n v="0.17"/>
    <s v="No Support Contact"/>
    <s v="No"/>
    <s v="No Support Contact"/>
    <s v="Not Applicable"/>
    <m/>
    <s v="No drop-off"/>
    <n v="4"/>
    <n v="-2"/>
    <n v="999"/>
    <x v="0"/>
    <n v="1"/>
    <n v="1"/>
    <n v="0"/>
    <n v="0"/>
  </r>
  <r>
    <s v="NSF-001441"/>
    <s v="USR-00273"/>
    <s v="SES-2606-62339"/>
    <d v="2026-06-20T00:00:00"/>
    <s v="Northern Ireland"/>
    <s v="Belfast"/>
    <x v="4"/>
    <s v="65+"/>
    <s v="Male"/>
    <s v="Android"/>
    <s v="Android Phone"/>
    <s v="1-2 years"/>
    <s v="Free"/>
    <s v="Employer Partnership"/>
    <x v="7"/>
    <s v="Trial/Exploration"/>
    <s v="New Cta Copy"/>
    <s v="Treatment"/>
    <n v="4"/>
    <n v="4"/>
    <n v="90"/>
    <s v="No"/>
    <x v="0"/>
    <x v="1"/>
    <s v="No Error"/>
    <x v="0"/>
    <n v="16.12"/>
    <n v="0.51"/>
    <n v="0"/>
    <s v="No Support Contact"/>
    <s v="No"/>
    <s v="No Support Contact"/>
    <s v="Not Applicable"/>
    <m/>
    <s v="No drop-off"/>
    <n v="5"/>
    <n v="4"/>
    <n v="44"/>
    <x v="1"/>
    <n v="1"/>
    <n v="1"/>
    <n v="0"/>
    <n v="1"/>
  </r>
  <r>
    <s v="NSF-000789"/>
    <s v="USR-00413"/>
    <s v="SES-2509-91340"/>
    <d v="2025-09-19T00:00:00"/>
    <s v="North West"/>
    <s v="Manchester"/>
    <x v="2"/>
    <s v="18-24"/>
    <s v="Male"/>
    <s v="Ios"/>
    <s v="Iphone"/>
    <s v="2+ years"/>
    <s v="Free"/>
    <s v="Organic Search"/>
    <x v="0"/>
    <s v="Repeat Use"/>
    <s v="No Experiment"/>
    <s v="Control"/>
    <n v="7"/>
    <n v="7"/>
    <n v="272"/>
    <s v="No"/>
    <x v="0"/>
    <x v="0"/>
    <s v="Too Many Steps"/>
    <x v="1"/>
    <n v="0"/>
    <n v="0"/>
    <n v="0"/>
    <s v="Transaction Failure"/>
    <s v="Yes"/>
    <s v="Transaction Failure"/>
    <s v="Resolved"/>
    <n v="42"/>
    <s v="No drop-off"/>
    <n v="4"/>
    <n v="-5"/>
    <n v="7"/>
    <x v="1"/>
    <n v="1"/>
    <n v="0"/>
    <n v="1"/>
    <n v="1"/>
  </r>
  <r>
    <s v="NSF-000169"/>
    <s v="USR-00023"/>
    <s v="SES-2502-73447"/>
    <d v="2025-02-19T00:00:00"/>
    <s v="North West"/>
    <s v="LIVERPOOL"/>
    <x v="0"/>
    <s v="18-24"/>
    <s v="Female"/>
    <s v="Android"/>
    <s v="Android Phone"/>
    <s v="2+ years"/>
    <s v="Free"/>
    <s v="Paid Search"/>
    <x v="3"/>
    <s v="Repeat Use"/>
    <s v="Simplified Onboarding"/>
    <s v="Treatment"/>
    <n v="6"/>
    <n v="4"/>
    <n v="214"/>
    <s v="Yes"/>
    <x v="0"/>
    <x v="1"/>
    <s v="No Error"/>
    <x v="0"/>
    <n v="35.479999999999997"/>
    <n v="0.11"/>
    <n v="0"/>
    <s v="No Support Contact"/>
    <s v="No"/>
    <s v="No Support Contact"/>
    <s v="Not Applicable"/>
    <m/>
    <s v="No drop-off"/>
    <n v="3"/>
    <n v="15"/>
    <s v="22 days"/>
    <x v="1"/>
    <n v="1"/>
    <n v="1"/>
    <n v="0"/>
    <n v="1"/>
  </r>
  <r>
    <s v="NSF-001313"/>
    <s v="USR-00075"/>
    <s v="SES-2604-60779"/>
    <d v="2026-04-01T00:00:00"/>
    <s v="Yorkshire &amp; Humber"/>
    <s v="York"/>
    <x v="7"/>
    <s v="25-34"/>
    <s v="Male"/>
    <s v="Ios"/>
    <s v="Iphone"/>
    <s v="2+ years"/>
    <s v="Free"/>
    <s v="Organic Search"/>
    <x v="1"/>
    <s v="Repeat Use"/>
    <s v="Fee Transparency Panel"/>
    <s v="Treatment"/>
    <n v="4"/>
    <n v="4"/>
    <n v="95"/>
    <s v="No"/>
    <x v="0"/>
    <x v="1"/>
    <s v="No Error"/>
    <x v="0"/>
    <n v="59.16"/>
    <n v="0.18"/>
    <n v="0"/>
    <s v="Feature Navigation"/>
    <s v="Yes"/>
    <s v="Feature Navigation"/>
    <s v="Resolved"/>
    <n v="29"/>
    <s v="No drop-off"/>
    <n v="5"/>
    <n v="30"/>
    <s v="25 days"/>
    <x v="1"/>
    <n v="1"/>
    <n v="1"/>
    <n v="0"/>
    <n v="1"/>
  </r>
  <r>
    <s v="NSF-000323"/>
    <s v="USR-00285"/>
    <s v="SES-2504-41392"/>
    <d v="2025-04-08T00:00:00"/>
    <s v="Yorkshire &amp; Humber"/>
    <s v="York"/>
    <x v="5"/>
    <s v="25-34"/>
    <s v="Female"/>
    <s v="Ios"/>
    <s v="Ipad"/>
    <s v="1-2 years"/>
    <s v="Free"/>
    <s v="App Store"/>
    <x v="1"/>
    <s v="Repeat Use"/>
    <s v="Fee Transparency Panel"/>
    <s v="Control"/>
    <n v="4"/>
    <n v="4"/>
    <n v="108"/>
    <s v="No"/>
    <x v="0"/>
    <x v="1"/>
    <s v="No Error"/>
    <x v="0"/>
    <n v="199.7"/>
    <n v="0.21"/>
    <n v="0"/>
    <s v="No Support Contact"/>
    <s v="No"/>
    <s v="No Support Contact"/>
    <s v="Not Applicable"/>
    <m/>
    <s v="No drop-off"/>
    <n v="4"/>
    <n v="59"/>
    <n v="10"/>
    <x v="1"/>
    <n v="1"/>
    <n v="1"/>
    <n v="0"/>
    <n v="1"/>
  </r>
  <r>
    <s v="NSF-000610"/>
    <s v="USR-00226"/>
    <s v="SES-2507-41680"/>
    <d v="2025-07-25T00:00:00"/>
    <s v="East Midlands"/>
    <s v="Leicester"/>
    <x v="2"/>
    <s v="25-34"/>
    <s v="Female"/>
    <s v="Ios"/>
    <s v="Iphone"/>
    <s v="&lt;3 months"/>
    <s v="Plus"/>
    <s v="App Store"/>
    <x v="1"/>
    <s v="Repeat Use"/>
    <s v="Simplified Onboarding"/>
    <s v="Control"/>
    <n v="4"/>
    <n v="3"/>
    <n v="96"/>
    <s v="Yes"/>
    <x v="0"/>
    <x v="1"/>
    <s v="No Error"/>
    <x v="0"/>
    <n v="118.07"/>
    <n v="0.19"/>
    <n v="0.17"/>
    <s v="No Support Contact"/>
    <s v="No"/>
    <s v="No Support Contact"/>
    <s v="Not Applicable"/>
    <m/>
    <s v="No drop-off"/>
    <n v="4"/>
    <n v="-15"/>
    <s v="11 days"/>
    <x v="1"/>
    <n v="1"/>
    <n v="1"/>
    <n v="0"/>
    <n v="1"/>
  </r>
  <r>
    <s v="NSF-001277"/>
    <s v="USR-00779"/>
    <s v="SES-2603-31092"/>
    <d v="2026-03-04T00:00:00"/>
    <s v="North West"/>
    <s v="Preston"/>
    <x v="3"/>
    <s v="25-34"/>
    <s v="Male"/>
    <s v="Ios"/>
    <s v="Ipad"/>
    <s v="2+ years"/>
    <s v="Free"/>
    <s v="Organic Search"/>
    <x v="4"/>
    <s v="First Use"/>
    <s v="No Experiment"/>
    <s v="Control"/>
    <n v="6"/>
    <n v="6"/>
    <n v="175"/>
    <s v="No"/>
    <x v="0"/>
    <x v="1"/>
    <s v="No Error"/>
    <x v="0"/>
    <n v="57.49"/>
    <n v="0"/>
    <n v="0"/>
    <s v="No Support Contact"/>
    <s v="No"/>
    <s v="No Support Contact"/>
    <s v="Not Applicable"/>
    <m/>
    <s v="No drop-off"/>
    <n v="4"/>
    <n v="2"/>
    <n v="0"/>
    <x v="0"/>
    <n v="1"/>
    <n v="1"/>
    <n v="0"/>
    <n v="0"/>
  </r>
  <r>
    <s v="NSF-000909"/>
    <s v="USR-00503"/>
    <s v="SES-2510-32132"/>
    <d v="2025-10-25T00:00:00"/>
    <s v="South East"/>
    <s v="Oxford"/>
    <x v="0"/>
    <s v="45-54"/>
    <s v="Male"/>
    <s v="Android"/>
    <s v="Android Phone"/>
    <s v="3-6 months"/>
    <s v="Free"/>
    <s v="Organic Search"/>
    <x v="5"/>
    <s v="Repeat Use"/>
    <s v="No Experiment"/>
    <s v="Control"/>
    <s v="8 steps"/>
    <n v="8"/>
    <n v="163"/>
    <s v="No"/>
    <x v="1"/>
    <x v="1"/>
    <s v="No Error"/>
    <x v="1"/>
    <n v="0"/>
    <n v="0"/>
    <n v="0"/>
    <s v="No Support Contact"/>
    <s v="No"/>
    <s v="No Support Contact"/>
    <s v="Not Applicable"/>
    <m/>
    <s v="Privacy concern"/>
    <n v="3"/>
    <n v="8"/>
    <n v="36"/>
    <x v="1"/>
    <n v="0"/>
    <n v="0"/>
    <n v="0"/>
    <n v="1"/>
  </r>
  <r>
    <s v="NSF-001067"/>
    <s v="USR-00773"/>
    <s v="SES-2512-93625"/>
    <d v="2025-12-19T00:00:00"/>
    <s v="West Midlands"/>
    <s v="Wolverhampton"/>
    <x v="2"/>
    <s v="25-34"/>
    <s v="Male"/>
    <s v="Android"/>
    <s v="Android Phone"/>
    <s v="&lt;3 months"/>
    <s v="Free"/>
    <s v="Direct"/>
    <x v="9"/>
    <s v="Repeat Use"/>
    <s v="New Cta Copy"/>
    <s v="Control"/>
    <n v="5"/>
    <n v="5"/>
    <n v="98"/>
    <s v="No"/>
    <x v="0"/>
    <x v="1"/>
    <s v="No Error"/>
    <x v="0"/>
    <n v="84.54"/>
    <n v="0"/>
    <n v="0"/>
    <s v="No Support Contact"/>
    <s v="No"/>
    <s v="No Support Contact"/>
    <s v="Not Applicable"/>
    <m/>
    <s v="No drop-off"/>
    <n v="5"/>
    <n v="-13"/>
    <n v="24"/>
    <x v="1"/>
    <n v="1"/>
    <n v="1"/>
    <n v="0"/>
    <n v="1"/>
  </r>
  <r>
    <s v="NSF-001015"/>
    <s v="USR-00242"/>
    <s v="SES-2512-54407"/>
    <d v="2025-12-24T00:00:00"/>
    <s v="West Midlands"/>
    <s v="Solihull"/>
    <x v="0"/>
    <s v="25-34"/>
    <s v="Female"/>
    <s v="Android"/>
    <s v="Android Phone"/>
    <s v="1-2 years"/>
    <s v="Free"/>
    <s v="Employer Partnership"/>
    <x v="3"/>
    <s v="Repeat Use"/>
    <s v="Simplified Onboarding"/>
    <s v="Treatment"/>
    <n v="6"/>
    <n v="6"/>
    <n v="160"/>
    <s v="No"/>
    <x v="0"/>
    <x v="1"/>
    <s v="No Error"/>
    <x v="1"/>
    <n v="0"/>
    <n v="0"/>
    <n v="0"/>
    <s v="No Support Contact"/>
    <s v="No"/>
    <s v="No Support Contact"/>
    <s v="Not Applicable"/>
    <m/>
    <s v="No drop-off"/>
    <n v="4"/>
    <n v="-3"/>
    <n v="44"/>
    <x v="1"/>
    <n v="1"/>
    <n v="0"/>
    <n v="0"/>
    <n v="1"/>
  </r>
  <r>
    <s v="NSF-000963"/>
    <s v="USR-00179"/>
    <s v="SES-2511-95238"/>
    <d v="2025-11-27T00:00:00"/>
    <s v="North West"/>
    <s v="Preston"/>
    <x v="2"/>
    <s v="25-34"/>
    <s v="Female"/>
    <s v="Ios"/>
    <s v="Iphone"/>
    <s v="1-2 years"/>
    <s v="Free"/>
    <s v="Organic Search"/>
    <x v="10"/>
    <s v="Repeat Use"/>
    <s v="No Experiment"/>
    <s v="Control"/>
    <n v="9"/>
    <n v="9"/>
    <n v="276"/>
    <s v="No"/>
    <x v="1"/>
    <x v="1"/>
    <s v="No Error"/>
    <x v="0"/>
    <n v="228.04"/>
    <n v="2.88"/>
    <n v="0"/>
    <s v="No Support Contact"/>
    <s v="Unknown"/>
    <s v="No Support Contact"/>
    <s v="Not Applicable"/>
    <m/>
    <s v="Too many steps"/>
    <n v="3"/>
    <n v="-7"/>
    <n v="18"/>
    <x v="0"/>
    <n v="0"/>
    <n v="1"/>
    <n v="0"/>
    <n v="0"/>
  </r>
  <r>
    <s v="NSF-000379"/>
    <s v="USR-00088"/>
    <s v="SES-2504-39546"/>
    <d v="2025-04-16T00:00:00"/>
    <s v="Scotland"/>
    <s v="Edinburgh"/>
    <x v="2"/>
    <s v="18-24"/>
    <s v="Female"/>
    <s v="Web"/>
    <s v="Desktop"/>
    <s v="&lt;3 months"/>
    <s v="Free"/>
    <s v="Organic Search"/>
    <x v="7"/>
    <s v="Repeat Use"/>
    <s v="Simplified Onboarding"/>
    <s v="Control"/>
    <n v="4"/>
    <n v="4"/>
    <n v="124"/>
    <s v="No"/>
    <x v="0"/>
    <x v="1"/>
    <s v="No Error"/>
    <x v="0"/>
    <n v="70.790000000000006"/>
    <n v="0.43"/>
    <n v="0"/>
    <s v="No Support Contact"/>
    <s v="No"/>
    <s v="No Support Contact"/>
    <s v="Not Applicable"/>
    <m/>
    <s v="No drop-off"/>
    <n v="3"/>
    <n v="37"/>
    <n v="48"/>
    <x v="1"/>
    <n v="1"/>
    <n v="1"/>
    <n v="0"/>
    <n v="1"/>
  </r>
  <r>
    <s v="NSF-000116"/>
    <s v="USR-00701"/>
    <s v="SES-2502-47089"/>
    <d v="2025-02-28T00:00:00"/>
    <s v="East England"/>
    <s v="Norwich"/>
    <x v="2"/>
    <s v="18-24"/>
    <s v="Male"/>
    <s v="Android"/>
    <s v="Android Phone"/>
    <s v="7-12 months"/>
    <s v="Free"/>
    <s v="Organic Search"/>
    <x v="4"/>
    <s v="Repeat Use"/>
    <s v="No Experiment"/>
    <s v="Control"/>
    <n v="6"/>
    <n v="6"/>
    <n v="157"/>
    <s v="No"/>
    <x v="1"/>
    <x v="1"/>
    <s v="No Error"/>
    <x v="1"/>
    <n v="0"/>
    <n v="0"/>
    <n v="0"/>
    <s v="No Support Contact"/>
    <s v="No"/>
    <s v="No Support Contact"/>
    <s v="Not Applicable"/>
    <m/>
    <s v="No drop-off"/>
    <n v="4"/>
    <n v="-13"/>
    <n v="51"/>
    <x v="1"/>
    <n v="0"/>
    <n v="0"/>
    <n v="0"/>
    <n v="1"/>
  </r>
  <r>
    <s v="NSF-000449"/>
    <s v="USR-00462"/>
    <s v="SES-2505-34073"/>
    <d v="2025-05-14T00:00:00"/>
    <s v="West Midlands"/>
    <s v="Solihull"/>
    <x v="5"/>
    <s v="18-24"/>
    <s v="Male"/>
    <s v="Ios"/>
    <s v="Iphone"/>
    <s v="7-12 months"/>
    <s v="Basic"/>
    <s v="Paid Search"/>
    <x v="1"/>
    <s v="Repeat Use"/>
    <s v="Fee Transparency Panel"/>
    <s v="Treatment"/>
    <n v="4"/>
    <n v="4"/>
    <n v="92"/>
    <s v="No"/>
    <x v="0"/>
    <x v="0"/>
    <s v="Bank Connection Failed"/>
    <x v="0"/>
    <n v="173.68"/>
    <n v="0.21"/>
    <n v="0"/>
    <s v="No Support Contact"/>
    <s v="No"/>
    <s v="No Support Contact"/>
    <s v="Not Applicable"/>
    <m/>
    <s v="No drop-off"/>
    <n v="4"/>
    <n v="30"/>
    <n v="27"/>
    <x v="1"/>
    <n v="1"/>
    <n v="1"/>
    <n v="1"/>
    <n v="1"/>
  </r>
  <r>
    <s v="NSF-000505"/>
    <s v="USR-00252"/>
    <s v="SES-2506-21058"/>
    <d v="2025-06-26T00:00:00"/>
    <s v="East England"/>
    <s v="Norwich"/>
    <x v="0"/>
    <s v="45-54"/>
    <s v="Male"/>
    <s v="Ios"/>
    <s v="Iphone"/>
    <s v="7-12 months"/>
    <s v="Premium"/>
    <s v="Employer Partnership"/>
    <x v="7"/>
    <s v="Repeat Use"/>
    <s v="No Experiment"/>
    <s v="Control"/>
    <n v="4"/>
    <s v="4 steps"/>
    <n v="125"/>
    <s v="No"/>
    <x v="0"/>
    <x v="1"/>
    <s v="No Error"/>
    <x v="0"/>
    <n v="36.1"/>
    <n v="0.45"/>
    <n v="0.37"/>
    <s v="No Support Contact"/>
    <s v="No"/>
    <s v="No Support Contact"/>
    <s v="Not Applicable"/>
    <m/>
    <s v="No drop-off"/>
    <n v="3"/>
    <n v="-3"/>
    <n v="1"/>
    <x v="1"/>
    <n v="1"/>
    <n v="1"/>
    <n v="0"/>
    <n v="1"/>
  </r>
  <r>
    <s v="NSF-000571"/>
    <s v="USR-00137"/>
    <s v="SES-2506-46276"/>
    <d v="2025-06-04T00:00:00"/>
    <s v="East Midlands"/>
    <s v="Nottingham"/>
    <x v="5"/>
    <s v="35-44"/>
    <s v="Female"/>
    <s v="Ios"/>
    <s v="Iphone"/>
    <s v="2+ years"/>
    <s v="Free"/>
    <s v="Organic Search"/>
    <x v="4"/>
    <s v="Repeat Use"/>
    <s v="Fee Transparency Panel"/>
    <s v="Treatment"/>
    <n v="6"/>
    <n v="6"/>
    <n v="150"/>
    <s v="No"/>
    <x v="0"/>
    <x v="1"/>
    <s v="No Error"/>
    <x v="1"/>
    <n v="0"/>
    <n v="0"/>
    <n v="0"/>
    <s v="No Support Contact"/>
    <s v="No"/>
    <s v="No Support Contact"/>
    <s v="Not Applicable"/>
    <m/>
    <s v="No drop-off"/>
    <n v="3"/>
    <n v="49"/>
    <n v="1"/>
    <x v="1"/>
    <n v="1"/>
    <n v="0"/>
    <n v="0"/>
    <n v="1"/>
  </r>
  <r>
    <s v="NSF-001330"/>
    <s v="USR-00540"/>
    <s v="SES-2604-92218"/>
    <d v="2026-04-15T00:00:00"/>
    <s v="North East"/>
    <s v="Durham"/>
    <x v="3"/>
    <s v="25-34"/>
    <s v="Non-Binary"/>
    <s v="Ios"/>
    <s v="Iphone"/>
    <s v="1-2 years"/>
    <s v="Plus"/>
    <s v="Paid Search"/>
    <x v="2"/>
    <s v="First Use"/>
    <s v="Progress Indicator"/>
    <s v="Treatment"/>
    <n v="5"/>
    <n v="4"/>
    <n v="142"/>
    <s v="Yes"/>
    <x v="1"/>
    <x v="1"/>
    <s v="No Error"/>
    <x v="1"/>
    <n v="0"/>
    <n v="0"/>
    <n v="0"/>
    <s v="No Support Contact"/>
    <s v="No"/>
    <s v="No Support Contact"/>
    <s v="Not Applicable"/>
    <m/>
    <s v="Too many steps"/>
    <n v="4"/>
    <n v="14"/>
    <n v="0"/>
    <x v="1"/>
    <n v="0"/>
    <n v="0"/>
    <n v="0"/>
    <n v="1"/>
  </r>
  <r>
    <s v="NSF-000562"/>
    <s v="USR-00382"/>
    <s v="SES-2506-72673"/>
    <d v="2025-06-03T00:00:00"/>
    <s v="South West"/>
    <s v="Exeter"/>
    <x v="1"/>
    <s v="18-24"/>
    <s v="Female"/>
    <s v="Android"/>
    <s v="Android Phone"/>
    <s v="1-2 years"/>
    <s v="Plus"/>
    <s v="Organic Search"/>
    <x v="9"/>
    <s v="Repeat Use"/>
    <s v="Progress Indicator"/>
    <s v="Treatment"/>
    <n v="5"/>
    <s v="3 steps"/>
    <n v="137"/>
    <s v="Yes"/>
    <x v="0"/>
    <x v="1"/>
    <s v="No Error"/>
    <x v="0"/>
    <n v="96.68"/>
    <n v="0"/>
    <n v="0.17"/>
    <s v="No Support Contact"/>
    <s v="No"/>
    <s v="No Support Contact"/>
    <s v="Not Applicable"/>
    <m/>
    <s v="No drop-off"/>
    <n v="5"/>
    <n v="4"/>
    <n v="19"/>
    <x v="1"/>
    <n v="1"/>
    <n v="1"/>
    <n v="0"/>
    <n v="1"/>
  </r>
  <r>
    <s v="NSF-000542"/>
    <s v="USR-00782"/>
    <s v="SES-2506-38900"/>
    <d v="2025-06-10T00:00:00"/>
    <s v="South West"/>
    <s v="Exeter"/>
    <x v="2"/>
    <s v="25-34"/>
    <s v="Male"/>
    <s v="Android"/>
    <s v="Android Phone"/>
    <s v="2+ years"/>
    <s v="Free"/>
    <s v="Paid Search"/>
    <x v="4"/>
    <s v="Trial/Exploration"/>
    <s v="Simplified Onboarding"/>
    <s v="Control"/>
    <n v="6"/>
    <n v="6"/>
    <n v="247"/>
    <s v="No"/>
    <x v="1"/>
    <x v="0"/>
    <s v="Data Refresh Delayed"/>
    <x v="1"/>
    <n v="0"/>
    <n v="0"/>
    <n v="0"/>
    <s v="No Support Contact"/>
    <s v="No"/>
    <s v="No Support Contact"/>
    <s v="Not Applicable"/>
    <m/>
    <s v="Technical error"/>
    <n v="3"/>
    <n v="7"/>
    <n v="26"/>
    <x v="0"/>
    <n v="0"/>
    <n v="0"/>
    <n v="1"/>
    <n v="0"/>
  </r>
  <r>
    <s v="NSF-000390"/>
    <s v="USR-00510"/>
    <s v="SES-2505-34749"/>
    <d v="2025-05-29T00:00:00"/>
    <s v="East Midlands"/>
    <s v="Lincoln"/>
    <x v="3"/>
    <s v="25-34"/>
    <s v="Female"/>
    <s v="Android"/>
    <s v="Android Phone"/>
    <s v="3-6 months"/>
    <s v="Free"/>
    <s v="Paid Social"/>
    <x v="2"/>
    <s v="Repeat Use"/>
    <s v="No Experiment"/>
    <s v="Control"/>
    <s v="5 steps"/>
    <s v="5 steps"/>
    <n v="94"/>
    <s v="No"/>
    <x v="0"/>
    <x v="1"/>
    <s v="No Error"/>
    <x v="0"/>
    <n v="97.69"/>
    <n v="0"/>
    <n v="0"/>
    <s v="No Support Contact"/>
    <s v="No"/>
    <s v="No Support Contact"/>
    <s v="Not Applicable"/>
    <m/>
    <s v="No drop-off"/>
    <n v="3"/>
    <n v="55"/>
    <n v="13"/>
    <x v="0"/>
    <n v="1"/>
    <n v="1"/>
    <n v="0"/>
    <n v="0"/>
  </r>
  <r>
    <s v="NSF-000878"/>
    <s v="USR-00259"/>
    <s v="SES-2510-64051"/>
    <d v="2025-10-27T00:00:00"/>
    <s v="South West"/>
    <s v="Gloucester"/>
    <x v="7"/>
    <s v="25-34"/>
    <s v="Female"/>
    <s v="Ios"/>
    <s v="Iphone"/>
    <s v="&lt;3 months"/>
    <s v="Free"/>
    <s v="Paid Search"/>
    <x v="10"/>
    <s v="Repeat Use"/>
    <s v="No Experiment"/>
    <s v="Control"/>
    <n v="99"/>
    <n v="9"/>
    <n v="180"/>
    <s v="No"/>
    <x v="1"/>
    <x v="1"/>
    <s v="No Error"/>
    <x v="1"/>
    <n v="0"/>
    <n v="0"/>
    <n v="0"/>
    <s v="No Support Contact"/>
    <s v="No"/>
    <s v="No Support Contact"/>
    <s v="Not Applicable"/>
    <m/>
    <s v="No drop-off"/>
    <n v="4"/>
    <n v="-18"/>
    <n v="1"/>
    <x v="0"/>
    <n v="0"/>
    <n v="0"/>
    <n v="0"/>
    <n v="0"/>
  </r>
  <r>
    <s v="NSF-000851"/>
    <s v="USR-00275"/>
    <s v="SES-2510-67262"/>
    <d v="2025-10-03T00:00:00"/>
    <s v="London"/>
    <s v="Hackney"/>
    <x v="5"/>
    <s v="25-34"/>
    <s v="Male"/>
    <s v="Android"/>
    <s v="Android Phone"/>
    <s v="3-6 months"/>
    <s v="Free"/>
    <s v="Referral"/>
    <x v="8"/>
    <s v="Reactivated"/>
    <s v="No Experiment"/>
    <s v="Control"/>
    <n v="5"/>
    <n v="5"/>
    <n v="114"/>
    <s v="No"/>
    <x v="1"/>
    <x v="1"/>
    <s v="No Error"/>
    <x v="1"/>
    <n v="0"/>
    <n v="0"/>
    <n v="0"/>
    <s v="No Support Contact"/>
    <s v="No"/>
    <s v="No Support Contact"/>
    <s v="Not Applicable"/>
    <m/>
    <s v="No drop-off"/>
    <n v="4"/>
    <n v="44"/>
    <n v="46"/>
    <x v="1"/>
    <n v="0"/>
    <n v="0"/>
    <n v="0"/>
    <n v="1"/>
  </r>
  <r>
    <s v="NSF-000901"/>
    <s v="USR-00673"/>
    <s v="SES-2510-76366"/>
    <d v="2025-10-13T00:00:00"/>
    <s v="Yorkshire &amp; Humber"/>
    <s v="Sheffield"/>
    <x v="7"/>
    <s v="18-24"/>
    <s v="Non-Binary"/>
    <s v="Web"/>
    <s v="Desktop"/>
    <s v="&lt;3 months"/>
    <s v="Premium"/>
    <s v="Organic Search"/>
    <x v="3"/>
    <s v="Repeat Use"/>
    <s v="Contextual Help"/>
    <s v="Control"/>
    <n v="6"/>
    <n v="3"/>
    <n v="252"/>
    <s v="Yes"/>
    <x v="1"/>
    <x v="1"/>
    <s v="No Error"/>
    <x v="0"/>
    <n v="5.59"/>
    <n v="0.09"/>
    <n v="0.37"/>
    <s v="No Support Contact"/>
    <s v="No"/>
    <s v="No Support Contact"/>
    <s v="Not Applicable"/>
    <m/>
    <s v="Instructions unclear"/>
    <n v="4"/>
    <n v="27"/>
    <n v="20"/>
    <x v="0"/>
    <n v="0"/>
    <n v="1"/>
    <n v="0"/>
    <n v="0"/>
  </r>
  <r>
    <s v="NSF-000326"/>
    <s v="USR-00564"/>
    <s v="SES-2504-23691"/>
    <d v="2025-04-07T00:00:00"/>
    <s v="London"/>
    <s v="HAMMERSMITH"/>
    <x v="1"/>
    <s v="18-24"/>
    <s v="Female"/>
    <s v="Web"/>
    <s v="Desktop"/>
    <s v="1-2 years"/>
    <s v="Free"/>
    <s v="App Store"/>
    <x v="2"/>
    <s v="First Use"/>
    <s v="Simplified Onboarding"/>
    <s v="Treatment"/>
    <n v="5"/>
    <n v="5"/>
    <n v="123"/>
    <s v="No"/>
    <x v="0"/>
    <x v="1"/>
    <s v="No Error"/>
    <x v="0"/>
    <n v="58.18"/>
    <n v="0"/>
    <n v="0"/>
    <s v="No Support Contact"/>
    <s v="No"/>
    <s v="No Support Contact"/>
    <s v="Not Applicable"/>
    <m/>
    <s v="No drop-off"/>
    <n v="4"/>
    <n v="20"/>
    <s v="0 days"/>
    <x v="1"/>
    <n v="1"/>
    <n v="1"/>
    <n v="0"/>
    <n v="1"/>
  </r>
  <r>
    <s v="NSF-000630"/>
    <s v="USR-00568"/>
    <s v="SES-2507-42396"/>
    <d v="2025-07-08T00:00:00"/>
    <s v="East Midlands"/>
    <s v="Derby"/>
    <x v="0"/>
    <s v="35-44"/>
    <s v="Male"/>
    <s v="Ios"/>
    <s v="Iphone"/>
    <s v="2+ years"/>
    <s v="Plus"/>
    <s v="Affiliate"/>
    <x v="5"/>
    <s v="Repeat Use"/>
    <s v="No Experiment"/>
    <s v="Control"/>
    <n v="8"/>
    <n v="8"/>
    <n v="222"/>
    <s v="No"/>
    <x v="1"/>
    <x v="0"/>
    <s v="Compliance Review Delay"/>
    <x v="1"/>
    <n v="0"/>
    <n v="0"/>
    <n v="0"/>
    <s v="No Support Contact"/>
    <s v="No"/>
    <s v="No Support Contact"/>
    <s v="Not Applicable"/>
    <m/>
    <s v="Technical error"/>
    <n v="3"/>
    <n v="-7"/>
    <n v="1"/>
    <x v="0"/>
    <n v="0"/>
    <n v="0"/>
    <n v="1"/>
    <n v="0"/>
  </r>
  <r>
    <s v="NSF-000976"/>
    <s v="USR-00539"/>
    <s v="SES-2511-75650"/>
    <d v="2025-11-08T00:00:00"/>
    <s v="South East"/>
    <s v="Reading"/>
    <x v="0"/>
    <s v="18-24"/>
    <s v="Female"/>
    <s v="Web"/>
    <s v="Mobile Browser"/>
    <s v="3-6 months"/>
    <s v="Premium"/>
    <s v="Paid Social"/>
    <x v="2"/>
    <s v="Trial/Exploration"/>
    <s v="Fee Transparency Panel"/>
    <s v="Treatment"/>
    <n v="5"/>
    <n v="3"/>
    <n v="218"/>
    <s v="Yes"/>
    <x v="1"/>
    <x v="1"/>
    <s v="No Error"/>
    <x v="1"/>
    <n v="0"/>
    <n v="0"/>
    <n v="0"/>
    <s v="No Support Contact"/>
    <s v="No"/>
    <s v="No Support Contact"/>
    <s v="Not Applicable"/>
    <m/>
    <s v="Too many steps"/>
    <n v="4"/>
    <n v="12"/>
    <s v="37 days"/>
    <x v="1"/>
    <n v="0"/>
    <n v="0"/>
    <n v="0"/>
    <n v="1"/>
  </r>
  <r>
    <s v="NSF-000745"/>
    <s v="USR-00644"/>
    <s v="SES-2508-86604"/>
    <d v="2025-08-21T00:00:00"/>
    <s v="South East"/>
    <s v="Reading"/>
    <x v="1"/>
    <s v="25-34"/>
    <s v="Male"/>
    <s v="Android"/>
    <s v="Android Tablet"/>
    <s v="7-12 months"/>
    <s v="Free"/>
    <s v="Employer Partnership"/>
    <x v="7"/>
    <s v="First Use"/>
    <s v="No Experiment"/>
    <s v="Control"/>
    <n v="4"/>
    <n v="4"/>
    <n v="77"/>
    <s v="No"/>
    <x v="0"/>
    <x v="1"/>
    <s v="No Error"/>
    <x v="1"/>
    <n v="0"/>
    <n v="0"/>
    <n v="0"/>
    <s v="No Support Contact"/>
    <s v="No"/>
    <s v="No Support Contact"/>
    <s v="Not Applicable"/>
    <m/>
    <s v="No drop-off"/>
    <n v="4"/>
    <n v="-15"/>
    <n v="0"/>
    <x v="1"/>
    <n v="1"/>
    <n v="0"/>
    <n v="0"/>
    <n v="1"/>
  </r>
  <r>
    <s v="NSF-001379"/>
    <s v="USR-00591"/>
    <s v="SES-2605-53005"/>
    <d v="2026-05-09T00:00:00"/>
    <s v="South East"/>
    <s v="Brighton"/>
    <x v="3"/>
    <s v="18-24"/>
    <s v="Male"/>
    <s v="Android"/>
    <s v="Android Phone"/>
    <s v="1-2 years"/>
    <s v="Free"/>
    <s v="Paid Social"/>
    <x v="2"/>
    <s v="Repeat Use"/>
    <s v="No Experiment"/>
    <s v="Control"/>
    <n v="5"/>
    <n v="5"/>
    <n v="121"/>
    <s v="No"/>
    <x v="0"/>
    <x v="1"/>
    <s v="No Error"/>
    <x v="0"/>
    <n v="7.14"/>
    <n v="0"/>
    <n v="0"/>
    <s v="No Support Contact"/>
    <s v="No"/>
    <s v="No Support Contact"/>
    <s v="Not Applicable"/>
    <m/>
    <s v="No drop-off"/>
    <n v="4"/>
    <n v="30"/>
    <n v="66"/>
    <x v="1"/>
    <n v="1"/>
    <n v="1"/>
    <n v="0"/>
    <n v="1"/>
  </r>
  <r>
    <s v="NSF-000535"/>
    <s v="USR-00373"/>
    <s v="SES-2506-72587"/>
    <d v="2025-06-13T00:00:00"/>
    <s v="North East"/>
    <s v="Newcastle"/>
    <x v="1"/>
    <s v="25-34"/>
    <s v="Male"/>
    <s v="Ios"/>
    <s v="Iphone"/>
    <s v="2+ years"/>
    <s v="Free"/>
    <s v="Paid Search"/>
    <x v="2"/>
    <s v="Repeat Use"/>
    <s v="Fee Transparency Panel"/>
    <s v="Treatment"/>
    <n v="5"/>
    <n v="3"/>
    <n v="188"/>
    <s v="Yes"/>
    <x v="0"/>
    <x v="0"/>
    <s v="Funding Source Unclear"/>
    <x v="0"/>
    <n v="78.88"/>
    <n v="0"/>
    <n v="0"/>
    <s v="No Support Contact"/>
    <s v="No"/>
    <s v="No Support Contact"/>
    <s v="Not Applicable"/>
    <m/>
    <s v="No drop-off"/>
    <n v="2"/>
    <n v="-35"/>
    <n v="6"/>
    <x v="1"/>
    <n v="1"/>
    <n v="1"/>
    <n v="1"/>
    <n v="1"/>
  </r>
  <r>
    <s v="NSF-000135"/>
    <s v="USR-00600"/>
    <s v="SES-2502-78124"/>
    <d v="2025-02-22T00:00:00"/>
    <s v="West Midlands"/>
    <s v="SOLIHULL"/>
    <x v="7"/>
    <s v="55-64"/>
    <s v="Female"/>
    <s v="Android"/>
    <s v="Android Phone"/>
    <s v="3-6 months"/>
    <s v="Free"/>
    <s v="Paid Social"/>
    <x v="8"/>
    <s v="First Use"/>
    <s v="No Experiment"/>
    <s v="Control"/>
    <n v="5"/>
    <n v="5"/>
    <n v="142"/>
    <s v="No"/>
    <x v="0"/>
    <x v="1"/>
    <s v="No Error"/>
    <x v="0"/>
    <n v="145.30000000000001"/>
    <n v="0"/>
    <n v="0"/>
    <s v="No Support Contact"/>
    <s v="No"/>
    <s v="No Support Contact"/>
    <s v="Not Applicable"/>
    <m/>
    <s v="No drop-off"/>
    <n v="5"/>
    <n v="48"/>
    <n v="0"/>
    <x v="1"/>
    <n v="1"/>
    <n v="1"/>
    <n v="0"/>
    <n v="1"/>
  </r>
  <r>
    <s v="NSF-000527"/>
    <s v="USR-00716"/>
    <s v="SES-2506-89913"/>
    <d v="2025-06-23T00:00:00"/>
    <s v="East Midlands"/>
    <s v="Nottingham"/>
    <x v="5"/>
    <s v="45-54"/>
    <s v="Female"/>
    <s v="Web"/>
    <s v="Desktop"/>
    <s v="7-12 months"/>
    <s v="Free"/>
    <s v="Direct"/>
    <x v="4"/>
    <s v="Reactivated"/>
    <s v="No Experiment"/>
    <s v="Control"/>
    <n v="6"/>
    <n v="5"/>
    <n v="159"/>
    <s v="Yes"/>
    <x v="0"/>
    <x v="1"/>
    <s v="No Error"/>
    <x v="0"/>
    <n v="0"/>
    <n v="0"/>
    <n v="0"/>
    <s v="No Support Contact"/>
    <s v="No"/>
    <s v="No Support Contact"/>
    <s v="Not Applicable"/>
    <m/>
    <s v="No drop-off"/>
    <n v="2"/>
    <n v="6"/>
    <s v="18 days"/>
    <x v="0"/>
    <n v="1"/>
    <n v="1"/>
    <n v="0"/>
    <n v="0"/>
  </r>
  <r>
    <s v="NSF-001118"/>
    <s v="USR-00855"/>
    <s v="SES-2601-14884"/>
    <d v="2026-01-07T00:00:00"/>
    <s v="South East"/>
    <s v="Oxford"/>
    <x v="3"/>
    <s v="45-54"/>
    <s v="Female"/>
    <s v="Android"/>
    <s v="Android Tablet"/>
    <s v="1-2 years"/>
    <s v="Free"/>
    <s v="Paid Social"/>
    <x v="1"/>
    <s v="First Use"/>
    <s v="Fee Transparency Panel"/>
    <s v="Treatment"/>
    <n v="4"/>
    <n v="4"/>
    <n v="95"/>
    <s v="No"/>
    <x v="0"/>
    <x v="1"/>
    <s v="No Error"/>
    <x v="0"/>
    <n v="185.72"/>
    <n v="0.18"/>
    <n v="0"/>
    <s v="No Support Contact"/>
    <s v="No"/>
    <s v="No Support Contact"/>
    <s v="Not Applicable"/>
    <m/>
    <s v="No drop-off"/>
    <n v="4"/>
    <n v="22"/>
    <n v="0"/>
    <x v="1"/>
    <n v="1"/>
    <n v="1"/>
    <n v="0"/>
    <n v="1"/>
  </r>
  <r>
    <s v="NSF-000801"/>
    <s v="USR-00112"/>
    <s v="SES-2509-28636"/>
    <d v="2025-09-26T00:00:00"/>
    <s v="Yorkshire &amp; Humber"/>
    <s v="Sheffield"/>
    <x v="7"/>
    <s v="45-54"/>
    <s v="Male"/>
    <s v="Web"/>
    <s v="Desktop"/>
    <s v="1-2 years"/>
    <s v="Basic"/>
    <s v="App Store"/>
    <x v="10"/>
    <s v="Repeat Use"/>
    <s v="Fee Transparency Panel"/>
    <s v="Control"/>
    <n v="9"/>
    <n v="9"/>
    <n v="174"/>
    <s v="No"/>
    <x v="1"/>
    <x v="1"/>
    <s v="No Error"/>
    <x v="1"/>
    <n v="0"/>
    <n v="0"/>
    <n v="0"/>
    <s v="No Support Contact"/>
    <s v="No"/>
    <s v="No Support Contact"/>
    <s v="Not Applicable"/>
    <m/>
    <s v="No drop-off"/>
    <n v="2"/>
    <n v="6"/>
    <n v="34"/>
    <x v="0"/>
    <n v="0"/>
    <n v="0"/>
    <n v="0"/>
    <n v="0"/>
  </r>
  <r>
    <s v="NSF-000573"/>
    <s v="USR-00106"/>
    <s v="SES-2506-25700"/>
    <d v="2025-06-18T00:00:00"/>
    <s v="Scotland"/>
    <s v="DUNDEE"/>
    <x v="0"/>
    <s v="35-44"/>
    <s v="Male"/>
    <s v="Android"/>
    <s v="Android Phone"/>
    <s v="2+ years"/>
    <s v="Free"/>
    <s v="Paid Social"/>
    <x v="1"/>
    <s v="Repeat Use"/>
    <s v="No Experiment"/>
    <s v="Control"/>
    <n v="4"/>
    <n v="4"/>
    <n v="94"/>
    <s v="No"/>
    <x v="1"/>
    <x v="1"/>
    <s v="No Error"/>
    <x v="0"/>
    <n v="229.65"/>
    <n v="0.21"/>
    <n v="0"/>
    <s v="No Support Contact"/>
    <s v="No"/>
    <s v="No Support Contact"/>
    <s v="Not Applicable"/>
    <m/>
    <s v="Too many steps"/>
    <n v="3"/>
    <n v="-9"/>
    <n v="24"/>
    <x v="1"/>
    <n v="0"/>
    <n v="1"/>
    <n v="0"/>
    <n v="1"/>
  </r>
  <r>
    <s v="NSF-000687"/>
    <s v="USR-00149"/>
    <s v="SES-2508-50625"/>
    <d v="2025-08-30T00:00:00"/>
    <s v="East Midlands"/>
    <s v="Nottingham"/>
    <x v="7"/>
    <s v="25-34"/>
    <s v="Female"/>
    <s v="Android"/>
    <s v="Android Phone"/>
    <s v="3-6 months"/>
    <s v="Free"/>
    <s v="Referral"/>
    <x v="4"/>
    <s v="First Use"/>
    <s v="No Experiment"/>
    <s v="Control"/>
    <n v="6"/>
    <n v="6"/>
    <n v="176"/>
    <s v="No"/>
    <x v="1"/>
    <x v="1"/>
    <s v="No Error"/>
    <x v="1"/>
    <n v="0"/>
    <n v="0"/>
    <n v="0"/>
    <s v="No Support Contact"/>
    <s v="No"/>
    <s v="No Support Contact"/>
    <s v="Not Applicable"/>
    <m/>
    <s v="No drop-off"/>
    <n v="3"/>
    <n v="-6"/>
    <n v="0"/>
    <x v="0"/>
    <n v="0"/>
    <n v="0"/>
    <n v="0"/>
    <n v="0"/>
  </r>
  <r>
    <s v="NSF-000740"/>
    <s v="USR-00289"/>
    <s v="SES-2508-95288"/>
    <d v="2025-08-02T00:00:00"/>
    <s v="North West"/>
    <s v="Preston"/>
    <x v="7"/>
    <s v="65+"/>
    <s v="Male"/>
    <s v="Ios"/>
    <s v="Iphone"/>
    <s v="&lt;3 months"/>
    <s v="Premium"/>
    <s v="Paid Search"/>
    <x v="1"/>
    <s v="Repeat Use"/>
    <s v="New Cta Copy"/>
    <s v="Treatment"/>
    <n v="4"/>
    <n v="3"/>
    <n v="165"/>
    <s v="Yes"/>
    <x v="1"/>
    <x v="1"/>
    <s v="No Error"/>
    <x v="0"/>
    <n v="83.34"/>
    <n v="0.19"/>
    <n v="0.37"/>
    <s v="No Support Contact"/>
    <s v="No"/>
    <s v="No Support Contact"/>
    <s v="Not Applicable"/>
    <m/>
    <s v="Instructions unclear"/>
    <n v="3"/>
    <n v="4"/>
    <n v="32"/>
    <x v="0"/>
    <n v="0"/>
    <n v="1"/>
    <n v="0"/>
    <n v="0"/>
  </r>
  <r>
    <s v="NSF-000793"/>
    <s v="USR-00780"/>
    <s v="SES-2509-60994"/>
    <d v="2025-09-08T00:00:00"/>
    <s v="Yorkshire &amp; Humber"/>
    <s v="Leeds"/>
    <x v="7"/>
    <s v="45-54"/>
    <s v="Female"/>
    <s v="Ios"/>
    <s v="Iphone"/>
    <s v="1-2 years"/>
    <s v="Plus"/>
    <s v="Organic Search"/>
    <x v="2"/>
    <s v="Repeat Use"/>
    <s v="No Experiment"/>
    <s v="Control"/>
    <n v="5"/>
    <n v="5"/>
    <n v="163"/>
    <s v="No"/>
    <x v="0"/>
    <x v="0"/>
    <s v="Funding Source Unclear"/>
    <x v="2"/>
    <n v="1.1100000000000001"/>
    <n v="0"/>
    <n v="0.17"/>
    <s v="No Support Contact"/>
    <s v="No"/>
    <s v="No Support Contact"/>
    <s v="Not Applicable"/>
    <m/>
    <s v="No drop-off"/>
    <n v="3"/>
    <n v="-11"/>
    <n v="39"/>
    <x v="1"/>
    <n v="1"/>
    <n v="0"/>
    <n v="1"/>
    <n v="1"/>
  </r>
  <r>
    <s v="NSF-000080"/>
    <s v="USR-00071"/>
    <s v="SES-2501-82214"/>
    <d v="2025-01-01T00:00:00"/>
    <s v="South East"/>
    <s v="Guildford"/>
    <x v="0"/>
    <s v="18-24"/>
    <s v="Female"/>
    <s v="Android"/>
    <s v="Android Phone"/>
    <s v="7-12 months"/>
    <s v="Free"/>
    <s v="Organic Search"/>
    <x v="0"/>
    <s v="First Use"/>
    <s v="No Experiment"/>
    <s v="Control"/>
    <n v="7"/>
    <s v="7 steps"/>
    <n v="179"/>
    <s v="No"/>
    <x v="0"/>
    <x v="1"/>
    <s v="No Error"/>
    <x v="0"/>
    <n v="88.37"/>
    <n v="0"/>
    <n v="0"/>
    <s v="No Support Contact"/>
    <s v="No"/>
    <s v="No Support Contact"/>
    <s v="Not Applicable"/>
    <m/>
    <s v="No drop-off"/>
    <n v="4"/>
    <n v="33"/>
    <n v="0"/>
    <x v="1"/>
    <n v="1"/>
    <n v="1"/>
    <n v="0"/>
    <n v="1"/>
  </r>
  <r>
    <s v="NSF-000690"/>
    <s v="USR-00450"/>
    <s v="SES-2508-92025"/>
    <d v="2025-08-20T00:00:00"/>
    <s v="Northern Ireland"/>
    <s v="Lisburn"/>
    <x v="3"/>
    <s v="18-24"/>
    <s v="Female"/>
    <s v="Android"/>
    <s v="Android Phone"/>
    <s v="7-12 months"/>
    <s v="Premium"/>
    <s v="Employer Partnership"/>
    <x v="5"/>
    <s v="Trial/Exploration"/>
    <s v="No Experiment"/>
    <s v="Control"/>
    <n v="8"/>
    <n v="8"/>
    <n v="190"/>
    <s v="No"/>
    <x v="0"/>
    <x v="1"/>
    <s v="No Error"/>
    <x v="1"/>
    <n v="0"/>
    <n v="0"/>
    <n v="0"/>
    <s v="No Support Contact"/>
    <s v="No"/>
    <s v="No Support Contact"/>
    <s v="Not Applicable"/>
    <m/>
    <s v="No drop-off"/>
    <n v="4"/>
    <n v="-4"/>
    <n v="27"/>
    <x v="1"/>
    <n v="1"/>
    <n v="0"/>
    <n v="0"/>
    <n v="1"/>
  </r>
  <r>
    <s v="NSF-001367"/>
    <s v="USR-00550"/>
    <s v="SES-2605-82102"/>
    <d v="2026-05-31T00:00:00"/>
    <s v="Northern Ireland"/>
    <s v="Belfast"/>
    <x v="1"/>
    <s v="45-54"/>
    <s v="Male"/>
    <s v="Android"/>
    <s v="Android Tablet"/>
    <s v="3-6 months"/>
    <s v="Premium"/>
    <s v="Organic Search"/>
    <x v="4"/>
    <s v="First Use"/>
    <s v="New Cta Copy"/>
    <s v="Control"/>
    <n v="6"/>
    <n v="5"/>
    <n v="216"/>
    <s v="Yes"/>
    <x v="1"/>
    <x v="1"/>
    <s v="No Error"/>
    <x v="1"/>
    <n v="0"/>
    <n v="0"/>
    <n v="0"/>
    <s v="No Support Contact"/>
    <s v="No"/>
    <s v="No Support Contact"/>
    <s v="Not Applicable"/>
    <m/>
    <s v="Too many steps"/>
    <n v="2"/>
    <n v="-30"/>
    <n v="0"/>
    <x v="1"/>
    <n v="0"/>
    <n v="0"/>
    <n v="0"/>
    <n v="1"/>
  </r>
  <r>
    <s v="NSF-000621"/>
    <s v="USR-00620"/>
    <s v="SES-2507-32694"/>
    <d v="2025-07-21T00:00:00"/>
    <s v="Scotland"/>
    <s v="Aberdeen"/>
    <x v="7"/>
    <s v="18-24"/>
    <s v="Female"/>
    <s v="Ios"/>
    <s v="Iphone"/>
    <s v="&lt;3 months"/>
    <s v="Free"/>
    <s v="Paid Search"/>
    <x v="2"/>
    <s v="Reactivated"/>
    <s v="No Experiment"/>
    <s v="Control"/>
    <n v="5"/>
    <n v="4"/>
    <n v="328"/>
    <s v="Yes"/>
    <x v="1"/>
    <x v="0"/>
    <s v="Round-Up Not Activated"/>
    <x v="1"/>
    <n v="0"/>
    <n v="0"/>
    <n v="0"/>
    <s v="No Support Contact"/>
    <s v="No"/>
    <s v="No Support Contact"/>
    <s v="Not Applicable"/>
    <m/>
    <s v="Too many steps"/>
    <n v="1"/>
    <n v="-150"/>
    <n v="8"/>
    <x v="1"/>
    <n v="0"/>
    <n v="0"/>
    <n v="1"/>
    <n v="1"/>
  </r>
  <r>
    <s v="NSF-001439"/>
    <s v="USR-00544"/>
    <s v="SES-2606-62811"/>
    <d v="2026-06-09T00:00:00"/>
    <s v="South East"/>
    <s v="Reading"/>
    <x v="0"/>
    <s v="18-24"/>
    <s v="Female"/>
    <s v="Web"/>
    <s v="Desktop"/>
    <s v="7-12 months"/>
    <s v="Plus"/>
    <s v="Paid Social"/>
    <x v="10"/>
    <s v="Repeat Use"/>
    <s v="Simplified Onboarding"/>
    <s v="Control"/>
    <n v="9"/>
    <n v="9"/>
    <n v="273"/>
    <s v="No"/>
    <x v="0"/>
    <x v="1"/>
    <s v="No Error"/>
    <x v="0"/>
    <n v="178.22"/>
    <n v="3.08"/>
    <n v="0.17"/>
    <s v="No Support Contact"/>
    <s v="No"/>
    <s v="No Support Contact"/>
    <s v="Not Applicable"/>
    <m/>
    <s v="No drop-off"/>
    <n v="4"/>
    <n v="-32"/>
    <n v="16"/>
    <x v="1"/>
    <n v="1"/>
    <n v="1"/>
    <n v="0"/>
    <n v="1"/>
  </r>
  <r>
    <s v="NSF-000172"/>
    <s v="USR-00821"/>
    <s v="SES-2502-16031"/>
    <d v="2025-02-12T00:00:00"/>
    <s v="South East"/>
    <s v="Guildford"/>
    <x v="3"/>
    <s v="18-24"/>
    <s v="Female"/>
    <s v="Ios"/>
    <s v="Iphone"/>
    <s v="7-12 months"/>
    <s v="Free"/>
    <s v="Direct"/>
    <x v="5"/>
    <s v="Repeat Use"/>
    <s v="Simplified Onboarding"/>
    <s v="Control"/>
    <n v="8"/>
    <n v="4"/>
    <n v="422"/>
    <s v="Yes"/>
    <x v="1"/>
    <x v="0"/>
    <s v="Compliance Review Delay"/>
    <x v="1"/>
    <n v="0"/>
    <n v="0"/>
    <n v="0"/>
    <s v="Transaction Failure"/>
    <s v="Yes"/>
    <s v="Transaction Failure"/>
    <s v="Resolved"/>
    <n v="14"/>
    <s v="Technical error"/>
    <n v="1"/>
    <n v="-11"/>
    <n v="31"/>
    <x v="0"/>
    <n v="0"/>
    <n v="0"/>
    <n v="1"/>
    <n v="0"/>
  </r>
  <r>
    <s v="NSF-000602"/>
    <s v="USR-00372"/>
    <s v="SES-2507-69759"/>
    <d v="2025-07-31T00:00:00"/>
    <s v="London"/>
    <s v="Croydon"/>
    <x v="2"/>
    <s v="55-64"/>
    <s v="Female"/>
    <s v="Android"/>
    <s v="Android Phone"/>
    <s v="1-2 years"/>
    <s v="Free"/>
    <s v="Paid Search"/>
    <x v="0"/>
    <s v="First Use"/>
    <s v="No Experiment"/>
    <s v="Control"/>
    <n v="7"/>
    <n v="4"/>
    <n v="197"/>
    <s v="Yes"/>
    <x v="0"/>
    <x v="1"/>
    <s v="No Error"/>
    <x v="1"/>
    <n v="0"/>
    <n v="0"/>
    <n v="0"/>
    <s v="No Support Contact"/>
    <s v="No"/>
    <s v="No Support Contact"/>
    <s v="Not Applicable"/>
    <m/>
    <s v="No drop-off"/>
    <n v="2"/>
    <n v="-24"/>
    <n v="0"/>
    <x v="0"/>
    <n v="1"/>
    <n v="0"/>
    <n v="0"/>
    <n v="0"/>
  </r>
  <r>
    <s v="NSF-000207"/>
    <s v="USR-00778"/>
    <s v="SES-2503-45073"/>
    <d v="2025-03-14T00:00:00"/>
    <s v="South East"/>
    <s v="Canterbury"/>
    <x v="2"/>
    <s v="18-24"/>
    <s v="Female"/>
    <s v="Ios"/>
    <s v="Iphone"/>
    <s v="1-2 years"/>
    <s v="Free"/>
    <s v="Affiliate"/>
    <x v="5"/>
    <s v="Reactivated"/>
    <s v="No Experiment"/>
    <s v="Control"/>
    <n v="8"/>
    <n v="6"/>
    <n v="346"/>
    <s v="Yes"/>
    <x v="0"/>
    <x v="0"/>
    <s v="Recipient Details Rejected"/>
    <x v="0"/>
    <n v="481.72"/>
    <n v="2.1800000000000002"/>
    <n v="0"/>
    <s v="Transaction Failure"/>
    <s v="Yes"/>
    <s v="Transaction Failure"/>
    <s v="Resolved"/>
    <n v="28"/>
    <s v="No drop-off"/>
    <n v="2"/>
    <n v="-69"/>
    <n v="22"/>
    <x v="0"/>
    <n v="1"/>
    <n v="1"/>
    <n v="1"/>
    <n v="0"/>
  </r>
  <r>
    <s v="NSF-000784"/>
    <s v="USR-00172"/>
    <s v="SES-2509-36273"/>
    <d v="2025-09-27T00:00:00"/>
    <s v="West Midlands"/>
    <s v="Wolverhampton"/>
    <x v="3"/>
    <s v="45-54"/>
    <s v="Male"/>
    <s v="Android"/>
    <s v="Android Phone"/>
    <s v="7-12 months"/>
    <s v="Premium"/>
    <s v="Referral"/>
    <x v="5"/>
    <s v="Reactivated"/>
    <s v="Fee Transparency Panel"/>
    <s v="Treatment"/>
    <n v="8"/>
    <n v="8"/>
    <n v="170"/>
    <s v="No"/>
    <x v="0"/>
    <x v="1"/>
    <s v="No Error"/>
    <x v="0"/>
    <n v="400.8"/>
    <n v="2.37"/>
    <n v="0.37"/>
    <s v="No Support Contact"/>
    <s v="No"/>
    <s v="No Support Contact"/>
    <s v="Not Applicable"/>
    <m/>
    <s v="No drop-off"/>
    <n v="4"/>
    <n v="47"/>
    <n v="37"/>
    <x v="1"/>
    <n v="1"/>
    <n v="1"/>
    <n v="0"/>
    <n v="1"/>
  </r>
  <r>
    <s v="NSF-000825"/>
    <s v="USR-00489"/>
    <s v="SES-2509-52988"/>
    <d v="2025-09-06T00:00:00"/>
    <s v="Yorkshire &amp; Humber"/>
    <s v="Sheffield"/>
    <x v="0"/>
    <s v="35-44"/>
    <s v="Female"/>
    <s v="Ios"/>
    <s v="Iphone"/>
    <s v="7-12 months"/>
    <s v="Free"/>
    <s v="Referral"/>
    <x v="8"/>
    <s v="First Use"/>
    <s v="New Cta Copy"/>
    <s v="Control"/>
    <n v="5"/>
    <n v="5"/>
    <n v="105"/>
    <s v="No"/>
    <x v="1"/>
    <x v="1"/>
    <s v="No Error"/>
    <x v="1"/>
    <n v="0"/>
    <n v="0"/>
    <n v="0"/>
    <s v="No Support Contact"/>
    <s v="No"/>
    <s v="No Support Contact"/>
    <s v="Not Applicable"/>
    <m/>
    <s v="Too many steps"/>
    <n v="3"/>
    <n v="27"/>
    <n v="0"/>
    <x v="0"/>
    <n v="0"/>
    <n v="0"/>
    <n v="0"/>
    <n v="0"/>
  </r>
  <r>
    <s v="NSF-000867"/>
    <s v="USR-00489"/>
    <s v="SES-2510-24425"/>
    <d v="2025-10-07T00:00:00"/>
    <s v="London"/>
    <s v="Hammersmith"/>
    <x v="2"/>
    <s v="18-24"/>
    <s v="Male"/>
    <s v="Android"/>
    <s v="Android Phone"/>
    <s v="3-6 months"/>
    <s v="Free"/>
    <s v="App Store"/>
    <x v="2"/>
    <s v="First Use"/>
    <s v="No Experiment"/>
    <s v="Control"/>
    <n v="5"/>
    <n v="5"/>
    <n v="133"/>
    <s v="No"/>
    <x v="0"/>
    <x v="1"/>
    <s v="No Error"/>
    <x v="0"/>
    <n v="80.53"/>
    <n v="0"/>
    <n v="0"/>
    <s v="No Support Contact"/>
    <s v="No"/>
    <s v="No Support Contact"/>
    <s v="Not Applicable"/>
    <m/>
    <s v="No drop-off"/>
    <n v="4"/>
    <n v="49"/>
    <n v="0"/>
    <x v="0"/>
    <n v="1"/>
    <n v="1"/>
    <n v="0"/>
    <n v="0"/>
  </r>
  <r>
    <s v="NSF-000016"/>
    <s v="USR-00168"/>
    <s v="SES-2501-75013"/>
    <d v="2025-01-08T00:00:00"/>
    <s v="South East"/>
    <s v="Reading"/>
    <x v="0"/>
    <s v="25-34"/>
    <s v="Female"/>
    <s v="Android"/>
    <s v="Android Phone"/>
    <s v="2+ years"/>
    <s v="Free"/>
    <s v="Referral"/>
    <x v="3"/>
    <s v="Reactivated"/>
    <s v="No Experiment"/>
    <s v="Control"/>
    <n v="6"/>
    <n v="6"/>
    <n v="131"/>
    <s v="No"/>
    <x v="1"/>
    <x v="1"/>
    <s v="No Error"/>
    <x v="1"/>
    <n v="0"/>
    <n v="0"/>
    <n v="0"/>
    <s v="Transaction Failure"/>
    <s v="Yes"/>
    <s v="Transaction Failure"/>
    <s v="Resolved"/>
    <n v="50"/>
    <s v="Too many steps"/>
    <n v="4"/>
    <n v="25"/>
    <n v="41"/>
    <x v="1"/>
    <n v="0"/>
    <n v="0"/>
    <n v="0"/>
    <n v="1"/>
  </r>
  <r>
    <s v="NSF-000473"/>
    <s v="USR-00098"/>
    <s v="SES-2505-61527"/>
    <d v="2025-05-05T00:00:00"/>
    <s v="Northern Ireland"/>
    <s v="Newry"/>
    <x v="1"/>
    <s v="25-34"/>
    <s v="Female"/>
    <s v="Ios"/>
    <s v="Iphone"/>
    <s v="3-6 months"/>
    <s v="Premium"/>
    <s v="Referral"/>
    <x v="0"/>
    <s v="Reactivated"/>
    <s v="No Experiment"/>
    <s v="Control"/>
    <n v="7"/>
    <n v="7"/>
    <n v="206"/>
    <s v="No"/>
    <x v="0"/>
    <x v="1"/>
    <s v="No Error"/>
    <x v="0"/>
    <n v="18.100000000000001"/>
    <n v="0"/>
    <n v="0.37"/>
    <s v="No Support Contact"/>
    <s v="No"/>
    <s v="No Support Contact"/>
    <s v="Not Applicable"/>
    <m/>
    <s v="No drop-off"/>
    <n v="3"/>
    <n v="27"/>
    <n v="26"/>
    <x v="0"/>
    <n v="1"/>
    <n v="1"/>
    <n v="0"/>
    <n v="0"/>
  </r>
  <r>
    <s v="NSF-001215"/>
    <s v="USR-00592"/>
    <s v="SES-2602-59157"/>
    <d v="2026-02-09T00:00:00"/>
    <s v="South West"/>
    <s v="Bristol"/>
    <x v="3"/>
    <s v="18-24"/>
    <s v="Female"/>
    <s v="Web"/>
    <s v="Desktop"/>
    <s v="7-12 months"/>
    <s v="Free"/>
    <s v="Paid Search"/>
    <x v="1"/>
    <s v="Reactivated"/>
    <s v="Progress Indicator"/>
    <s v="Treatment"/>
    <n v="4"/>
    <n v="4"/>
    <n v="101"/>
    <s v="No"/>
    <x v="0"/>
    <x v="1"/>
    <s v="No Error"/>
    <x v="0"/>
    <n v="123.8"/>
    <n v="0.2"/>
    <n v="0"/>
    <s v="No Support Contact"/>
    <s v="No"/>
    <s v="No Support Contact"/>
    <s v="Not Applicable"/>
    <m/>
    <s v="No drop-off"/>
    <n v="5"/>
    <n v="37"/>
    <n v="33"/>
    <x v="1"/>
    <n v="1"/>
    <n v="1"/>
    <n v="0"/>
    <n v="1"/>
  </r>
  <r>
    <s v="NSF-001278"/>
    <s v="USR-00716"/>
    <s v="SES-2603-97350"/>
    <d v="2026-03-18T00:00:00"/>
    <s v="Scotland"/>
    <s v="Edinburgh"/>
    <x v="3"/>
    <s v="25-34"/>
    <s v="Female"/>
    <s v="Android"/>
    <s v="Android Phone"/>
    <s v="2+ years"/>
    <s v="Basic"/>
    <s v="Employer Partnership"/>
    <x v="10"/>
    <s v="Repeat Use"/>
    <s v="No Experiment"/>
    <s v="Control"/>
    <n v="9"/>
    <n v="9"/>
    <n v="266"/>
    <s v="No"/>
    <x v="1"/>
    <x v="1"/>
    <s v="No Error"/>
    <x v="1"/>
    <n v="0"/>
    <n v="0"/>
    <n v="0"/>
    <s v="No Support Contact"/>
    <s v="No"/>
    <s v="No Support Contact"/>
    <s v="Not Applicable"/>
    <m/>
    <s v="Technical error"/>
    <n v="3"/>
    <n v="-61"/>
    <n v="34"/>
    <x v="1"/>
    <n v="0"/>
    <n v="0"/>
    <n v="0"/>
    <n v="1"/>
  </r>
  <r>
    <s v="NSF-000545"/>
    <s v="USR-00760"/>
    <s v="SES-2506-95914"/>
    <d v="2025-06-14T00:00:00"/>
    <s v="Scotland"/>
    <s v="Aberdeen"/>
    <x v="7"/>
    <s v="25-34"/>
    <s v="Female"/>
    <s v="Ios"/>
    <s v="Iphone"/>
    <s v="1-2 years"/>
    <s v="Free"/>
    <s v="Organic Search"/>
    <x v="5"/>
    <s v="Trial/Exploration"/>
    <s v="No Experiment"/>
    <s v="Control"/>
    <n v="8"/>
    <n v="8"/>
    <n v="216"/>
    <s v="No"/>
    <x v="0"/>
    <x v="0"/>
    <s v="Fx Rate Confusion"/>
    <x v="1"/>
    <n v="0"/>
    <n v="0"/>
    <n v="0"/>
    <s v="No Support Contact"/>
    <s v="No"/>
    <s v="No Support Contact"/>
    <s v="Not Applicable"/>
    <m/>
    <s v="No drop-off"/>
    <n v="2"/>
    <n v="-12"/>
    <n v="18"/>
    <x v="1"/>
    <n v="1"/>
    <n v="0"/>
    <n v="1"/>
    <n v="1"/>
  </r>
  <r>
    <s v="NSF-000276"/>
    <s v="USR-00671"/>
    <s v="SES-2503-18009"/>
    <d v="2025-03-09T00:00:00"/>
    <s v="North West"/>
    <s v="Manchester"/>
    <x v="1"/>
    <s v="18-24"/>
    <s v="Female"/>
    <s v="Web"/>
    <s v="Desktop"/>
    <s v="1-2 years"/>
    <s v="Free"/>
    <s v="Paid Social"/>
    <x v="5"/>
    <s v="First Use"/>
    <s v="No Experiment"/>
    <s v="Control"/>
    <n v="8"/>
    <n v="8"/>
    <n v="234"/>
    <s v="No"/>
    <x v="0"/>
    <x v="1"/>
    <s v="No Error"/>
    <x v="1"/>
    <n v="0"/>
    <n v="0"/>
    <n v="0"/>
    <s v="No Support Contact"/>
    <s v="No"/>
    <s v="No Support Contact"/>
    <s v="Not Applicable"/>
    <m/>
    <s v="No drop-off"/>
    <n v="3"/>
    <n v="33"/>
    <n v="0"/>
    <x v="0"/>
    <n v="1"/>
    <n v="0"/>
    <n v="0"/>
    <n v="0"/>
  </r>
  <r>
    <s v="NSF-000996"/>
    <s v="USR-00107"/>
    <s v="SES-2512-54378"/>
    <d v="2025-12-09T00:00:00"/>
    <s v="London"/>
    <s v="Camden"/>
    <x v="7"/>
    <s v="18-24"/>
    <s v="Male"/>
    <s v="Web"/>
    <s v="Desktop"/>
    <s v="&lt;3 months"/>
    <s v="Premium"/>
    <s v="Organic Search"/>
    <x v="7"/>
    <s v="Repeat Use"/>
    <s v="New Cta Copy"/>
    <s v="Treatment"/>
    <n v="4"/>
    <n v="4"/>
    <n v="108"/>
    <s v="No"/>
    <x v="0"/>
    <x v="1"/>
    <s v="No Error"/>
    <x v="0"/>
    <n v="21.88"/>
    <n v="0.54"/>
    <n v="0.37"/>
    <s v="No Support Contact"/>
    <s v="No"/>
    <s v="No Support Contact"/>
    <s v="Not Applicable"/>
    <m/>
    <s v="No drop-off"/>
    <n v="5"/>
    <n v="7"/>
    <s v="18 days"/>
    <x v="1"/>
    <n v="1"/>
    <n v="1"/>
    <n v="0"/>
    <n v="1"/>
  </r>
  <r>
    <s v="NSF-000335"/>
    <s v="USR-00553"/>
    <s v="SES-2504-76434"/>
    <d v="2025-04-18T00:00:00"/>
    <s v="East England"/>
    <s v="Luton"/>
    <x v="2"/>
    <s v="55-64"/>
    <s v="Female"/>
    <s v="Ios"/>
    <s v="Iphone"/>
    <s v="3-6 months"/>
    <s v="Premium"/>
    <s v="Direct"/>
    <x v="0"/>
    <s v="Repeat Use"/>
    <s v="No Experiment"/>
    <s v="Control"/>
    <n v="7"/>
    <n v="7"/>
    <n v="312"/>
    <s v="No"/>
    <x v="1"/>
    <x v="0"/>
    <s v="Bank Feed Mismatch"/>
    <x v="1"/>
    <n v="0"/>
    <n v="0"/>
    <n v="0"/>
    <s v="Transaction Failure"/>
    <s v="Yes"/>
    <s v="Transaction Failure"/>
    <s v="Resolved"/>
    <n v="20"/>
    <s v="Technical error"/>
    <n v="3"/>
    <n v="-8"/>
    <n v="37"/>
    <x v="1"/>
    <n v="0"/>
    <n v="0"/>
    <n v="1"/>
    <n v="1"/>
  </r>
  <r>
    <s v="NSF-001201"/>
    <s v="USR-00415"/>
    <s v="SES-2602-81949"/>
    <d v="2026-02-16T00:00:00"/>
    <s v="North West"/>
    <s v="Manchester"/>
    <x v="5"/>
    <s v="25-34"/>
    <s v="Male"/>
    <s v="Ios"/>
    <s v="Iphone"/>
    <s v="2+ years"/>
    <s v="Free"/>
    <s v="Paid Social"/>
    <x v="0"/>
    <s v="Repeat Use"/>
    <s v="No Experiment"/>
    <s v="Control"/>
    <n v="7"/>
    <n v="5"/>
    <n v="254"/>
    <s v="Yes"/>
    <x v="0"/>
    <x v="1"/>
    <s v="No Error"/>
    <x v="1"/>
    <n v="0"/>
    <n v="0"/>
    <n v="0"/>
    <s v="Fees And Pricing"/>
    <s v="Yes"/>
    <s v="Fees And Pricing"/>
    <s v="Unresolved"/>
    <n v="16"/>
    <s v="No drop-off"/>
    <n v="2"/>
    <n v="-32"/>
    <n v="46"/>
    <x v="1"/>
    <n v="1"/>
    <n v="0"/>
    <n v="0"/>
    <n v="1"/>
  </r>
  <r>
    <s v="NSF-000113"/>
    <s v="USR-00643"/>
    <s v="SES-2502-69701"/>
    <d v="2025-02-21T00:00:00"/>
    <s v="East Midlands"/>
    <s v="Nottingham"/>
    <x v="0"/>
    <s v="35-44"/>
    <s v="Female"/>
    <s v="Ios"/>
    <s v="Iphone"/>
    <s v="2+ years"/>
    <s v="Free"/>
    <s v="Paid Social"/>
    <x v="2"/>
    <s v="Repeat Use"/>
    <s v="Unknown"/>
    <s v="Control"/>
    <n v="5"/>
    <n v="5"/>
    <n v="176"/>
    <s v="No"/>
    <x v="0"/>
    <x v="0"/>
    <s v="Funding Source Unclear"/>
    <x v="0"/>
    <n v="44.85"/>
    <n v="0"/>
    <n v="0"/>
    <s v="No Support Contact"/>
    <s v="No"/>
    <s v="No Support Contact"/>
    <s v="Not Applicable"/>
    <m/>
    <s v="No drop-off"/>
    <n v="4"/>
    <n v="-12"/>
    <n v="38"/>
    <x v="1"/>
    <n v="1"/>
    <n v="1"/>
    <n v="1"/>
    <n v="1"/>
  </r>
  <r>
    <s v="NSF-000797"/>
    <s v="USR-00245"/>
    <s v="SES-2509-13861"/>
    <d v="2025-09-21T00:00:00"/>
    <s v="Scotland"/>
    <s v="Aberdeen"/>
    <x v="0"/>
    <s v="25-34"/>
    <s v="Female"/>
    <s v="Android"/>
    <s v="Android Phone"/>
    <s v="2+ years"/>
    <s v="Premium"/>
    <s v="Paid Search"/>
    <x v="1"/>
    <s v="Repeat Use"/>
    <s v="Simplified Onboarding"/>
    <s v="Treatment"/>
    <n v="4"/>
    <n v="4"/>
    <n v="108"/>
    <s v="No"/>
    <x v="0"/>
    <x v="1"/>
    <s v="No Error"/>
    <x v="0"/>
    <n v="67.489999999999995"/>
    <n v="0.21"/>
    <n v="0.37"/>
    <s v="No Support Contact"/>
    <s v="No"/>
    <s v="No Support Contact"/>
    <s v="Not Applicable"/>
    <m/>
    <s v="No drop-off"/>
    <n v="5"/>
    <n v="17"/>
    <n v="5"/>
    <x v="1"/>
    <n v="1"/>
    <n v="1"/>
    <n v="0"/>
    <n v="1"/>
  </r>
  <r>
    <s v="NSF-001209"/>
    <s v="USR-00690"/>
    <s v="SES-2602-56058"/>
    <d v="2026-02-26T00:00:00"/>
    <s v="Wales"/>
    <s v="Swansea"/>
    <x v="5"/>
    <s v="18-24"/>
    <s v="Male"/>
    <s v="Android"/>
    <s v="Android Phone"/>
    <s v="7-12 months"/>
    <s v="Plus"/>
    <s v="Paid Search"/>
    <x v="4"/>
    <s v="Repeat Use"/>
    <s v="No Experiment"/>
    <s v="Control"/>
    <n v="99"/>
    <n v="6"/>
    <n v="180"/>
    <s v="No"/>
    <x v="0"/>
    <x v="0"/>
    <s v="Transaction Classification Wrong"/>
    <x v="0"/>
    <n v="17.260000000000002"/>
    <n v="0"/>
    <n v="0.17"/>
    <s v="No Support Contact"/>
    <s v="No"/>
    <s v="No Support Contact"/>
    <s v="Not Applicable"/>
    <m/>
    <s v="No drop-off"/>
    <n v="3"/>
    <n v="150"/>
    <n v="80"/>
    <x v="1"/>
    <n v="1"/>
    <n v="1"/>
    <n v="1"/>
    <n v="1"/>
  </r>
  <r>
    <s v="NSF-000261"/>
    <s v="USR-00811"/>
    <s v="SES-2503-53142"/>
    <d v="2025-03-15T00:00:00"/>
    <s v="Yorkshire &amp; Humber"/>
    <s v="Sheffield"/>
    <x v="0"/>
    <s v="18-24"/>
    <s v="Female"/>
    <s v="Android"/>
    <s v="Android Phone"/>
    <s v="1-2 years"/>
    <s v="Plus"/>
    <s v="Paid Search"/>
    <x v="7"/>
    <s v="First Use"/>
    <s v="New Cta Copy"/>
    <s v="Control"/>
    <n v="4"/>
    <n v="4"/>
    <n v="116"/>
    <s v="No"/>
    <x v="0"/>
    <x v="1"/>
    <s v="No Error"/>
    <x v="0"/>
    <n v="23.4"/>
    <n v="0.56000000000000005"/>
    <n v="0.17"/>
    <s v="No Support Contact"/>
    <s v="No"/>
    <s v="No Support Contact"/>
    <s v="Not Applicable"/>
    <m/>
    <s v="No drop-off"/>
    <n v="5"/>
    <n v="-8"/>
    <n v="0"/>
    <x v="1"/>
    <n v="1"/>
    <n v="1"/>
    <n v="0"/>
    <n v="1"/>
  </r>
  <r>
    <s v="NSF-000076"/>
    <s v="USR-00782"/>
    <s v="SES-2501-45817"/>
    <d v="2025-01-11T00:00:00"/>
    <s v="East Midlands"/>
    <s v="LINCOLN"/>
    <x v="7"/>
    <s v="18-24"/>
    <s v="Male"/>
    <s v="Android"/>
    <s v="Android Phone"/>
    <s v="7-12 months"/>
    <s v="Premium"/>
    <s v="Paid Search"/>
    <x v="10"/>
    <s v="First Use"/>
    <s v="No Experiment"/>
    <s v="Control"/>
    <n v="9"/>
    <n v="9"/>
    <n v="281"/>
    <s v="No"/>
    <x v="0"/>
    <x v="1"/>
    <s v="No Error"/>
    <x v="0"/>
    <n v="87.14"/>
    <n v="3.36"/>
    <n v="0.37"/>
    <s v="No Support Contact"/>
    <s v="No"/>
    <s v="No Support Contact"/>
    <s v="Not Applicable"/>
    <m/>
    <s v="No drop-off"/>
    <n v="2"/>
    <n v="44"/>
    <n v="0"/>
    <x v="1"/>
    <n v="1"/>
    <n v="1"/>
    <n v="0"/>
    <n v="1"/>
  </r>
  <r>
    <s v="NSF-001075"/>
    <s v="USR-00294"/>
    <s v="SES-2601-31092"/>
    <d v="2026-01-26T00:00:00"/>
    <s v="London"/>
    <s v="Hammersmith"/>
    <x v="0"/>
    <s v="55-64"/>
    <s v="Non-Binary"/>
    <s v="Android"/>
    <s v="Android Phone"/>
    <s v="7-12 months"/>
    <s v="Free"/>
    <s v="Paid Search"/>
    <x v="2"/>
    <s v="Reactivated"/>
    <s v="No Experiment"/>
    <s v="Control"/>
    <s v="N/A"/>
    <n v="5"/>
    <n v="113"/>
    <s v="No"/>
    <x v="0"/>
    <x v="1"/>
    <s v="No Error"/>
    <x v="1"/>
    <n v="0"/>
    <n v="0"/>
    <n v="0"/>
    <s v="No Support Contact"/>
    <s v="No"/>
    <s v="No Support Contact"/>
    <s v="Not Applicable"/>
    <m/>
    <s v="No drop-off"/>
    <n v="5"/>
    <n v="46"/>
    <n v="56"/>
    <x v="1"/>
    <n v="1"/>
    <n v="0"/>
    <n v="0"/>
    <n v="1"/>
  </r>
  <r>
    <s v="NSF-000678"/>
    <s v="USR-00856"/>
    <s v="SES-2508-62695"/>
    <d v="2025-10-08T00:00:00"/>
    <s v="Wales"/>
    <s v="Swansea"/>
    <x v="0"/>
    <s v="45-54"/>
    <s v="Female"/>
    <s v="Ios"/>
    <s v="Iphone"/>
    <s v="1-2 years"/>
    <s v="Free"/>
    <s v="Paid Search"/>
    <x v="8"/>
    <s v="Repeat Use"/>
    <s v="Simplified Onboarding"/>
    <s v="Treatment"/>
    <n v="5"/>
    <n v="5"/>
    <n v="144"/>
    <s v="No"/>
    <x v="1"/>
    <x v="1"/>
    <s v="No Error"/>
    <x v="1"/>
    <n v="0"/>
    <n v="0"/>
    <n v="0"/>
    <s v="No Support Contact"/>
    <s v="No"/>
    <s v="No Support Contact"/>
    <s v="Not Applicable"/>
    <m/>
    <s v="Technical error"/>
    <n v="4"/>
    <n v="77"/>
    <n v="12"/>
    <x v="0"/>
    <n v="0"/>
    <n v="0"/>
    <n v="0"/>
    <n v="0"/>
  </r>
  <r>
    <s v="NSF-001315"/>
    <s v="USR-00604"/>
    <s v="SES-2604-53879"/>
    <d v="2026-04-22T00:00:00"/>
    <s v="Wales"/>
    <s v="Newport"/>
    <x v="0"/>
    <s v="55-64"/>
    <s v="Male"/>
    <s v="Ios"/>
    <s v="Iphone"/>
    <s v="3-6 months"/>
    <s v="Free"/>
    <s v="Referral"/>
    <x v="10"/>
    <s v="Trial/Exploration"/>
    <s v="No Experiment"/>
    <s v="Control"/>
    <n v="9"/>
    <n v="9"/>
    <n v="239"/>
    <s v="No"/>
    <x v="1"/>
    <x v="1"/>
    <s v="No Error"/>
    <x v="1"/>
    <n v="0"/>
    <n v="0"/>
    <n v="0"/>
    <s v="No Support Contact"/>
    <s v="No"/>
    <s v="No Support Contact"/>
    <s v="Not Applicable"/>
    <m/>
    <s v="No drop-off"/>
    <n v="2"/>
    <n v="24"/>
    <n v="1"/>
    <x v="0"/>
    <n v="0"/>
    <n v="0"/>
    <n v="0"/>
    <n v="0"/>
  </r>
  <r>
    <s v="NSF-000126"/>
    <s v="USR-00599"/>
    <s v="SES-2502-93723"/>
    <d v="2025-02-15T00:00:00"/>
    <s v="West Midlands"/>
    <s v="Coventry"/>
    <x v="4"/>
    <s v="55-64"/>
    <s v="Prefer Not To Say"/>
    <s v="Ios"/>
    <s v="Iphone"/>
    <s v="&lt;3 months"/>
    <s v="Free"/>
    <s v="Employer Partnership"/>
    <x v="8"/>
    <s v="Repeat Use"/>
    <s v="No Experiment"/>
    <s v="Control"/>
    <n v="5"/>
    <n v="3"/>
    <n v="195"/>
    <s v="Yes"/>
    <x v="1"/>
    <x v="1"/>
    <s v="No Error"/>
    <x v="0"/>
    <n v="46.76"/>
    <n v="0"/>
    <n v="0"/>
    <s v="No Support Contact"/>
    <s v="No"/>
    <s v="No Support Contact"/>
    <s v="Not Applicable"/>
    <m/>
    <s v="Instructions unclear"/>
    <n v="4"/>
    <n v="-13"/>
    <n v="4"/>
    <x v="1"/>
    <n v="0"/>
    <n v="1"/>
    <n v="0"/>
    <n v="1"/>
  </r>
  <r>
    <s v="NSF-000097"/>
    <s v="USR-00136"/>
    <s v="SES-2502-48866"/>
    <d v="2025-02-19T00:00:00"/>
    <s v="London"/>
    <s v="HAMMERSMITH"/>
    <x v="5"/>
    <s v="45-54"/>
    <s v="Male"/>
    <s v="Ios"/>
    <s v="Iphone"/>
    <s v="7-12 months"/>
    <s v="Premium"/>
    <s v="Employer Partnership"/>
    <x v="1"/>
    <s v="Repeat Use"/>
    <s v="Progress Indicator"/>
    <s v="Control"/>
    <n v="4"/>
    <n v="4"/>
    <n v="113"/>
    <s v="No"/>
    <x v="0"/>
    <x v="1"/>
    <s v="No Error"/>
    <x v="0"/>
    <n v="155.9"/>
    <n v="0.2"/>
    <n v="0.37"/>
    <s v="No Support Contact"/>
    <s v="No"/>
    <s v="No Support Contact"/>
    <s v="Not Applicable"/>
    <m/>
    <s v="No drop-off"/>
    <n v="3"/>
    <n v="10"/>
    <n v="4"/>
    <x v="1"/>
    <n v="1"/>
    <n v="1"/>
    <n v="0"/>
    <n v="1"/>
  </r>
  <r>
    <s v="NSF-001151"/>
    <s v="USR-00298"/>
    <s v="SES-2602-87345"/>
    <d v="2026-02-21T00:00:00"/>
    <s v="London"/>
    <s v="Camden"/>
    <x v="7"/>
    <s v="45-54"/>
    <s v="Female"/>
    <s v="Android"/>
    <s v="Android Phone"/>
    <s v="2+ years"/>
    <s v="Free"/>
    <s v="Organic Search"/>
    <x v="5"/>
    <s v="First Use"/>
    <s v="New Cta Copy"/>
    <s v="Treatment"/>
    <n v="8"/>
    <n v="7"/>
    <n v="0"/>
    <s v="Yes"/>
    <x v="0"/>
    <x v="1"/>
    <s v="No Error"/>
    <x v="0"/>
    <n v="461.24"/>
    <n v="2.3199999999999998"/>
    <n v="0"/>
    <s v="No Support Contact"/>
    <s v="No"/>
    <s v="No Support Contact"/>
    <s v="Not Applicable"/>
    <m/>
    <s v="No drop-off"/>
    <n v="4"/>
    <n v="21"/>
    <n v="0"/>
    <x v="1"/>
    <n v="1"/>
    <n v="1"/>
    <n v="0"/>
    <n v="1"/>
  </r>
  <r>
    <s v="NSF-001253"/>
    <s v="USR-00204"/>
    <s v="SES-2603-13122"/>
    <d v="2026-03-29T00:00:00"/>
    <s v="West Midlands"/>
    <s v="Wolverhampton"/>
    <x v="0"/>
    <s v="18-24"/>
    <s v="Male"/>
    <s v="Ios"/>
    <s v="Iphone"/>
    <s v="1-2 years"/>
    <s v="Premium"/>
    <s v="App Store"/>
    <x v="7"/>
    <s v="Repeat Use"/>
    <s v="No Experiment"/>
    <s v="Control"/>
    <n v="4"/>
    <n v="4"/>
    <n v="73"/>
    <s v="No"/>
    <x v="1"/>
    <x v="1"/>
    <s v="No Error"/>
    <x v="1"/>
    <n v="0"/>
    <n v="0"/>
    <n v="0"/>
    <s v="No Support Contact"/>
    <s v="No"/>
    <s v="No Support Contact"/>
    <s v="Not Applicable"/>
    <m/>
    <s v="No drop-off"/>
    <n v="4"/>
    <n v="8"/>
    <n v="25"/>
    <x v="0"/>
    <n v="0"/>
    <n v="0"/>
    <n v="0"/>
    <n v="0"/>
  </r>
  <r>
    <s v="NSF-000752"/>
    <s v="USR-00792"/>
    <s v="SES-2509-76811"/>
    <d v="2025-09-19T00:00:00"/>
    <s v="Yorkshire &amp; Humber"/>
    <s v="Sheffield"/>
    <x v="2"/>
    <s v="18-24"/>
    <s v="Female"/>
    <s v="Ios"/>
    <s v="Ipad"/>
    <s v="&lt;3 months"/>
    <s v="Free"/>
    <s v="Referral"/>
    <x v="2"/>
    <s v="Repeat Use"/>
    <s v="Fee Transparency Panel"/>
    <s v="Treatment"/>
    <n v="5"/>
    <n v="4"/>
    <n v="171"/>
    <s v="Yes"/>
    <x v="1"/>
    <x v="0"/>
    <s v="Goal Setup Confusion"/>
    <x v="1"/>
    <n v="0"/>
    <n v="0"/>
    <n v="0"/>
    <s v="Feature Navigation"/>
    <s v="Yes"/>
    <s v="Feature Navigation"/>
    <s v="Resolved"/>
    <n v="32"/>
    <s v="Too many steps"/>
    <n v="3"/>
    <n v="-13"/>
    <n v="49"/>
    <x v="0"/>
    <n v="0"/>
    <n v="0"/>
    <n v="1"/>
    <n v="0"/>
  </r>
  <r>
    <s v="NSF-001146"/>
    <s v="USR-00254"/>
    <s v="SES-2602-38676"/>
    <d v="2026-02-28T00:00:00"/>
    <s v="Scotland"/>
    <s v="Aberdeen"/>
    <x v="0"/>
    <s v="45-54"/>
    <s v="Male"/>
    <s v="Android"/>
    <s v="Android Phone"/>
    <s v="3-6 months"/>
    <s v="Free"/>
    <s v="App Store"/>
    <x v="5"/>
    <s v="Repeat Use"/>
    <s v="Simplified Onboarding"/>
    <s v="Treatment"/>
    <n v="8"/>
    <n v="8"/>
    <n v="177"/>
    <s v="No"/>
    <x v="0"/>
    <x v="1"/>
    <s v="No Error"/>
    <x v="1"/>
    <n v="0"/>
    <n v="0"/>
    <n v="0"/>
    <s v="Feature Navigation"/>
    <s v="Yes"/>
    <s v="Feature Navigation"/>
    <s v="Resolved"/>
    <n v="42"/>
    <s v="No drop-off"/>
    <n v="5"/>
    <n v="3"/>
    <n v="38"/>
    <x v="1"/>
    <n v="1"/>
    <n v="0"/>
    <n v="0"/>
    <n v="1"/>
  </r>
  <r>
    <s v="NSF-000655"/>
    <s v="USR-00759"/>
    <s v="SES-2507-72424"/>
    <d v="2025-07-01T00:00:00"/>
    <s v="Northern Ireland"/>
    <s v="Newry"/>
    <x v="3"/>
    <s v="18-24"/>
    <s v="Male"/>
    <s v="Android"/>
    <s v="Android Phone"/>
    <s v="2+ years"/>
    <s v="Free"/>
    <s v="Organic Search"/>
    <x v="8"/>
    <s v="Trial/Exploration"/>
    <s v="Simplified Onboarding"/>
    <s v="Control"/>
    <n v="5"/>
    <n v="4"/>
    <n v="0"/>
    <s v="Yes"/>
    <x v="0"/>
    <x v="1"/>
    <s v="No Error"/>
    <x v="0"/>
    <n v="54.39"/>
    <n v="0"/>
    <n v="0"/>
    <s v="No Support Contact"/>
    <s v="No"/>
    <s v="No Support Contact"/>
    <s v="Not Applicable"/>
    <m/>
    <s v="No drop-off"/>
    <n v="4"/>
    <n v="25"/>
    <n v="47"/>
    <x v="1"/>
    <n v="1"/>
    <n v="1"/>
    <n v="0"/>
    <n v="1"/>
  </r>
  <r>
    <s v="NSF-000474"/>
    <s v="USR-00174"/>
    <s v="SES-2505-75717"/>
    <d v="2025-05-13T00:00:00"/>
    <s v="South West"/>
    <s v="BATH"/>
    <x v="5"/>
    <s v="45-54"/>
    <s v="Male"/>
    <s v="Android"/>
    <s v="Android Phone"/>
    <s v="7-12 months"/>
    <s v="Free"/>
    <s v="Referral"/>
    <x v="5"/>
    <s v="Repeat Use"/>
    <s v="Progress Indicator"/>
    <s v="Control"/>
    <n v="8"/>
    <n v="8"/>
    <n v="191"/>
    <s v="No"/>
    <x v="0"/>
    <x v="1"/>
    <s v="No Error"/>
    <x v="0"/>
    <n v="441.16"/>
    <n v="2.4"/>
    <n v="0"/>
    <s v="No Support Contact"/>
    <s v="No"/>
    <s v="No Support Contact"/>
    <s v="Not Applicable"/>
    <m/>
    <s v="No drop-off"/>
    <n v="4"/>
    <n v="-26"/>
    <n v="23"/>
    <x v="1"/>
    <n v="1"/>
    <n v="1"/>
    <n v="0"/>
    <n v="1"/>
  </r>
  <r>
    <s v="NSF-000773"/>
    <s v="USR-00105"/>
    <s v="SES-2509-97821"/>
    <d v="2025-09-20T00:00:00"/>
    <s v="East Midlands"/>
    <s v="Leicester"/>
    <x v="0"/>
    <s v="35-44"/>
    <s v="Male"/>
    <s v="Ios"/>
    <s v="Iphone"/>
    <s v="7-12 months"/>
    <s v="Plus"/>
    <s v="Organic Search"/>
    <x v="5"/>
    <s v="Reactivated"/>
    <s v="No Experiment"/>
    <s v="Control"/>
    <n v="8"/>
    <n v="8"/>
    <n v="206"/>
    <s v="No"/>
    <x v="0"/>
    <x v="0"/>
    <s v="Compliance Review Delay"/>
    <x v="0"/>
    <n v="323.94"/>
    <n v="2.5499999999999998"/>
    <n v="0.17"/>
    <s v="No Support Contact"/>
    <s v="No"/>
    <s v="No Support Contact"/>
    <s v="Not Applicable"/>
    <m/>
    <s v="No drop-off"/>
    <n v="2"/>
    <n v="-24"/>
    <n v="16"/>
    <x v="0"/>
    <n v="1"/>
    <n v="1"/>
    <n v="1"/>
    <n v="0"/>
  </r>
  <r>
    <s v="NSF-000023"/>
    <s v="USR-00206"/>
    <s v="SES-2501-65120"/>
    <d v="2025-01-27T00:00:00"/>
    <s v="Wales"/>
    <s v="Wrexham"/>
    <x v="2"/>
    <s v="55-64"/>
    <s v="Female"/>
    <s v="Ios"/>
    <s v="Iphone"/>
    <s v="&lt;3 months"/>
    <s v="Free"/>
    <s v="Paid Search"/>
    <x v="7"/>
    <s v="First Use"/>
    <s v="Simplified Onboarding"/>
    <s v="Control"/>
    <n v="99"/>
    <n v="4"/>
    <n v="95"/>
    <s v="No"/>
    <x v="0"/>
    <x v="1"/>
    <s v="No Error"/>
    <x v="0"/>
    <n v="89.68"/>
    <n v="0.43"/>
    <n v="0"/>
    <s v="No Support Contact"/>
    <s v="No"/>
    <s v="No Support Contact"/>
    <s v="Not Applicable"/>
    <m/>
    <s v="No drop-off"/>
    <n v="4"/>
    <n v="49"/>
    <n v="0"/>
    <x v="1"/>
    <n v="1"/>
    <n v="1"/>
    <n v="0"/>
    <n v="1"/>
  </r>
  <r>
    <s v="NSF-000362"/>
    <s v="USR-00761"/>
    <s v="SES-2504-11076"/>
    <d v="2025-04-01T00:00:00"/>
    <s v="Wales"/>
    <s v="Wrexham"/>
    <x v="5"/>
    <s v="55-64"/>
    <s v="Male"/>
    <s v="Android"/>
    <s v="Android Tablet"/>
    <s v="&lt;3 months"/>
    <s v="Free"/>
    <s v="Referral"/>
    <x v="0"/>
    <s v="Repeat Use"/>
    <s v="No Experiment"/>
    <s v="Control"/>
    <n v="7"/>
    <n v="7"/>
    <n v="204"/>
    <s v="No"/>
    <x v="0"/>
    <x v="1"/>
    <s v="No Error"/>
    <x v="0"/>
    <n v="0"/>
    <n v="0"/>
    <n v="0"/>
    <s v="No Support Contact"/>
    <s v="No"/>
    <s v="No Support Contact"/>
    <s v="Not Applicable"/>
    <m/>
    <s v="No drop-off"/>
    <n v="5"/>
    <n v="22"/>
    <n v="7"/>
    <x v="1"/>
    <n v="1"/>
    <n v="1"/>
    <n v="0"/>
    <n v="1"/>
  </r>
  <r>
    <s v="NSF-000882"/>
    <s v="USR-00304"/>
    <s v="SES-2510-85076"/>
    <d v="2025-10-01T00:00:00"/>
    <s v="Yorkshire &amp; Humber"/>
    <s v="Hull"/>
    <x v="0"/>
    <s v="45-54"/>
    <s v="Male"/>
    <s v="Android"/>
    <s v="Android Phone"/>
    <s v="2+ years"/>
    <s v="Free"/>
    <s v="Referral"/>
    <x v="3"/>
    <s v="Repeat Use"/>
    <s v="Contextual Help"/>
    <s v="Treatment"/>
    <n v="6"/>
    <n v="6"/>
    <n v="170"/>
    <s v="No"/>
    <x v="1"/>
    <x v="1"/>
    <s v="No Error"/>
    <x v="1"/>
    <n v="0"/>
    <n v="0"/>
    <n v="0"/>
    <s v="No Support Contact"/>
    <s v="No"/>
    <s v="No Support Contact"/>
    <s v="Not Applicable"/>
    <m/>
    <s v="No drop-off"/>
    <n v="3"/>
    <n v="3"/>
    <n v="69"/>
    <x v="0"/>
    <n v="0"/>
    <n v="0"/>
    <n v="0"/>
    <n v="0"/>
  </r>
  <r>
    <s v="NSF-000634"/>
    <s v="USR-00076"/>
    <s v="SES-2507-34469"/>
    <d v="2025-07-09T00:00:00"/>
    <s v="East Midlands"/>
    <s v="Lincoln"/>
    <x v="0"/>
    <s v="25-34"/>
    <s v="Male"/>
    <s v="Android"/>
    <s v="Android Phone"/>
    <s v="1-2 years"/>
    <s v="Basic"/>
    <s v="App Store"/>
    <x v="3"/>
    <s v="First Use"/>
    <s v="Simplified Onboarding"/>
    <s v="Control"/>
    <n v="6"/>
    <n v="4"/>
    <n v="179"/>
    <s v="Yes"/>
    <x v="1"/>
    <x v="1"/>
    <s v="No Error"/>
    <x v="1"/>
    <n v="0"/>
    <n v="0"/>
    <n v="0"/>
    <s v="No Support Contact"/>
    <s v="No"/>
    <s v="No Support Contact"/>
    <s v="Not Applicable"/>
    <m/>
    <s v="Too many steps"/>
    <n v="2"/>
    <n v="7"/>
    <n v="0"/>
    <x v="0"/>
    <n v="0"/>
    <n v="0"/>
    <n v="0"/>
    <n v="0"/>
  </r>
  <r>
    <s v="NSF-000881"/>
    <s v="USR-00714"/>
    <s v="SES-2510-94401"/>
    <d v="2025-10-10T00:00:00"/>
    <s v="West Midlands"/>
    <s v="Wolverhampton"/>
    <x v="3"/>
    <s v="45-54"/>
    <s v="Male"/>
    <s v="Ios"/>
    <s v="Iphone"/>
    <s v="&lt;3 months"/>
    <s v="Free"/>
    <s v="Organic Search"/>
    <x v="9"/>
    <s v="Repeat Use"/>
    <s v="No Experiment"/>
    <s v="Control"/>
    <n v="5"/>
    <n v="5"/>
    <n v="161"/>
    <s v="No"/>
    <x v="0"/>
    <x v="0"/>
    <s v="Payment Schedule Mismatch"/>
    <x v="1"/>
    <n v="0"/>
    <n v="0"/>
    <n v="0"/>
    <s v="No Support Contact"/>
    <s v="No"/>
    <s v="No Support Contact"/>
    <s v="Not Applicable"/>
    <m/>
    <s v="No drop-off"/>
    <n v="5"/>
    <n v="-17"/>
    <n v="5"/>
    <x v="1"/>
    <n v="1"/>
    <n v="0"/>
    <n v="1"/>
    <n v="1"/>
  </r>
  <r>
    <s v="NSF-000513"/>
    <s v="USR-00120"/>
    <s v="SES-2506-75591"/>
    <d v="2025-06-26T00:00:00"/>
    <s v="Wales"/>
    <s v="Swansea"/>
    <x v="3"/>
    <s v="25-34"/>
    <s v="Female"/>
    <s v="Android"/>
    <s v="Android Phone"/>
    <s v="7-12 months"/>
    <s v="Premium"/>
    <s v="Paid Search"/>
    <x v="4"/>
    <s v="Repeat Use"/>
    <s v="Contextual Help"/>
    <s v="Treatment"/>
    <s v="6 steps"/>
    <n v="5"/>
    <n v="262"/>
    <s v="Yes"/>
    <x v="0"/>
    <x v="0"/>
    <s v="Data Refresh Delayed"/>
    <x v="1"/>
    <n v="0"/>
    <n v="0"/>
    <n v="0"/>
    <s v="No Support Contact"/>
    <s v="No"/>
    <s v="No Support Contact"/>
    <s v="Not Applicable"/>
    <m/>
    <s v="No drop-off"/>
    <n v="3"/>
    <n v="-14"/>
    <n v="36"/>
    <x v="0"/>
    <n v="1"/>
    <n v="0"/>
    <n v="1"/>
    <n v="0"/>
  </r>
  <r>
    <s v="NSF-000372"/>
    <s v="USR-00319"/>
    <s v="SES-2504-39856"/>
    <d v="2025-04-01T00:00:00"/>
    <s v="Yorkshire &amp; Humber"/>
    <s v="York"/>
    <x v="2"/>
    <s v="45-54"/>
    <s v="Female"/>
    <s v="Ios"/>
    <s v="Iphone"/>
    <s v="3-6 months"/>
    <s v="Free"/>
    <s v="Referral"/>
    <x v="2"/>
    <s v="First Use"/>
    <s v="No Experiment"/>
    <s v="Control"/>
    <n v="5"/>
    <n v="5"/>
    <n v="140"/>
    <s v="No"/>
    <x v="0"/>
    <x v="1"/>
    <s v="No Error"/>
    <x v="0"/>
    <n v="67.41"/>
    <n v="0"/>
    <n v="0"/>
    <s v="No Support Contact"/>
    <s v="No"/>
    <s v="No Support Contact"/>
    <s v="Not Applicable"/>
    <m/>
    <s v="No drop-off"/>
    <n v="4"/>
    <n v="69"/>
    <n v="0"/>
    <x v="1"/>
    <n v="1"/>
    <n v="1"/>
    <n v="0"/>
    <n v="1"/>
  </r>
  <r>
    <s v="NSF-000156"/>
    <s v="USR-00344"/>
    <s v="SES-2502-28752"/>
    <d v="2025-02-17T00:00:00"/>
    <s v="London"/>
    <s v="Hackney"/>
    <x v="2"/>
    <s v="55-64"/>
    <s v="Male"/>
    <s v="Ios"/>
    <s v="Iphone"/>
    <s v="1-2 years"/>
    <s v="Basic"/>
    <s v="Paid Search"/>
    <x v="8"/>
    <s v="Repeat Use"/>
    <s v="New Cta Copy"/>
    <s v="Treatment"/>
    <n v="5"/>
    <n v="5"/>
    <n v="152"/>
    <s v="No"/>
    <x v="1"/>
    <x v="1"/>
    <s v="No Error"/>
    <x v="0"/>
    <n v="46.51"/>
    <n v="0"/>
    <n v="0"/>
    <s v="No Support Contact"/>
    <s v="No"/>
    <s v="No Support Contact"/>
    <s v="Not Applicable"/>
    <m/>
    <s v="No drop-off"/>
    <n v="5"/>
    <n v="59"/>
    <s v="23 days"/>
    <x v="0"/>
    <n v="0"/>
    <n v="1"/>
    <n v="0"/>
    <n v="0"/>
  </r>
  <r>
    <s v="NSF-000776"/>
    <s v="USR-00723"/>
    <s v="SES-2509-67499"/>
    <d v="2025-09-16T00:00:00"/>
    <s v="Wales"/>
    <s v="Cardiff"/>
    <x v="4"/>
    <s v="35-44"/>
    <s v="Female"/>
    <s v="Ios"/>
    <s v="Iphone"/>
    <s v="3-6 months"/>
    <s v="Free"/>
    <s v="Employer Partnership"/>
    <x v="4"/>
    <s v="First Use"/>
    <s v="No Experiment"/>
    <s v="Control"/>
    <n v="6"/>
    <n v="6"/>
    <n v="162"/>
    <s v="No"/>
    <x v="0"/>
    <x v="1"/>
    <s v="No Error"/>
    <x v="1"/>
    <n v="0"/>
    <n v="0"/>
    <n v="0"/>
    <s v="No Support Contact"/>
    <s v="No"/>
    <s v="No Support Contact"/>
    <s v="Not Applicable"/>
    <m/>
    <s v="No drop-off"/>
    <n v="4"/>
    <n v="6"/>
    <n v="0"/>
    <x v="1"/>
    <n v="1"/>
    <n v="0"/>
    <n v="0"/>
    <n v="1"/>
  </r>
  <r>
    <s v="NSF-001128"/>
    <s v="USR-00614"/>
    <s v="SES-2601-99074"/>
    <d v="2026-01-29T00:00:00"/>
    <s v="Scotland"/>
    <s v="Glasgow"/>
    <x v="2"/>
    <s v="25-34"/>
    <s v="Male"/>
    <s v="Web"/>
    <s v="Desktop"/>
    <s v="7-12 months"/>
    <s v="Free"/>
    <s v="Paid Search"/>
    <x v="2"/>
    <s v="Reactivated"/>
    <s v="No Experiment"/>
    <s v="Control"/>
    <s v="5 steps"/>
    <n v="5"/>
    <n v="156"/>
    <s v="No"/>
    <x v="1"/>
    <x v="0"/>
    <s v="Funding Source Unclear"/>
    <x v="1"/>
    <n v="0"/>
    <n v="0"/>
    <n v="0"/>
    <s v="Feature Navigation"/>
    <s v="Yes"/>
    <s v="Feature Navigation"/>
    <s v="Resolved"/>
    <n v="37"/>
    <s v="No drop-off"/>
    <n v="3"/>
    <n v="-39"/>
    <n v="30"/>
    <x v="1"/>
    <n v="0"/>
    <n v="0"/>
    <n v="1"/>
    <n v="1"/>
  </r>
  <r>
    <s v="NSF-001175"/>
    <s v="USR-00318"/>
    <s v="SES-2602-66996"/>
    <d v="2026-02-19T00:00:00"/>
    <s v="South East"/>
    <s v="Canterbury"/>
    <x v="2"/>
    <s v="25-34"/>
    <s v="Female"/>
    <s v="Web"/>
    <s v="Desktop"/>
    <s v="3-6 months"/>
    <s v="Plus"/>
    <s v="Paid Search"/>
    <x v="8"/>
    <s v="Repeat Use"/>
    <s v="Fee Transparency Panel"/>
    <s v="Treatment"/>
    <n v="5"/>
    <n v="5"/>
    <n v="111"/>
    <s v="No"/>
    <x v="1"/>
    <x v="1"/>
    <s v="No Error"/>
    <x v="1"/>
    <n v="0"/>
    <n v="0"/>
    <n v="0"/>
    <s v="No Support Contact"/>
    <s v="No"/>
    <s v="No Support Contact"/>
    <s v="Not Applicable"/>
    <m/>
    <s v="Too many steps"/>
    <n v="3"/>
    <n v="67"/>
    <n v="34"/>
    <x v="1"/>
    <n v="0"/>
    <n v="0"/>
    <n v="0"/>
    <n v="1"/>
  </r>
  <r>
    <s v="NSF-000154"/>
    <s v="USR-00075"/>
    <s v="SES-2502-19531"/>
    <d v="2025-02-20T00:00:00"/>
    <s v="Wales"/>
    <s v="Newport"/>
    <x v="3"/>
    <s v="65+"/>
    <s v="Male"/>
    <s v="Android"/>
    <s v="Android Phone"/>
    <s v="1-2 years"/>
    <s v="Free"/>
    <s v="Organic Search"/>
    <x v="2"/>
    <s v="Repeat Use"/>
    <s v="No Experiment"/>
    <s v="Control"/>
    <n v="99"/>
    <n v="5"/>
    <n v="189"/>
    <s v="No"/>
    <x v="0"/>
    <x v="0"/>
    <s v="Funding Source Unclear"/>
    <x v="0"/>
    <n v="101.26"/>
    <n v="0"/>
    <n v="0"/>
    <s v="No Support Contact"/>
    <s v="No"/>
    <s v="No Support Contact"/>
    <s v="Not Applicable"/>
    <m/>
    <s v="No drop-off"/>
    <n v="4"/>
    <n v="-16"/>
    <n v="14"/>
    <x v="0"/>
    <n v="1"/>
    <n v="1"/>
    <n v="1"/>
    <n v="0"/>
  </r>
  <r>
    <s v="NSF-000072"/>
    <s v="USR-00382"/>
    <s v="SES-2501-82399"/>
    <d v="2025-01-29T00:00:00"/>
    <s v="North West"/>
    <s v="Chester"/>
    <x v="4"/>
    <s v="18-24"/>
    <s v="Male"/>
    <s v="Ios"/>
    <s v="Ipad"/>
    <s v="2+ years"/>
    <s v="Free"/>
    <s v="Paid Social"/>
    <x v="5"/>
    <s v="Repeat Use"/>
    <s v="Fee Transparency Panel"/>
    <s v="Control"/>
    <n v="8"/>
    <n v="8"/>
    <n v="211"/>
    <s v="No"/>
    <x v="0"/>
    <x v="1"/>
    <s v="No Error"/>
    <x v="0"/>
    <n v="445.2"/>
    <n v="2.48"/>
    <n v="0"/>
    <s v="No Support Contact"/>
    <s v="No"/>
    <s v="No Support Contact"/>
    <s v="Not Applicable"/>
    <m/>
    <s v="No drop-off"/>
    <n v="3"/>
    <n v="5"/>
    <n v="43"/>
    <x v="0"/>
    <n v="1"/>
    <n v="1"/>
    <n v="0"/>
    <n v="0"/>
  </r>
  <r>
    <s v="NSF-000018"/>
    <s v="USR-00383"/>
    <s v="SES-2501-26762"/>
    <d v="2025-01-06T00:00:00"/>
    <s v="North East"/>
    <s v="Middlesbrough"/>
    <x v="1"/>
    <s v="35-44"/>
    <s v="Male"/>
    <s v="Android"/>
    <s v="Android Phone"/>
    <s v="&lt;3 months"/>
    <s v="Free"/>
    <s v="Paid Search"/>
    <x v="3"/>
    <s v="Repeat Use"/>
    <s v="Simplified Onboarding"/>
    <s v="Control"/>
    <n v="6"/>
    <n v="6"/>
    <n v="167"/>
    <s v="No"/>
    <x v="0"/>
    <x v="1"/>
    <s v="No Error"/>
    <x v="0"/>
    <n v="34.18"/>
    <n v="0.1"/>
    <n v="0"/>
    <s v="No Support Contact"/>
    <s v="No"/>
    <s v="No Support Contact"/>
    <s v="Not Applicable"/>
    <m/>
    <s v="No drop-off"/>
    <n v="3"/>
    <n v="2"/>
    <n v="39"/>
    <x v="1"/>
    <n v="1"/>
    <n v="1"/>
    <n v="0"/>
    <n v="1"/>
  </r>
  <r>
    <s v="NSF-000549"/>
    <s v="USR-00682"/>
    <s v="SES-2506-36039"/>
    <d v="2025-06-26T00:00:00"/>
    <s v="Northern Ireland"/>
    <s v="Belfast"/>
    <x v="7"/>
    <s v="25-34"/>
    <s v="Female"/>
    <s v="Ios"/>
    <s v="Iphone"/>
    <s v="1-2 years"/>
    <s v="Free"/>
    <s v="App Store"/>
    <x v="0"/>
    <s v="First Use"/>
    <s v="No Experiment"/>
    <s v="Control"/>
    <n v="7"/>
    <n v="7"/>
    <n v="217"/>
    <s v="No"/>
    <x v="0"/>
    <x v="1"/>
    <s v="No Error"/>
    <x v="0"/>
    <n v="71.02"/>
    <n v="0"/>
    <n v="0"/>
    <s v="No Support Contact"/>
    <s v="No"/>
    <s v="No Support Contact"/>
    <s v="Not Applicable"/>
    <m/>
    <s v="No drop-off"/>
    <n v="4"/>
    <n v="55"/>
    <n v="0"/>
    <x v="1"/>
    <n v="1"/>
    <n v="1"/>
    <n v="0"/>
    <n v="1"/>
  </r>
  <r>
    <s v="NSF-000414"/>
    <s v="USR-00181"/>
    <s v="SES-2505-13622"/>
    <d v="2025-05-19T00:00:00"/>
    <s v="East Midlands"/>
    <s v="Derby"/>
    <x v="7"/>
    <s v="18-24"/>
    <s v="Female"/>
    <s v="Ios"/>
    <s v="Iphone"/>
    <s v="3-6 months"/>
    <s v="Free"/>
    <s v="Organic Search"/>
    <x v="7"/>
    <s v="First Use"/>
    <s v="No Experiment"/>
    <s v="Control"/>
    <n v="4"/>
    <n v="3"/>
    <n v="133"/>
    <s v="Yes"/>
    <x v="1"/>
    <x v="1"/>
    <s v="N/A"/>
    <x v="1"/>
    <n v="0"/>
    <n v="0"/>
    <n v="0"/>
    <s v="No Support Contact"/>
    <s v="No"/>
    <s v="No Support Contact"/>
    <s v="Not Applicable"/>
    <m/>
    <s v="Instructions unclear"/>
    <n v="3"/>
    <n v="-4"/>
    <n v="0"/>
    <x v="0"/>
    <n v="0"/>
    <n v="0"/>
    <n v="0"/>
    <n v="0"/>
  </r>
  <r>
    <s v="NSF-000552"/>
    <s v="USR-00480"/>
    <s v="SES-2506-79978"/>
    <d v="2025-06-21T00:00:00"/>
    <s v="Northern Ireland"/>
    <s v="Belfast"/>
    <x v="1"/>
    <s v="25-34"/>
    <s v="Female"/>
    <s v="Android"/>
    <s v="Android Phone"/>
    <s v="1-2 years"/>
    <s v="Free"/>
    <s v="Organic Search"/>
    <x v="4"/>
    <s v="Repeat Use"/>
    <s v="New Cta Copy"/>
    <s v="Treatment"/>
    <n v="6"/>
    <n v="6"/>
    <n v="138"/>
    <s v="No"/>
    <x v="0"/>
    <x v="1"/>
    <s v="No Error"/>
    <x v="0"/>
    <n v="0"/>
    <n v="0"/>
    <n v="0"/>
    <s v="No Support Contact"/>
    <s v="No"/>
    <s v="No Support Contact"/>
    <s v="Not Applicable"/>
    <m/>
    <s v="No drop-off"/>
    <n v="4"/>
    <n v="-6"/>
    <n v="27"/>
    <x v="1"/>
    <n v="1"/>
    <n v="1"/>
    <n v="0"/>
    <n v="1"/>
  </r>
  <r>
    <s v="NSF-001300"/>
    <s v="USR-00697"/>
    <s v="SES-2604-34421"/>
    <d v="2026-04-22T00:00:00"/>
    <s v="Wales"/>
    <s v="Wrexham"/>
    <x v="1"/>
    <s v="18-24"/>
    <s v="Male"/>
    <s v="Web"/>
    <s v="Desktop"/>
    <s v="2+ years"/>
    <s v="Plus"/>
    <s v="Referral"/>
    <x v="3"/>
    <s v="Reactivated"/>
    <s v="Progress Indicator"/>
    <s v="Treatment"/>
    <n v="6"/>
    <s v="6 steps"/>
    <n v="148"/>
    <s v="No"/>
    <x v="0"/>
    <x v="1"/>
    <s v="No Error"/>
    <x v="0"/>
    <n v="55.96"/>
    <n v="0.1"/>
    <n v="0.17"/>
    <s v="No Support Contact"/>
    <s v="No"/>
    <s v="No Support Contact"/>
    <s v="Not Applicable"/>
    <m/>
    <s v="No drop-off"/>
    <n v="5"/>
    <n v="-30"/>
    <n v="53"/>
    <x v="1"/>
    <n v="1"/>
    <n v="1"/>
    <n v="0"/>
    <n v="1"/>
  </r>
  <r>
    <s v="NSF-000646"/>
    <s v="USR-00664"/>
    <s v="SES-2507-49323"/>
    <d v="2025-07-27T00:00:00"/>
    <s v="London"/>
    <s v="Croydon"/>
    <x v="5"/>
    <s v="55-64"/>
    <s v="Female"/>
    <s v="Web"/>
    <s v="Desktop"/>
    <s v="1-2 years"/>
    <s v="Free"/>
    <s v="App Store"/>
    <x v="0"/>
    <s v="First Use"/>
    <s v="No Experiment"/>
    <s v="Control"/>
    <n v="7"/>
    <n v="6"/>
    <n v="265"/>
    <s v="Yes"/>
    <x v="1"/>
    <x v="0"/>
    <s v="Bank Feed Mismatch"/>
    <x v="1"/>
    <n v="0"/>
    <n v="0"/>
    <n v="0"/>
    <s v="No Support Contact"/>
    <s v="No"/>
    <s v="No Support Contact"/>
    <s v="Not Applicable"/>
    <m/>
    <s v="Too many steps"/>
    <n v="1"/>
    <n v="-10"/>
    <s v="0 days"/>
    <x v="0"/>
    <n v="0"/>
    <n v="0"/>
    <n v="1"/>
    <n v="0"/>
  </r>
  <r>
    <s v="NSF-001174"/>
    <s v="USR-00275"/>
    <s v="SES-2602-33760"/>
    <d v="2026-02-19T00:00:00"/>
    <s v="North East"/>
    <s v="Durham"/>
    <x v="5"/>
    <s v="25-34"/>
    <s v="Male"/>
    <s v="Android"/>
    <s v="Android Phone"/>
    <s v="3-6 months"/>
    <s v="Premium"/>
    <s v="Paid Social"/>
    <x v="2"/>
    <s v="Repeat Use"/>
    <s v="Progress Indicator"/>
    <s v="Treatment"/>
    <n v="5"/>
    <n v="5"/>
    <n v="110"/>
    <s v="No"/>
    <x v="0"/>
    <x v="1"/>
    <s v="No Error"/>
    <x v="0"/>
    <n v="54.44"/>
    <n v="0"/>
    <n v="0.37"/>
    <s v="No Support Contact"/>
    <s v="No"/>
    <s v="No Support Contact"/>
    <s v="Not Applicable"/>
    <m/>
    <s v="No drop-off"/>
    <n v="5"/>
    <n v="35"/>
    <n v="64"/>
    <x v="1"/>
    <n v="1"/>
    <n v="1"/>
    <n v="0"/>
    <n v="1"/>
  </r>
  <r>
    <s v="NSF-000964"/>
    <s v="USR-00238"/>
    <s v="SES-2511-30485"/>
    <d v="2025-11-20T00:00:00"/>
    <s v="Yorkshire &amp; Humber"/>
    <s v="Leeds"/>
    <x v="2"/>
    <s v="25-34"/>
    <s v="Female"/>
    <s v="Ios"/>
    <s v="Iphone"/>
    <s v="2+ years"/>
    <s v="Free"/>
    <s v="App Store"/>
    <x v="4"/>
    <s v="Reactivated"/>
    <s v="No Experiment"/>
    <s v="Control"/>
    <n v="6"/>
    <n v="3"/>
    <n v="246"/>
    <s v="Yes"/>
    <x v="1"/>
    <x v="1"/>
    <s v="No Error"/>
    <x v="1"/>
    <n v="0"/>
    <n v="0"/>
    <n v="0"/>
    <s v="No Support Contact"/>
    <s v="No"/>
    <s v="No Support Contact"/>
    <s v="Not Applicable"/>
    <m/>
    <s v="Unexpected fee"/>
    <n v="3"/>
    <n v="-15"/>
    <n v="46"/>
    <x v="0"/>
    <n v="0"/>
    <n v="0"/>
    <n v="0"/>
    <n v="0"/>
  </r>
  <r>
    <s v="NSF-000211"/>
    <s v="USR-00444"/>
    <s v="SES-2503-63140"/>
    <d v="2025-03-31T00:00:00"/>
    <s v="South East"/>
    <s v="Canterbury"/>
    <x v="0"/>
    <s v="25-34"/>
    <s v="Female"/>
    <s v="Android"/>
    <s v="Android Phone"/>
    <s v="&lt;3 months"/>
    <s v="Free"/>
    <s v="Organic Search"/>
    <x v="0"/>
    <s v="Trial/Exploration"/>
    <s v="Simplified Onboarding"/>
    <s v="Control"/>
    <n v="7"/>
    <n v="7"/>
    <n v="204"/>
    <s v="No"/>
    <x v="0"/>
    <x v="1"/>
    <s v="No Error"/>
    <x v="0"/>
    <n v="0"/>
    <n v="0"/>
    <n v="0"/>
    <s v="No Support Contact"/>
    <s v="No"/>
    <s v="No Support Contact"/>
    <s v="Not Applicable"/>
    <m/>
    <s v="No drop-off"/>
    <n v="3"/>
    <n v="49"/>
    <n v="1"/>
    <x v="0"/>
    <n v="1"/>
    <n v="1"/>
    <n v="0"/>
    <n v="0"/>
  </r>
  <r>
    <s v="NSF-000874"/>
    <s v="USR-00205"/>
    <s v="SES-2510-47740"/>
    <d v="2025-10-31T00:00:00"/>
    <s v="Wales"/>
    <s v="Swansea"/>
    <x v="1"/>
    <s v="18-24"/>
    <s v="Female"/>
    <s v="Web"/>
    <s v="Tablet Browser"/>
    <s v="2+ years"/>
    <s v="Free"/>
    <s v="Organic Search"/>
    <x v="8"/>
    <s v="First Use"/>
    <s v="Contextual Help"/>
    <s v="Treatment"/>
    <n v="5"/>
    <n v="5"/>
    <n v="202"/>
    <s v="No"/>
    <x v="0"/>
    <x v="0"/>
    <s v="Merchant Eligibility Mismatch"/>
    <x v="0"/>
    <n v="54.11"/>
    <n v="0"/>
    <n v="0"/>
    <s v="Transaction Failure"/>
    <s v="Yes"/>
    <s v="Transaction Failure"/>
    <s v="Resolved"/>
    <n v="2"/>
    <s v="No drop-off"/>
    <n v="4"/>
    <n v="32"/>
    <n v="0"/>
    <x v="1"/>
    <n v="1"/>
    <n v="1"/>
    <n v="1"/>
    <n v="1"/>
  </r>
  <r>
    <s v="NSF-000496"/>
    <s v="USR-00633"/>
    <s v="SES-2506-60008"/>
    <d v="2025-06-16T00:00:00"/>
    <s v="South West"/>
    <s v="Gloucester"/>
    <x v="3"/>
    <s v="35-44"/>
    <s v="Male"/>
    <s v="Ios"/>
    <s v="Iphone"/>
    <s v="1-2 years"/>
    <s v="Free"/>
    <s v="App Store"/>
    <x v="4"/>
    <s v="Reactivated"/>
    <s v="Simplified Onboarding"/>
    <s v="Treatment"/>
    <n v="6"/>
    <n v="6"/>
    <n v="178"/>
    <s v="No"/>
    <x v="0"/>
    <x v="1"/>
    <s v="No Error"/>
    <x v="0"/>
    <n v="30.16"/>
    <n v="0"/>
    <n v="0"/>
    <s v="Fees And Pricing"/>
    <s v="Yes"/>
    <s v="Fees And Pricing"/>
    <s v="Resolved"/>
    <n v="21"/>
    <s v="No drop-off"/>
    <n v="5"/>
    <n v="54"/>
    <n v="28"/>
    <x v="1"/>
    <n v="1"/>
    <n v="1"/>
    <n v="0"/>
    <n v="1"/>
  </r>
  <r>
    <s v="NSF-001113"/>
    <s v="USR-00181"/>
    <s v="SES-2606-00004"/>
    <d v="2026-01-28T00:00:00"/>
    <s v="West Midlands"/>
    <s v="Birmingham"/>
    <x v="2"/>
    <s v="25-34"/>
    <s v="Female"/>
    <s v="Ios"/>
    <s v="Iphone"/>
    <s v="&lt;3 months"/>
    <s v="Free"/>
    <s v="Direct"/>
    <x v="9"/>
    <s v="Repeat Use"/>
    <s v="Fee Transparency Panel"/>
    <s v="Control"/>
    <n v="5"/>
    <n v="5"/>
    <n v="155"/>
    <s v="No"/>
    <x v="0"/>
    <x v="1"/>
    <s v="No Error"/>
    <x v="0"/>
    <n v="149.12"/>
    <n v="0"/>
    <n v="0"/>
    <s v="No Support Contact"/>
    <s v="No"/>
    <s v="No Support Contact"/>
    <s v="Not Applicable"/>
    <m/>
    <s v="No drop-off"/>
    <n v="4"/>
    <n v="70"/>
    <n v="52"/>
    <x v="1"/>
    <n v="1"/>
    <n v="1"/>
    <n v="0"/>
    <n v="1"/>
  </r>
  <r>
    <s v="NSF-000677"/>
    <s v="USR-00566"/>
    <s v="SES-2508-83166"/>
    <d v="2025-08-06T00:00:00"/>
    <s v="West Midlands"/>
    <s v="Birmingham"/>
    <x v="0"/>
    <s v="45-54"/>
    <s v="Female"/>
    <s v="Android"/>
    <s v="Android Phone"/>
    <s v="&lt;3 months"/>
    <s v="Plus"/>
    <s v="Organic Search"/>
    <x v="7"/>
    <s v="Repeat Use"/>
    <s v="Contextual Help"/>
    <s v="Control"/>
    <n v="4"/>
    <n v="2"/>
    <n v="161"/>
    <s v="Yes"/>
    <x v="0"/>
    <x v="1"/>
    <s v="No Error"/>
    <x v="0"/>
    <n v="0"/>
    <n v="0.43"/>
    <n v="0.17"/>
    <s v="No Support Contact"/>
    <s v="No"/>
    <s v="No Support Contact"/>
    <s v="Not Applicable"/>
    <m/>
    <s v="No drop-off"/>
    <n v="2"/>
    <n v="-1"/>
    <s v="37 days"/>
    <x v="1"/>
    <n v="1"/>
    <n v="1"/>
    <n v="0"/>
    <n v="1"/>
  </r>
  <r>
    <s v="NSF-000889"/>
    <s v="USR-00765"/>
    <s v="SES-2510-11181"/>
    <d v="2025-10-27T00:00:00"/>
    <s v="Northern Ireland"/>
    <s v="Newry"/>
    <x v="2"/>
    <s v="55-64"/>
    <s v="Female"/>
    <s v="Android"/>
    <s v="Android Phone"/>
    <s v="1-2 years"/>
    <s v="Free"/>
    <s v="Referral"/>
    <x v="4"/>
    <s v="Trial/Exploration"/>
    <s v="Simplified Onboarding"/>
    <s v="Treatment"/>
    <n v="6"/>
    <n v="5"/>
    <n v="280"/>
    <s v="Yes"/>
    <x v="1"/>
    <x v="1"/>
    <s v="No Error"/>
    <x v="1"/>
    <n v="0"/>
    <n v="0"/>
    <n v="0"/>
    <s v="No Support Contact"/>
    <s v="No"/>
    <s v="No Support Contact"/>
    <s v="Not Applicable"/>
    <m/>
    <s v="Too many steps"/>
    <n v="3"/>
    <n v="3"/>
    <n v="41"/>
    <x v="0"/>
    <n v="0"/>
    <n v="0"/>
    <n v="0"/>
    <n v="0"/>
  </r>
  <r>
    <s v="NSF-000212"/>
    <s v="USR-00292"/>
    <s v="SES-2503-65046"/>
    <d v="2025-03-13T00:00:00"/>
    <s v="Northern Ireland"/>
    <s v="Lisburn"/>
    <x v="2"/>
    <s v="45-54"/>
    <s v="Male"/>
    <s v="Ios"/>
    <s v="Iphone"/>
    <s v="7-12 months"/>
    <s v="Free"/>
    <s v="App Store"/>
    <x v="7"/>
    <s v="First Use"/>
    <s v="Simplified Onboarding"/>
    <s v="Treatment"/>
    <n v="4"/>
    <n v="4"/>
    <n v="112"/>
    <s v="No"/>
    <x v="0"/>
    <x v="1"/>
    <s v="No Error"/>
    <x v="0"/>
    <n v="91.68"/>
    <n v="0.54"/>
    <n v="0"/>
    <s v="No Support Contact"/>
    <s v="No"/>
    <s v="No Support Contact"/>
    <s v="Not Applicable"/>
    <m/>
    <s v="No drop-off"/>
    <n v="5"/>
    <n v="79"/>
    <n v="0"/>
    <x v="1"/>
    <n v="1"/>
    <n v="1"/>
    <n v="0"/>
    <n v="1"/>
  </r>
  <r>
    <s v="NSF-000528"/>
    <s v="USR-00092"/>
    <s v="SES-2506-86018"/>
    <d v="2025-06-07T00:00:00"/>
    <s v="Yorkshire &amp; Humber"/>
    <s v="Hull"/>
    <x v="5"/>
    <s v="18-24"/>
    <s v="Female"/>
    <s v="Android"/>
    <s v="Android Phone"/>
    <s v="7-12 months"/>
    <s v="Premium"/>
    <s v="Affiliate"/>
    <x v="7"/>
    <s v="First Use"/>
    <s v="Simplified Onboarding"/>
    <s v="Control"/>
    <n v="4"/>
    <n v="4"/>
    <n v="96"/>
    <s v="No"/>
    <x v="0"/>
    <x v="0"/>
    <s v="Card Activation Failed"/>
    <x v="0"/>
    <n v="125.1"/>
    <n v="0.45"/>
    <n v="0.37"/>
    <s v="No Support Contact"/>
    <s v="No"/>
    <s v="No Support Contact"/>
    <s v="Not Applicable"/>
    <m/>
    <s v="No drop-off"/>
    <n v="3"/>
    <n v="58"/>
    <s v="0 days"/>
    <x v="1"/>
    <n v="1"/>
    <n v="1"/>
    <n v="1"/>
    <n v="1"/>
  </r>
  <r>
    <s v="NSF-000906"/>
    <s v="USR-00131"/>
    <s v="SES-2510-61828"/>
    <d v="2025-10-02T00:00:00"/>
    <s v="West Midlands"/>
    <s v="Coventry"/>
    <x v="3"/>
    <s v="35-44"/>
    <s v="Male"/>
    <s v="Ios"/>
    <s v="Iphone"/>
    <s v="&lt;3 months"/>
    <s v="Pro"/>
    <s v="Affiliate"/>
    <x v="0"/>
    <s v="Repeat Use"/>
    <s v="Simplified Onboarding"/>
    <s v="Treatment"/>
    <n v="7"/>
    <n v="7"/>
    <n v="240"/>
    <s v="No"/>
    <x v="1"/>
    <x v="0"/>
    <s v="Too Many Steps"/>
    <x v="1"/>
    <n v="0"/>
    <n v="0"/>
    <n v="0"/>
    <s v="No Support Contact"/>
    <s v="No"/>
    <s v="No Support Contact"/>
    <s v="Not Applicable"/>
    <m/>
    <s v="Technical error"/>
    <n v="4"/>
    <n v="-30"/>
    <n v="45"/>
    <x v="0"/>
    <n v="0"/>
    <n v="0"/>
    <n v="1"/>
    <n v="0"/>
  </r>
  <r>
    <s v="NSF-000733"/>
    <s v="USR-00297"/>
    <s v="SES-2508-43074"/>
    <d v="2025-08-11T00:00:00"/>
    <s v="East England"/>
    <s v="Norwich"/>
    <x v="1"/>
    <s v="35-44"/>
    <s v="Female"/>
    <s v="Ios"/>
    <s v="Iphone"/>
    <s v="1-2 years"/>
    <s v="Free"/>
    <s v="Affiliate"/>
    <x v="7"/>
    <s v="Repeat Use"/>
    <s v="New Cta Copy"/>
    <s v="Treatment"/>
    <n v="4"/>
    <n v="4"/>
    <n v="100"/>
    <s v="No"/>
    <x v="0"/>
    <x v="0"/>
    <s v="Merchant Declined Card"/>
    <x v="1"/>
    <n v="0"/>
    <n v="0"/>
    <n v="0"/>
    <s v="No Support Contact"/>
    <s v="No"/>
    <s v="No Support Contact"/>
    <s v="Not Applicable"/>
    <m/>
    <s v="No drop-off"/>
    <n v="3"/>
    <n v="45"/>
    <n v="46"/>
    <x v="1"/>
    <n v="1"/>
    <n v="0"/>
    <n v="1"/>
    <n v="1"/>
  </r>
  <r>
    <s v="NSF-000770"/>
    <s v="USR-00128"/>
    <s v="SES-2509-64937"/>
    <d v="2025-09-10T00:00:00"/>
    <s v="South West"/>
    <s v="Bath"/>
    <x v="3"/>
    <s v="45-54"/>
    <s v="Male"/>
    <s v="Ios"/>
    <s v="Iphone"/>
    <s v="&lt;3 months"/>
    <s v="Free"/>
    <s v="Employer Partnership"/>
    <x v="1"/>
    <s v="Repeat Use"/>
    <s v="No Experiment"/>
    <s v="Control"/>
    <n v="4"/>
    <n v="4"/>
    <n v="126"/>
    <s v="No"/>
    <x v="0"/>
    <x v="1"/>
    <s v="No Error"/>
    <x v="1"/>
    <n v="0"/>
    <n v="0"/>
    <n v="0"/>
    <s v="No Support Contact"/>
    <s v="No"/>
    <s v="No Support Contact"/>
    <s v="Not Applicable"/>
    <m/>
    <s v="No drop-off"/>
    <n v="4"/>
    <n v="32"/>
    <n v="39"/>
    <x v="1"/>
    <n v="1"/>
    <n v="0"/>
    <n v="0"/>
    <n v="1"/>
  </r>
  <r>
    <s v="NSF-000133"/>
    <s v="USR-00047"/>
    <s v="SES-2502-37732"/>
    <d v="2025-02-20T00:00:00"/>
    <s v="Northern Ireland"/>
    <s v="Newry"/>
    <x v="3"/>
    <s v="25-34"/>
    <s v="Female"/>
    <s v="Ios"/>
    <s v="Iphone"/>
    <s v="1-2 years"/>
    <s v="Free"/>
    <s v="Referral"/>
    <x v="1"/>
    <s v="First Use"/>
    <s v="No Experiment"/>
    <s v="Control"/>
    <n v="4"/>
    <n v="4"/>
    <n v="172"/>
    <s v="No"/>
    <x v="0"/>
    <x v="0"/>
    <s v="Transfer Pending"/>
    <x v="0"/>
    <n v="208.1"/>
    <n v="0.21"/>
    <n v="0"/>
    <s v="No Support Contact"/>
    <s v="No"/>
    <s v="No Support Contact"/>
    <s v="Not Applicable"/>
    <m/>
    <s v="No drop-off"/>
    <n v="3"/>
    <n v="30"/>
    <n v="0"/>
    <x v="1"/>
    <n v="1"/>
    <n v="1"/>
    <n v="1"/>
    <n v="1"/>
  </r>
  <r>
    <s v="NSF-000210"/>
    <s v="usr-00101"/>
    <s v="SES-2503-93353"/>
    <d v="2025-03-10T00:00:00"/>
    <s v="Wales"/>
    <s v="Wrexham"/>
    <x v="2"/>
    <s v="65+"/>
    <s v="Male"/>
    <s v="Android"/>
    <s v="Android Phone"/>
    <s v="2+ years"/>
    <s v="Free"/>
    <s v="App Store"/>
    <x v="4"/>
    <s v="Repeat Use"/>
    <s v="Simplified Onboarding"/>
    <s v="Control"/>
    <n v="6"/>
    <n v="6"/>
    <n v="165"/>
    <s v="Unknown"/>
    <x v="1"/>
    <x v="1"/>
    <s v="No Error"/>
    <x v="0"/>
    <n v="0"/>
    <n v="0"/>
    <n v="0"/>
    <s v="No Support Contact"/>
    <s v="No"/>
    <s v="No Support Contact"/>
    <s v="Not Applicable"/>
    <m/>
    <s v="Verification took too long"/>
    <n v="2"/>
    <n v="24"/>
    <n v="44"/>
    <x v="0"/>
    <n v="0"/>
    <n v="1"/>
    <n v="0"/>
    <n v="0"/>
  </r>
  <r>
    <s v="NSF-000925"/>
    <s v="USR-00741"/>
    <s v="SES-2511-71616"/>
    <d v="2025-11-27T00:00:00"/>
    <s v="East Midlands"/>
    <s v="Leicester"/>
    <x v="7"/>
    <s v="45-54"/>
    <s v="Female"/>
    <s v="Android"/>
    <s v="Android Phone"/>
    <s v="1-2 years"/>
    <s v="Free"/>
    <s v="Organic Search"/>
    <x v="1"/>
    <s v="Repeat Use"/>
    <s v="New Cta Copy"/>
    <s v="Control"/>
    <n v="4"/>
    <n v="4"/>
    <n v="93"/>
    <s v="No"/>
    <x v="0"/>
    <x v="1"/>
    <s v="No Error"/>
    <x v="1"/>
    <n v="0"/>
    <n v="0"/>
    <n v="0"/>
    <s v="No Support Contact"/>
    <s v="No"/>
    <s v="No Support Contact"/>
    <s v="Not Applicable"/>
    <m/>
    <s v="No drop-off"/>
    <n v="5"/>
    <n v="-15"/>
    <s v="10 days"/>
    <x v="0"/>
    <n v="1"/>
    <n v="0"/>
    <n v="0"/>
    <n v="0"/>
  </r>
  <r>
    <s v="NSF-001226"/>
    <s v="USR-00394"/>
    <s v="SES-2603-71853"/>
    <d v="2026-03-07T00:00:00"/>
    <s v="East Midlands"/>
    <s v="NOTTINGHAM"/>
    <x v="3"/>
    <s v="45-54"/>
    <s v="Male"/>
    <s v="Web"/>
    <s v="Tablet Browser"/>
    <s v="7-12 months"/>
    <s v="Basic"/>
    <s v="Employer Partnership"/>
    <x v="4"/>
    <s v="Repeat Use"/>
    <s v="New Cta Copy"/>
    <s v="Control"/>
    <n v="6"/>
    <n v="6"/>
    <n v="110"/>
    <s v="No"/>
    <x v="0"/>
    <x v="1"/>
    <s v="No Error"/>
    <x v="0"/>
    <n v="9"/>
    <n v="0"/>
    <n v="0"/>
    <s v="No Support Contact"/>
    <s v="No"/>
    <s v="No Support Contact"/>
    <s v="Not Applicable"/>
    <m/>
    <s v="No drop-off"/>
    <n v="4"/>
    <n v="15"/>
    <n v="42"/>
    <x v="1"/>
    <n v="1"/>
    <n v="1"/>
    <n v="0"/>
    <n v="1"/>
  </r>
  <r>
    <s v="NSF-001304"/>
    <s v="USR-00584"/>
    <s v="SES-2604-18408"/>
    <d v="2026-04-08T00:00:00"/>
    <s v="Wales"/>
    <s v="Wrexham"/>
    <x v="7"/>
    <s v="35-44"/>
    <s v="Female"/>
    <s v="Ios"/>
    <s v="Ipad"/>
    <s v="7-12 months"/>
    <s v="Premium"/>
    <s v="Employer Partnership"/>
    <x v="8"/>
    <s v="Repeat Use"/>
    <s v="Simplified Onboarding"/>
    <s v="Treatment"/>
    <n v="5"/>
    <n v="5"/>
    <n v="157"/>
    <s v="No"/>
    <x v="0"/>
    <x v="1"/>
    <s v="No Error"/>
    <x v="0"/>
    <n v="85.33"/>
    <n v="0"/>
    <n v="0.37"/>
    <s v="No Support Contact"/>
    <s v="No"/>
    <s v="No Support Contact"/>
    <s v="Not Applicable"/>
    <m/>
    <s v="No drop-off"/>
    <n v="5"/>
    <n v="61"/>
    <n v="31"/>
    <x v="1"/>
    <n v="1"/>
    <n v="1"/>
    <n v="0"/>
    <n v="1"/>
  </r>
  <r>
    <s v="NSF-000328"/>
    <s v="USR-00658"/>
    <s v="SES-2504-49387"/>
    <d v="2025-04-26T00:00:00"/>
    <s v="South East"/>
    <s v="Reading"/>
    <x v="0"/>
    <s v="18-24"/>
    <s v="Female"/>
    <s v="Ios"/>
    <s v="Ipad"/>
    <s v="3-6 months"/>
    <s v="Free"/>
    <s v="Paid Social"/>
    <x v="1"/>
    <s v="First Use"/>
    <s v="Simplified Onboarding"/>
    <s v="Treatment"/>
    <n v="4"/>
    <n v="4"/>
    <n v="116"/>
    <s v="No"/>
    <x v="0"/>
    <x v="1"/>
    <s v="No Error"/>
    <x v="1"/>
    <n v="0"/>
    <n v="0"/>
    <n v="0"/>
    <s v="No Support Contact"/>
    <s v="No"/>
    <s v="No Support Contact"/>
    <s v="Not Applicable"/>
    <m/>
    <s v="No drop-off"/>
    <n v="4"/>
    <n v="100"/>
    <n v="0"/>
    <x v="1"/>
    <n v="1"/>
    <n v="0"/>
    <n v="0"/>
    <n v="1"/>
  </r>
  <r>
    <s v="NSF-001444"/>
    <s v="USR-00740"/>
    <s v="SES-2606-94582"/>
    <d v="2026-06-24T00:00:00"/>
    <s v="North West"/>
    <s v="Preston"/>
    <x v="0"/>
    <s v="35-44"/>
    <s v="Female"/>
    <s v="Ios"/>
    <s v="Iphone"/>
    <s v="2+ years"/>
    <s v="Free"/>
    <s v="App Store"/>
    <x v="0"/>
    <s v="Reactivated"/>
    <s v="No Experiment"/>
    <s v="Control"/>
    <n v="7"/>
    <n v="7"/>
    <n v="191"/>
    <s v="No"/>
    <x v="1"/>
    <x v="1"/>
    <s v="No Error"/>
    <x v="1"/>
    <n v="0"/>
    <n v="0"/>
    <n v="0"/>
    <s v="No Support Contact"/>
    <s v="No"/>
    <s v="No Support Contact"/>
    <s v="Not Applicable"/>
    <m/>
    <s v="Instructions unclear"/>
    <n v="4"/>
    <n v="1"/>
    <n v="42"/>
    <x v="0"/>
    <n v="0"/>
    <n v="0"/>
    <n v="0"/>
    <n v="0"/>
  </r>
  <r>
    <s v="NSF-000911"/>
    <s v="USR-00601"/>
    <s v="SES-2510-81903"/>
    <d v="2025-10-01T00:00:00"/>
    <s v="London"/>
    <s v="Hammersmith"/>
    <x v="7"/>
    <s v="35-44"/>
    <s v="Male"/>
    <s v="Ios"/>
    <s v="Iphone"/>
    <s v="7-12 months"/>
    <s v="Free"/>
    <s v="Unknown"/>
    <x v="5"/>
    <s v="Repeat Use"/>
    <s v="No Experiment"/>
    <s v="Control"/>
    <n v="8"/>
    <n v="6"/>
    <n v="300"/>
    <s v="Yes"/>
    <x v="1"/>
    <x v="0"/>
    <s v="Recipient Details Rejected"/>
    <x v="1"/>
    <n v="0"/>
    <n v="0"/>
    <n v="0"/>
    <s v="No Support Contact"/>
    <s v="No"/>
    <s v="No Support Contact"/>
    <s v="Not Applicable"/>
    <m/>
    <s v="Instructions unclear"/>
    <n v="1"/>
    <n v="-62"/>
    <n v="41"/>
    <x v="0"/>
    <n v="0"/>
    <n v="0"/>
    <n v="1"/>
    <n v="0"/>
  </r>
  <r>
    <s v="NSF-000220"/>
    <s v="USR-00686"/>
    <s v="SES-2503-87479"/>
    <d v="2025-03-07T00:00:00"/>
    <s v="West Midlands"/>
    <s v="SOLIHULL"/>
    <x v="1"/>
    <s v="18-24"/>
    <s v="Female"/>
    <s v="Ios"/>
    <s v="Iphone"/>
    <s v="1-2 years"/>
    <s v="Free"/>
    <s v="Paid Social"/>
    <x v="5"/>
    <s v="First Use"/>
    <s v="No Experiment"/>
    <s v="Control"/>
    <n v="99"/>
    <n v="6"/>
    <n v="335"/>
    <s v="Yes"/>
    <x v="1"/>
    <x v="0"/>
    <s v="Recipient Details Rejected"/>
    <x v="1"/>
    <n v="0"/>
    <n v="0"/>
    <n v="0"/>
    <s v="Transaction Failure"/>
    <s v="Yes"/>
    <s v="Transaction Failure"/>
    <s v="Resolved"/>
    <n v="25"/>
    <s v="Too many steps"/>
    <n v="1"/>
    <n v="-16"/>
    <n v="0"/>
    <x v="0"/>
    <n v="0"/>
    <n v="0"/>
    <n v="1"/>
    <n v="0"/>
  </r>
  <r>
    <s v="NSF-000831"/>
    <s v="USR-00854"/>
    <s v="SES-2509-53943"/>
    <d v="2025-09-08T00:00:00"/>
    <s v="South West"/>
    <s v="Bath"/>
    <x v="3"/>
    <s v="35-44"/>
    <s v="Male"/>
    <s v="Ios"/>
    <s v="Iphone"/>
    <s v="7-12 months"/>
    <s v="Free"/>
    <s v="Paid Search"/>
    <x v="5"/>
    <s v="First Use"/>
    <s v="No Experiment"/>
    <s v="Control"/>
    <n v="8"/>
    <n v="7"/>
    <n v="433"/>
    <s v="Yes"/>
    <x v="1"/>
    <x v="0"/>
    <s v="Compliance Review Delay"/>
    <x v="1"/>
    <n v="0"/>
    <n v="0"/>
    <n v="0"/>
    <s v="No Support Contact"/>
    <s v="No"/>
    <s v="No Support Contact"/>
    <s v="Not Applicable"/>
    <m/>
    <s v="Technical error"/>
    <n v="1"/>
    <n v="-88"/>
    <n v="0"/>
    <x v="0"/>
    <n v="0"/>
    <n v="0"/>
    <n v="1"/>
    <n v="0"/>
  </r>
  <r>
    <s v="NSF-001153"/>
    <s v="USR-00086"/>
    <s v="SES-2602-40076"/>
    <d v="2026-02-07T00:00:00"/>
    <s v="London"/>
    <s v="SOUTHWARK"/>
    <x v="2"/>
    <s v="25-34"/>
    <s v="Female"/>
    <s v="Ios"/>
    <s v="Ipad"/>
    <s v="&lt;3 months"/>
    <s v="Premium"/>
    <s v="Paid Social"/>
    <x v="5"/>
    <s v="First Use"/>
    <s v="No Experiment"/>
    <s v="Control"/>
    <n v="8"/>
    <n v="8"/>
    <n v="202"/>
    <s v="No"/>
    <x v="0"/>
    <x v="1"/>
    <s v="No Error"/>
    <x v="1"/>
    <n v="0"/>
    <n v="0"/>
    <n v="0"/>
    <s v="No Support Contact"/>
    <s v="No"/>
    <s v="No Support Contact"/>
    <s v="Not Applicable"/>
    <m/>
    <s v="No drop-off"/>
    <n v="5"/>
    <n v="6"/>
    <n v="0"/>
    <x v="1"/>
    <n v="1"/>
    <n v="0"/>
    <n v="0"/>
    <n v="1"/>
  </r>
  <r>
    <s v="NSF-000522"/>
    <s v="USR-00860"/>
    <s v="SES-2506-42460"/>
    <d v="2025-06-02T00:00:00"/>
    <s v="Northern Ireland"/>
    <s v="NEWRY"/>
    <x v="1"/>
    <s v="25-34"/>
    <s v="Female"/>
    <s v="Web"/>
    <s v="Desktop"/>
    <s v="1-2 years"/>
    <s v="Free"/>
    <s v="Paid Social"/>
    <x v="1"/>
    <s v="Repeat Use"/>
    <s v="Simplified Onboarding"/>
    <s v="Control"/>
    <n v="4"/>
    <n v="4"/>
    <n v="118"/>
    <s v="No"/>
    <x v="0"/>
    <x v="1"/>
    <s v="No Error"/>
    <x v="0"/>
    <n v="173.44"/>
    <n v="0.2"/>
    <n v="0"/>
    <s v="No Support Contact"/>
    <s v="No"/>
    <s v="No Support Contact"/>
    <s v="Not Applicable"/>
    <m/>
    <s v="No drop-off"/>
    <n v="4"/>
    <n v="-3"/>
    <s v="46 days"/>
    <x v="1"/>
    <n v="1"/>
    <n v="1"/>
    <n v="0"/>
    <n v="1"/>
  </r>
  <r>
    <s v="NSF-000267"/>
    <s v="USR-00544"/>
    <s v="SES-2503-50164"/>
    <d v="2025-03-26T00:00:00"/>
    <s v="Scotland"/>
    <s v="DUNDEE"/>
    <x v="3"/>
    <s v="35-44"/>
    <s v="Male"/>
    <s v="Ios"/>
    <s v="Iphone"/>
    <s v="&lt;3 months"/>
    <s v="Free"/>
    <s v="Employer Partnership"/>
    <x v="2"/>
    <s v="Trial/Exploration"/>
    <s v="New Cta Copy"/>
    <s v="Treatment"/>
    <s v="5 steps"/>
    <n v="5"/>
    <n v="106"/>
    <s v="No"/>
    <x v="0"/>
    <x v="1"/>
    <s v="No Error"/>
    <x v="1"/>
    <n v="0"/>
    <n v="0"/>
    <n v="0"/>
    <s v="No Support Contact"/>
    <s v="No"/>
    <s v="No Support Contact"/>
    <s v="Not Applicable"/>
    <m/>
    <s v="No drop-off"/>
    <n v="5"/>
    <n v="54"/>
    <n v="24"/>
    <x v="1"/>
    <n v="1"/>
    <n v="0"/>
    <n v="0"/>
    <n v="1"/>
  </r>
  <r>
    <s v="NSF-000937"/>
    <s v="USR-00427"/>
    <s v="SES-2511-79969"/>
    <d v="2025-11-29T00:00:00"/>
    <s v="South West"/>
    <s v="Bath"/>
    <x v="0"/>
    <s v="25-34"/>
    <s v="Female"/>
    <s v="Android"/>
    <s v="Android Phone"/>
    <s v="1-2 years"/>
    <s v="Free"/>
    <s v="Paid Search"/>
    <x v="3"/>
    <s v="First Use"/>
    <s v="No Experiment"/>
    <s v="Control"/>
    <n v="6"/>
    <n v="3"/>
    <n v="248"/>
    <s v="Yes"/>
    <x v="1"/>
    <x v="1"/>
    <s v="No Error"/>
    <x v="0"/>
    <n v="112.89"/>
    <n v="0.1"/>
    <n v="0"/>
    <s v="No Support Contact"/>
    <s v="No"/>
    <s v="No Support Contact"/>
    <s v="Not Applicable"/>
    <m/>
    <s v="Too many steps"/>
    <n v="3"/>
    <n v="-20"/>
    <n v="0"/>
    <x v="0"/>
    <n v="0"/>
    <n v="1"/>
    <n v="0"/>
    <n v="0"/>
  </r>
  <r>
    <s v="NSF-000057"/>
    <s v="USR-00571"/>
    <s v="SES-2501-58714"/>
    <d v="2025-01-12T00:00:00"/>
    <s v="West Midlands"/>
    <s v="Solihull"/>
    <x v="1"/>
    <s v="25-34"/>
    <s v="Male"/>
    <s v="Ios"/>
    <s v="Iphone"/>
    <s v="7-12 months"/>
    <s v="Plus"/>
    <s v="Referral"/>
    <x v="0"/>
    <s v="Reactivated"/>
    <s v="No Experiment"/>
    <s v="Control"/>
    <n v="7"/>
    <n v="7"/>
    <n v="169"/>
    <s v="No"/>
    <x v="0"/>
    <x v="1"/>
    <s v="No Error"/>
    <x v="0"/>
    <n v="0"/>
    <n v="0"/>
    <n v="0.17"/>
    <s v="No Support Contact"/>
    <s v="No"/>
    <s v="No Support Contact"/>
    <s v="Not Applicable"/>
    <m/>
    <s v="No drop-off"/>
    <n v="3"/>
    <n v="14"/>
    <n v="20"/>
    <x v="1"/>
    <n v="1"/>
    <n v="1"/>
    <n v="0"/>
    <n v="1"/>
  </r>
  <r>
    <s v="NSF-001004"/>
    <s v="USR-00810"/>
    <s v="SES-2512-33407"/>
    <d v="2025-12-03T00:00:00"/>
    <s v="South East"/>
    <s v="Reading"/>
    <x v="5"/>
    <s v="25-34"/>
    <s v="Male"/>
    <s v="Ios"/>
    <s v="Iphone"/>
    <s v="7-12 months"/>
    <s v="Plus"/>
    <s v="Organic Search"/>
    <x v="1"/>
    <s v="First Use"/>
    <s v="Simplified Onboarding"/>
    <s v="Control"/>
    <n v="4"/>
    <n v="4"/>
    <n v="106"/>
    <s v="No"/>
    <x v="1"/>
    <x v="1"/>
    <s v="No Error"/>
    <x v="1"/>
    <n v="0"/>
    <n v="0"/>
    <n v="0"/>
    <s v="No Support Contact"/>
    <s v="No"/>
    <s v="No Support Contact"/>
    <s v="Not Applicable"/>
    <m/>
    <s v="Unexpected fee"/>
    <n v="4"/>
    <n v="19"/>
    <n v="0"/>
    <x v="0"/>
    <n v="0"/>
    <n v="0"/>
    <n v="0"/>
    <n v="0"/>
  </r>
  <r>
    <s v="NSF-001088"/>
    <s v="USR-00661"/>
    <s v="SES-2601-54695"/>
    <d v="2026-01-19T00:00:00"/>
    <s v="Yorkshire &amp; Humber"/>
    <s v="York"/>
    <x v="7"/>
    <s v="35-44"/>
    <s v="Male"/>
    <s v="Android"/>
    <s v="Android Phone"/>
    <s v="7-12 months"/>
    <s v="Pro"/>
    <s v="Paid Social"/>
    <x v="4"/>
    <s v="Repeat Use"/>
    <s v="New Cta Copy"/>
    <s v="Control"/>
    <n v="6"/>
    <n v="5"/>
    <n v="269"/>
    <s v="Yes"/>
    <x v="0"/>
    <x v="1"/>
    <s v="No Error"/>
    <x v="0"/>
    <n v="78.540000000000006"/>
    <n v="0"/>
    <n v="0.37"/>
    <s v="No Support Contact"/>
    <s v="No"/>
    <s v="No Support Contact"/>
    <s v="Not Applicable"/>
    <m/>
    <s v="No drop-off"/>
    <n v="3"/>
    <n v="-25"/>
    <n v="40"/>
    <x v="1"/>
    <n v="1"/>
    <n v="1"/>
    <n v="0"/>
    <n v="1"/>
  </r>
  <r>
    <s v="NSF-000900"/>
    <s v="USR-00486"/>
    <s v="SES-2510-47429"/>
    <d v="2025-10-14T00:00:00"/>
    <s v="London"/>
    <s v="Southwark"/>
    <x v="2"/>
    <s v="45-54"/>
    <s v="Male"/>
    <s v="Android"/>
    <s v="Android Phone"/>
    <s v="7-12 months"/>
    <s v="Premium"/>
    <s v="App Store"/>
    <x v="1"/>
    <s v="First Use"/>
    <s v="Simplified Onboarding"/>
    <s v="Control"/>
    <n v="4"/>
    <s v="3 steps"/>
    <n v="142"/>
    <s v="Yes"/>
    <x v="0"/>
    <x v="1"/>
    <s v="No Error"/>
    <x v="0"/>
    <n v="102.6"/>
    <n v="0.19"/>
    <n v="0.37"/>
    <s v="No Support Contact"/>
    <s v="No"/>
    <s v="No Support Contact"/>
    <s v="Not Applicable"/>
    <m/>
    <s v="No drop-off"/>
    <n v="3"/>
    <n v="-9"/>
    <n v="0"/>
    <x v="0"/>
    <n v="1"/>
    <n v="1"/>
    <n v="0"/>
    <n v="0"/>
  </r>
  <r>
    <s v="NSF-001380"/>
    <s v="USR-00306"/>
    <s v="SES-2605-45768"/>
    <d v="2026-05-13T00:00:00"/>
    <s v="South East"/>
    <s v="Oxford"/>
    <x v="2"/>
    <s v="18-24"/>
    <s v="Male"/>
    <s v="Android"/>
    <s v="Android Phone"/>
    <s v="7-12 months"/>
    <s v="Plus"/>
    <s v="Referral"/>
    <x v="3"/>
    <s v="First Use"/>
    <s v="Progress Indicator"/>
    <s v="Control"/>
    <n v="6"/>
    <n v="5"/>
    <n v="278"/>
    <s v="Yes"/>
    <x v="1"/>
    <x v="0"/>
    <s v="Friend Not Found"/>
    <x v="1"/>
    <n v="0"/>
    <n v="0"/>
    <n v="0"/>
    <s v="No Support Contact"/>
    <s v="No"/>
    <s v="No Support Contact"/>
    <s v="Not Applicable"/>
    <m/>
    <s v="Technical error"/>
    <n v="1"/>
    <n v="-36"/>
    <n v="0"/>
    <x v="0"/>
    <n v="0"/>
    <n v="0"/>
    <n v="1"/>
    <n v="0"/>
  </r>
  <r>
    <s v="NSF-000033"/>
    <s v="USR-00691"/>
    <s v="SES-2501-59586"/>
    <d v="2025-01-15T00:00:00"/>
    <s v="North East"/>
    <s v="Sunderland"/>
    <x v="3"/>
    <s v="25-34"/>
    <s v="Male"/>
    <s v="Android"/>
    <s v="Android Phone"/>
    <s v="&lt;3 months"/>
    <s v="Free"/>
    <s v="App Store"/>
    <x v="10"/>
    <s v="Trial/Exploration"/>
    <s v="New Cta Copy"/>
    <s v="Treatment"/>
    <n v="9"/>
    <n v="-1"/>
    <n v="212"/>
    <s v="No"/>
    <x v="0"/>
    <x v="1"/>
    <s v="No Error"/>
    <x v="0"/>
    <n v="231.54"/>
    <n v="2.91"/>
    <n v="0"/>
    <s v="No Support Contact"/>
    <s v="No"/>
    <s v="No Support Contact"/>
    <s v="Not Applicable"/>
    <m/>
    <s v="No drop-off"/>
    <n v="5"/>
    <n v="40"/>
    <n v="35"/>
    <x v="2"/>
    <n v="1"/>
    <n v="1"/>
    <n v="0"/>
    <n v="0"/>
  </r>
  <r>
    <s v="NSF-000061"/>
    <s v="USR-00168"/>
    <s v="SES-2501-36340"/>
    <d v="2025-01-22T00:00:00"/>
    <s v="Wales"/>
    <s v="Swansea"/>
    <x v="5"/>
    <s v="25-34"/>
    <s v="Female"/>
    <s v="Android"/>
    <s v="Android Phone"/>
    <s v="&lt;3 months"/>
    <s v="Free"/>
    <s v="App Store"/>
    <x v="7"/>
    <s v="Repeat Use"/>
    <s v="No Experiment"/>
    <s v="Control"/>
    <n v="4"/>
    <n v="2"/>
    <n v="136"/>
    <s v="Yes"/>
    <x v="1"/>
    <x v="1"/>
    <s v="No Error"/>
    <x v="1"/>
    <n v="0"/>
    <n v="0"/>
    <n v="0"/>
    <s v="Card Issue"/>
    <s v="Yes"/>
    <s v="Card Issue"/>
    <s v="Resolved"/>
    <n v="41"/>
    <s v="Privacy concern"/>
    <n v="3"/>
    <n v="32"/>
    <n v="42"/>
    <x v="0"/>
    <n v="0"/>
    <n v="0"/>
    <n v="0"/>
    <n v="0"/>
  </r>
  <r>
    <s v="NSF-000852"/>
    <s v="USR-00424"/>
    <s v="SES-2510-26536"/>
    <d v="2025-10-21T00:00:00"/>
    <s v="West Midlands"/>
    <s v="Coventry"/>
    <x v="2"/>
    <s v="18-24"/>
    <s v="Male"/>
    <s v="Web"/>
    <s v="Desktop"/>
    <s v="&lt;3 months"/>
    <s v="Premium"/>
    <s v="Organic Search"/>
    <x v="1"/>
    <s v="First Use"/>
    <s v="No Experiment"/>
    <s v="Control"/>
    <n v="4"/>
    <n v="4"/>
    <n v="112"/>
    <s v="No"/>
    <x v="0"/>
    <x v="1"/>
    <s v="No Error"/>
    <x v="0"/>
    <n v="142.5"/>
    <n v="0.18"/>
    <n v="0.37"/>
    <s v="No Support Contact"/>
    <s v="No"/>
    <s v="No Support Contact"/>
    <s v="Not Applicable"/>
    <m/>
    <s v="No drop-off"/>
    <n v="4"/>
    <n v="-17"/>
    <n v="0"/>
    <x v="1"/>
    <n v="1"/>
    <n v="1"/>
    <n v="0"/>
    <n v="1"/>
  </r>
  <r>
    <s v="NSF-000841"/>
    <s v="USR-00262"/>
    <s v="SES-2510-59731"/>
    <d v="2025-10-13T00:00:00"/>
    <s v="Scotland"/>
    <s v="Aberdeen"/>
    <x v="5"/>
    <s v="35-44"/>
    <s v="Male"/>
    <s v="Ios"/>
    <s v="Iphone"/>
    <s v="&lt;3 months"/>
    <s v="Free"/>
    <s v="App Store"/>
    <x v="1"/>
    <s v="Repeat Use"/>
    <s v="No Experiment"/>
    <s v="Control"/>
    <n v="4"/>
    <n v="4"/>
    <n v="89"/>
    <s v="No"/>
    <x v="0"/>
    <x v="1"/>
    <s v="No Error"/>
    <x v="0"/>
    <n v="152.31"/>
    <n v="0.23"/>
    <n v="0"/>
    <s v="No Support Contact"/>
    <s v="No"/>
    <s v="No Support Contact"/>
    <s v="Not Applicable"/>
    <m/>
    <s v="No drop-off"/>
    <n v="5"/>
    <n v="11"/>
    <n v="43"/>
    <x v="1"/>
    <n v="1"/>
    <n v="1"/>
    <n v="0"/>
    <n v="1"/>
  </r>
  <r>
    <s v="NSF-000416"/>
    <s v="USR-00419"/>
    <s v="SES-2505-63180"/>
    <d v="2025-05-02T00:00:00"/>
    <s v="East Midlands"/>
    <s v="Derby"/>
    <x v="0"/>
    <s v="55-64"/>
    <s v="Male"/>
    <s v="Android"/>
    <s v="Android Phone"/>
    <s v="1-2 years"/>
    <s v="Free"/>
    <s v="Affiliate"/>
    <x v="5"/>
    <s v="Repeat Use"/>
    <s v="Fee Transparency Panel"/>
    <s v="Treatment"/>
    <n v="8"/>
    <s v="7 steps"/>
    <n v="329"/>
    <s v="Yes"/>
    <x v="0"/>
    <x v="1"/>
    <s v="No Error"/>
    <x v="1"/>
    <n v="0"/>
    <n v="0"/>
    <n v="0"/>
    <s v="No Support Contact"/>
    <s v="No"/>
    <s v="No Support Contact"/>
    <s v="Not Applicable"/>
    <m/>
    <s v="No drop-off"/>
    <n v="2"/>
    <n v="14"/>
    <n v="24"/>
    <x v="1"/>
    <n v="1"/>
    <n v="0"/>
    <n v="0"/>
    <n v="1"/>
  </r>
  <r>
    <s v="NSF-001187"/>
    <s v="USR-00542"/>
    <s v="SES-2602-25355"/>
    <d v="2026-10-02T00:00:00"/>
    <s v="Scotland"/>
    <s v="Aberdeen"/>
    <x v="0"/>
    <s v="25-34"/>
    <s v="Male"/>
    <s v="Ios"/>
    <s v="Iphone"/>
    <s v="3-6 months"/>
    <s v="Free"/>
    <s v="Paid Search"/>
    <x v="1"/>
    <s v="Repeat Use"/>
    <s v="Simplified Onboarding"/>
    <s v="Control"/>
    <n v="4"/>
    <n v="4"/>
    <n v="120"/>
    <s v="No"/>
    <x v="0"/>
    <x v="1"/>
    <s v="No Error"/>
    <x v="0"/>
    <n v="149.18"/>
    <n v="0.23"/>
    <n v="0"/>
    <s v="No Support Contact"/>
    <s v="No"/>
    <s v="No Support Contact"/>
    <s v="Not Applicable"/>
    <m/>
    <s v="No drop-off"/>
    <n v="4"/>
    <n v="1"/>
    <n v="30"/>
    <x v="1"/>
    <n v="1"/>
    <n v="1"/>
    <n v="0"/>
    <n v="1"/>
  </r>
  <r>
    <s v="NSF-001136"/>
    <s v="USR-00232"/>
    <s v="SES-2601-57117"/>
    <d v="2026-01-11T00:00:00"/>
    <s v="East Midlands"/>
    <s v="Derby"/>
    <x v="4"/>
    <s v="18-24"/>
    <s v="Male"/>
    <s v="Android"/>
    <s v="Android Phone"/>
    <s v="7-12 months"/>
    <s v="Free"/>
    <s v="Employer Partnership"/>
    <x v="0"/>
    <s v="Reactivated"/>
    <s v="New Cta Copy"/>
    <s v="Control"/>
    <n v="7"/>
    <n v="6"/>
    <n v="296"/>
    <s v="Yes"/>
    <x v="0"/>
    <x v="1"/>
    <s v="No Error"/>
    <x v="0"/>
    <n v="11.5"/>
    <n v="0"/>
    <n v="0"/>
    <s v="No Support Contact"/>
    <s v="No"/>
    <s v="No Support Contact"/>
    <s v="Not Applicable"/>
    <m/>
    <s v="No drop-off"/>
    <n v="3"/>
    <n v="-17"/>
    <n v="73"/>
    <x v="1"/>
    <n v="1"/>
    <n v="1"/>
    <n v="0"/>
    <n v="1"/>
  </r>
  <r>
    <s v="NSF-000038"/>
    <s v="USR-00172"/>
    <s v="SES-2501-45308"/>
    <d v="2025-10-01T00:00:00"/>
    <s v="West Midlands"/>
    <s v="Solihull"/>
    <x v="1"/>
    <s v="25-34"/>
    <s v="Male"/>
    <s v="Web"/>
    <s v="Mobile Browser"/>
    <s v="7-12 months"/>
    <s v="Free"/>
    <s v="Referral"/>
    <x v="1"/>
    <s v="First Use"/>
    <s v="No Experiment"/>
    <s v="Control"/>
    <n v="4"/>
    <n v="4"/>
    <n v="95"/>
    <s v="No"/>
    <x v="0"/>
    <x v="1"/>
    <s v="No Error"/>
    <x v="0"/>
    <n v="86.05"/>
    <n v="0.18"/>
    <n v="0"/>
    <s v="No Support Contact"/>
    <s v="No"/>
    <s v="No Support Contact"/>
    <s v="Not Applicable"/>
    <m/>
    <s v="No drop-off"/>
    <n v="4"/>
    <n v="62"/>
    <n v="0"/>
    <x v="1"/>
    <n v="1"/>
    <n v="1"/>
    <n v="0"/>
    <n v="1"/>
  </r>
  <r>
    <s v="NSF-001094"/>
    <s v="USR-00229"/>
    <s v="SES-2601-11679"/>
    <d v="2026-01-06T00:00:00"/>
    <s v="East Midlands"/>
    <s v="Lincoln"/>
    <x v="5"/>
    <s v="25-34"/>
    <s v="Male"/>
    <s v="Android"/>
    <s v="Android Phone"/>
    <s v="7-12 months"/>
    <s v="Free"/>
    <s v="Direct"/>
    <x v="0"/>
    <s v="Repeat Use"/>
    <s v="Progress Indicator"/>
    <s v="Treatment"/>
    <n v="7"/>
    <n v="4"/>
    <n v="255"/>
    <s v="Yes"/>
    <x v="0"/>
    <x v="1"/>
    <s v="No Error"/>
    <x v="0"/>
    <n v="0"/>
    <n v="0"/>
    <n v="0"/>
    <s v="No Support Contact"/>
    <s v="No"/>
    <s v="No Support Contact"/>
    <s v="Not Applicable"/>
    <m/>
    <s v="No drop-off"/>
    <n v="2"/>
    <n v="10"/>
    <n v="8"/>
    <x v="0"/>
    <n v="1"/>
    <n v="1"/>
    <n v="0"/>
    <n v="0"/>
  </r>
  <r>
    <s v="NSF-001252"/>
    <s v="USR-00061"/>
    <s v="SES-2603-81303"/>
    <d v="2026-03-17T00:00:00"/>
    <s v="East Midlands"/>
    <s v="Leicester"/>
    <x v="3"/>
    <s v="25-34"/>
    <s v="Female"/>
    <s v="Web"/>
    <s v="Desktop"/>
    <s v="2+ years"/>
    <s v="Free"/>
    <s v="Paid Search"/>
    <x v="0"/>
    <s v="Repeat Use"/>
    <s v="No Experiment"/>
    <s v="Control"/>
    <n v="7"/>
    <n v="7"/>
    <n v="221"/>
    <s v="No"/>
    <x v="1"/>
    <x v="0"/>
    <s v="Bank Feed Mismatch"/>
    <x v="1"/>
    <n v="0"/>
    <n v="0"/>
    <n v="0"/>
    <s v="No Support Contact"/>
    <s v="No"/>
    <s v="No Support Contact"/>
    <s v="Not Applicable"/>
    <m/>
    <s v="No drop-off"/>
    <n v="2"/>
    <n v="-58"/>
    <n v="50"/>
    <x v="1"/>
    <n v="0"/>
    <n v="0"/>
    <n v="1"/>
    <n v="1"/>
  </r>
  <r>
    <s v="NSF-000206"/>
    <s v="USR-00340"/>
    <s v="SES-2503-97606"/>
    <d v="2025-03-17T00:00:00"/>
    <s v="South East"/>
    <s v="Oxford"/>
    <x v="3"/>
    <s v="25-34"/>
    <s v="Female"/>
    <s v="Android"/>
    <s v="Android Phone"/>
    <s v="7-12 months"/>
    <s v="Plus"/>
    <s v="Referral"/>
    <x v="5"/>
    <s v="Repeat Use"/>
    <s v="Progress Indicator"/>
    <s v="Treatment"/>
    <n v="8"/>
    <n v="4"/>
    <n v="360"/>
    <s v="Yes"/>
    <x v="0"/>
    <x v="1"/>
    <s v="No Error"/>
    <x v="0"/>
    <n v="307.58999999999997"/>
    <n v="2.59"/>
    <n v="0.17"/>
    <s v="No Support Contact"/>
    <s v="No"/>
    <s v="No Support Contact"/>
    <s v="Not Applicable"/>
    <m/>
    <s v="No drop-off"/>
    <n v="2"/>
    <n v="23"/>
    <n v="18"/>
    <x v="1"/>
    <n v="1"/>
    <n v="1"/>
    <n v="0"/>
    <n v="1"/>
  </r>
  <r>
    <s v="NSF-000003"/>
    <s v="USR-00685"/>
    <s v="SES-2501-60811"/>
    <d v="2025-01-08T00:00:00"/>
    <s v="North West"/>
    <s v="Preston"/>
    <x v="2"/>
    <s v="35-44"/>
    <s v="Female"/>
    <s v="Android"/>
    <s v="Android Phone"/>
    <s v="1-2 years"/>
    <s v="Free"/>
    <s v="Employer Partnership"/>
    <x v="5"/>
    <s v="Reactivated"/>
    <s v="No Experiment"/>
    <s v="Control"/>
    <n v="8"/>
    <n v="8"/>
    <n v="181"/>
    <s v="No"/>
    <x v="0"/>
    <x v="1"/>
    <s v="No Error"/>
    <x v="1"/>
    <n v="0"/>
    <n v="0"/>
    <n v="0"/>
    <s v="No Support Contact"/>
    <s v="No"/>
    <s v="No Support Contact"/>
    <s v="Not Applicable"/>
    <m/>
    <s v="No drop-off"/>
    <n v="4"/>
    <n v="58"/>
    <n v="8"/>
    <x v="0"/>
    <n v="1"/>
    <n v="0"/>
    <n v="0"/>
    <n v="0"/>
  </r>
  <r>
    <s v="NSF-000193"/>
    <s v="USR-00527"/>
    <s v="SES-2502-86820"/>
    <d v="2025-07-02T00:00:00"/>
    <s v="Northern Ireland"/>
    <s v="Newry"/>
    <x v="1"/>
    <s v="45-54"/>
    <s v="Male"/>
    <s v="Android"/>
    <s v="Android Phone"/>
    <s v="1-2 years"/>
    <s v="Plus"/>
    <s v="Referral"/>
    <x v="7"/>
    <s v="Repeat Use"/>
    <s v="Fee Transparency Panel"/>
    <s v="Control"/>
    <n v="4"/>
    <n v="4"/>
    <n v="80"/>
    <s v="No"/>
    <x v="0"/>
    <x v="1"/>
    <s v="No Error"/>
    <x v="0"/>
    <n v="0"/>
    <n v="0.53"/>
    <n v="0.17"/>
    <s v="No Support Contact"/>
    <s v="No"/>
    <s v="No Support Contact"/>
    <s v="Not Applicable"/>
    <m/>
    <s v="No drop-off"/>
    <n v="4"/>
    <n v="2"/>
    <n v="34"/>
    <x v="1"/>
    <n v="1"/>
    <n v="1"/>
    <n v="0"/>
    <n v="1"/>
  </r>
  <r>
    <s v="NSF-000958"/>
    <s v="USR-00725"/>
    <s v="SES-2511-91300"/>
    <d v="2025-11-23T00:00:00"/>
    <s v="East England"/>
    <s v="Norwich"/>
    <x v="5"/>
    <s v="25-34"/>
    <s v="Female"/>
    <s v="Android"/>
    <s v="Android Phone"/>
    <s v="1-2 years"/>
    <s v="Free"/>
    <s v="Paid Social"/>
    <x v="1"/>
    <s v="Repeat Use"/>
    <s v="Simplified Onboarding"/>
    <s v="Treatment"/>
    <n v="4"/>
    <n v="4"/>
    <n v="88"/>
    <s v="No"/>
    <x v="0"/>
    <x v="1"/>
    <s v="No Error"/>
    <x v="0"/>
    <n v="170.17"/>
    <n v="0.19"/>
    <n v="0"/>
    <s v="No Support Contact"/>
    <s v="No"/>
    <s v="No Support Contact"/>
    <s v="Not Applicable"/>
    <m/>
    <s v="No drop-off"/>
    <n v="4"/>
    <n v="15"/>
    <n v="39"/>
    <x v="1"/>
    <n v="1"/>
    <n v="1"/>
    <n v="0"/>
    <n v="1"/>
  </r>
  <r>
    <s v="NSF-001426"/>
    <s v="USR-00751"/>
    <s v="SES-2606-91503"/>
    <d v="2026-06-23T00:00:00"/>
    <s v="Scotland"/>
    <s v="Glasgow"/>
    <x v="4"/>
    <s v="18-24"/>
    <s v="Female"/>
    <s v="Ios"/>
    <s v="Iphone"/>
    <s v="7-12 months"/>
    <s v="Free"/>
    <s v="Organic Search"/>
    <x v="5"/>
    <s v="Repeat Use"/>
    <s v="No Experiment"/>
    <s v="Control"/>
    <n v="8"/>
    <n v="8"/>
    <n v="171"/>
    <s v="No"/>
    <x v="0"/>
    <x v="1"/>
    <s v="No Error"/>
    <x v="0"/>
    <n v="0"/>
    <n v="2.68"/>
    <n v="0"/>
    <s v="No Support Contact"/>
    <s v="No"/>
    <s v="No Support Contact"/>
    <s v="Not Applicable"/>
    <m/>
    <s v="No drop-off"/>
    <n v="4"/>
    <n v="-5"/>
    <n v="40"/>
    <x v="1"/>
    <n v="1"/>
    <n v="1"/>
    <n v="0"/>
    <n v="1"/>
  </r>
  <r>
    <s v="NSF-000530"/>
    <s v="USR-00705"/>
    <s v="SES-2506-26004"/>
    <d v="2025-06-27T00:00:00"/>
    <s v="Scotland"/>
    <s v="Dundee"/>
    <x v="3"/>
    <s v="55-64"/>
    <s v="Male"/>
    <s v="Ios"/>
    <s v="Iphone"/>
    <s v="1-2 years"/>
    <s v="Plus"/>
    <s v="Paid Social"/>
    <x v="2"/>
    <s v="Repeat Use"/>
    <s v="Simplified Onboarding"/>
    <s v="Treatment"/>
    <n v="5"/>
    <n v="5"/>
    <n v="110"/>
    <s v="No"/>
    <x v="0"/>
    <x v="1"/>
    <s v="No Error"/>
    <x v="0"/>
    <n v="36.47"/>
    <n v="0"/>
    <n v="0.17"/>
    <s v="No Support Contact"/>
    <s v="No"/>
    <s v="No Support Contact"/>
    <s v="Not Applicable"/>
    <m/>
    <s v="No drop-off"/>
    <n v="5"/>
    <n v="49"/>
    <n v="-5"/>
    <x v="1"/>
    <n v="1"/>
    <n v="1"/>
    <n v="0"/>
    <n v="1"/>
  </r>
  <r>
    <s v="NSF-000463"/>
    <s v="usr-00589"/>
    <s v="SES-2505-51252"/>
    <d v="2025-05-03T00:00:00"/>
    <s v="East Midlands"/>
    <s v="Derby"/>
    <x v="0"/>
    <s v="25-34"/>
    <s v="Male"/>
    <s v="Android"/>
    <s v="Android Phone"/>
    <s v="1-2 years"/>
    <s v="Plus"/>
    <s v="Organic Search"/>
    <x v="1"/>
    <s v="Reactivated"/>
    <s v="New Cta Copy"/>
    <s v="Control"/>
    <n v="4"/>
    <n v="4"/>
    <n v="101"/>
    <s v="No"/>
    <x v="0"/>
    <x v="0"/>
    <s v="Bank Connection Faild"/>
    <x v="1"/>
    <n v="0"/>
    <n v="0"/>
    <n v="0"/>
    <s v="No Support Contact"/>
    <s v="No"/>
    <s v="No Support Contact"/>
    <s v="Not Applicable"/>
    <m/>
    <s v="No drop-off"/>
    <n v="3"/>
    <n v="23"/>
    <n v="8"/>
    <x v="1"/>
    <n v="1"/>
    <n v="0"/>
    <n v="1"/>
    <n v="1"/>
  </r>
  <r>
    <s v="NSF-000163"/>
    <s v="USR-00183"/>
    <s v="SES-2502-16571"/>
    <d v="2025-02-06T00:00:00"/>
    <s v="North East"/>
    <s v="NEWCASTLE"/>
    <x v="1"/>
    <s v="55-64"/>
    <s v="Male"/>
    <s v="Android"/>
    <s v="Android Phone"/>
    <s v="&lt;3 months"/>
    <s v="Free"/>
    <s v="Paid Search"/>
    <x v="7"/>
    <s v="Repeat Use"/>
    <s v="Simplified Onboarding"/>
    <s v="Treatment"/>
    <n v="4"/>
    <n v="4"/>
    <n v="83"/>
    <s v="No"/>
    <x v="1"/>
    <x v="1"/>
    <s v="No Error"/>
    <x v="0"/>
    <n v="81.8"/>
    <n v="0.46"/>
    <n v="0"/>
    <s v="No Support Contact"/>
    <s v="No"/>
    <s v="No Support Contact"/>
    <s v="Not Applicable"/>
    <m/>
    <s v="Unexpected fee"/>
    <n v="3"/>
    <n v="48"/>
    <n v="13"/>
    <x v="0"/>
    <n v="0"/>
    <n v="1"/>
    <n v="0"/>
    <n v="0"/>
  </r>
  <r>
    <s v="NSF-000429"/>
    <s v="USR-00804"/>
    <s v="SES-2505-63184"/>
    <d v="2025-05-16T00:00:00"/>
    <s v="East England"/>
    <s v="Luton"/>
    <x v="5"/>
    <s v="18-24"/>
    <s v="Female"/>
    <s v="Ios"/>
    <s v="Iphone"/>
    <s v="&lt;3 months"/>
    <s v="Basic"/>
    <s v="Paid Search"/>
    <x v="10"/>
    <s v="Repeat Use"/>
    <s v="No Experiment"/>
    <s v="Control"/>
    <s v="9 steps"/>
    <n v="9"/>
    <n v="270"/>
    <s v="No"/>
    <x v="0"/>
    <x v="1"/>
    <s v="No Error"/>
    <x v="1"/>
    <n v="0"/>
    <n v="0"/>
    <n v="0"/>
    <s v="No Support Contact"/>
    <s v="No"/>
    <s v="No Support Contact"/>
    <s v="Not Applicable"/>
    <m/>
    <s v="No drop-off"/>
    <n v="5"/>
    <n v="6"/>
    <n v="1"/>
    <x v="0"/>
    <n v="1"/>
    <n v="0"/>
    <n v="0"/>
    <n v="0"/>
  </r>
  <r>
    <s v="NSF-000355"/>
    <s v="USR-00660"/>
    <s v="SES-2504-23984"/>
    <d v="2025-04-05T00:00:00"/>
    <s v="Wales"/>
    <s v="Cardiff"/>
    <x v="3"/>
    <s v="65+"/>
    <s v="Male"/>
    <s v="Android"/>
    <s v="Android Phone"/>
    <s v="7-12 months"/>
    <s v="Free"/>
    <s v="App Store"/>
    <x v="4"/>
    <s v="Repeat Use"/>
    <s v="Simplified Onboarding"/>
    <s v="Control"/>
    <n v="6"/>
    <n v="6"/>
    <n v="114"/>
    <s v="No"/>
    <x v="0"/>
    <x v="1"/>
    <s v="No Error"/>
    <x v="0"/>
    <n v="8.18"/>
    <n v="0"/>
    <n v="0"/>
    <s v="No Support Contact"/>
    <s v="No"/>
    <s v="No Support Contact"/>
    <s v="Not Applicable"/>
    <m/>
    <s v="No drop-off"/>
    <n v="3"/>
    <n v="-36"/>
    <n v="25"/>
    <x v="1"/>
    <n v="1"/>
    <n v="1"/>
    <n v="0"/>
    <n v="1"/>
  </r>
  <r>
    <s v="NSF-000520"/>
    <s v="USR-00558"/>
    <s v="SES-2506-60252"/>
    <d v="2025-06-05T00:00:00"/>
    <s v="South East"/>
    <s v="Reading"/>
    <x v="5"/>
    <s v="25-34"/>
    <s v="Non-Binary"/>
    <s v="Android"/>
    <s v="Android Phone"/>
    <s v="1-2 years"/>
    <s v="Free"/>
    <s v="Affiliate"/>
    <x v="2"/>
    <s v="Trial/Exploration"/>
    <s v="No Experiment"/>
    <s v="Control"/>
    <n v="5"/>
    <n v="5"/>
    <n v="116"/>
    <s v="No"/>
    <x v="0"/>
    <x v="1"/>
    <s v="No Error"/>
    <x v="0"/>
    <n v="37.75"/>
    <n v="0"/>
    <n v="0"/>
    <s v="No Support Contact"/>
    <s v="No"/>
    <s v="No Support Contact"/>
    <s v="Not Applicable"/>
    <m/>
    <s v="No drop-off"/>
    <n v="5"/>
    <n v="12"/>
    <n v="48"/>
    <x v="1"/>
    <n v="1"/>
    <n v="1"/>
    <n v="0"/>
    <n v="1"/>
  </r>
  <r>
    <s v="NSF-001045"/>
    <s v="USR-00220"/>
    <s v="SES-2512-62148"/>
    <d v="2025-12-12T00:00:00"/>
    <s v="South West"/>
    <s v="Bristol"/>
    <x v="0"/>
    <s v="55-64"/>
    <s v="Female"/>
    <s v="Ios"/>
    <s v="Iphone"/>
    <s v="&lt;3 months"/>
    <s v="Free"/>
    <s v="App Store"/>
    <x v="7"/>
    <s v="First Use"/>
    <s v="No Experiment"/>
    <s v="Control"/>
    <n v="4"/>
    <n v="4"/>
    <n v="123"/>
    <s v="No"/>
    <x v="0"/>
    <x v="1"/>
    <s v="No Error"/>
    <x v="0"/>
    <n v="68.95"/>
    <n v="0.56000000000000005"/>
    <n v="0"/>
    <s v="No Support Contact"/>
    <s v="No"/>
    <s v="No Support Contact"/>
    <s v="Not Applicable"/>
    <m/>
    <s v="No drop-off"/>
    <n v="4"/>
    <n v="21"/>
    <n v="0"/>
    <x v="1"/>
    <n v="1"/>
    <n v="1"/>
    <n v="0"/>
    <n v="1"/>
  </r>
  <r>
    <s v="NSF-001124"/>
    <s v="USR-00707"/>
    <s v="SES-2601-62037"/>
    <d v="2026-01-06T00:00:00"/>
    <s v="Wales"/>
    <s v="Newport"/>
    <x v="1"/>
    <s v="25-34"/>
    <s v="Male"/>
    <s v="Web"/>
    <s v="Desktop"/>
    <s v="7-12 months"/>
    <s v="Premium"/>
    <s v="Referral"/>
    <x v="5"/>
    <s v="First Use"/>
    <s v="New Cta Copy"/>
    <s v="Control"/>
    <n v="8"/>
    <n v="8"/>
    <n v="162"/>
    <s v="No"/>
    <x v="0"/>
    <x v="1"/>
    <s v="No Error"/>
    <x v="0"/>
    <n v="387.19"/>
    <n v="2.86"/>
    <n v="0.37"/>
    <s v="No Support Contact"/>
    <s v="No"/>
    <s v="No Support Contact"/>
    <s v="Not Applicable"/>
    <m/>
    <s v="No drop-off"/>
    <n v="3"/>
    <n v="-2"/>
    <s v="0 days"/>
    <x v="1"/>
    <n v="1"/>
    <n v="1"/>
    <n v="0"/>
    <n v="1"/>
  </r>
  <r>
    <s v="NSF-001191"/>
    <s v="USR-00072"/>
    <s v="SES-2602-38788"/>
    <d v="2026-02-26T00:00:00"/>
    <s v="East Midlands"/>
    <s v="Derby"/>
    <x v="7"/>
    <s v="25-34"/>
    <s v="Male"/>
    <s v="Android"/>
    <s v="Android Phone"/>
    <s v="1-2 years"/>
    <s v="Free"/>
    <s v="Direct"/>
    <x v="7"/>
    <s v="Trial/Exploration"/>
    <s v="Fee Transparency Panel"/>
    <s v="Control"/>
    <n v="4"/>
    <n v="4"/>
    <n v="111"/>
    <s v="No"/>
    <x v="1"/>
    <x v="1"/>
    <s v="No Error"/>
    <x v="1"/>
    <n v="0"/>
    <n v="0"/>
    <n v="0"/>
    <s v="No Support Contact"/>
    <s v="No"/>
    <s v="No Support Contact"/>
    <s v="N/A"/>
    <m/>
    <s v="No drop-off"/>
    <n v="3"/>
    <n v="22"/>
    <n v="12"/>
    <x v="0"/>
    <n v="0"/>
    <n v="0"/>
    <n v="0"/>
    <n v="0"/>
  </r>
  <r>
    <s v="NSF-000877"/>
    <s v="USR-00024"/>
    <s v="SES-2510-78057"/>
    <d v="2025-10-09T00:00:00"/>
    <s v="North West"/>
    <s v="Manchester"/>
    <x v="7"/>
    <s v="35-44"/>
    <s v="Female"/>
    <s v="Ios"/>
    <s v="Iphone"/>
    <s v="7-12 months"/>
    <s v="Free"/>
    <s v="Referral"/>
    <x v="0"/>
    <s v="First Use"/>
    <s v="No Experiment"/>
    <s v="Control"/>
    <n v="7"/>
    <n v="7"/>
    <n v="171"/>
    <s v="Unknown"/>
    <x v="1"/>
    <x v="1"/>
    <s v="No Error"/>
    <x v="0"/>
    <n v="0"/>
    <n v="0"/>
    <n v="0"/>
    <s v="No Support Contact"/>
    <s v="No"/>
    <s v="No Support Contact"/>
    <s v="Not Applicable"/>
    <m/>
    <s v="Technical error"/>
    <n v="2"/>
    <n v="-16"/>
    <n v="0"/>
    <x v="0"/>
    <n v="0"/>
    <n v="1"/>
    <n v="0"/>
    <n v="0"/>
  </r>
  <r>
    <s v="NSF-000782"/>
    <s v="USR-00291"/>
    <s v="SES-2509-58691"/>
    <d v="2025-09-26T00:00:00"/>
    <s v="North East"/>
    <s v="Middlesbrough"/>
    <x v="3"/>
    <s v="25-34"/>
    <s v="Female"/>
    <s v="Android"/>
    <s v="Android Phone"/>
    <s v="1-2 years"/>
    <s v="Free"/>
    <s v="Employer Partnership"/>
    <x v="7"/>
    <s v="Repeat Use"/>
    <s v="No Experiment"/>
    <s v="Control"/>
    <n v="4"/>
    <n v="4"/>
    <n v="106"/>
    <s v="No"/>
    <x v="0"/>
    <x v="1"/>
    <s v="No Error"/>
    <x v="0"/>
    <n v="23.3"/>
    <n v="0.49"/>
    <n v="0"/>
    <s v="Fees And Pricing"/>
    <s v="Yes"/>
    <s v="Fees And Pricing"/>
    <s v="Resolved"/>
    <n v="32"/>
    <s v="No drop-off"/>
    <n v="4"/>
    <n v="-6"/>
    <n v="27"/>
    <x v="0"/>
    <n v="1"/>
    <n v="1"/>
    <n v="0"/>
    <n v="0"/>
  </r>
  <r>
    <s v="NSF-000334"/>
    <s v="USR-00441"/>
    <s v="SES-2504-29112"/>
    <d v="2025-04-07T00:00:00"/>
    <s v="South West"/>
    <s v="Gloucester"/>
    <x v="0"/>
    <s v="18-24"/>
    <s v="Female"/>
    <s v="Ios"/>
    <s v="Iphone"/>
    <s v="1-2 years"/>
    <s v="Free"/>
    <s v="Referral"/>
    <x v="7"/>
    <s v="First Use"/>
    <s v="No Experiment"/>
    <s v="Control"/>
    <s v="4 steps"/>
    <n v="4"/>
    <n v="101"/>
    <s v="No"/>
    <x v="0"/>
    <x v="1"/>
    <s v="No Error"/>
    <x v="1"/>
    <n v="0"/>
    <n v="0"/>
    <n v="0"/>
    <s v="No Support Contact"/>
    <s v="No"/>
    <s v="No Support Contact"/>
    <s v="Not Applicable"/>
    <m/>
    <s v="No drop-off"/>
    <n v="4"/>
    <n v="48"/>
    <n v="0"/>
    <x v="0"/>
    <n v="1"/>
    <n v="0"/>
    <n v="0"/>
    <n v="0"/>
  </r>
  <r>
    <s v="NSF-000052"/>
    <s v="USR-00208"/>
    <s v="SES-2501-52419"/>
    <d v="2025-01-08T00:00:00"/>
    <s v="West Midlands"/>
    <s v="Wolverhampton"/>
    <x v="2"/>
    <s v="35-44"/>
    <s v="Female"/>
    <s v="Android"/>
    <s v="Android Phone"/>
    <s v="2+ years"/>
    <s v="Free"/>
    <s v="Direct"/>
    <x v="0"/>
    <s v="First Use"/>
    <s v="Simplified Onboarding"/>
    <s v="Control"/>
    <n v="7"/>
    <n v="7"/>
    <n v="258"/>
    <s v="No"/>
    <x v="1"/>
    <x v="0"/>
    <s v="Too Many Steps"/>
    <x v="1"/>
    <n v="0"/>
    <n v="0"/>
    <n v="0"/>
    <s v="No Support Contact"/>
    <s v="No"/>
    <s v="No Support Contact"/>
    <s v="Not Applicable"/>
    <m/>
    <s v="Technical error"/>
    <n v="2"/>
    <n v="-19"/>
    <n v="0"/>
    <x v="1"/>
    <n v="0"/>
    <n v="0"/>
    <n v="1"/>
    <n v="1"/>
  </r>
  <r>
    <s v="NSF-000848"/>
    <s v="USR-00278"/>
    <s v="SES-2510-80468"/>
    <d v="2025-10-24T00:00:00"/>
    <s v="South West"/>
    <s v="Bristol"/>
    <x v="1"/>
    <s v="45-54"/>
    <s v="Male"/>
    <s v="Ios"/>
    <s v="Iphone"/>
    <s v="1-2 years"/>
    <s v="Plus"/>
    <s v="Organic Search"/>
    <x v="9"/>
    <s v="Repeat Use"/>
    <s v="Progress Indicator"/>
    <s v="Control"/>
    <n v="5"/>
    <n v="5"/>
    <n v="121"/>
    <s v="No"/>
    <x v="0"/>
    <x v="1"/>
    <s v="No Error"/>
    <x v="0"/>
    <n v="85.11"/>
    <n v="0"/>
    <n v="0.17"/>
    <s v="No Support Contact"/>
    <s v="No"/>
    <s v="No Support Contact"/>
    <s v="Not Applicable"/>
    <m/>
    <s v="No drop-off"/>
    <n v="5"/>
    <n v="37"/>
    <n v="42"/>
    <x v="1"/>
    <n v="1"/>
    <n v="1"/>
    <n v="0"/>
    <n v="1"/>
  </r>
  <r>
    <s v="NSF-000246"/>
    <s v="USR-00028"/>
    <s v="SES-2503-28933"/>
    <d v="2025-03-31T00:00:00"/>
    <s v="South East"/>
    <s v="Reading"/>
    <x v="0"/>
    <s v="25-34"/>
    <s v="Female"/>
    <s v="Android"/>
    <s v="Android Phone"/>
    <s v="2+ years"/>
    <s v="Free"/>
    <s v="Paid Search"/>
    <x v="1"/>
    <s v="Repeat Use"/>
    <s v="No Experiment"/>
    <s v="Control"/>
    <n v="4"/>
    <n v="4"/>
    <n v="88"/>
    <s v="No"/>
    <x v="0"/>
    <x v="1"/>
    <s v="No Error"/>
    <x v="0"/>
    <n v="144.13"/>
    <n v="0.2"/>
    <n v="0"/>
    <s v="No Support Contact"/>
    <s v="No"/>
    <s v="No Support Contact"/>
    <s v="Not Applicable"/>
    <m/>
    <s v="No drop-off"/>
    <n v="4"/>
    <n v="51"/>
    <n v="49"/>
    <x v="1"/>
    <n v="1"/>
    <n v="1"/>
    <n v="0"/>
    <n v="1"/>
  </r>
  <r>
    <s v="NSF-000175"/>
    <s v="USR-00361"/>
    <s v="SES-2502-57770"/>
    <d v="2025-02-06T00:00:00"/>
    <s v="East Midlands"/>
    <s v="Nottingham"/>
    <x v="0"/>
    <s v="55-64"/>
    <s v="Female"/>
    <s v="Android"/>
    <s v="Android Phone"/>
    <s v="1-2 years"/>
    <s v="Premium"/>
    <s v="Organic Search"/>
    <x v="1"/>
    <s v="Repeat Use"/>
    <s v="No Experiment"/>
    <s v="Control"/>
    <n v="4"/>
    <n v="4"/>
    <n v="125"/>
    <s v="No"/>
    <x v="1"/>
    <x v="1"/>
    <s v="No Error"/>
    <x v="1"/>
    <n v="0"/>
    <n v="0"/>
    <n v="0"/>
    <s v="No Support Contact"/>
    <s v="No"/>
    <s v="No Support Contact"/>
    <s v="Not Applicable"/>
    <m/>
    <s v="No drop-off"/>
    <n v="3"/>
    <n v="14"/>
    <n v="45"/>
    <x v="0"/>
    <n v="0"/>
    <n v="0"/>
    <n v="0"/>
    <n v="0"/>
  </r>
  <r>
    <s v="NSF-000120"/>
    <s v="USR-00639"/>
    <s v="SES-2502-33611"/>
    <d v="2025-02-05T00:00:00"/>
    <s v="East Midlands"/>
    <s v="Derby"/>
    <x v="3"/>
    <s v="55-64"/>
    <s v="Male"/>
    <s v="Android"/>
    <s v="Android Phone"/>
    <s v="2+ years"/>
    <s v="Free"/>
    <s v="App Store"/>
    <x v="9"/>
    <s v="Repeat Use"/>
    <s v="No Experiment"/>
    <s v="Control"/>
    <s v="5 steps"/>
    <n v="3"/>
    <n v="213"/>
    <s v="Yes"/>
    <x v="0"/>
    <x v="1"/>
    <s v="No Error"/>
    <x v="0"/>
    <n v="118.69"/>
    <n v="0"/>
    <n v="0"/>
    <s v="No Support Contact"/>
    <s v="No"/>
    <s v="No Support Contact"/>
    <s v="Not Applicable"/>
    <m/>
    <s v="No drop-off"/>
    <n v="3"/>
    <n v="5"/>
    <s v="1 days"/>
    <x v="1"/>
    <n v="1"/>
    <n v="1"/>
    <n v="0"/>
    <n v="1"/>
  </r>
  <r>
    <s v="NSF-001102"/>
    <s v="USR-00158"/>
    <s v="SES-2601-94157"/>
    <d v="2026-01-02T00:00:00"/>
    <s v="South East"/>
    <s v="Guildford"/>
    <x v="2"/>
    <s v="45-54"/>
    <s v="Female"/>
    <s v="Ios"/>
    <s v="Iphone"/>
    <s v="7-12 months"/>
    <s v="Free"/>
    <s v="Referral"/>
    <x v="9"/>
    <s v="Repeat Use"/>
    <s v="Simplified Onboarding"/>
    <s v="Treatment"/>
    <n v="5"/>
    <n v="4"/>
    <n v="203"/>
    <s v="Yes"/>
    <x v="0"/>
    <x v="1"/>
    <s v="No Error"/>
    <x v="0"/>
    <n v="122.63"/>
    <n v="0"/>
    <n v="0"/>
    <s v="No Support Contact"/>
    <s v="No"/>
    <s v="No Support Contact"/>
    <s v="Not Applicable"/>
    <m/>
    <s v="No drop-off"/>
    <n v="3"/>
    <n v="2"/>
    <n v="28"/>
    <x v="1"/>
    <n v="1"/>
    <n v="1"/>
    <n v="0"/>
    <n v="1"/>
  </r>
  <r>
    <s v="NSF-000816"/>
    <s v="USR-00536"/>
    <s v="SES-2509-15225"/>
    <d v="2025-09-02T00:00:00"/>
    <s v="Wales"/>
    <s v="Cardiff"/>
    <x v="0"/>
    <s v="18-24"/>
    <s v="Female"/>
    <s v="Ios"/>
    <s v="Iphone"/>
    <s v="2+ years"/>
    <s v="Free"/>
    <s v="Direct"/>
    <x v="2"/>
    <s v="Repeat Use"/>
    <s v="No Experiment"/>
    <s v="Control"/>
    <n v="5"/>
    <n v="5"/>
    <n v="132"/>
    <s v="No"/>
    <x v="0"/>
    <x v="1"/>
    <s v="No Error"/>
    <x v="0"/>
    <n v="29.99"/>
    <n v="0"/>
    <n v="0"/>
    <s v="No Support Contact"/>
    <s v="No"/>
    <s v="No Support Contact"/>
    <s v="Not Applicable"/>
    <m/>
    <s v="No drop-off"/>
    <n v="4"/>
    <n v="20"/>
    <n v="29"/>
    <x v="1"/>
    <n v="1"/>
    <n v="1"/>
    <n v="0"/>
    <n v="1"/>
  </r>
  <r>
    <s v="NSF-000712"/>
    <s v="USR-00417"/>
    <s v="SES-2508-82371"/>
    <d v="2025-08-15T00:00:00"/>
    <s v="Yorkshire &amp; Humber"/>
    <s v="York"/>
    <x v="0"/>
    <s v="25-34"/>
    <s v="Female"/>
    <s v="Ios"/>
    <s v="Iphone"/>
    <s v="3-6 months"/>
    <s v="Free"/>
    <s v="Referral"/>
    <x v="6"/>
    <s v="First Use"/>
    <s v="New Cta Copy"/>
    <s v="Treatment"/>
    <n v="6"/>
    <n v="6"/>
    <n v="157"/>
    <s v="No"/>
    <x v="0"/>
    <x v="1"/>
    <s v="No Error"/>
    <x v="0"/>
    <n v="0"/>
    <n v="0.09"/>
    <n v="0"/>
    <s v="No Support Contact"/>
    <s v="No"/>
    <s v="No Support Contact"/>
    <s v="Not Applicable"/>
    <m/>
    <s v="No drop-off"/>
    <n v="5"/>
    <n v="51"/>
    <n v="0"/>
    <x v="1"/>
    <n v="1"/>
    <n v="1"/>
    <n v="0"/>
    <n v="1"/>
  </r>
  <r>
    <s v="NSF-000748"/>
    <s v="USR-00072"/>
    <s v="SES-2509-97308"/>
    <d v="2025-09-04T00:00:00"/>
    <s v="South East"/>
    <s v="Brighton"/>
    <x v="4"/>
    <s v="18-24"/>
    <s v="Male"/>
    <s v="Android"/>
    <s v="Android Phone"/>
    <s v="1-2 years"/>
    <s v="Plus"/>
    <s v="Organic Search"/>
    <x v="0"/>
    <s v="Repeat Use"/>
    <s v="Fee Transparency Panel"/>
    <s v="Treatment"/>
    <n v="7"/>
    <n v="7"/>
    <n v="215"/>
    <s v="No"/>
    <x v="0"/>
    <x v="1"/>
    <s v="No Error"/>
    <x v="1"/>
    <n v="0"/>
    <n v="0"/>
    <n v="0"/>
    <s v="No Support Contact"/>
    <s v="No"/>
    <s v="No Support Contact"/>
    <s v="Not Applicable"/>
    <m/>
    <s v="No drop-off"/>
    <n v="4"/>
    <n v="26"/>
    <n v="27"/>
    <x v="1"/>
    <n v="1"/>
    <n v="0"/>
    <n v="0"/>
    <n v="1"/>
  </r>
  <r>
    <s v="NSF-000788"/>
    <s v="USR-00786"/>
    <s v="SES-2509-10604"/>
    <d v="2025-09-26T00:00:00"/>
    <s v="North East"/>
    <s v="Middlesbrough"/>
    <x v="2"/>
    <s v="18-24"/>
    <s v="Male"/>
    <s v="Android"/>
    <s v="Android Phone"/>
    <s v="3-6 months"/>
    <s v="Free"/>
    <s v="Employer Partnership"/>
    <x v="4"/>
    <s v="First Use"/>
    <s v="New Cta Copy"/>
    <s v="Treatment"/>
    <n v="6"/>
    <s v="6 steps"/>
    <n v="191"/>
    <s v="No"/>
    <x v="0"/>
    <x v="1"/>
    <s v="No Error"/>
    <x v="0"/>
    <n v="87.5"/>
    <n v="0"/>
    <n v="0"/>
    <s v="No Support Contact"/>
    <s v="No"/>
    <s v="No Support Contact"/>
    <s v="Not Applicable"/>
    <m/>
    <s v="No drop-off"/>
    <n v="5"/>
    <n v="34"/>
    <n v="0"/>
    <x v="0"/>
    <n v="1"/>
    <n v="1"/>
    <n v="0"/>
    <n v="0"/>
  </r>
  <r>
    <s v="NSF-000507"/>
    <s v="USR-00823"/>
    <s v="SES-2506-55767"/>
    <d v="2025-06-26T00:00:00"/>
    <s v="North East"/>
    <s v="Sunderland"/>
    <x v="7"/>
    <s v="18-24"/>
    <s v="Male"/>
    <s v="Ios"/>
    <s v="Iphone"/>
    <s v="7-12 months"/>
    <s v="Plus"/>
    <s v="Organic Search"/>
    <x v="1"/>
    <s v="First Use"/>
    <s v="Contextual Help"/>
    <s v="Treatment"/>
    <n v="4"/>
    <n v="4"/>
    <n v="89"/>
    <s v="No"/>
    <x v="0"/>
    <x v="1"/>
    <s v="No Error"/>
    <x v="0"/>
    <n v="129.07"/>
    <n v="0.21"/>
    <n v="0.17"/>
    <s v="No Support Contact"/>
    <s v="No"/>
    <s v="No Support Contact"/>
    <s v="Not Applicable"/>
    <m/>
    <s v="No drop-off"/>
    <n v="5"/>
    <n v="44"/>
    <n v="0"/>
    <x v="1"/>
    <n v="1"/>
    <n v="1"/>
    <n v="0"/>
    <n v="1"/>
  </r>
  <r>
    <s v="NSF-001283"/>
    <s v="USR-00722"/>
    <s v="SES-2603-86895"/>
    <d v="2026-03-21T00:00:00"/>
    <s v="North East"/>
    <s v="Sunderland"/>
    <x v="5"/>
    <s v="25-34"/>
    <s v="Male"/>
    <s v="Android"/>
    <s v="Android Phone"/>
    <s v="1-2 years"/>
    <s v="Free"/>
    <s v="App Store"/>
    <x v="7"/>
    <s v="Repeat Use"/>
    <s v="New Cta Copy"/>
    <s v="Treatment"/>
    <n v="4"/>
    <n v="4"/>
    <n v="92"/>
    <s v="No"/>
    <x v="0"/>
    <x v="1"/>
    <s v="No Error"/>
    <x v="0"/>
    <n v="65.23"/>
    <n v="0.55000000000000004"/>
    <n v="0"/>
    <s v="No Support Contact"/>
    <s v="No"/>
    <s v="No Support Contact"/>
    <s v="Not Applicable"/>
    <m/>
    <s v="No drop-off"/>
    <n v="4"/>
    <n v="0"/>
    <n v="40"/>
    <x v="0"/>
    <n v="1"/>
    <n v="1"/>
    <n v="0"/>
    <n v="0"/>
  </r>
  <r>
    <s v="NSF-000011"/>
    <s v="USR-00077"/>
    <s v="SES-2501-72102"/>
    <d v="2025-01-23T00:00:00"/>
    <s v="London"/>
    <s v="Camden"/>
    <x v="5"/>
    <s v="18-24"/>
    <s v="Male"/>
    <s v="Ios"/>
    <s v="Iphone"/>
    <s v="2+ years"/>
    <s v="Premium"/>
    <s v="Paid Search"/>
    <x v="2"/>
    <s v="First Use"/>
    <s v="No Experiment"/>
    <s v="Control"/>
    <n v="5"/>
    <n v="5"/>
    <n v="91"/>
    <s v="No"/>
    <x v="0"/>
    <x v="1"/>
    <s v="No Error"/>
    <x v="0"/>
    <n v="20.25"/>
    <n v="0"/>
    <n v="0.37"/>
    <s v="No Support Contact"/>
    <s v="No"/>
    <s v="No Support Contact"/>
    <s v="Not Applicable"/>
    <m/>
    <s v="No drop-off"/>
    <n v="5"/>
    <n v="32"/>
    <n v="0"/>
    <x v="1"/>
    <n v="1"/>
    <n v="1"/>
    <n v="0"/>
    <n v="1"/>
  </r>
  <r>
    <s v="NSF-001344"/>
    <s v="USR-00291"/>
    <s v="SES-2604-24018"/>
    <d v="2026-04-28T00:00:00"/>
    <s v="Wales"/>
    <s v="Cardiff"/>
    <x v="0"/>
    <s v="18-24"/>
    <s v="Female"/>
    <s v="Web"/>
    <s v="Tablet Browser"/>
    <s v="1-2 years"/>
    <s v="Free"/>
    <s v="Affiliate"/>
    <x v="4"/>
    <s v="Repeat Use"/>
    <s v="Simplified Onboarding"/>
    <s v="Treatment"/>
    <n v="6"/>
    <n v="5"/>
    <n v="261"/>
    <s v="Yes"/>
    <x v="1"/>
    <x v="0"/>
    <s v="Insight Unclear"/>
    <x v="1"/>
    <n v="0"/>
    <n v="0"/>
    <n v="0"/>
    <s v="Account Verification"/>
    <s v="Yes"/>
    <s v="Account Verification"/>
    <s v="Resolved"/>
    <n v="31"/>
    <s v="Privacy concern"/>
    <n v="2"/>
    <n v="-66"/>
    <n v="12"/>
    <x v="1"/>
    <n v="0"/>
    <n v="0"/>
    <n v="1"/>
    <n v="1"/>
  </r>
  <r>
    <s v="NSF-001092"/>
    <s v="USR-00213"/>
    <s v="SES-2601-50548"/>
    <d v="2026-01-23T00:00:00"/>
    <s v="West Midlands"/>
    <s v="Coventry"/>
    <x v="0"/>
    <s v="18-24"/>
    <s v="Male"/>
    <s v="Ios"/>
    <s v="Iphone"/>
    <s v="&lt;3 months"/>
    <s v="Free"/>
    <s v="Direct"/>
    <x v="2"/>
    <s v="Repeat Use"/>
    <s v="New Cta Copy"/>
    <s v="Treatment"/>
    <n v="5"/>
    <n v="5"/>
    <n v="151"/>
    <s v="No"/>
    <x v="1"/>
    <x v="1"/>
    <s v="No Error"/>
    <x v="1"/>
    <n v="0"/>
    <n v="0"/>
    <n v="0"/>
    <s v="No Support Contact"/>
    <s v="No"/>
    <s v="No Support Contact"/>
    <s v="Not Applicable"/>
    <m/>
    <s v="Technical error"/>
    <n v="4"/>
    <n v="-3"/>
    <n v="42"/>
    <x v="1"/>
    <n v="0"/>
    <n v="0"/>
    <n v="0"/>
    <n v="1"/>
  </r>
  <r>
    <s v="NSF-001301"/>
    <s v="USR-00595"/>
    <s v="SES-2604-93199"/>
    <d v="2026-04-07T00:00:00"/>
    <s v="London"/>
    <s v="Hammersmith"/>
    <x v="0"/>
    <s v="35-44"/>
    <s v="Male"/>
    <s v="Android"/>
    <s v="Android Phone"/>
    <s v="3-6 months"/>
    <s v="Free"/>
    <s v="Referral"/>
    <x v="1"/>
    <s v="First Use"/>
    <s v="No Experiment"/>
    <s v="Control"/>
    <n v="4"/>
    <n v="2"/>
    <n v="157"/>
    <s v="Yes"/>
    <x v="0"/>
    <x v="1"/>
    <s v="No Error"/>
    <x v="1"/>
    <n v="0"/>
    <n v="0"/>
    <n v="0"/>
    <s v="Transaction Failure"/>
    <s v="Yes"/>
    <s v="Transaction Failure"/>
    <s v="Unresolved"/>
    <n v="26"/>
    <s v="No drop-off"/>
    <n v="3"/>
    <n v="3"/>
    <n v="0"/>
    <x v="0"/>
    <n v="1"/>
    <n v="0"/>
    <n v="0"/>
    <n v="0"/>
  </r>
  <r>
    <s v="NSF-000860"/>
    <s v="USR-00624"/>
    <s v="SES-2510-48517"/>
    <d v="2025-10-15T00:00:00"/>
    <s v="South East"/>
    <s v="Brighton"/>
    <x v="2"/>
    <s v="18-24"/>
    <s v="Female"/>
    <s v="Android"/>
    <s v="Android Phone"/>
    <s v="3-6 months"/>
    <s v="Free"/>
    <s v="Paid Social"/>
    <x v="10"/>
    <s v="First Use"/>
    <s v="No Experiment"/>
    <s v="Control"/>
    <n v="9"/>
    <n v="6"/>
    <n v="269"/>
    <s v="Yes"/>
    <x v="1"/>
    <x v="1"/>
    <s v="No Error"/>
    <x v="1"/>
    <n v="0"/>
    <n v="0"/>
    <n v="0"/>
    <s v="No Support Contact"/>
    <s v="No"/>
    <s v="No Support Contact"/>
    <s v="Not Applicable"/>
    <m/>
    <s v="Instructions unclear"/>
    <n v="3"/>
    <n v="-22"/>
    <n v="0"/>
    <x v="0"/>
    <n v="0"/>
    <n v="0"/>
    <n v="0"/>
    <n v="0"/>
  </r>
  <r>
    <s v="NSF-001230"/>
    <s v="USR-00438"/>
    <s v="SES-2603-61363"/>
    <d v="2026-03-10T00:00:00"/>
    <s v="Wales"/>
    <s v="Newport"/>
    <x v="0"/>
    <s v="35-44"/>
    <s v="Female"/>
    <s v="Unknown"/>
    <s v="Android Phone"/>
    <s v="1-2 years"/>
    <s v="Free"/>
    <s v="Organic Search"/>
    <x v="1"/>
    <s v="Repeat Use"/>
    <s v="Progress Indicator"/>
    <s v="Treatment"/>
    <n v="4"/>
    <n v="4"/>
    <n v="83"/>
    <s v="No"/>
    <x v="0"/>
    <x v="1"/>
    <s v="No Error"/>
    <x v="0"/>
    <n v="139.78"/>
    <n v="0.21"/>
    <n v="0"/>
    <s v="No Support Contact"/>
    <s v="No"/>
    <s v="No Support Contact"/>
    <s v="Not Applicable"/>
    <m/>
    <s v="No drop-off"/>
    <n v="4"/>
    <n v="15"/>
    <n v="50"/>
    <x v="1"/>
    <n v="1"/>
    <n v="1"/>
    <n v="0"/>
    <n v="1"/>
  </r>
  <r>
    <s v="NSF-000746"/>
    <s v="USR-00221"/>
    <s v="SES-2508-28157"/>
    <d v="2025-08-24T00:00:00"/>
    <s v="Yorkshire &amp; Humber"/>
    <s v="Sheffield"/>
    <x v="1"/>
    <s v="18-24"/>
    <s v="Male"/>
    <s v="Android"/>
    <s v="Android Phone"/>
    <s v="1-2 years"/>
    <s v="Free"/>
    <s v="App Store"/>
    <x v="3"/>
    <s v="Repeat Use"/>
    <s v="Fee Transparency Panel"/>
    <s v="Treatment"/>
    <n v="6"/>
    <n v="6"/>
    <n v="158"/>
    <s v="No"/>
    <x v="0"/>
    <x v="1"/>
    <s v="No Error"/>
    <x v="0"/>
    <n v="44.02"/>
    <n v="0.11"/>
    <n v="0"/>
    <s v="No Support Contact"/>
    <s v="No"/>
    <s v="No Support Contact"/>
    <s v="Not Applicable"/>
    <m/>
    <s v="No drop-off"/>
    <n v="4"/>
    <n v="14"/>
    <n v="31"/>
    <x v="1"/>
    <n v="1"/>
    <n v="1"/>
    <n v="0"/>
    <n v="1"/>
  </r>
  <r>
    <s v="NSF-000561"/>
    <s v="USR-00457"/>
    <s v="SES-2506-97264"/>
    <d v="2025-06-02T00:00:00"/>
    <s v="Wales"/>
    <s v="Cardiff"/>
    <x v="0"/>
    <s v="45-54"/>
    <s v="Male"/>
    <s v="Android"/>
    <s v="Android Phone"/>
    <s v="2+ years"/>
    <s v="Free"/>
    <s v="App Store"/>
    <x v="1"/>
    <s v="First Use"/>
    <s v="New Cta Copy"/>
    <s v="Control"/>
    <n v="4"/>
    <n v="4"/>
    <n v="85"/>
    <s v="No"/>
    <x v="0"/>
    <x v="1"/>
    <s v="No Error"/>
    <x v="0"/>
    <n v="131.07"/>
    <n v="0.19"/>
    <n v="0"/>
    <s v="No Support Contact"/>
    <s v="No"/>
    <s v="No Support Contact"/>
    <s v="Not Applicable"/>
    <m/>
    <s v="No drop-off"/>
    <n v="5"/>
    <n v="43"/>
    <n v="0"/>
    <x v="1"/>
    <n v="1"/>
    <n v="1"/>
    <n v="0"/>
    <n v="1"/>
  </r>
  <r>
    <s v="NSF-000809"/>
    <s v="USR-00627"/>
    <s v="SES-2509-99519"/>
    <d v="2025-09-26T00:00:00"/>
    <s v="Scotland"/>
    <s v="Dundee"/>
    <x v="0"/>
    <s v="55-64"/>
    <s v="Female"/>
    <s v="Ios"/>
    <s v="Iphone"/>
    <s v="7-12 months"/>
    <s v="Premium"/>
    <s v="Organic Search"/>
    <x v="5"/>
    <s v="Repeat Use"/>
    <s v="Progress Indicator"/>
    <s v="Treatment"/>
    <n v="8"/>
    <n v="8"/>
    <n v="163"/>
    <s v="No"/>
    <x v="1"/>
    <x v="1"/>
    <s v="No Error"/>
    <x v="1"/>
    <n v="0"/>
    <n v="0"/>
    <n v="0"/>
    <s v="No Support Contact"/>
    <s v="No"/>
    <s v="No Support Contact"/>
    <s v="Not Applicable"/>
    <m/>
    <s v="No drop-off"/>
    <n v="4"/>
    <n v="-2"/>
    <n v="21"/>
    <x v="0"/>
    <n v="0"/>
    <n v="0"/>
    <n v="0"/>
    <n v="0"/>
  </r>
  <r>
    <s v="NSF-001085"/>
    <s v="USR-00433"/>
    <s v="SES-2601-75052"/>
    <d v="2026-01-18T00:00:00"/>
    <s v="East Midlands"/>
    <s v="LINCOLN"/>
    <x v="5"/>
    <s v="25-34"/>
    <s v="Male"/>
    <s v="Android"/>
    <s v="Android Phone"/>
    <s v="1-2 years"/>
    <s v="Free"/>
    <s v="Paid Social"/>
    <x v="7"/>
    <s v="Repeat Use"/>
    <s v="No Experiment"/>
    <s v="Control"/>
    <n v="4"/>
    <n v="4"/>
    <n v="95"/>
    <s v="No"/>
    <x v="0"/>
    <x v="1"/>
    <s v="No Error"/>
    <x v="0"/>
    <n v="105.6"/>
    <n v="0.56000000000000005"/>
    <n v="0"/>
    <s v="No Support Contact"/>
    <s v="No"/>
    <s v="No Support Contact"/>
    <s v="Not Applicable"/>
    <m/>
    <s v="No drop-off"/>
    <n v="3"/>
    <n v="18"/>
    <n v="36"/>
    <x v="0"/>
    <n v="1"/>
    <n v="1"/>
    <n v="0"/>
    <n v="0"/>
  </r>
  <r>
    <s v="NSF-000191"/>
    <s v="USR-00616"/>
    <s v="SES-2502-65476"/>
    <d v="2025-02-11T00:00:00"/>
    <s v="Scotland"/>
    <s v="Dundee"/>
    <x v="2"/>
    <s v="25-34"/>
    <s v="Female"/>
    <s v="Ios"/>
    <s v="Iphone"/>
    <s v="2+ years"/>
    <s v="Free"/>
    <s v="Referral"/>
    <x v="8"/>
    <s v="Repeat Use"/>
    <s v="No Experiment"/>
    <s v="Control"/>
    <n v="5"/>
    <n v="5"/>
    <n v="147"/>
    <s v="No"/>
    <x v="0"/>
    <x v="1"/>
    <s v="No Error"/>
    <x v="0"/>
    <n v="55.91"/>
    <n v="0"/>
    <n v="0"/>
    <s v="No Support Contact"/>
    <s v="No"/>
    <s v="No Support Contact"/>
    <s v="Not Applicable"/>
    <m/>
    <s v="No drop-off"/>
    <n v="5"/>
    <n v="15"/>
    <n v="3"/>
    <x v="1"/>
    <n v="1"/>
    <n v="1"/>
    <n v="0"/>
    <n v="1"/>
  </r>
  <r>
    <s v="NSF-001286"/>
    <s v="USR-00574"/>
    <s v="SES-2603-54746"/>
    <d v="2026-03-19T00:00:00"/>
    <s v="South East"/>
    <s v="Guildford"/>
    <x v="1"/>
    <s v="18-24"/>
    <s v="Female"/>
    <s v="Android"/>
    <s v="Android Phone"/>
    <s v="7-12 months"/>
    <s v="Free"/>
    <s v="Organic Search"/>
    <x v="2"/>
    <s v="Repeat Use"/>
    <s v="No Experiment"/>
    <s v="Control"/>
    <n v="5"/>
    <n v="5"/>
    <n v="128"/>
    <s v="No"/>
    <x v="0"/>
    <x v="1"/>
    <s v="No Error"/>
    <x v="0"/>
    <n v="182.61"/>
    <n v="0"/>
    <n v="0"/>
    <s v="Other"/>
    <s v="Yes"/>
    <s v="Other"/>
    <s v="Resolved"/>
    <n v="12"/>
    <s v="No drop-off"/>
    <n v="5"/>
    <n v="-4"/>
    <n v="61"/>
    <x v="1"/>
    <n v="1"/>
    <n v="1"/>
    <n v="0"/>
    <n v="1"/>
  </r>
  <r>
    <s v="NSF-000225"/>
    <s v="USR-00123"/>
    <s v="SES-2503-48159"/>
    <d v="2025-03-15T00:00:00"/>
    <s v="North West"/>
    <s v="Manchester"/>
    <x v="2"/>
    <s v="45-54"/>
    <s v="Female"/>
    <s v="Ios"/>
    <s v="Iphone"/>
    <s v="2+ years"/>
    <s v="Free"/>
    <s v="Direct"/>
    <x v="8"/>
    <s v="Repeat Use"/>
    <s v="Progress Indicator"/>
    <s v="Control"/>
    <s v="5 steps"/>
    <n v="3"/>
    <n v="151"/>
    <s v="Yes"/>
    <x v="0"/>
    <x v="1"/>
    <s v="No Error"/>
    <x v="0"/>
    <n v="47.37"/>
    <n v="0"/>
    <n v="0"/>
    <s v="No Support Contact"/>
    <s v="No"/>
    <s v="No Support Contact"/>
    <s v="Not Applicable"/>
    <m/>
    <s v="No drop-off"/>
    <n v="3"/>
    <n v="12"/>
    <n v="22"/>
    <x v="1"/>
    <n v="1"/>
    <n v="1"/>
    <n v="0"/>
    <n v="1"/>
  </r>
  <r>
    <s v="NSF-000295"/>
    <s v="usr-00123"/>
    <s v="SES-2504-40453"/>
    <d v="2025-04-10T00:00:00"/>
    <s v="South West"/>
    <s v="Gloucester"/>
    <x v="3"/>
    <s v="25-34"/>
    <s v="Male"/>
    <s v="Ios"/>
    <s v="Iphone"/>
    <s v="3-6 months"/>
    <s v="Free"/>
    <s v="Paid Social"/>
    <x v="0"/>
    <s v="Reactivated"/>
    <s v="New Cta Copy"/>
    <s v="Control"/>
    <n v="7"/>
    <n v="7"/>
    <n v="219"/>
    <s v="No"/>
    <x v="1"/>
    <x v="0"/>
    <s v="Too Many Steps"/>
    <x v="1"/>
    <n v="0"/>
    <n v="0"/>
    <n v="0"/>
    <s v="No Support Contact"/>
    <s v="No"/>
    <s v="No Support Contact"/>
    <s v="Not Applicable"/>
    <m/>
    <s v="Technical error"/>
    <n v="3"/>
    <n v="-17"/>
    <n v="17"/>
    <x v="0"/>
    <n v="0"/>
    <n v="0"/>
    <n v="1"/>
    <n v="0"/>
  </r>
  <r>
    <s v="NSF-000005"/>
    <s v="USR-00382"/>
    <s v="SES-2501-50569"/>
    <d v="2025-01-05T00:00:00"/>
    <s v="North West"/>
    <s v="Chester"/>
    <x v="4"/>
    <s v="35-44"/>
    <s v="Female"/>
    <s v="Android"/>
    <s v="Android Phone"/>
    <s v="3-6 months"/>
    <s v="Premium"/>
    <s v="App Store"/>
    <x v="8"/>
    <s v="Trial/Exploration"/>
    <s v="No Experiment"/>
    <s v="Control"/>
    <n v="5"/>
    <n v="5"/>
    <n v="126"/>
    <s v="No"/>
    <x v="0"/>
    <x v="1"/>
    <s v="No Error"/>
    <x v="0"/>
    <n v="169.49"/>
    <n v="0"/>
    <n v="0.37"/>
    <s v="Other"/>
    <s v="Yes"/>
    <s v="Other"/>
    <s v="Unresolved"/>
    <n v="25"/>
    <s v="No drop-off"/>
    <n v="5"/>
    <n v="5"/>
    <n v="31"/>
    <x v="1"/>
    <n v="1"/>
    <n v="1"/>
    <n v="0"/>
    <n v="1"/>
  </r>
  <r>
    <s v="NSF-001319"/>
    <s v="USR-00662"/>
    <s v="SES-2604-66713"/>
    <d v="2026-04-26T00:00:00"/>
    <s v="London"/>
    <s v="Hammersmith"/>
    <x v="7"/>
    <s v="35-44"/>
    <s v="Female"/>
    <s v="Android"/>
    <s v="Android Phone"/>
    <s v="1-2 years"/>
    <s v="Free"/>
    <s v="Organic Search"/>
    <x v="4"/>
    <s v="Reactivated"/>
    <s v="No Experiment"/>
    <s v="Control"/>
    <n v="6"/>
    <n v="4"/>
    <n v="237"/>
    <s v="Yes"/>
    <x v="0"/>
    <x v="1"/>
    <s v="No Error"/>
    <x v="0"/>
    <n v="0"/>
    <n v="0"/>
    <n v="0"/>
    <s v="No Support Contact"/>
    <s v="No"/>
    <s v="No Support Contact"/>
    <s v="Not Applicable"/>
    <m/>
    <s v="No drop-off"/>
    <n v="4"/>
    <n v="-9"/>
    <n v="28"/>
    <x v="0"/>
    <n v="1"/>
    <n v="1"/>
    <n v="0"/>
    <n v="0"/>
  </r>
  <r>
    <s v="NSF-000622"/>
    <s v="USR-00272"/>
    <s v="SES-2507-47157"/>
    <d v="2025-07-27T00:00:00"/>
    <s v="Northern Ireland"/>
    <s v="Derry"/>
    <x v="2"/>
    <s v="35-44"/>
    <s v="Female"/>
    <s v="Android"/>
    <s v="Android Phone"/>
    <s v="1-2 years"/>
    <s v="Free"/>
    <s v="Referral"/>
    <x v="10"/>
    <s v="Repeat Use"/>
    <s v="No Experiment"/>
    <s v="Control"/>
    <n v="9"/>
    <n v="9"/>
    <n v="277"/>
    <s v="No"/>
    <x v="1"/>
    <x v="1"/>
    <s v="No Error"/>
    <x v="1"/>
    <n v="0"/>
    <n v="0"/>
    <n v="0"/>
    <s v="No Support Contact"/>
    <s v="No"/>
    <s v="No Support Contact"/>
    <s v="Not Applicable"/>
    <m/>
    <s v="No drop-off"/>
    <n v="2"/>
    <n v="-16"/>
    <s v="71 days"/>
    <x v="0"/>
    <n v="0"/>
    <n v="0"/>
    <n v="0"/>
    <n v="0"/>
  </r>
  <r>
    <s v="NSF-000091"/>
    <s v="USR-00373"/>
    <s v="SES-2501-60612"/>
    <d v="2025-01-25T00:00:00"/>
    <s v="West Midlands"/>
    <s v="Wolverhampton"/>
    <x v="1"/>
    <s v="45-54"/>
    <s v="Female"/>
    <s v="Ios"/>
    <s v="Iphone"/>
    <s v="1-2 years"/>
    <s v="Free"/>
    <s v="Direct"/>
    <x v="2"/>
    <s v="First Use"/>
    <s v="No Experiment"/>
    <s v="Control"/>
    <n v="5"/>
    <n v="5"/>
    <n v="195"/>
    <s v="No"/>
    <x v="0"/>
    <x v="0"/>
    <s v="Round-Up Not Activated"/>
    <x v="0"/>
    <n v="90.67"/>
    <n v="0"/>
    <n v="0"/>
    <s v="Transaction Failure"/>
    <s v="Yes"/>
    <s v="Transaction Failure"/>
    <s v="Unresolved"/>
    <n v="14"/>
    <s v="No drop-off"/>
    <n v="3"/>
    <n v="-18"/>
    <n v="0"/>
    <x v="1"/>
    <n v="1"/>
    <n v="1"/>
    <n v="1"/>
    <n v="1"/>
  </r>
  <r>
    <s v="NSF-000826"/>
    <s v="USR-00622"/>
    <s v="SES-2509-58500"/>
    <d v="2025-09-08T00:00:00"/>
    <s v="South East"/>
    <s v="Guildford"/>
    <x v="0"/>
    <s v="65+"/>
    <s v="Female"/>
    <s v="Android"/>
    <s v="Android Phone"/>
    <s v="7-12 months"/>
    <s v="Free"/>
    <s v="Organic Search"/>
    <x v="10"/>
    <s v="Repeat Use"/>
    <s v="No Experiment"/>
    <s v="Control"/>
    <n v="9"/>
    <n v="7"/>
    <n v="301"/>
    <s v="Yes"/>
    <x v="1"/>
    <x v="1"/>
    <s v="No Error"/>
    <x v="1"/>
    <n v="0"/>
    <n v="0"/>
    <n v="0"/>
    <s v="No Support Contact"/>
    <s v="No"/>
    <s v="No Support Contact"/>
    <s v="Not Applicable"/>
    <m/>
    <s v="Too many steps"/>
    <n v="1"/>
    <n v="-25"/>
    <n v="45"/>
    <x v="1"/>
    <n v="0"/>
    <n v="0"/>
    <n v="0"/>
    <n v="1"/>
  </r>
  <r>
    <s v="NSF-001036"/>
    <s v="USR-00544"/>
    <s v="SES-2512-31898"/>
    <d v="2025-12-14T00:00:00"/>
    <s v="North East"/>
    <s v="Sunderland"/>
    <x v="3"/>
    <s v="35-44"/>
    <s v="Female"/>
    <s v="Android"/>
    <s v="Android Phone"/>
    <s v="7-12 months"/>
    <s v="Basic"/>
    <s v="Organic Search"/>
    <x v="3"/>
    <s v="Reactivated"/>
    <s v="No Experiment"/>
    <s v="Control"/>
    <n v="6"/>
    <n v="6"/>
    <n v="184"/>
    <s v="No"/>
    <x v="0"/>
    <x v="1"/>
    <s v="No Error"/>
    <x v="0"/>
    <n v="0"/>
    <n v="0.11"/>
    <n v="0"/>
    <s v="No Support Contact"/>
    <s v="No"/>
    <s v="No Support Contact"/>
    <s v="Not Applicable"/>
    <m/>
    <s v="No drop-off"/>
    <n v="3"/>
    <n v="9"/>
    <n v="28"/>
    <x v="1"/>
    <n v="1"/>
    <n v="1"/>
    <n v="0"/>
    <n v="1"/>
  </r>
  <r>
    <s v="NSF-000150"/>
    <s v="USR-00478"/>
    <s v="SES-2502-19826"/>
    <d v="2025-02-25T00:00:00"/>
    <s v="South East"/>
    <s v="Oxford"/>
    <x v="1"/>
    <s v="55-64"/>
    <s v="Female"/>
    <s v="Android"/>
    <s v="Android Tablet"/>
    <s v="7-12 months"/>
    <s v="Free"/>
    <s v="App Store"/>
    <x v="1"/>
    <s v="Reactivated"/>
    <s v="Fee Transparency Panel"/>
    <s v="Treatment"/>
    <n v="4"/>
    <n v="4"/>
    <n v="96"/>
    <s v="No"/>
    <x v="0"/>
    <x v="1"/>
    <s v="No Error"/>
    <x v="0"/>
    <n v="122.78"/>
    <n v="0.23"/>
    <n v="0"/>
    <s v="No Support Contact"/>
    <s v="No"/>
    <s v="No Support Contact"/>
    <s v="Not Applicable"/>
    <m/>
    <s v="No drop-off"/>
    <n v="4"/>
    <n v="40"/>
    <n v="31"/>
    <x v="0"/>
    <n v="1"/>
    <n v="1"/>
    <n v="0"/>
    <n v="0"/>
  </r>
  <r>
    <s v="NSF-001341"/>
    <s v="USR-00366"/>
    <s v="SES-2604-39646"/>
    <d v="2026-04-13T00:00:00"/>
    <s v="Yorkshire &amp; Humber"/>
    <s v="York"/>
    <x v="1"/>
    <s v="18-24"/>
    <s v="Female"/>
    <s v="Android"/>
    <s v="Android Phone"/>
    <s v="7-12 months"/>
    <s v="Plus"/>
    <s v="App Store"/>
    <x v="1"/>
    <s v="Repeat Use"/>
    <s v="New Cta Copy"/>
    <s v="Control"/>
    <n v="99"/>
    <n v="4"/>
    <n v="96"/>
    <s v="No"/>
    <x v="1"/>
    <x v="1"/>
    <s v="No Error"/>
    <x v="1"/>
    <n v="0"/>
    <n v="0"/>
    <n v="0"/>
    <s v="No Support Contact"/>
    <s v="No"/>
    <s v="No Support Contact"/>
    <s v="Not Applicable"/>
    <m/>
    <s v="Verification took too long"/>
    <n v="3"/>
    <n v="13"/>
    <n v="23"/>
    <x v="1"/>
    <n v="0"/>
    <n v="0"/>
    <n v="0"/>
    <n v="1"/>
  </r>
  <r>
    <s v="NSF-000336"/>
    <s v="USR-00458"/>
    <s v="SES-2504-12022"/>
    <d v="2025-04-25T00:00:00"/>
    <s v="East Midlands"/>
    <s v="Derby"/>
    <x v="2"/>
    <s v="55-64"/>
    <s v="Male"/>
    <s v="Android"/>
    <s v="Android Phone"/>
    <s v="&lt;3 months"/>
    <s v="Free"/>
    <s v="Paid Social"/>
    <x v="9"/>
    <s v="Repeat Use"/>
    <s v="Simplified Onboarding"/>
    <s v="Control"/>
    <n v="5"/>
    <n v="5"/>
    <n v="99"/>
    <s v="No"/>
    <x v="1"/>
    <x v="1"/>
    <s v="No Error"/>
    <x v="0"/>
    <n v="107.23"/>
    <n v="0"/>
    <n v="0"/>
    <s v="No Support Contact"/>
    <s v="No"/>
    <s v="No Support Contact"/>
    <s v="Not Applicable"/>
    <m/>
    <s v="Too many steps"/>
    <n v="4"/>
    <n v="8"/>
    <n v="24"/>
    <x v="1"/>
    <n v="0"/>
    <n v="1"/>
    <n v="0"/>
    <n v="1"/>
  </r>
  <r>
    <s v="NSF-001487"/>
    <s v="USR-00735"/>
    <s v="SES-2604-11018"/>
    <d v="2026-04-14T00:00:00"/>
    <s v="North East"/>
    <s v="Middlesbrough"/>
    <x v="1"/>
    <s v="55-64"/>
    <s v="Male"/>
    <s v="Web"/>
    <s v="Mobile Browser"/>
    <s v="1-2 years"/>
    <s v="Free"/>
    <s v="Organic Search"/>
    <x v="4"/>
    <s v="Reactivated"/>
    <s v="No Experiment"/>
    <s v="Control"/>
    <n v="6"/>
    <n v="3"/>
    <n v="273"/>
    <s v="Yes"/>
    <x v="1"/>
    <x v="1"/>
    <s v="No Error"/>
    <x v="0"/>
    <n v="3.22"/>
    <n v="0"/>
    <n v="0"/>
    <s v="No Support Contact"/>
    <s v="No"/>
    <s v="No Support Contact"/>
    <s v="Not Applicable"/>
    <m/>
    <s v="Instructions unclear"/>
    <n v="3"/>
    <n v="150"/>
    <n v="46"/>
    <x v="0"/>
    <n v="0"/>
    <n v="1"/>
    <n v="0"/>
    <n v="0"/>
  </r>
  <r>
    <s v="NSF-000149"/>
    <s v="USR-00406"/>
    <s v="SES-2502-80648"/>
    <d v="2025-02-27T00:00:00"/>
    <s v="East England"/>
    <s v="Luton"/>
    <x v="1"/>
    <s v="35-44"/>
    <s v="Female"/>
    <s v="Android"/>
    <s v="Android Phone"/>
    <s v="2+ years"/>
    <s v="Free"/>
    <s v="Paid Social"/>
    <x v="1"/>
    <s v="Reactivated"/>
    <s v="No Experiment"/>
    <s v="Control"/>
    <n v="4"/>
    <n v="2"/>
    <n v="174"/>
    <s v="Yes"/>
    <x v="0"/>
    <x v="1"/>
    <s v="No Error"/>
    <x v="0"/>
    <n v="80.790000000000006"/>
    <n v="0.22"/>
    <n v="0"/>
    <s v="No Support Contact"/>
    <s v="No"/>
    <s v="No Support Contact"/>
    <s v="Not Applicable"/>
    <m/>
    <s v="No drop-off"/>
    <n v="3"/>
    <n v="-3"/>
    <n v="12"/>
    <x v="1"/>
    <n v="1"/>
    <n v="1"/>
    <n v="0"/>
    <n v="1"/>
  </r>
  <r>
    <s v="NSF-001390"/>
    <s v="USR-00546"/>
    <s v="SES-2605-89896"/>
    <d v="2026-05-03T00:00:00"/>
    <s v="Northern Ireland"/>
    <s v="Belfast"/>
    <x v="3"/>
    <s v="45-54"/>
    <s v="Male"/>
    <s v="Android"/>
    <s v="Android Phone"/>
    <s v="1-2 years"/>
    <s v="Free"/>
    <s v="Affiliate"/>
    <x v="0"/>
    <s v="Reactivated"/>
    <s v="Progress Indicator"/>
    <s v="Control"/>
    <n v="7"/>
    <n v="7"/>
    <n v="278"/>
    <s v="Unknown"/>
    <x v="0"/>
    <x v="0"/>
    <s v="Too Many Steps"/>
    <x v="1"/>
    <n v="0"/>
    <n v="0"/>
    <n v="0"/>
    <s v="No Support Contact"/>
    <s v="No"/>
    <s v="No Support Contact"/>
    <s v="Not Applicable"/>
    <m/>
    <s v="No drop-off"/>
    <n v="3"/>
    <n v="-27"/>
    <n v="61"/>
    <x v="1"/>
    <n v="1"/>
    <n v="0"/>
    <n v="1"/>
    <n v="1"/>
  </r>
  <r>
    <s v="NSF-000857"/>
    <s v="USR-00717"/>
    <s v="SES-2510-14729"/>
    <d v="2025-10-28T00:00:00"/>
    <s v="East England"/>
    <s v="Norwich"/>
    <x v="3"/>
    <s v="35-44"/>
    <s v="Female"/>
    <s v="Ios"/>
    <s v="Iphone"/>
    <s v="&lt;3 months"/>
    <s v="Free"/>
    <s v="App Store"/>
    <x v="9"/>
    <s v="Repeat Use"/>
    <s v="No Experiment"/>
    <s v="Control"/>
    <n v="5"/>
    <n v="5"/>
    <n v="139"/>
    <s v="No"/>
    <x v="0"/>
    <x v="1"/>
    <s v="No Error"/>
    <x v="0"/>
    <n v="56.67"/>
    <n v="0"/>
    <n v="0"/>
    <s v="No Support Contact"/>
    <s v="No"/>
    <s v="No Support Contact"/>
    <s v="Not Applicable"/>
    <m/>
    <s v="No drop-off"/>
    <n v="4"/>
    <n v="16"/>
    <n v="1"/>
    <x v="1"/>
    <n v="1"/>
    <n v="1"/>
    <n v="0"/>
    <n v="1"/>
  </r>
  <r>
    <s v="NSF-000455"/>
    <s v="USR-00722"/>
    <s v="SES-2505-25398"/>
    <d v="2025-05-11T00:00:00"/>
    <s v="South West"/>
    <s v="Gloucester"/>
    <x v="3"/>
    <s v="25-34"/>
    <s v="Male"/>
    <s v="Android"/>
    <s v="Android Phone"/>
    <s v="&lt;3 months"/>
    <s v="Plus"/>
    <s v="Organic Search"/>
    <x v="7"/>
    <s v="First Use"/>
    <s v="Progress Indicator"/>
    <s v="Control"/>
    <n v="4"/>
    <n v="4"/>
    <n v="122"/>
    <s v="No"/>
    <x v="0"/>
    <x v="0"/>
    <s v="Card Activation Failed"/>
    <x v="0"/>
    <n v="6.29"/>
    <n v="0.55000000000000004"/>
    <n v="0.17"/>
    <s v="No Support Contact"/>
    <s v="No"/>
    <s v="No Support Contact"/>
    <s v="Not Applicable"/>
    <m/>
    <s v="No drop-off"/>
    <n v="3"/>
    <n v="58"/>
    <n v="0"/>
    <x v="1"/>
    <n v="1"/>
    <n v="1"/>
    <n v="1"/>
    <n v="1"/>
  </r>
  <r>
    <s v="NSF-001298"/>
    <s v="USR-00481"/>
    <s v="SES-2604-12545"/>
    <d v="2026-04-11T00:00:00"/>
    <s v="London"/>
    <s v="Camden"/>
    <x v="5"/>
    <s v="45-54"/>
    <s v="Female"/>
    <s v="Ios"/>
    <s v="Iphone"/>
    <s v="2+ years"/>
    <s v="Plus"/>
    <s v="Direct"/>
    <x v="2"/>
    <s v="First Use"/>
    <s v="Simplified Onboarding"/>
    <s v="Control"/>
    <n v="5"/>
    <n v="5"/>
    <n v="168"/>
    <s v="No"/>
    <x v="0"/>
    <x v="0"/>
    <s v="Goal Setup Confusion"/>
    <x v="1"/>
    <n v="0"/>
    <n v="0"/>
    <n v="0"/>
    <s v="No Support Contact"/>
    <s v="No"/>
    <s v="No Support Contact"/>
    <s v="Not Applicable"/>
    <m/>
    <s v="No drop-off"/>
    <n v="4"/>
    <n v="-18"/>
    <s v="0 days"/>
    <x v="1"/>
    <n v="1"/>
    <n v="0"/>
    <n v="1"/>
    <n v="1"/>
  </r>
  <r>
    <s v="NSF-000842"/>
    <s v="USR-00495"/>
    <s v="SES-2510-63666"/>
    <d v="2025-10-20T00:00:00"/>
    <s v="Yorkshire &amp; Humber"/>
    <s v="Sheffield"/>
    <x v="5"/>
    <s v="25-34"/>
    <s v="Male"/>
    <s v="Ios"/>
    <s v="Iphone"/>
    <s v="7-12 months"/>
    <s v="Plus"/>
    <s v="Paid Search"/>
    <x v="3"/>
    <s v="Reactivated"/>
    <s v="Fee Transparency Panel"/>
    <s v="Control"/>
    <n v="6"/>
    <s v="3 steps"/>
    <n v="256"/>
    <s v="Yes"/>
    <x v="1"/>
    <x v="1"/>
    <s v="No Error"/>
    <x v="1"/>
    <n v="0"/>
    <n v="0"/>
    <n v="0"/>
    <s v="No Support Contact"/>
    <s v="No"/>
    <s v="No Support Contact"/>
    <s v="Not Applicable"/>
    <m/>
    <s v="Too many steps"/>
    <n v="2"/>
    <n v="-2"/>
    <n v="30"/>
    <x v="0"/>
    <n v="0"/>
    <n v="0"/>
    <n v="0"/>
    <n v="0"/>
  </r>
  <r>
    <s v="NSF-000859"/>
    <s v="USR-00153"/>
    <s v="SES-2510-15921"/>
    <d v="2025-10-06T00:00:00"/>
    <s v="South East"/>
    <s v="Oxford"/>
    <x v="0"/>
    <s v="18-24"/>
    <s v="Female"/>
    <s v="Ios"/>
    <s v="Iphone"/>
    <s v="2+ years"/>
    <s v="Free"/>
    <s v="Paid Search"/>
    <x v="4"/>
    <s v="Repeat Use"/>
    <s v="Unknown"/>
    <s v="Control"/>
    <n v="6"/>
    <n v="4"/>
    <n v="280"/>
    <s v="Yes"/>
    <x v="0"/>
    <x v="1"/>
    <s v="No Error"/>
    <x v="1"/>
    <n v="0"/>
    <n v="0"/>
    <n v="0"/>
    <s v="No Support Contact"/>
    <s v="No"/>
    <s v="No Support Contact"/>
    <s v="Not Applicable"/>
    <m/>
    <s v="No drop-off"/>
    <n v="4"/>
    <n v="-15"/>
    <n v="12"/>
    <x v="1"/>
    <n v="1"/>
    <n v="0"/>
    <n v="0"/>
    <n v="1"/>
  </r>
  <r>
    <s v="NSF-000327"/>
    <s v="USR-00244"/>
    <s v="SES-2504-45257"/>
    <d v="2025-04-29T00:00:00"/>
    <s v="South East"/>
    <s v="Guildford"/>
    <x v="1"/>
    <s v="18-24"/>
    <s v="Female"/>
    <s v="Ios"/>
    <s v="Iphone"/>
    <s v="2+ years"/>
    <s v="Free"/>
    <s v="Organic Search"/>
    <x v="3"/>
    <s v="First Use"/>
    <s v="No Experiment"/>
    <s v="Control"/>
    <n v="6"/>
    <n v="4"/>
    <n v="188"/>
    <s v="Yes"/>
    <x v="0"/>
    <x v="1"/>
    <s v="No Error"/>
    <x v="0"/>
    <n v="22.51"/>
    <n v="0.11"/>
    <n v="0"/>
    <s v="No Support Contact"/>
    <s v="No"/>
    <s v="No Support Contact"/>
    <s v="Not Applicable"/>
    <m/>
    <s v="No drop-off"/>
    <n v="2"/>
    <n v="-14"/>
    <n v="0"/>
    <x v="1"/>
    <n v="1"/>
    <n v="1"/>
    <n v="0"/>
    <n v="1"/>
  </r>
  <r>
    <s v="NSF-000400"/>
    <s v="USR-00042"/>
    <s v="SES-2505-89951"/>
    <d v="2025-05-10T00:00:00"/>
    <s v="South East"/>
    <s v="Guildford"/>
    <x v="0"/>
    <s v="18-24"/>
    <s v="Female"/>
    <s v="Web"/>
    <s v="Desktop"/>
    <s v="3-6 months"/>
    <s v="Free"/>
    <s v="App Store"/>
    <x v="4"/>
    <s v="Reactivated"/>
    <s v="No Experiment"/>
    <s v="Control"/>
    <n v="6"/>
    <n v="6"/>
    <n v="118"/>
    <s v="No"/>
    <x v="1"/>
    <x v="1"/>
    <s v="No Error"/>
    <x v="1"/>
    <n v="0"/>
    <n v="0"/>
    <n v="0"/>
    <s v="Fees And Pricing"/>
    <s v="Yes"/>
    <s v="Fees And Pricing"/>
    <s v="Resolved"/>
    <n v="22"/>
    <s v="No drop-off"/>
    <n v="3"/>
    <n v="-4"/>
    <n v="67"/>
    <x v="0"/>
    <n v="0"/>
    <n v="0"/>
    <n v="0"/>
    <n v="0"/>
  </r>
  <r>
    <s v="NSF-000200"/>
    <s v="USR-00207"/>
    <s v="SES-2503-18454"/>
    <d v="2025-03-23T00:00:00"/>
    <s v="North East"/>
    <s v="Newcastle"/>
    <x v="5"/>
    <s v="45-54"/>
    <s v="Female"/>
    <s v="Web"/>
    <s v="Desktop"/>
    <s v="7-12 months"/>
    <s v="Basic"/>
    <s v="Employer Partnership"/>
    <x v="1"/>
    <s v="Repeat Use"/>
    <s v="New Cta Copy"/>
    <s v="Treatment"/>
    <n v="4"/>
    <n v="4"/>
    <n v="128"/>
    <s v="No"/>
    <x v="0"/>
    <x v="0"/>
    <s v="Bank Connection Failed"/>
    <x v="1"/>
    <n v="0"/>
    <n v="0"/>
    <n v="0"/>
    <s v="No Support Contact"/>
    <s v="No"/>
    <s v="No Support Contact"/>
    <s v="Not Applicable"/>
    <m/>
    <s v="No drop-off"/>
    <n v="4"/>
    <n v="11"/>
    <n v="63"/>
    <x v="1"/>
    <n v="1"/>
    <n v="0"/>
    <n v="1"/>
    <n v="1"/>
  </r>
  <r>
    <s v="NSF-000806"/>
    <s v="USR-00199"/>
    <s v="SES-2509-25134"/>
    <d v="2025-09-16T00:00:00"/>
    <s v="Yorkshire &amp; Humber"/>
    <s v="Hull"/>
    <x v="5"/>
    <s v="45-54"/>
    <s v="Female"/>
    <s v="Android"/>
    <s v="Android Phone"/>
    <s v="1-2 years"/>
    <s v="Free"/>
    <s v="Organic Search"/>
    <x v="4"/>
    <s v="Reactivated"/>
    <s v="Fee Transparency Panel"/>
    <s v="Treatment"/>
    <n v="6"/>
    <n v="4"/>
    <n v="257"/>
    <s v="Yes"/>
    <x v="0"/>
    <x v="1"/>
    <s v="No Error"/>
    <x v="0"/>
    <n v="32.78"/>
    <n v="0"/>
    <n v="0"/>
    <s v="Other"/>
    <s v="Yes"/>
    <s v="Other"/>
    <s v="Resolved"/>
    <n v="34"/>
    <s v="No drop-off"/>
    <n v="2"/>
    <n v="52"/>
    <n v="2"/>
    <x v="1"/>
    <n v="1"/>
    <n v="1"/>
    <n v="0"/>
    <n v="1"/>
  </r>
  <r>
    <s v="NSF-001001"/>
    <s v="USR-00362"/>
    <s v="SES-2512-65341"/>
    <d v="2025-12-23T00:00:00"/>
    <s v="Wales"/>
    <s v="Wrexham"/>
    <x v="5"/>
    <s v="25-34"/>
    <s v="Male"/>
    <s v="Android"/>
    <s v="Android Phone"/>
    <s v="7-12 months"/>
    <s v="Free"/>
    <s v="Referral"/>
    <x v="7"/>
    <s v="First Use"/>
    <s v="New Cta Copy"/>
    <s v="Control"/>
    <n v="4"/>
    <n v="4"/>
    <n v="121"/>
    <s v="No"/>
    <x v="0"/>
    <x v="1"/>
    <s v="No Error"/>
    <x v="1"/>
    <n v="0"/>
    <n v="0"/>
    <n v="0"/>
    <s v="Fees And Pricing"/>
    <s v="Yes"/>
    <s v="Fees And Pricing"/>
    <s v="Resolved"/>
    <n v="36"/>
    <s v="No drop-off"/>
    <n v="4"/>
    <n v="29"/>
    <n v="0"/>
    <x v="1"/>
    <n v="1"/>
    <n v="0"/>
    <n v="0"/>
    <n v="1"/>
  </r>
  <r>
    <s v="NSF-001288"/>
    <s v="USR-00585"/>
    <s v="SES-2604-95513"/>
    <d v="2026-04-10T00:00:00"/>
    <s v="South West"/>
    <s v="Bath"/>
    <x v="2"/>
    <s v="45-54"/>
    <s v="Male"/>
    <s v="Ios"/>
    <s v="Iphone"/>
    <s v="7-12 months"/>
    <s v="Free"/>
    <s v="Referral"/>
    <x v="5"/>
    <s v="Repeat Use"/>
    <s v="Fee Transparency Panel"/>
    <s v="Control"/>
    <n v="8"/>
    <n v="7"/>
    <n v="370"/>
    <s v="Yes"/>
    <x v="1"/>
    <x v="1"/>
    <s v="No Error"/>
    <x v="1"/>
    <n v="0"/>
    <n v="0"/>
    <n v="0"/>
    <s v="No Support Contact"/>
    <s v="No"/>
    <s v="No Support Contact"/>
    <s v="Not Applicable"/>
    <m/>
    <s v="Too many steps"/>
    <n v="3"/>
    <n v="-9"/>
    <n v="35"/>
    <x v="1"/>
    <n v="0"/>
    <n v="0"/>
    <n v="0"/>
    <n v="1"/>
  </r>
  <r>
    <s v="NSF-000814"/>
    <s v="USR-00468"/>
    <s v="SES-2509-10416"/>
    <d v="2025-09-25T00:00:00"/>
    <s v="East Midlands"/>
    <s v="Leicester"/>
    <x v="1"/>
    <s v="25-34"/>
    <s v="Female"/>
    <s v="Ios"/>
    <s v="Iphone"/>
    <s v="&lt;3 months"/>
    <s v="Free"/>
    <s v="Paid Social"/>
    <x v="10"/>
    <s v="First Use"/>
    <s v="New Cta Copy"/>
    <s v="Control"/>
    <n v="9"/>
    <n v="8"/>
    <n v="288"/>
    <s v="Yes"/>
    <x v="1"/>
    <x v="1"/>
    <s v="No Error"/>
    <x v="0"/>
    <n v="82.23"/>
    <n v="3.02"/>
    <n v="0"/>
    <s v="No Support Contact"/>
    <s v="No"/>
    <s v="No Support Contact"/>
    <s v="Not Applicable"/>
    <m/>
    <s v="Too many steps"/>
    <n v="3"/>
    <n v="-48"/>
    <s v="0 days"/>
    <x v="0"/>
    <n v="0"/>
    <n v="1"/>
    <n v="0"/>
    <n v="0"/>
  </r>
  <r>
    <s v="NSF-001060"/>
    <s v="USR-00020"/>
    <s v="SES-2512-78116"/>
    <d v="2025-12-12T00:00:00"/>
    <s v="North West"/>
    <s v="Liverpool"/>
    <x v="1"/>
    <s v="25-34"/>
    <s v="Male"/>
    <s v="Android"/>
    <s v="Android Phone"/>
    <s v="2+ years"/>
    <s v="Plus"/>
    <s v="Referral"/>
    <x v="2"/>
    <s v="Repeat Use"/>
    <s v="No Experiment"/>
    <s v="Control"/>
    <n v="5"/>
    <n v="4"/>
    <n v="146"/>
    <s v="Yes"/>
    <x v="1"/>
    <x v="1"/>
    <s v="No Error"/>
    <x v="1"/>
    <n v="0"/>
    <n v="0"/>
    <n v="0"/>
    <s v="No Support Contact"/>
    <s v="No"/>
    <s v="No Support Contact"/>
    <s v="Not Applicable"/>
    <m/>
    <s v="Too many steps"/>
    <n v="3"/>
    <n v="-23"/>
    <n v="47"/>
    <x v="0"/>
    <n v="0"/>
    <n v="0"/>
    <n v="0"/>
    <n v="0"/>
  </r>
  <r>
    <s v="NSF-001412"/>
    <s v="USR-00369"/>
    <s v="SES-2605-54453"/>
    <d v="2026-05-08T00:00:00"/>
    <s v="Wales"/>
    <s v="Newport"/>
    <x v="5"/>
    <s v="25-34"/>
    <s v="Female"/>
    <s v="Android"/>
    <s v="Android Phone"/>
    <s v="1-2 years"/>
    <s v="Premium"/>
    <s v="Direct"/>
    <x v="5"/>
    <s v="Repeat Use"/>
    <s v="No Experiment"/>
    <s v="Control"/>
    <s v="8 steps"/>
    <n v="6"/>
    <n v="557"/>
    <s v="Yes"/>
    <x v="1"/>
    <x v="0"/>
    <s v="Recipient Details Rejected"/>
    <x v="1"/>
    <n v="0"/>
    <n v="0"/>
    <n v="0"/>
    <s v="No Support Contact"/>
    <s v="No"/>
    <s v="No Support Contact"/>
    <s v="Not Applicable"/>
    <m/>
    <s v="Technical error"/>
    <n v="2"/>
    <n v="-47"/>
    <n v="38"/>
    <x v="0"/>
    <n v="0"/>
    <n v="0"/>
    <n v="1"/>
    <n v="0"/>
  </r>
  <r>
    <s v="NSF-000301"/>
    <s v="USR-00241"/>
    <s v="SES-2504-36699"/>
    <d v="2025-04-22T00:00:00"/>
    <s v="East England"/>
    <s v="Ipswich"/>
    <x v="3"/>
    <s v="18-24"/>
    <s v="Male"/>
    <s v="Web"/>
    <s v="Mobile Browser"/>
    <s v="&lt;3 months"/>
    <s v="Free"/>
    <s v="Direct"/>
    <x v="5"/>
    <s v="Repeat Use"/>
    <s v="Progress Indicator"/>
    <s v="Control"/>
    <n v="8"/>
    <n v="8"/>
    <n v="237"/>
    <s v="No"/>
    <x v="1"/>
    <x v="1"/>
    <s v="No Error"/>
    <x v="0"/>
    <n v="404.01"/>
    <n v="2.6"/>
    <n v="0"/>
    <s v="No Support Contact"/>
    <s v="No"/>
    <s v="No Support Contact"/>
    <s v="Not Applicable"/>
    <m/>
    <s v="No drop-off"/>
    <n v="2"/>
    <n v="-32"/>
    <n v="4"/>
    <x v="0"/>
    <n v="0"/>
    <n v="1"/>
    <n v="0"/>
    <n v="0"/>
  </r>
  <r>
    <s v="NSF-001415"/>
    <s v="USR-00337"/>
    <s v="SES-2606-71176"/>
    <d v="2026-02-06T00:00:00"/>
    <s v="Yorkshire &amp; Humber"/>
    <s v="HULL"/>
    <x v="2"/>
    <s v="35-44"/>
    <s v="Male"/>
    <s v="Android"/>
    <s v="Android Phone"/>
    <s v="7-12 months"/>
    <s v="Free"/>
    <s v="Referral"/>
    <x v="4"/>
    <s v="Trial/Exploration"/>
    <s v="No Experiment"/>
    <s v="Control"/>
    <n v="6"/>
    <n v="6"/>
    <n v="193"/>
    <s v="No"/>
    <x v="1"/>
    <x v="0"/>
    <s v="Insight Unclear"/>
    <x v="1"/>
    <n v="0"/>
    <n v="0"/>
    <n v="0"/>
    <s v="No Support Contact"/>
    <s v="No"/>
    <s v="No Support Contact"/>
    <s v="Not Applicable"/>
    <m/>
    <s v="Instructions unclear"/>
    <n v="2"/>
    <n v="-22"/>
    <n v="39"/>
    <x v="0"/>
    <n v="0"/>
    <n v="0"/>
    <n v="1"/>
    <n v="0"/>
  </r>
  <r>
    <s v="NSF-001122"/>
    <s v="USR-00024"/>
    <s v="SES-2601-10490"/>
    <d v="2026-01-25T00:00:00"/>
    <s v="Yorkshire &amp; Humber"/>
    <s v="Sheffield"/>
    <x v="1"/>
    <s v="18-24"/>
    <s v="Male"/>
    <s v="Android"/>
    <s v="Android Phone"/>
    <s v="1-2 years"/>
    <s v="Free"/>
    <s v="Direct"/>
    <x v="2"/>
    <s v="Repeat Use"/>
    <s v="No Experiment"/>
    <s v="Control"/>
    <n v="5"/>
    <n v="5"/>
    <n v="152"/>
    <s v="No"/>
    <x v="0"/>
    <x v="1"/>
    <s v="No Error"/>
    <x v="0"/>
    <n v="57.45"/>
    <n v="0"/>
    <n v="0"/>
    <s v="No Support Contact"/>
    <s v="No"/>
    <s v="No Support Contact"/>
    <s v="Not Applicable"/>
    <m/>
    <s v="No drop-off"/>
    <n v="4"/>
    <n v="38"/>
    <n v="35"/>
    <x v="0"/>
    <n v="1"/>
    <n v="1"/>
    <n v="0"/>
    <n v="0"/>
  </r>
  <r>
    <s v="NSF-000949"/>
    <s v="USR-00522"/>
    <s v="SES-2511-68476"/>
    <d v="2025-11-27T00:00:00"/>
    <s v="London"/>
    <s v="SOUTHWARK"/>
    <x v="2"/>
    <s v="45-54"/>
    <s v="Male"/>
    <s v="Android"/>
    <s v="Android Phone"/>
    <s v="&lt;3 months"/>
    <s v="Premium"/>
    <s v="App Store"/>
    <x v="8"/>
    <s v="Repeat Use"/>
    <s v="No Experiment"/>
    <s v="Control"/>
    <n v="5"/>
    <n v="3"/>
    <n v="258"/>
    <s v="Yes"/>
    <x v="1"/>
    <x v="0"/>
    <s v="Merchant Eligibility Mismatch"/>
    <x v="0"/>
    <n v="47.71"/>
    <n v="0"/>
    <n v="0.37"/>
    <s v="No Support Contact"/>
    <s v="No"/>
    <s v="No Support Contact"/>
    <s v="Not Applicable"/>
    <m/>
    <s v="Technical error"/>
    <n v="1"/>
    <n v="-19"/>
    <n v="16"/>
    <x v="1"/>
    <n v="0"/>
    <n v="1"/>
    <n v="1"/>
    <n v="1"/>
  </r>
  <r>
    <s v="NSF-000064"/>
    <s v="USR-00394"/>
    <s v="SES-2501-44142"/>
    <d v="2025-01-02T00:00:00"/>
    <s v="Scotland"/>
    <s v="Edinburgh"/>
    <x v="4"/>
    <s v="25-34"/>
    <s v="Male"/>
    <s v="Android"/>
    <s v="Android Phone"/>
    <s v="1-2 years"/>
    <s v="Plus"/>
    <s v="Direct"/>
    <x v="8"/>
    <s v="First Use"/>
    <s v="Progress Indicator"/>
    <s v="Control"/>
    <n v="5"/>
    <n v="5"/>
    <n v="159"/>
    <s v="No"/>
    <x v="0"/>
    <x v="1"/>
    <s v="No Error"/>
    <x v="0"/>
    <n v="63.15"/>
    <n v="0"/>
    <n v="0.17"/>
    <s v="No Support Contact"/>
    <s v="No"/>
    <s v="No Support Contact"/>
    <s v="Not Applicable"/>
    <m/>
    <s v="No drop-off"/>
    <n v="5"/>
    <n v="50"/>
    <n v="0"/>
    <x v="1"/>
    <n v="1"/>
    <n v="1"/>
    <n v="0"/>
    <n v="1"/>
  </r>
  <r>
    <s v="NSF-000176"/>
    <s v="USR-00289"/>
    <s v="SES-2502-63045"/>
    <d v="2025-02-05T00:00:00"/>
    <s v="South East"/>
    <s v="Oxford"/>
    <x v="0"/>
    <s v="35-44"/>
    <s v="N/A"/>
    <s v="Ios"/>
    <s v="Iphone"/>
    <s v="1-2 years"/>
    <s v="Free"/>
    <s v="App Store"/>
    <x v="9"/>
    <s v="Repeat Use"/>
    <s v="Progress Indicator"/>
    <s v="Treatment"/>
    <n v="5"/>
    <n v="5"/>
    <n v="102"/>
    <s v="No"/>
    <x v="0"/>
    <x v="1"/>
    <s v="No Error"/>
    <x v="0"/>
    <n v="84.28"/>
    <n v="0"/>
    <n v="0"/>
    <s v="No Support Contact"/>
    <s v="No"/>
    <s v="No Support Contact"/>
    <s v="Not Applicable"/>
    <m/>
    <s v="No drop-off"/>
    <n v="4"/>
    <n v="44"/>
    <n v="55"/>
    <x v="1"/>
    <n v="1"/>
    <n v="1"/>
    <n v="0"/>
    <n v="1"/>
  </r>
  <r>
    <s v="NSF-000736"/>
    <s v="USR-00703"/>
    <s v="SES-2508-67086"/>
    <d v="2025-08-17T00:00:00"/>
    <s v="North East"/>
    <s v="Newcastle"/>
    <x v="7"/>
    <s v="25-34"/>
    <s v="Female"/>
    <s v="Android"/>
    <s v="Android Phone"/>
    <s v="1-2 years"/>
    <s v="Premium"/>
    <s v="Referral"/>
    <x v="7"/>
    <s v="Repeat Use"/>
    <s v="No Experiment"/>
    <s v="Control"/>
    <n v="4"/>
    <n v="4"/>
    <n v="116"/>
    <s v="No"/>
    <x v="0"/>
    <x v="1"/>
    <s v="No Error"/>
    <x v="0"/>
    <n v="34.950000000000003"/>
    <n v="0.45"/>
    <n v="0.37"/>
    <s v="No Support Contact"/>
    <s v="No"/>
    <s v="No Support Contact"/>
    <s v="Not Applicable"/>
    <m/>
    <s v="No drop-off"/>
    <n v="3"/>
    <n v="36"/>
    <n v="6"/>
    <x v="1"/>
    <n v="1"/>
    <n v="1"/>
    <n v="0"/>
    <n v="1"/>
  </r>
  <r>
    <s v="NSF-000310"/>
    <s v="USR-00580"/>
    <s v="SES-2504-56414"/>
    <d v="2025-04-30T00:00:00"/>
    <s v="North East"/>
    <s v="Sunderland"/>
    <x v="0"/>
    <s v="18-24"/>
    <s v="Male"/>
    <s v="Ios"/>
    <s v="Iphone"/>
    <s v="&lt;3 months"/>
    <s v="Free"/>
    <s v="Paid Search"/>
    <x v="5"/>
    <s v="Repeat Use"/>
    <s v="Fee Transparency Panel"/>
    <s v="Control"/>
    <n v="8"/>
    <n v="8"/>
    <n v="159"/>
    <s v="No"/>
    <x v="1"/>
    <x v="1"/>
    <s v="No Error"/>
    <x v="1"/>
    <n v="0"/>
    <n v="0"/>
    <n v="0"/>
    <s v="No Support Contact"/>
    <s v="No"/>
    <s v="No Support Contact"/>
    <s v="Not Applicable"/>
    <m/>
    <s v="No drop-off"/>
    <n v="2"/>
    <n v="2"/>
    <n v="16"/>
    <x v="0"/>
    <n v="0"/>
    <n v="0"/>
    <n v="0"/>
    <n v="0"/>
  </r>
  <r>
    <s v="NSF-000696"/>
    <s v="USR-00593"/>
    <s v="SES-2606-00005"/>
    <d v="2025-08-28T00:00:00"/>
    <s v="North West"/>
    <s v="Liverpool"/>
    <x v="1"/>
    <s v="35-44"/>
    <s v="Non-Binary"/>
    <s v="Android"/>
    <s v="Android Phone"/>
    <s v="&lt;3 months"/>
    <s v="Free"/>
    <s v="Paid Search"/>
    <x v="3"/>
    <s v="Reactivated"/>
    <s v="No Experiment"/>
    <s v="Control"/>
    <n v="6"/>
    <n v="3"/>
    <n v="382"/>
    <s v="Yes"/>
    <x v="1"/>
    <x v="0"/>
    <s v="Contact Permission Denied"/>
    <x v="1"/>
    <n v="0"/>
    <n v="0"/>
    <n v="0"/>
    <s v="Account Verification"/>
    <s v="Yes"/>
    <s v="Account Verification"/>
    <s v="Resolved"/>
    <n v="3"/>
    <s v="Too many steps"/>
    <n v="1"/>
    <n v="-32"/>
    <n v="32"/>
    <x v="0"/>
    <n v="0"/>
    <n v="0"/>
    <n v="1"/>
    <n v="0"/>
  </r>
  <r>
    <s v="NSF-000844"/>
    <s v="USR-00366"/>
    <s v="SES-2510-78791"/>
    <d v="2025-10-21T00:00:00"/>
    <s v="North West"/>
    <s v="Manchester"/>
    <x v="5"/>
    <s v="35-44"/>
    <s v="Male"/>
    <s v="Android"/>
    <s v="Android Phone"/>
    <s v="&lt;3 months"/>
    <s v="Free"/>
    <s v="Paid Search"/>
    <x v="9"/>
    <s v="First Use"/>
    <s v="No Experiment"/>
    <s v="Control"/>
    <n v="5"/>
    <n v="5"/>
    <n v="111"/>
    <s v="No"/>
    <x v="0"/>
    <x v="1"/>
    <s v="No Error"/>
    <x v="0"/>
    <n v="124.12"/>
    <n v="0"/>
    <n v="0"/>
    <s v="No Support Contact"/>
    <s v="No"/>
    <s v="No Support Contact"/>
    <s v="Not Applicable"/>
    <m/>
    <s v="No drop-off"/>
    <n v="5"/>
    <n v="12"/>
    <n v="0"/>
    <x v="1"/>
    <n v="1"/>
    <n v="1"/>
    <n v="0"/>
    <n v="1"/>
  </r>
  <r>
    <s v="NSF-001157"/>
    <s v="USR-00805"/>
    <s v="SES-2602-83158"/>
    <d v="2026-02-19T00:00:00"/>
    <s v="North East"/>
    <s v="Durham"/>
    <x v="5"/>
    <s v="18-24"/>
    <s v="Female"/>
    <s v="Ios"/>
    <s v="Iphone"/>
    <s v="1-2 years"/>
    <s v="Free"/>
    <s v="App Store"/>
    <x v="8"/>
    <s v="First Use"/>
    <s v="No Experiment"/>
    <s v="Control"/>
    <n v="5"/>
    <n v="4"/>
    <n v="130"/>
    <s v="Yes"/>
    <x v="0"/>
    <x v="1"/>
    <s v="No Error"/>
    <x v="0"/>
    <n v="48.52"/>
    <n v="0"/>
    <n v="0"/>
    <s v="No Support Contact"/>
    <s v="No"/>
    <s v="No Support Contact"/>
    <s v="Not Applicable"/>
    <m/>
    <s v="No drop-off"/>
    <n v="4"/>
    <n v="-16"/>
    <n v="0"/>
    <x v="1"/>
    <n v="1"/>
    <n v="1"/>
    <n v="0"/>
    <n v="1"/>
  </r>
  <r>
    <s v="NSF-000786"/>
    <s v="USR-00471"/>
    <s v="SES-2509-43113"/>
    <d v="2025-09-18T00:00:00"/>
    <s v="North West"/>
    <s v="Chester"/>
    <x v="0"/>
    <s v="25-34"/>
    <s v="Female"/>
    <s v="Android"/>
    <s v="Android Phone"/>
    <s v="7-12 months"/>
    <s v="Premium"/>
    <s v="Referral"/>
    <x v="5"/>
    <s v="Repeat Use"/>
    <s v="Simplified Onboarding"/>
    <s v="Treatment"/>
    <n v="8"/>
    <n v="8"/>
    <n v="146"/>
    <s v="No"/>
    <x v="0"/>
    <x v="1"/>
    <s v="No Error"/>
    <x v="0"/>
    <n v="418.99"/>
    <n v="2.66"/>
    <n v="0.37"/>
    <s v="No Support Contact"/>
    <s v="No"/>
    <s v="No Support Contact"/>
    <s v="Not Applicable"/>
    <m/>
    <s v="No drop-off"/>
    <n v="5"/>
    <n v="45"/>
    <n v="65"/>
    <x v="1"/>
    <n v="1"/>
    <n v="1"/>
    <n v="0"/>
    <n v="1"/>
  </r>
  <r>
    <s v="NSF-001093"/>
    <s v="USR-00543"/>
    <s v="SES-2601-60426"/>
    <d v="2026-01-05T00:00:00"/>
    <s v="North West"/>
    <s v="Liverpool"/>
    <x v="0"/>
    <s v="18-24"/>
    <s v="Male"/>
    <s v="Ios"/>
    <s v="Iphone"/>
    <s v="&lt;3 months"/>
    <s v="Free"/>
    <s v="Referral"/>
    <x v="1"/>
    <s v="Repeat Use"/>
    <s v="No Experiment"/>
    <s v="Control"/>
    <n v="4"/>
    <n v="3"/>
    <n v="139"/>
    <s v="Yes"/>
    <x v="0"/>
    <x v="1"/>
    <s v="No Error"/>
    <x v="0"/>
    <n v="158.11000000000001"/>
    <n v="0.17"/>
    <n v="0"/>
    <s v="No Support Contact"/>
    <s v="No"/>
    <s v="No Support Contact"/>
    <s v="Not Applicable"/>
    <m/>
    <s v="No drop-off"/>
    <n v="4"/>
    <n v="29"/>
    <n v="50"/>
    <x v="1"/>
    <n v="1"/>
    <n v="1"/>
    <n v="0"/>
    <n v="1"/>
  </r>
  <r>
    <s v="NSF-000849"/>
    <s v="USR-00301"/>
    <s v="SES-2510-56819"/>
    <d v="2025-10-24T00:00:00"/>
    <s v="South East"/>
    <s v="Oxford"/>
    <x v="1"/>
    <s v="25-34"/>
    <s v="Female"/>
    <s v="Android"/>
    <s v="Android Phone"/>
    <s v="7-12 months"/>
    <s v="Free"/>
    <s v="Referral"/>
    <x v="3"/>
    <s v="Trial/Exploration"/>
    <s v="No Experiment"/>
    <s v="Control"/>
    <s v="6 steps"/>
    <n v="3"/>
    <n v="220"/>
    <s v="Yes"/>
    <x v="0"/>
    <x v="1"/>
    <s v="No Error"/>
    <x v="0"/>
    <n v="0"/>
    <n v="0.1"/>
    <n v="0"/>
    <s v="No Support Contact"/>
    <s v="No"/>
    <s v="No Support Contact"/>
    <s v="Not Applicable"/>
    <m/>
    <s v="No drop-off"/>
    <n v="3"/>
    <n v="10"/>
    <n v="8"/>
    <x v="1"/>
    <n v="1"/>
    <n v="1"/>
    <n v="0"/>
    <n v="1"/>
  </r>
  <r>
    <s v="NSF-000781"/>
    <s v="USR-00603"/>
    <s v="SES-2509-97251"/>
    <d v="2025-09-16T00:00:00"/>
    <s v="North East"/>
    <s v="Middlesbrough"/>
    <x v="1"/>
    <s v="25-34"/>
    <s v="Female"/>
    <s v="Ios"/>
    <s v="Iphone"/>
    <s v="2+ years"/>
    <s v="Basic"/>
    <s v="App Store"/>
    <x v="7"/>
    <s v="First Use"/>
    <s v="No Experiment"/>
    <s v="Control"/>
    <n v="4"/>
    <s v="4 steps"/>
    <n v="127"/>
    <s v="No"/>
    <x v="1"/>
    <x v="0"/>
    <s v="Card Activation Failed"/>
    <x v="1"/>
    <n v="0"/>
    <n v="0"/>
    <n v="0"/>
    <s v="No Support Contact"/>
    <s v="No"/>
    <s v="No Support Contact"/>
    <s v="Not Applicable"/>
    <m/>
    <s v="Technical error"/>
    <n v="4"/>
    <n v="13"/>
    <n v="0"/>
    <x v="0"/>
    <n v="0"/>
    <n v="0"/>
    <n v="1"/>
    <n v="0"/>
  </r>
  <r>
    <s v="NSF-000399"/>
    <s v="USR-00093"/>
    <s v="SES-2505-84916"/>
    <d v="2025-05-16T00:00:00"/>
    <s v="East Midlands"/>
    <s v="Lincoln"/>
    <x v="0"/>
    <s v="45-54"/>
    <s v="Female"/>
    <s v="Ios"/>
    <s v="Iphone"/>
    <s v="&lt;3 months"/>
    <s v="Free"/>
    <s v="Referral"/>
    <x v="7"/>
    <s v="Trial/Exploration"/>
    <s v="Simplified Onboarding"/>
    <s v="Control"/>
    <n v="4"/>
    <n v="4"/>
    <n v="120"/>
    <s v="No"/>
    <x v="0"/>
    <x v="1"/>
    <s v="No Error"/>
    <x v="0"/>
    <n v="63.26"/>
    <n v="0.54"/>
    <n v="0"/>
    <s v="No Support Contact"/>
    <s v="No"/>
    <s v="No Support Contact"/>
    <s v="Not Applicable"/>
    <m/>
    <s v="No drop-off"/>
    <n v="4"/>
    <n v="46"/>
    <n v="4"/>
    <x v="1"/>
    <n v="1"/>
    <n v="1"/>
    <n v="0"/>
    <n v="1"/>
  </r>
  <r>
    <s v="NSF-000565"/>
    <s v="USR-00788"/>
    <s v="SES-2506-52149"/>
    <d v="2025-06-19T00:00:00"/>
    <s v="South West"/>
    <s v="Bristol"/>
    <x v="0"/>
    <s v="35-44"/>
    <s v="Male"/>
    <s v="Android"/>
    <s v="Android Phone"/>
    <s v="1-2 years"/>
    <s v="Free"/>
    <s v="Referral"/>
    <x v="8"/>
    <s v="First Use"/>
    <s v="Simplified Onboarding"/>
    <s v="Treatment"/>
    <n v="5"/>
    <n v="5"/>
    <n v="148"/>
    <s v="No"/>
    <x v="0"/>
    <x v="1"/>
    <s v="N/A"/>
    <x v="0"/>
    <n v="76.91"/>
    <n v="0"/>
    <n v="0"/>
    <s v="Feature Navigation"/>
    <s v="Yes"/>
    <s v="Feature Navigation"/>
    <s v="Resolved"/>
    <n v="24"/>
    <s v="No drop-off"/>
    <n v="5"/>
    <n v="42"/>
    <n v="0"/>
    <x v="1"/>
    <n v="1"/>
    <n v="1"/>
    <n v="0"/>
    <n v="1"/>
  </r>
  <r>
    <s v="NSF-001361"/>
    <s v="USR-00424"/>
    <s v="SES-2605-30611"/>
    <d v="2026-05-24T00:00:00"/>
    <s v="Yorkshire &amp; Humber"/>
    <s v="Leeds"/>
    <x v="2"/>
    <s v="35-44"/>
    <s v="Male"/>
    <s v="Ios"/>
    <s v="Iphone"/>
    <s v="2+ years"/>
    <s v="Free"/>
    <s v="Paid Search"/>
    <x v="1"/>
    <s v="Repeat Use"/>
    <s v="No Experiment"/>
    <s v="Control"/>
    <n v="-1"/>
    <s v="3 steps"/>
    <n v="134"/>
    <s v="Yes"/>
    <x v="0"/>
    <x v="1"/>
    <s v="No Error"/>
    <x v="0"/>
    <n v="182.76"/>
    <n v="0.23"/>
    <n v="0"/>
    <s v="No Support Contact"/>
    <s v="No"/>
    <s v="No Support Contact"/>
    <s v="Not Applicable"/>
    <m/>
    <s v="No drop-off"/>
    <n v="2"/>
    <n v="150"/>
    <s v="51 days"/>
    <x v="1"/>
    <n v="1"/>
    <n v="1"/>
    <n v="0"/>
    <n v="1"/>
  </r>
  <r>
    <s v="NSF-001440"/>
    <s v="USR-00570"/>
    <s v="SES-2606-18309"/>
    <d v="2026-06-20T00:00:00"/>
    <s v="Yorkshire &amp; Humber"/>
    <s v="York"/>
    <x v="0"/>
    <s v="35-44"/>
    <s v="Female"/>
    <s v="Web"/>
    <s v="Desktop"/>
    <s v="1-2 years"/>
    <s v="Plus"/>
    <s v="Paid Social"/>
    <x v="3"/>
    <s v="Reactivated"/>
    <s v="No Experiment"/>
    <s v="Control"/>
    <n v="6"/>
    <n v="3"/>
    <n v="219"/>
    <s v="Yes"/>
    <x v="1"/>
    <x v="0"/>
    <s v="Friend Not Found"/>
    <x v="1"/>
    <n v="0"/>
    <n v="0"/>
    <n v="0"/>
    <s v="No Support Contact"/>
    <s v="No"/>
    <s v="No Support Contact"/>
    <s v="Not Applicable"/>
    <m/>
    <s v="Technical error"/>
    <n v="3"/>
    <n v="-22"/>
    <s v="64 days"/>
    <x v="1"/>
    <n v="0"/>
    <n v="0"/>
    <n v="1"/>
    <n v="1"/>
  </r>
  <r>
    <s v="NSF-001260"/>
    <s v="USR-00803"/>
    <s v="SES-2603-56223"/>
    <d v="2026-03-01T00:00:00"/>
    <s v="London"/>
    <s v="Hackney"/>
    <x v="0"/>
    <s v="18-24"/>
    <s v="Female"/>
    <s v="Ios"/>
    <s v="Ipad"/>
    <s v="7-12 months"/>
    <s v="Free"/>
    <s v="Referral"/>
    <x v="10"/>
    <s v="Repeat Use"/>
    <s v="New Cta Copy"/>
    <s v="Treatment"/>
    <n v="9"/>
    <n v="8"/>
    <n v="363"/>
    <s v="Yes"/>
    <x v="1"/>
    <x v="1"/>
    <s v="No Error"/>
    <x v="1"/>
    <n v="0"/>
    <n v="0"/>
    <n v="0"/>
    <s v="No Support Contact"/>
    <s v="No"/>
    <s v="No Support Contact"/>
    <s v="Not Applicable"/>
    <m/>
    <s v="Too many steps"/>
    <n v="2"/>
    <n v="-33"/>
    <n v="22"/>
    <x v="0"/>
    <n v="0"/>
    <n v="0"/>
    <n v="0"/>
    <n v="0"/>
  </r>
  <r>
    <s v="NSF-000317"/>
    <s v="USR-00418"/>
    <s v="SES-2504-29627"/>
    <d v="2025-04-06T00:00:00"/>
    <s v="East Midlands"/>
    <s v="Lincoln"/>
    <x v="5"/>
    <s v="18-24"/>
    <s v="Female"/>
    <s v="Android"/>
    <s v="Android Phone"/>
    <s v="&lt;3 months"/>
    <s v="Free"/>
    <s v="App Store"/>
    <x v="4"/>
    <s v="First Use"/>
    <s v="New Cta Copy"/>
    <s v="Control"/>
    <n v="6"/>
    <n v="3"/>
    <n v="-30"/>
    <s v="Yes"/>
    <x v="0"/>
    <x v="0"/>
    <s v="Transaction Classification Wrong"/>
    <x v="1"/>
    <n v="0"/>
    <n v="0"/>
    <n v="0"/>
    <s v="Transaction Failure"/>
    <s v="Yes"/>
    <s v="Transaction Failure"/>
    <s v="Unresolved"/>
    <n v="15"/>
    <s v="No drop-off"/>
    <n v="3"/>
    <n v="-27"/>
    <n v="0"/>
    <x v="0"/>
    <n v="1"/>
    <n v="0"/>
    <n v="1"/>
    <n v="0"/>
  </r>
  <r>
    <s v="NSF-000468"/>
    <s v="USR-00050"/>
    <s v="SES-2505-48586"/>
    <d v="2025-05-25T00:00:00"/>
    <s v="South West"/>
    <s v="Exeter"/>
    <x v="7"/>
    <s v="25-34"/>
    <s v="Male"/>
    <s v="Web"/>
    <s v="Desktop"/>
    <s v="1-2 years"/>
    <s v="Free"/>
    <s v="Paid Search"/>
    <x v="9"/>
    <s v="First Use"/>
    <s v="Contextual Help"/>
    <s v="Treatment"/>
    <n v="5"/>
    <n v="5"/>
    <n v="104"/>
    <s v="No"/>
    <x v="0"/>
    <x v="1"/>
    <s v="No Error"/>
    <x v="0"/>
    <n v="42.27"/>
    <n v="0"/>
    <n v="0"/>
    <s v="Transaction Failure"/>
    <s v="Yes"/>
    <s v="Transaction Failure"/>
    <s v="Unresolved"/>
    <n v="36"/>
    <s v="No drop-off"/>
    <n v="5"/>
    <n v="23"/>
    <n v="0"/>
    <x v="0"/>
    <n v="1"/>
    <n v="1"/>
    <n v="0"/>
    <n v="0"/>
  </r>
  <r>
    <s v="NSF-000202"/>
    <s v="USR-00100"/>
    <s v="SES-2503-67064"/>
    <d v="2025-03-21T00:00:00"/>
    <s v="North East"/>
    <s v="Sunderland"/>
    <x v="1"/>
    <s v="25-34"/>
    <s v="Female"/>
    <s v="Web"/>
    <s v="Mobile Browser"/>
    <s v="3-6 months"/>
    <s v="Free"/>
    <s v="Organic Search"/>
    <x v="1"/>
    <s v="Repeat Use"/>
    <s v="No Experiment"/>
    <s v="Control"/>
    <n v="4"/>
    <n v="4"/>
    <n v="124"/>
    <s v="No"/>
    <x v="0"/>
    <x v="1"/>
    <s v="No Error"/>
    <x v="0"/>
    <n v="169.22"/>
    <n v="0.22"/>
    <n v="0"/>
    <s v="No Support Contact"/>
    <s v="No"/>
    <s v="No Support Contact"/>
    <s v="Not Applicable"/>
    <m/>
    <s v="No drop-off"/>
    <n v="5"/>
    <n v="10"/>
    <n v="43"/>
    <x v="1"/>
    <n v="1"/>
    <n v="1"/>
    <n v="0"/>
    <n v="1"/>
  </r>
  <r>
    <s v="NSF-001095"/>
    <s v="USR-00237"/>
    <s v="SES-2601-45392"/>
    <d v="2026-01-04T00:00:00"/>
    <s v="North West"/>
    <s v="Chester"/>
    <x v="2"/>
    <s v="35-44"/>
    <s v="Female"/>
    <s v="Android"/>
    <s v="Android Phone"/>
    <s v="&lt;3 months"/>
    <s v="Premium"/>
    <s v="Paid Search"/>
    <x v="7"/>
    <s v="Repeat Use"/>
    <s v="Simplified Onboarding"/>
    <s v="Treatment"/>
    <n v="4"/>
    <n v="4"/>
    <n v="74"/>
    <s v="No"/>
    <x v="1"/>
    <x v="1"/>
    <s v="No Error"/>
    <x v="0"/>
    <n v="109.74"/>
    <n v="0.56000000000000005"/>
    <n v="0.37"/>
    <s v="No Support Contact"/>
    <s v="No"/>
    <s v="No Support Contact"/>
    <s v="Not Applicable"/>
    <m/>
    <s v="Too many steps"/>
    <n v="4"/>
    <n v="56"/>
    <n v="10"/>
    <x v="0"/>
    <n v="0"/>
    <n v="1"/>
    <n v="0"/>
    <n v="0"/>
  </r>
  <r>
    <s v="NSF-001403"/>
    <s v="USR-00195"/>
    <s v="SES-2605-19304"/>
    <d v="2026-05-20T00:00:00"/>
    <s v="South West"/>
    <s v="Gloucester"/>
    <x v="2"/>
    <s v="35-44"/>
    <s v="Male"/>
    <s v="Web"/>
    <s v="Tablet Browser"/>
    <s v="1-2 years"/>
    <s v="Premium"/>
    <s v="Affiliate"/>
    <x v="2"/>
    <s v="First Use"/>
    <s v="No Experiment"/>
    <s v="Control"/>
    <n v="5"/>
    <n v="5"/>
    <n v="124"/>
    <s v="No"/>
    <x v="0"/>
    <x v="1"/>
    <s v="No Error"/>
    <x v="0"/>
    <n v="39.58"/>
    <n v="0"/>
    <n v="0.37"/>
    <s v="No Support Contact"/>
    <s v="No"/>
    <s v="No Support Contact"/>
    <s v="Not Applicable"/>
    <m/>
    <s v="No drop-off"/>
    <n v="4"/>
    <n v="27"/>
    <n v="0"/>
    <x v="0"/>
    <n v="1"/>
    <n v="1"/>
    <n v="0"/>
    <n v="0"/>
  </r>
  <r>
    <s v="NSF-000921"/>
    <s v="USR-00452"/>
    <s v="SES-2511-48087"/>
    <d v="2025-11-15T00:00:00"/>
    <s v="South East"/>
    <s v="Reading"/>
    <x v="0"/>
    <s v="35-44"/>
    <s v="Female"/>
    <s v="Android"/>
    <s v="Android Phone"/>
    <s v="7-12 months"/>
    <s v="Free"/>
    <s v="Paid Search"/>
    <x v="2"/>
    <s v="Reactivated"/>
    <s v="New Cta Copy"/>
    <s v="Treatment"/>
    <n v="5"/>
    <n v="5"/>
    <n v="138"/>
    <s v="No"/>
    <x v="0"/>
    <x v="1"/>
    <s v="No Error"/>
    <x v="0"/>
    <n v="42.56"/>
    <n v="0"/>
    <n v="0"/>
    <s v="Feature Navigation"/>
    <s v="Yes"/>
    <s v="Feature Navigation"/>
    <s v="Resolved"/>
    <n v="28"/>
    <s v="No drop-off"/>
    <n v="3"/>
    <n v="35"/>
    <n v="999"/>
    <x v="0"/>
    <n v="1"/>
    <n v="1"/>
    <n v="0"/>
    <n v="0"/>
  </r>
  <r>
    <s v="NSF-000245"/>
    <s v="USR-00181"/>
    <s v="SES-2503-47759"/>
    <d v="2025-03-21T00:00:00"/>
    <s v="South East"/>
    <s v="Canterbury"/>
    <x v="2"/>
    <s v="45-54"/>
    <s v="Female"/>
    <s v="Web"/>
    <s v="Mobile Browser"/>
    <s v="7-12 months"/>
    <s v="Plus"/>
    <s v="Referral"/>
    <x v="1"/>
    <s v="First Use"/>
    <s v="Simplified Onboarding"/>
    <s v="Control"/>
    <n v="4"/>
    <n v="4"/>
    <n v="117"/>
    <s v="No"/>
    <x v="0"/>
    <x v="1"/>
    <s v="No Error"/>
    <x v="1"/>
    <n v="0"/>
    <n v="0"/>
    <n v="0"/>
    <s v="No Support Contact"/>
    <s v="No"/>
    <s v="No Support Contact"/>
    <s v="Not Applicable"/>
    <m/>
    <s v="No drop-off"/>
    <n v="4"/>
    <n v="37"/>
    <n v="0"/>
    <x v="1"/>
    <n v="1"/>
    <n v="0"/>
    <n v="0"/>
    <n v="1"/>
  </r>
  <r>
    <s v="NSF-000681"/>
    <s v="USR-00674"/>
    <s v="SES-2508-72994"/>
    <d v="2025-08-13T00:00:00"/>
    <s v="Wales"/>
    <s v="Newport"/>
    <x v="5"/>
    <s v="35-44"/>
    <s v="Male"/>
    <s v="Ios"/>
    <s v="Iphone"/>
    <s v="2+ years"/>
    <s v="Premium"/>
    <s v="Organic Search"/>
    <x v="9"/>
    <s v="First Use"/>
    <s v="New Cta Copy"/>
    <s v="Treatment"/>
    <n v="5"/>
    <n v="5"/>
    <n v="93"/>
    <s v="No"/>
    <x v="0"/>
    <x v="1"/>
    <s v="No Error"/>
    <x v="0"/>
    <n v="50.55"/>
    <n v="0"/>
    <n v="0.37"/>
    <s v="No Support Contact"/>
    <s v="No"/>
    <s v="No Support Contact"/>
    <s v="Not Applicable"/>
    <m/>
    <s v="No drop-off"/>
    <n v="5"/>
    <n v="35"/>
    <n v="0"/>
    <x v="1"/>
    <n v="1"/>
    <n v="1"/>
    <n v="0"/>
    <n v="1"/>
  </r>
  <r>
    <s v="NSF-000664"/>
    <s v="USR-00005"/>
    <s v="SES-2508-93129"/>
    <d v="2025-08-09T00:00:00"/>
    <s v="South West"/>
    <s v="Gloucester"/>
    <x v="3"/>
    <s v="25-34"/>
    <s v="Female"/>
    <s v="Ios"/>
    <s v="Iphone"/>
    <s v="3-6 months"/>
    <s v="Free"/>
    <s v="App Store"/>
    <x v="4"/>
    <s v="Repeat Use"/>
    <s v="New Cta Copy"/>
    <s v="Treatment"/>
    <n v="6"/>
    <n v="6"/>
    <n v="186"/>
    <s v="No"/>
    <x v="1"/>
    <x v="1"/>
    <s v="No Error"/>
    <x v="0"/>
    <n v="53.25"/>
    <n v="0"/>
    <n v="0"/>
    <s v="No Support Contact"/>
    <s v="No"/>
    <s v="No Support Contact"/>
    <s v="Not Applicable"/>
    <m/>
    <s v="No drop-off"/>
    <n v="3"/>
    <n v="9"/>
    <n v="1"/>
    <x v="1"/>
    <n v="0"/>
    <n v="1"/>
    <n v="0"/>
    <n v="1"/>
  </r>
  <r>
    <s v="NSF-001382"/>
    <s v="USR-00717"/>
    <s v="SES-2605-53777"/>
    <d v="2026-05-19T00:00:00"/>
    <s v="East Midlands"/>
    <s v="Derby"/>
    <x v="0"/>
    <s v="45-54"/>
    <s v="Male"/>
    <s v="Android"/>
    <s v="Android Phone"/>
    <s v="2+ years"/>
    <s v="Premium"/>
    <s v="Paid Search"/>
    <x v="3"/>
    <s v="Repeat Use"/>
    <s v="Fee Transparency Panel"/>
    <s v="Treatment"/>
    <n v="6"/>
    <s v="6 steps"/>
    <n v="171"/>
    <s v="No"/>
    <x v="1"/>
    <x v="1"/>
    <s v="No Error"/>
    <x v="1"/>
    <n v="0"/>
    <n v="0"/>
    <n v="0"/>
    <s v="No Support Contact"/>
    <s v="No"/>
    <s v="No Support Contact"/>
    <s v="Not Applicable"/>
    <m/>
    <s v="No drop-off"/>
    <n v="3"/>
    <n v="-5"/>
    <n v="25"/>
    <x v="1"/>
    <n v="0"/>
    <n v="0"/>
    <n v="0"/>
    <n v="1"/>
  </r>
  <r>
    <s v="NSF-001023"/>
    <s v="USR-00635"/>
    <s v="SES-2512-15499"/>
    <d v="2025-12-25T00:00:00"/>
    <s v="East Midlands"/>
    <s v="Lincoln"/>
    <x v="0"/>
    <s v="25-34"/>
    <s v="Female"/>
    <s v="Web"/>
    <s v="Mobile Browser"/>
    <s v="7-12 months"/>
    <s v="Free"/>
    <s v="App Store"/>
    <x v="2"/>
    <s v="Trial/Exploration"/>
    <s v="No Experiment"/>
    <s v="Control"/>
    <n v="5"/>
    <n v="4"/>
    <n v="178"/>
    <s v="Yes"/>
    <x v="0"/>
    <x v="0"/>
    <s v="Round-Up Not Activated"/>
    <x v="0"/>
    <n v="118.08"/>
    <n v="0"/>
    <n v="0"/>
    <s v="No Support Contact"/>
    <s v="No"/>
    <s v="No Support Contact"/>
    <s v="Not Applicable"/>
    <m/>
    <s v="No drop-off"/>
    <n v="2"/>
    <n v="13"/>
    <n v="27"/>
    <x v="0"/>
    <n v="1"/>
    <n v="1"/>
    <n v="1"/>
    <n v="0"/>
  </r>
  <r>
    <s v="NSF-001384"/>
    <s v="USR-00424"/>
    <s v="SES-2605-69521"/>
    <d v="2026-05-24T00:00:00"/>
    <s v="Wales"/>
    <s v="Swansea"/>
    <x v="1"/>
    <s v="45-54"/>
    <s v="Female"/>
    <s v="Ios"/>
    <s v="Iphone"/>
    <s v="7-12 months"/>
    <s v="Free"/>
    <s v="Referral"/>
    <x v="4"/>
    <s v="First Use"/>
    <s v="Fee Transparency Panel"/>
    <s v="Treatment"/>
    <n v="6"/>
    <n v="6"/>
    <n v="166"/>
    <s v="No"/>
    <x v="0"/>
    <x v="0"/>
    <s v="Insight Unclear"/>
    <x v="0"/>
    <n v="0"/>
    <n v="0"/>
    <n v="0"/>
    <s v="No Support Contact"/>
    <s v="No"/>
    <s v="No Support Contact"/>
    <s v="Not Applicable"/>
    <m/>
    <s v="No drop-off"/>
    <n v="4"/>
    <n v="-42"/>
    <n v="0"/>
    <x v="1"/>
    <n v="1"/>
    <n v="1"/>
    <n v="1"/>
    <n v="1"/>
  </r>
  <r>
    <s v="NSF-001282"/>
    <s v="USR-00544"/>
    <s v="SES-2603-84325"/>
    <d v="2026-03-31T00:00:00"/>
    <s v="East England"/>
    <s v="Cambridge"/>
    <x v="2"/>
    <s v="25-34"/>
    <s v="Female"/>
    <s v="Android"/>
    <s v="Android Phone"/>
    <s v="3-6 months"/>
    <s v="Premium"/>
    <s v="Referral"/>
    <x v="7"/>
    <s v="Repeat Use"/>
    <s v="No Experiment"/>
    <s v="Control"/>
    <n v="4"/>
    <n v="4"/>
    <n v="118"/>
    <s v="No"/>
    <x v="0"/>
    <x v="0"/>
    <s v="Card Details Not Displayed"/>
    <x v="0"/>
    <n v="34.53"/>
    <n v="0.44"/>
    <n v="0.37"/>
    <s v="No Support Contact"/>
    <s v="No"/>
    <s v="No Support Contact"/>
    <s v="Not Applicable"/>
    <m/>
    <s v="No drop-off"/>
    <n v="3"/>
    <n v="-1"/>
    <n v="49"/>
    <x v="1"/>
    <n v="1"/>
    <n v="1"/>
    <n v="1"/>
    <n v="1"/>
  </r>
  <r>
    <s v="NSF-000818"/>
    <s v="USR-00363"/>
    <s v="SES-2509-75259"/>
    <d v="2025-09-13T00:00:00"/>
    <s v="South West"/>
    <s v="BRISTOL"/>
    <x v="0"/>
    <s v="25-34"/>
    <s v="Female"/>
    <s v="Android"/>
    <s v="Android Phone"/>
    <s v="7-12 months"/>
    <s v="Basic"/>
    <s v="Paid Social"/>
    <x v="1"/>
    <s v="First Use"/>
    <s v="No Experiment"/>
    <s v="Control"/>
    <n v="4"/>
    <s v="3 steps"/>
    <n v="164"/>
    <s v="Yes"/>
    <x v="1"/>
    <x v="1"/>
    <s v="No Error"/>
    <x v="0"/>
    <n v="167.95"/>
    <n v="0.22"/>
    <n v="0"/>
    <s v="Transaction Failure"/>
    <s v="Yes"/>
    <s v="Transaction Failure"/>
    <s v="Resolved"/>
    <n v="47"/>
    <s v="Too many steps"/>
    <n v="4"/>
    <n v="23"/>
    <n v="0"/>
    <x v="0"/>
    <n v="0"/>
    <n v="1"/>
    <n v="0"/>
    <n v="0"/>
  </r>
  <r>
    <s v="NSF-000073"/>
    <s v="USR-00592"/>
    <s v="SES-2501-32597"/>
    <d v="2025-01-24T00:00:00"/>
    <s v="East Midlands"/>
    <s v="Nottingham"/>
    <x v="2"/>
    <s v="65+"/>
    <s v="Female"/>
    <s v="Web"/>
    <s v="Desktop"/>
    <s v="&lt;3 months"/>
    <s v="Free"/>
    <s v="Paid Search"/>
    <x v="7"/>
    <s v="First Use"/>
    <s v="No Experiment"/>
    <s v="Control"/>
    <n v="4"/>
    <n v="4"/>
    <n v="100"/>
    <s v="No"/>
    <x v="0"/>
    <x v="1"/>
    <s v="No Error"/>
    <x v="0"/>
    <n v="1.97"/>
    <n v="0.45"/>
    <n v="0"/>
    <s v="No Support Contact"/>
    <s v="No"/>
    <s v="No Support Contact"/>
    <s v="Not Applicable"/>
    <m/>
    <s v="No drop-off"/>
    <n v="4"/>
    <n v="58"/>
    <n v="0"/>
    <x v="1"/>
    <n v="1"/>
    <n v="1"/>
    <n v="0"/>
    <n v="1"/>
  </r>
  <r>
    <s v="NSF-001072"/>
    <s v="USR-00103"/>
    <s v="SES-2601-94163"/>
    <d v="2026-01-15T00:00:00"/>
    <s v="North West"/>
    <s v="Chester"/>
    <x v="2"/>
    <s v="55-64"/>
    <s v="Female"/>
    <s v="Ios"/>
    <s v="Iphone"/>
    <s v="1-2 years"/>
    <s v="Plus"/>
    <s v="Paid Social"/>
    <x v="4"/>
    <s v="Repeat Use"/>
    <s v="No Experiment"/>
    <s v="Control"/>
    <n v="6"/>
    <n v="5"/>
    <n v="207"/>
    <s v="Yes"/>
    <x v="0"/>
    <x v="1"/>
    <s v="No Error"/>
    <x v="0"/>
    <n v="59.42"/>
    <n v="0"/>
    <n v="0.17"/>
    <s v="No Support Contact"/>
    <s v="No"/>
    <s v="No Support Contact"/>
    <s v="Not Applicable"/>
    <m/>
    <s v="No drop-off"/>
    <n v="2"/>
    <n v="-30"/>
    <n v="71"/>
    <x v="0"/>
    <n v="1"/>
    <n v="1"/>
    <n v="0"/>
    <n v="0"/>
  </r>
  <r>
    <s v="NSF-001287"/>
    <s v="USR-00638"/>
    <s v="SES-2603-27247"/>
    <d v="2026-03-19T00:00:00"/>
    <s v="London"/>
    <s v="Croydon"/>
    <x v="2"/>
    <s v="55-64"/>
    <s v="Male"/>
    <s v="Ios"/>
    <s v="Iphone"/>
    <s v="1-2 years"/>
    <s v="Free"/>
    <s v="Referral"/>
    <x v="2"/>
    <s v="Repeat Use"/>
    <s v="Contextual Help"/>
    <s v="Treatment"/>
    <n v="5"/>
    <n v="5"/>
    <n v="113"/>
    <s v="No"/>
    <x v="0"/>
    <x v="1"/>
    <s v="No Error"/>
    <x v="0"/>
    <n v="141.27000000000001"/>
    <n v="0"/>
    <n v="0"/>
    <s v="No Support Contact"/>
    <s v="No"/>
    <s v="No Support Contact"/>
    <s v="Not Applicable"/>
    <m/>
    <s v="No drop-off"/>
    <n v="5"/>
    <n v="4"/>
    <n v="43"/>
    <x v="1"/>
    <n v="1"/>
    <n v="1"/>
    <n v="0"/>
    <n v="1"/>
  </r>
  <r>
    <s v="NSF-001011"/>
    <s v="USR-00101"/>
    <s v="SES-2512-64553"/>
    <d v="2025-12-01T00:00:00"/>
    <s v="Northern Ireland"/>
    <s v="Lisburn"/>
    <x v="0"/>
    <s v="25-34"/>
    <s v="Female"/>
    <s v="Ios"/>
    <s v="Iphone"/>
    <s v="1-2 years"/>
    <s v="Free"/>
    <s v="Referral"/>
    <x v="1"/>
    <s v="Repeat Use"/>
    <s v="No Experiment"/>
    <s v="Control"/>
    <n v="4"/>
    <n v="3"/>
    <n v="162"/>
    <s v="Yes"/>
    <x v="0"/>
    <x v="1"/>
    <s v="No Error"/>
    <x v="0"/>
    <n v="54.42"/>
    <n v="0.18"/>
    <n v="0"/>
    <s v="No Support Contact"/>
    <s v="No"/>
    <s v="No Support Contact"/>
    <s v="Not Applicable"/>
    <m/>
    <s v="No drop-off"/>
    <n v="3"/>
    <n v="7"/>
    <n v="61"/>
    <x v="1"/>
    <n v="1"/>
    <n v="1"/>
    <n v="0"/>
    <n v="1"/>
  </r>
  <r>
    <s v="NSF-000006"/>
    <s v="USR-00853"/>
    <s v="SES-2501-53433"/>
    <d v="2025-01-28T00:00:00"/>
    <s v="South East"/>
    <s v="Oxford"/>
    <x v="2"/>
    <s v="35-44"/>
    <s v="Female"/>
    <s v="Web"/>
    <s v="Desktop"/>
    <s v="7-12 months"/>
    <s v="Free"/>
    <s v="Paid Search"/>
    <x v="0"/>
    <s v="Reactivated"/>
    <s v="Simplified Onboarding"/>
    <s v="Control"/>
    <n v="7"/>
    <n v="7"/>
    <n v="128"/>
    <s v="No"/>
    <x v="0"/>
    <x v="1"/>
    <s v="No Error"/>
    <x v="0"/>
    <n v="142.03"/>
    <n v="0"/>
    <n v="0"/>
    <s v="No Support Contact"/>
    <s v="No"/>
    <s v="No Support Contact"/>
    <s v="Not Applicable"/>
    <m/>
    <s v="No drop-off"/>
    <n v="3"/>
    <n v="19"/>
    <n v="24"/>
    <x v="1"/>
    <n v="1"/>
    <n v="1"/>
    <n v="0"/>
    <n v="1"/>
  </r>
  <r>
    <s v="NSF-000103"/>
    <s v="USR-00779"/>
    <s v="SES-2502-72876"/>
    <d v="2025-02-21T00:00:00"/>
    <s v="Northern Ireland"/>
    <s v="Derry"/>
    <x v="2"/>
    <s v="25-34"/>
    <s v="Male"/>
    <s v="Ios"/>
    <s v="Iphone"/>
    <s v="&lt;3 months"/>
    <s v="Free"/>
    <s v="Organic Search"/>
    <x v="9"/>
    <s v="Trial/Exploration"/>
    <s v="New Cta Copy"/>
    <s v="Control"/>
    <n v="5"/>
    <s v="5 steps"/>
    <n v="160"/>
    <s v="No"/>
    <x v="0"/>
    <x v="0"/>
    <s v="Payment Schedule Mismatch"/>
    <x v="0"/>
    <n v="147.27000000000001"/>
    <n v="0"/>
    <n v="0"/>
    <s v="No Support Contact"/>
    <s v="No"/>
    <s v="No Support Contact"/>
    <s v="Not Applicable"/>
    <m/>
    <s v="No drop-off"/>
    <n v="4"/>
    <n v="4"/>
    <n v="7"/>
    <x v="1"/>
    <n v="1"/>
    <n v="1"/>
    <n v="1"/>
    <n v="1"/>
  </r>
  <r>
    <s v="NSF-001022"/>
    <s v="USR-00418"/>
    <s v="SES-2512-11201"/>
    <d v="2025-12-21T00:00:00"/>
    <s v="Yorkshire &amp; Humber"/>
    <s v="Hull"/>
    <x v="4"/>
    <s v="35-44"/>
    <s v="Male"/>
    <s v="Ios"/>
    <s v="Iphone"/>
    <s v="7-12 months"/>
    <s v="Plus"/>
    <s v="Organic Search"/>
    <x v="0"/>
    <s v="Trial/Exploration"/>
    <s v="No Experiment"/>
    <s v="Control"/>
    <n v="7"/>
    <n v="6"/>
    <n v="351"/>
    <s v="Yes"/>
    <x v="1"/>
    <x v="1"/>
    <s v="No Error"/>
    <x v="1"/>
    <n v="0"/>
    <n v="0"/>
    <n v="0"/>
    <s v="No Support Contact"/>
    <s v="No"/>
    <s v="No Support Contact"/>
    <s v="Not Applicable"/>
    <m/>
    <s v="Too many steps"/>
    <n v="3"/>
    <n v="-30"/>
    <n v="31"/>
    <x v="1"/>
    <n v="0"/>
    <n v="0"/>
    <n v="0"/>
    <n v="1"/>
  </r>
  <r>
    <s v="NSF-001027"/>
    <s v="USR-00725"/>
    <s v="SES-2512-58559"/>
    <d v="2025-12-02T00:00:00"/>
    <s v="Scotland"/>
    <s v="Dundee"/>
    <x v="5"/>
    <s v="18-24"/>
    <s v="Female"/>
    <s v="Android"/>
    <s v="Android Phone"/>
    <s v="3-6 months"/>
    <s v="Plus"/>
    <s v="Referral"/>
    <x v="1"/>
    <s v="Repeat Use"/>
    <s v="No Experiment"/>
    <s v="Control"/>
    <n v="4"/>
    <s v="N/A"/>
    <n v="117"/>
    <s v="No"/>
    <x v="1"/>
    <x v="1"/>
    <s v="No Error"/>
    <x v="1"/>
    <n v="0"/>
    <n v="0"/>
    <n v="0"/>
    <s v="No Support Contact"/>
    <s v="No"/>
    <s v="No Support Contact"/>
    <s v="Not Applicable"/>
    <m/>
    <s v="No drop-off"/>
    <n v="5"/>
    <n v="2"/>
    <n v="54"/>
    <x v="1"/>
    <n v="0"/>
    <n v="0"/>
    <n v="0"/>
    <n v="1"/>
  </r>
  <r>
    <s v="NSF-000563"/>
    <s v="USR-00722"/>
    <s v="SES-2506-25577"/>
    <d v="2025-12-07T00:00:00"/>
    <s v="Wales"/>
    <s v="Cardiff"/>
    <x v="3"/>
    <s v="35-44"/>
    <s v="Female"/>
    <s v="Android"/>
    <s v="Android Phone"/>
    <s v="1-2 years"/>
    <s v="Premium"/>
    <s v="Paid Social"/>
    <x v="8"/>
    <s v="Repeat Use"/>
    <s v="New Cta Copy"/>
    <s v="Treatment"/>
    <n v="5"/>
    <n v="5"/>
    <n v="130"/>
    <s v="No"/>
    <x v="0"/>
    <x v="1"/>
    <s v="No Error"/>
    <x v="0"/>
    <n v="44.83"/>
    <n v="0"/>
    <n v="0.37"/>
    <s v="No Support Contact"/>
    <s v="No"/>
    <s v="No Support Contact"/>
    <s v="Not Applicable"/>
    <m/>
    <s v="No drop-off"/>
    <n v="5"/>
    <n v="42"/>
    <n v="1"/>
    <x v="1"/>
    <n v="1"/>
    <n v="1"/>
    <n v="0"/>
    <n v="1"/>
  </r>
  <r>
    <s v="NSF-000932"/>
    <s v="USR-00565"/>
    <s v="SES-2511-55918"/>
    <d v="2025-11-17T00:00:00"/>
    <s v="Wales"/>
    <s v="Cardiff"/>
    <x v="3"/>
    <s v="25-34"/>
    <s v="Female"/>
    <s v="Ios"/>
    <s v="Iphone"/>
    <s v="&lt;3 months"/>
    <s v="Plus"/>
    <s v="Organic Search"/>
    <x v="0"/>
    <s v="First Use"/>
    <s v="No Experiment"/>
    <s v="Control"/>
    <n v="7"/>
    <n v="5"/>
    <n v="448"/>
    <s v="Yes"/>
    <x v="1"/>
    <x v="0"/>
    <s v="Bank Feed Mismatch"/>
    <x v="1"/>
    <n v="0"/>
    <n v="0"/>
    <n v="0"/>
    <s v="Feature Navigation"/>
    <s v="Yes"/>
    <s v="Feature Navigation"/>
    <s v="Unresolved"/>
    <n v="8"/>
    <s v="Too many steps"/>
    <n v="2"/>
    <n v="-35"/>
    <n v="0"/>
    <x v="0"/>
    <n v="0"/>
    <n v="0"/>
    <n v="1"/>
    <n v="0"/>
  </r>
  <r>
    <s v="NSF-000640"/>
    <s v="USR-00060"/>
    <s v="SES-2507-16614"/>
    <d v="2025-07-24T00:00:00"/>
    <s v="Yorkshire &amp; Humber"/>
    <s v="York"/>
    <x v="2"/>
    <s v="18-24"/>
    <s v="Female"/>
    <s v="Android"/>
    <s v="Android Phone"/>
    <s v="&lt;3 months"/>
    <s v="Free"/>
    <s v="Referral"/>
    <x v="7"/>
    <s v="Repeat Use"/>
    <s v="No Experiment"/>
    <s v="Control"/>
    <s v="N/A"/>
    <n v="4"/>
    <n v="116"/>
    <s v="No"/>
    <x v="0"/>
    <x v="1"/>
    <s v="No Error"/>
    <x v="0"/>
    <n v="17.829999999999998"/>
    <n v="0.56999999999999995"/>
    <n v="0"/>
    <s v="Feature Navigation"/>
    <s v="Yes"/>
    <s v="Feature Navigation"/>
    <s v="Resolved"/>
    <n v="33"/>
    <s v="No drop-off"/>
    <n v="4"/>
    <n v="28"/>
    <n v="25"/>
    <x v="1"/>
    <n v="1"/>
    <n v="1"/>
    <n v="0"/>
    <n v="1"/>
  </r>
  <r>
    <s v="NSF-001062"/>
    <s v="USR-00332"/>
    <s v="SES-2512-81294"/>
    <d v="2025-12-03T00:00:00"/>
    <s v="East Midlands"/>
    <s v="Lincoln"/>
    <x v="0"/>
    <s v="25-34"/>
    <s v="Female"/>
    <s v="Ios"/>
    <s v="Iphone"/>
    <s v="7-12 months"/>
    <s v="Free"/>
    <s v="Referral"/>
    <x v="1"/>
    <s v="First Use"/>
    <s v="No Experiment"/>
    <s v="Control"/>
    <s v="4 steps"/>
    <n v="3"/>
    <n v="125"/>
    <s v="Yes"/>
    <x v="0"/>
    <x v="1"/>
    <s v="No Error"/>
    <x v="2"/>
    <n v="78.23"/>
    <n v="0.22"/>
    <n v="0"/>
    <s v="No Support Contact"/>
    <s v="No"/>
    <s v="No Support Contact"/>
    <s v="Not Applicable"/>
    <m/>
    <s v="No drop-off"/>
    <n v="4"/>
    <n v="1"/>
    <n v="0"/>
    <x v="1"/>
    <n v="1"/>
    <n v="0"/>
    <n v="0"/>
    <n v="1"/>
  </r>
  <r>
    <s v="NSF-000587"/>
    <s v="USR-00782"/>
    <s v="SES-2507-21380"/>
    <d v="2025-07-10T00:00:00"/>
    <s v="South East"/>
    <s v="Reading"/>
    <x v="5"/>
    <s v="45-54"/>
    <s v="Male"/>
    <s v="Android"/>
    <s v="Android Phone"/>
    <s v="3-6 months"/>
    <s v="Free"/>
    <s v="Paid Search"/>
    <x v="8"/>
    <s v="Repeat Use"/>
    <s v="No Experiment"/>
    <s v="Control"/>
    <n v="5"/>
    <n v="5"/>
    <n v="116"/>
    <s v="No"/>
    <x v="1"/>
    <x v="1"/>
    <s v="No Error"/>
    <x v="1"/>
    <n v="0"/>
    <n v="0"/>
    <n v="0"/>
    <s v="No Support Contact"/>
    <s v="No"/>
    <s v="No Support Contact"/>
    <s v="Not Applicable"/>
    <m/>
    <s v="No drop-off"/>
    <n v="4"/>
    <n v="32"/>
    <n v="33"/>
    <x v="1"/>
    <n v="0"/>
    <n v="0"/>
    <n v="0"/>
    <n v="1"/>
  </r>
  <r>
    <s v="NSF-001144"/>
    <s v="USR-00579"/>
    <s v="SES-2601-40522"/>
    <d v="2026-01-14T00:00:00"/>
    <s v="East Midlands"/>
    <s v="Derby"/>
    <x v="7"/>
    <s v="45-54"/>
    <s v="Female"/>
    <s v="Android"/>
    <s v="Android Phone"/>
    <s v="3-6 months"/>
    <s v="Premium"/>
    <s v="Paid Search"/>
    <x v="0"/>
    <s v="Repeat Use"/>
    <s v="Simplified Onboarding"/>
    <s v="Control"/>
    <n v="7"/>
    <n v="7"/>
    <n v="199"/>
    <s v="No"/>
    <x v="1"/>
    <x v="1"/>
    <s v="No Error"/>
    <x v="1"/>
    <n v="0"/>
    <n v="0"/>
    <n v="0"/>
    <s v="No Support Contact"/>
    <s v="No"/>
    <s v="No Support Contact"/>
    <s v="Not Applicable"/>
    <m/>
    <s v="Technical error"/>
    <n v="4"/>
    <n v="20"/>
    <n v="55"/>
    <x v="1"/>
    <n v="0"/>
    <n v="0"/>
    <n v="0"/>
    <n v="1"/>
  </r>
  <r>
    <s v="NSF-000804"/>
    <s v="USR-00631"/>
    <s v="SES-2509-34661"/>
    <d v="2025-09-20T00:00:00"/>
    <s v="North East"/>
    <s v="Durham"/>
    <x v="0"/>
    <s v="25-34"/>
    <s v="Non-Binary"/>
    <s v="Ios"/>
    <s v="Iphone"/>
    <s v="2+ years"/>
    <s v="Free"/>
    <s v="Paid Search"/>
    <x v="8"/>
    <s v="First Use"/>
    <s v="Fee Transparency Panel"/>
    <s v="Treatment"/>
    <n v="5"/>
    <n v="5"/>
    <n v="92"/>
    <s v="No"/>
    <x v="0"/>
    <x v="1"/>
    <s v="No Error"/>
    <x v="0"/>
    <n v="146.94999999999999"/>
    <n v="0"/>
    <n v="0"/>
    <s v="No Support Contact"/>
    <s v="No"/>
    <s v="No Support Contact"/>
    <s v="Not Applicable"/>
    <m/>
    <s v="No drop-off"/>
    <n v="5"/>
    <n v="58"/>
    <n v="0"/>
    <x v="1"/>
    <n v="1"/>
    <n v="1"/>
    <n v="0"/>
    <n v="1"/>
  </r>
  <r>
    <s v="NSF-000975"/>
    <s v="USR-00660"/>
    <s v="SES-2511-30052"/>
    <d v="2025-11-12T00:00:00"/>
    <s v="East Midlands"/>
    <s v="Lincoln"/>
    <x v="3"/>
    <s v="25-34"/>
    <s v="Male"/>
    <s v="Ios"/>
    <s v="Iphone"/>
    <s v="&lt;3 months"/>
    <s v="Free"/>
    <s v="App Store"/>
    <x v="5"/>
    <s v="Repeat Use"/>
    <s v="Simplified Onboarding"/>
    <s v="Control"/>
    <n v="8"/>
    <n v="7"/>
    <n v="246"/>
    <s v="Yes"/>
    <x v="0"/>
    <x v="1"/>
    <s v="No Error"/>
    <x v="0"/>
    <n v="410.71"/>
    <n v="2.67"/>
    <n v="0"/>
    <s v="Feature Navigation"/>
    <s v="Yes"/>
    <s v="Feature Navigation"/>
    <s v="Resolved"/>
    <n v="41"/>
    <s v="No drop-off"/>
    <n v="3"/>
    <n v="19"/>
    <n v="1"/>
    <x v="0"/>
    <n v="1"/>
    <n v="1"/>
    <n v="0"/>
    <n v="0"/>
  </r>
  <r>
    <s v="NSF-001424"/>
    <s v="USR-00734"/>
    <s v="SES-2606-29307"/>
    <d v="2026-06-21T00:00:00"/>
    <s v="Northern Ireland"/>
    <s v="Derry"/>
    <x v="2"/>
    <s v="35-44"/>
    <s v="Female"/>
    <s v="Android"/>
    <s v="Android Phone"/>
    <s v="&lt;3 months"/>
    <s v="Free"/>
    <s v="Organic Search"/>
    <x v="9"/>
    <s v="First Use"/>
    <s v="No Experiment"/>
    <s v="Control"/>
    <n v="5"/>
    <s v="5 steps"/>
    <n v="97"/>
    <s v="No"/>
    <x v="0"/>
    <x v="1"/>
    <s v="No Error"/>
    <x v="0"/>
    <n v="66.069999999999993"/>
    <n v="0"/>
    <n v="0"/>
    <s v="No Support Contact"/>
    <s v="No"/>
    <s v="No Support Contact"/>
    <s v="Not Applicable"/>
    <m/>
    <s v="No drop-off"/>
    <n v="5"/>
    <n v="83"/>
    <n v="0"/>
    <x v="0"/>
    <n v="1"/>
    <n v="1"/>
    <n v="0"/>
    <n v="0"/>
  </r>
  <r>
    <s v="NSF-000865"/>
    <s v="USR-00366"/>
    <s v="SES-2510-39522"/>
    <d v="2025-10-08T00:00:00"/>
    <s v="Wales"/>
    <s v="Wrexham"/>
    <x v="7"/>
    <s v="18-24"/>
    <s v="Male"/>
    <s v="Android"/>
    <s v="Android Phone"/>
    <s v="&lt;3 months"/>
    <s v="Free"/>
    <s v="Paid Search"/>
    <x v="1"/>
    <s v="Repeat Use"/>
    <s v="No Experiment"/>
    <s v="Control"/>
    <n v="4"/>
    <n v="2"/>
    <n v="262"/>
    <s v="Yes"/>
    <x v="1"/>
    <x v="0"/>
    <s v="Recipient Validation Error"/>
    <x v="0"/>
    <n v="116.54"/>
    <n v="0.19"/>
    <n v="0"/>
    <s v="No Support Contact"/>
    <s v="No"/>
    <s v="No Support Contact"/>
    <s v="Not Applicable"/>
    <m/>
    <s v="Too many steps"/>
    <n v="2"/>
    <n v="-62"/>
    <n v="36"/>
    <x v="1"/>
    <n v="0"/>
    <n v="1"/>
    <n v="1"/>
    <n v="1"/>
  </r>
  <r>
    <s v="NSF-000567"/>
    <s v="USR-00800"/>
    <s v="SES-2506-35162"/>
    <d v="2025-06-23T00:00:00"/>
    <s v="North East"/>
    <s v="Newcastle"/>
    <x v="2"/>
    <s v="25-34"/>
    <s v="Male"/>
    <s v="Ios"/>
    <s v="Iphone"/>
    <s v="3-6 months"/>
    <s v="Plus"/>
    <s v="Paid Search"/>
    <x v="1"/>
    <s v="Repeat Use"/>
    <s v="No Experiment"/>
    <s v="Control"/>
    <n v="4"/>
    <n v="4"/>
    <n v="83"/>
    <s v="No"/>
    <x v="0"/>
    <x v="1"/>
    <s v="No Error"/>
    <x v="0"/>
    <n v="184.94"/>
    <n v="0.22"/>
    <n v="0.17"/>
    <s v="No Support Contact"/>
    <s v="No"/>
    <s v="No Support Contact"/>
    <s v="Not Applicable"/>
    <m/>
    <s v="No drop-off"/>
    <n v="3"/>
    <n v="17"/>
    <n v="8"/>
    <x v="0"/>
    <n v="1"/>
    <n v="1"/>
    <n v="0"/>
    <n v="0"/>
  </r>
  <r>
    <s v="NSF-000735"/>
    <s v="USR-00240"/>
    <s v="SES-2508-16263"/>
    <d v="2025-08-19T00:00:00"/>
    <s v="Yorkshire &amp; Humber"/>
    <s v="Leeds"/>
    <x v="2"/>
    <s v="18-24"/>
    <s v="Male"/>
    <s v="Android"/>
    <s v="Android Phone"/>
    <s v="2+ years"/>
    <s v="Free"/>
    <s v="Referral"/>
    <x v="0"/>
    <s v="Reactivated"/>
    <s v="Simplified Onboarding"/>
    <s v="Control"/>
    <s v="7 steps"/>
    <n v="7"/>
    <n v="245"/>
    <s v="No"/>
    <x v="1"/>
    <x v="0"/>
    <s v="Category Setup Confusion"/>
    <x v="1"/>
    <n v="0"/>
    <n v="0"/>
    <n v="0"/>
    <s v="Transaction Failure"/>
    <s v="Yes"/>
    <s v="Transaction Failure"/>
    <s v="Unresolved"/>
    <n v="11"/>
    <s v="Verification took too long"/>
    <n v="2"/>
    <n v="-21"/>
    <n v="23"/>
    <x v="0"/>
    <n v="0"/>
    <n v="0"/>
    <n v="1"/>
    <n v="0"/>
  </r>
  <r>
    <s v="NSF-000574"/>
    <s v="USR-00441"/>
    <s v="SES-2507-62022"/>
    <d v="2025-07-31T00:00:00"/>
    <s v="London"/>
    <s v="Hackney"/>
    <x v="0"/>
    <s v="25-34"/>
    <s v="Female"/>
    <s v="Android"/>
    <s v="Android Phone"/>
    <s v="1-2 years"/>
    <s v="Basic"/>
    <s v="Referral"/>
    <x v="1"/>
    <s v="Repeat Use"/>
    <s v="No Experiment"/>
    <s v="Control"/>
    <n v="4"/>
    <n v="4"/>
    <n v="106"/>
    <s v="No"/>
    <x v="0"/>
    <x v="1"/>
    <s v="No Error"/>
    <x v="0"/>
    <n v="112.79"/>
    <n v="0.2"/>
    <n v="0"/>
    <s v="No Support Contact"/>
    <s v="No"/>
    <s v="No Support Contact"/>
    <s v="Not Applicable"/>
    <m/>
    <s v="No drop-off"/>
    <n v="4"/>
    <n v="23"/>
    <n v="2"/>
    <x v="0"/>
    <n v="1"/>
    <n v="1"/>
    <n v="0"/>
    <n v="0"/>
  </r>
  <r>
    <s v="NSF-000504"/>
    <s v="USR-00174"/>
    <s v="SES-2506-92851"/>
    <d v="2025-06-15T00:00:00"/>
    <s v="Yorkshire &amp; Humber"/>
    <s v="Sheffield"/>
    <x v="0"/>
    <s v="25-34"/>
    <s v="Male"/>
    <s v="Android"/>
    <s v="Android Phone"/>
    <s v="7-12 months"/>
    <s v="Free"/>
    <s v="Employer Partnership"/>
    <x v="9"/>
    <s v="First Use"/>
    <s v="No Experiment"/>
    <s v="Control"/>
    <n v="5"/>
    <n v="3"/>
    <n v="235"/>
    <s v="Yes"/>
    <x v="1"/>
    <x v="1"/>
    <s v="No Error"/>
    <x v="0"/>
    <n v="0"/>
    <n v="0"/>
    <n v="0"/>
    <s v="No Support Contact"/>
    <s v="No"/>
    <s v="No Support Contact"/>
    <s v="Not Applicable"/>
    <m/>
    <s v="Instructions unclear"/>
    <n v="2"/>
    <n v="-41"/>
    <n v="0"/>
    <x v="1"/>
    <n v="0"/>
    <n v="1"/>
    <n v="0"/>
    <n v="1"/>
  </r>
  <r>
    <s v="NSF-001107"/>
    <s v="USR-00415"/>
    <s v="SES-2601-18202"/>
    <d v="2026-01-16T00:00:00"/>
    <s v="South East"/>
    <s v="Oxford"/>
    <x v="3"/>
    <s v="18-24"/>
    <s v="Female"/>
    <s v="Android"/>
    <s v="Android Phone"/>
    <s v="3-6 months"/>
    <s v="Free"/>
    <s v="Paid Social"/>
    <x v="2"/>
    <s v="Repeat Use"/>
    <s v="No Experiment"/>
    <s v="Control"/>
    <n v="5"/>
    <n v="5"/>
    <n v="177"/>
    <s v="No"/>
    <x v="1"/>
    <x v="0"/>
    <s v="Funding Source Unclear"/>
    <x v="1"/>
    <n v="0"/>
    <n v="0"/>
    <n v="0"/>
    <s v="Feature Navigation"/>
    <s v="Yes"/>
    <s v="Feature Navigation"/>
    <s v="Resolved"/>
    <n v="50"/>
    <s v="No drop-off"/>
    <n v="2"/>
    <n v="19"/>
    <n v="25"/>
    <x v="0"/>
    <n v="0"/>
    <n v="0"/>
    <n v="1"/>
    <n v="0"/>
  </r>
  <r>
    <s v="NSF-000734"/>
    <s v="USR-00412"/>
    <s v="SES-2508-92849"/>
    <d v="2025-08-24T00:00:00"/>
    <s v="Northern Ireland"/>
    <s v="Derry"/>
    <x v="2"/>
    <s v="18-24"/>
    <s v="Female"/>
    <s v="Ios"/>
    <s v="Iphone"/>
    <s v="3-6 months"/>
    <s v="Plus"/>
    <s v="Paid Social"/>
    <x v="10"/>
    <s v="Repeat Use"/>
    <s v="Simplified Onboarding"/>
    <s v="Treatment"/>
    <n v="9"/>
    <n v="6"/>
    <n v="337"/>
    <s v="Yes"/>
    <x v="1"/>
    <x v="1"/>
    <s v="No Error"/>
    <x v="1"/>
    <n v="0"/>
    <n v="0"/>
    <n v="0"/>
    <s v="Feature Navigation"/>
    <s v="Yes"/>
    <s v="Feature Navigation"/>
    <s v="Resolved"/>
    <n v="14"/>
    <s v="Instructions unclear"/>
    <n v="2"/>
    <n v="-46"/>
    <n v="21"/>
    <x v="0"/>
    <n v="0"/>
    <n v="0"/>
    <n v="0"/>
    <n v="0"/>
  </r>
  <r>
    <s v="NSF-000658"/>
    <s v="USR-00466"/>
    <s v="SES-2507-63380"/>
    <d v="2025-01-07T00:00:00"/>
    <s v="Yorkshire &amp; Humber"/>
    <s v="Hull"/>
    <x v="0"/>
    <s v="65+"/>
    <s v="Female"/>
    <s v="Android"/>
    <s v="Android Phone"/>
    <s v="1-2 years"/>
    <s v="Plus"/>
    <s v="Paid Social"/>
    <x v="10"/>
    <s v="First Use"/>
    <s v="Contextual Help"/>
    <s v="Treatment"/>
    <s v="9 steps"/>
    <n v="8"/>
    <n v="475"/>
    <s v="Yes"/>
    <x v="1"/>
    <x v="0"/>
    <s v="Eligibility Unclear"/>
    <x v="1"/>
    <n v="0"/>
    <n v="0"/>
    <n v="0"/>
    <s v="No Support Contact"/>
    <s v="No"/>
    <s v="No Support Contact"/>
    <s v="Not Applicable"/>
    <m/>
    <s v="Too many steps"/>
    <n v="1"/>
    <n v="-17"/>
    <s v="0 days"/>
    <x v="0"/>
    <n v="0"/>
    <n v="0"/>
    <n v="1"/>
    <n v="0"/>
  </r>
  <r>
    <s v="NSF-000798"/>
    <s v="USR-00316"/>
    <s v="SES-2509-18207"/>
    <d v="2025-09-19T00:00:00"/>
    <s v="Scotland"/>
    <s v="Edinburgh"/>
    <x v="0"/>
    <s v="25-34"/>
    <s v="Male"/>
    <s v="Android"/>
    <s v="Android Phone"/>
    <s v="7-12 months"/>
    <s v="Plus"/>
    <s v="Paid Search"/>
    <x v="1"/>
    <s v="Reactivated"/>
    <s v="No Experiment"/>
    <s v="Control"/>
    <n v="4"/>
    <n v="4"/>
    <n v="92"/>
    <s v="No"/>
    <x v="0"/>
    <x v="1"/>
    <s v="No Error"/>
    <x v="0"/>
    <n v="42.9"/>
    <n v="0.21"/>
    <n v="0.17"/>
    <s v="No Support Contact"/>
    <s v="No"/>
    <s v="No Support Contact"/>
    <s v="Not Applicable"/>
    <m/>
    <s v="No drop-off"/>
    <n v="4"/>
    <n v="-18"/>
    <n v="48"/>
    <x v="1"/>
    <n v="1"/>
    <n v="1"/>
    <n v="0"/>
    <n v="1"/>
  </r>
  <r>
    <s v="NSF-000904"/>
    <s v="USR-00829"/>
    <s v="SES-2510-87309"/>
    <d v="2025-10-30T00:00:00"/>
    <s v="North West"/>
    <s v="Preston"/>
    <x v="5"/>
    <s v="55-64"/>
    <s v="Male"/>
    <s v="Ios"/>
    <s v="Iphone"/>
    <s v="7-12 months"/>
    <s v="Free"/>
    <s v="Paid Social"/>
    <x v="2"/>
    <s v="Reactivated"/>
    <s v="New Cta Copy"/>
    <s v="Control"/>
    <n v="5"/>
    <n v="5"/>
    <n v="112"/>
    <s v="No"/>
    <x v="0"/>
    <x v="1"/>
    <s v="No Error"/>
    <x v="0"/>
    <n v="54.66"/>
    <n v="0"/>
    <n v="0"/>
    <s v="No Support Contact"/>
    <s v="No"/>
    <s v="No Support Contact"/>
    <s v="Not Applicable"/>
    <m/>
    <s v="No drop-off"/>
    <n v="5"/>
    <n v="0"/>
    <n v="15"/>
    <x v="1"/>
    <n v="1"/>
    <n v="1"/>
    <n v="0"/>
    <n v="1"/>
  </r>
  <r>
    <s v="NSF-001216"/>
    <s v="USR-00540"/>
    <s v="SES-2602-70683"/>
    <d v="2026-02-19T00:00:00"/>
    <s v="South East"/>
    <s v="Reading"/>
    <x v="3"/>
    <s v="25-34"/>
    <s v="Male"/>
    <s v="Ios"/>
    <s v="Iphone"/>
    <s v="1-2 years"/>
    <s v="Free"/>
    <s v="Organic Search"/>
    <x v="1"/>
    <s v="Trial/Exploration"/>
    <s v="No Experiment"/>
    <s v="Control"/>
    <n v="4"/>
    <n v="2"/>
    <n v="127"/>
    <s v="Yes"/>
    <x v="0"/>
    <x v="1"/>
    <s v="No Error"/>
    <x v="0"/>
    <n v="173.11"/>
    <n v="0.22"/>
    <n v="0"/>
    <s v="No Support Contact"/>
    <s v="No"/>
    <s v="No Support Contact"/>
    <s v="Not Applicable"/>
    <m/>
    <s v="No drop-off"/>
    <n v="4"/>
    <n v="25"/>
    <n v="32"/>
    <x v="1"/>
    <n v="1"/>
    <n v="1"/>
    <n v="0"/>
    <n v="1"/>
  </r>
  <r>
    <s v="NSF-001276"/>
    <s v="USR-00356"/>
    <s v="SES-2603-85679"/>
    <d v="2026-03-05T00:00:00"/>
    <s v="London"/>
    <s v="Hackney"/>
    <x v="2"/>
    <s v="35-44"/>
    <s v="Male"/>
    <s v="Ios"/>
    <s v="Iphone"/>
    <s v="3-6 months"/>
    <s v="Free"/>
    <s v="Referral"/>
    <x v="8"/>
    <s v="Repeat Use"/>
    <s v="Progress Indicator"/>
    <s v="Treatment"/>
    <n v="5"/>
    <n v="5"/>
    <n v="109"/>
    <s v="No"/>
    <x v="0"/>
    <x v="1"/>
    <s v="No Error"/>
    <x v="0"/>
    <n v="140.97999999999999"/>
    <n v="0"/>
    <n v="0"/>
    <s v="No Support Contact"/>
    <s v="No"/>
    <s v="No Support Contact"/>
    <s v="Not Applicable"/>
    <m/>
    <s v="No drop-off"/>
    <n v="4"/>
    <n v="64"/>
    <n v="77"/>
    <x v="1"/>
    <n v="1"/>
    <n v="1"/>
    <n v="0"/>
    <n v="1"/>
  </r>
  <r>
    <s v="NSF-000490"/>
    <s v="USR-00728"/>
    <s v="SES-2506-25815"/>
    <d v="2025-06-16T00:00:00"/>
    <s v="Yorkshire &amp; Humber"/>
    <s v="York"/>
    <x v="2"/>
    <s v="55-64"/>
    <s v="Male"/>
    <s v="Web"/>
    <s v="Desktop"/>
    <s v="1-2 years"/>
    <s v="Free"/>
    <s v="Paid Social"/>
    <x v="1"/>
    <s v="Trial/Exploration"/>
    <s v="No Experiment"/>
    <s v="Control"/>
    <s v="4 steps"/>
    <n v="4"/>
    <n v="92"/>
    <s v="No"/>
    <x v="0"/>
    <x v="1"/>
    <s v="No Error"/>
    <x v="0"/>
    <n v="117.71"/>
    <n v="0.2"/>
    <n v="0"/>
    <s v="No Support Contact"/>
    <s v="No"/>
    <s v="No Support Contact"/>
    <s v="Not Applicable"/>
    <m/>
    <s v="No drop-off"/>
    <n v="4"/>
    <n v="20"/>
    <n v="24"/>
    <x v="1"/>
    <n v="1"/>
    <n v="1"/>
    <n v="0"/>
    <n v="1"/>
  </r>
  <r>
    <s v="NSF-001177"/>
    <s v="USR-00221"/>
    <s v="SES-2602-71527"/>
    <d v="2026-02-16T00:00:00"/>
    <s v="Northern Ireland"/>
    <s v="Newry"/>
    <x v="2"/>
    <s v="65+"/>
    <s v="Female"/>
    <s v="Android"/>
    <s v="Android Phone"/>
    <s v="1-2 years"/>
    <s v="Basic"/>
    <s v="Direct"/>
    <x v="5"/>
    <s v="Repeat Use"/>
    <s v="No Experiment"/>
    <s v="Control"/>
    <n v="8"/>
    <n v="8"/>
    <n v="298"/>
    <s v="No"/>
    <x v="1"/>
    <x v="0"/>
    <s v="Compliance Review Delay"/>
    <x v="1"/>
    <n v="0"/>
    <n v="0"/>
    <n v="0"/>
    <s v="No Support Contact"/>
    <s v="No"/>
    <s v="No Support Contact"/>
    <s v="Not Applicable"/>
    <m/>
    <s v="No drop-off"/>
    <n v="2"/>
    <n v="-65"/>
    <n v="18"/>
    <x v="0"/>
    <n v="0"/>
    <n v="0"/>
    <n v="1"/>
    <n v="0"/>
  </r>
  <r>
    <s v="NSF-000670"/>
    <s v="USR-00821"/>
    <s v="SES-2508-96627"/>
    <d v="2025-08-14T00:00:00"/>
    <s v="Northern Ireland"/>
    <s v="Newry"/>
    <x v="4"/>
    <s v="25-34"/>
    <s v="Female"/>
    <s v="Android"/>
    <s v="Android Phone"/>
    <s v="1-2 years"/>
    <s v="Plus"/>
    <s v="Referral"/>
    <x v="1"/>
    <s v="First Use"/>
    <s v="Progress Indicator"/>
    <s v="Control"/>
    <n v="4"/>
    <n v="4"/>
    <n v="113"/>
    <s v="No"/>
    <x v="0"/>
    <x v="1"/>
    <s v="No Error"/>
    <x v="0"/>
    <n v="148.29"/>
    <n v="0.19"/>
    <n v="0.17"/>
    <s v="No Support Contact"/>
    <s v="No"/>
    <s v="No Support Contact"/>
    <s v="Not Applicable"/>
    <m/>
    <s v="No drop-off"/>
    <n v="4"/>
    <n v="0"/>
    <n v="0"/>
    <x v="1"/>
    <n v="1"/>
    <n v="1"/>
    <n v="0"/>
    <n v="1"/>
  </r>
  <r>
    <s v="NSF-000318"/>
    <s v="USR-00099"/>
    <s v="SES-2504-56597"/>
    <d v="2025-04-18T00:00:00"/>
    <s v="East England"/>
    <s v="Cambridge"/>
    <x v="0"/>
    <s v="25-34"/>
    <s v="Male"/>
    <s v="Android"/>
    <s v="Android Phone"/>
    <s v="&lt;3 months"/>
    <s v="Plus"/>
    <s v="App Store"/>
    <x v="0"/>
    <s v="Repeat Use"/>
    <s v="No Experiment"/>
    <s v="Control"/>
    <n v="7"/>
    <n v="7"/>
    <n v="148"/>
    <s v="No"/>
    <x v="1"/>
    <x v="1"/>
    <s v="No Error"/>
    <x v="0"/>
    <n v="6.24"/>
    <n v="0"/>
    <n v="0.17"/>
    <s v="No Support Contact"/>
    <s v="No"/>
    <s v="No Support Contact"/>
    <s v="Not Applicable"/>
    <m/>
    <s v="Too many steps"/>
    <n v="3"/>
    <n v="55"/>
    <n v="37"/>
    <x v="0"/>
    <n v="0"/>
    <n v="1"/>
    <n v="0"/>
    <n v="0"/>
  </r>
  <r>
    <s v="NSF-000632"/>
    <s v="USR-00490"/>
    <s v="SES-2507-66785"/>
    <d v="2025-07-19T00:00:00"/>
    <s v="Scotland"/>
    <s v="Dundee"/>
    <x v="5"/>
    <s v="25-34"/>
    <s v="Male"/>
    <s v="Android"/>
    <s v="Android Phone"/>
    <s v="1-2 years"/>
    <s v="Free"/>
    <s v="Referral"/>
    <x v="4"/>
    <s v="Unknown"/>
    <s v="Progress Indicator"/>
    <s v="Control"/>
    <n v="6"/>
    <n v="3"/>
    <n v="214"/>
    <s v="Yes"/>
    <x v="0"/>
    <x v="1"/>
    <s v="No Error"/>
    <x v="0"/>
    <n v="0"/>
    <n v="0"/>
    <n v="0"/>
    <s v="No Support Contact"/>
    <s v="No"/>
    <s v="No Support Contact"/>
    <s v="Not Applicable"/>
    <m/>
    <s v="No drop-off"/>
    <n v="3"/>
    <n v="-30"/>
    <n v="20"/>
    <x v="1"/>
    <n v="1"/>
    <n v="1"/>
    <n v="0"/>
    <n v="1"/>
  </r>
  <r>
    <s v="NSF-000775"/>
    <s v="USR-00156"/>
    <s v="SES-2509-56307"/>
    <d v="2025-09-05T00:00:00"/>
    <s v="West Midlands"/>
    <s v="Solihull"/>
    <x v="5"/>
    <s v="25-34"/>
    <s v="Male"/>
    <s v="Android"/>
    <s v="Android Phone"/>
    <s v="&lt;3 months"/>
    <s v="Free"/>
    <s v="Direct"/>
    <x v="5"/>
    <s v="Repeat Use"/>
    <s v="No Experiment"/>
    <s v="Control"/>
    <n v="8"/>
    <n v="8"/>
    <n v="235"/>
    <s v="No"/>
    <x v="0"/>
    <x v="0"/>
    <s v="Compliance Review Delay"/>
    <x v="1"/>
    <n v="0"/>
    <n v="0"/>
    <n v="0"/>
    <s v="No Support Contact"/>
    <s v="No"/>
    <s v="No Support Contact"/>
    <s v="Not Applicable"/>
    <m/>
    <s v="No drop-off"/>
    <n v="4"/>
    <n v="-30"/>
    <n v="46"/>
    <x v="1"/>
    <n v="1"/>
    <n v="0"/>
    <n v="1"/>
    <n v="1"/>
  </r>
  <r>
    <s v="NSF-000273"/>
    <s v="USR-00524"/>
    <s v="SES-2503-41400"/>
    <d v="2025-10-07T00:00:00"/>
    <s v="West Midlands"/>
    <s v="Birmingham"/>
    <x v="0"/>
    <s v="45-54"/>
    <s v="Female"/>
    <s v="Android"/>
    <s v="Android Phone"/>
    <s v="&lt;3 months"/>
    <s v="Plus"/>
    <s v="Affiliate"/>
    <x v="2"/>
    <s v="Repeat Use"/>
    <s v="New Cta Copy"/>
    <s v="Treatment"/>
    <n v="5"/>
    <n v="5"/>
    <n v="124"/>
    <s v="No"/>
    <x v="0"/>
    <x v="1"/>
    <s v="No Error"/>
    <x v="0"/>
    <n v="85.99"/>
    <n v="0"/>
    <n v="0.17"/>
    <s v="No Support Contact"/>
    <s v="No"/>
    <s v="No Support Contact"/>
    <s v="Not Applicable"/>
    <m/>
    <s v="No drop-off"/>
    <n v="4"/>
    <n v="94"/>
    <n v="41"/>
    <x v="1"/>
    <n v="1"/>
    <n v="1"/>
    <n v="0"/>
    <n v="1"/>
  </r>
  <r>
    <s v="NSF-000993"/>
    <s v="USR-00718"/>
    <s v="SES-2511-28487"/>
    <d v="2025-11-05T00:00:00"/>
    <s v="South East"/>
    <s v="Guildford"/>
    <x v="3"/>
    <s v="35-44"/>
    <s v="Female"/>
    <s v="Web"/>
    <s v="Desktop"/>
    <s v="7-12 months"/>
    <s v="Free"/>
    <s v="Employer Partnership"/>
    <x v="3"/>
    <s v="Repeat Use"/>
    <s v="Fee Transparency Panel"/>
    <s v="Control"/>
    <n v="6"/>
    <n v="5"/>
    <n v="204"/>
    <s v="Yes"/>
    <x v="0"/>
    <x v="1"/>
    <s v="No Error"/>
    <x v="0"/>
    <n v="15.03"/>
    <n v="0.09"/>
    <n v="0"/>
    <s v="No Support Contact"/>
    <s v="No"/>
    <s v="No Support Contact"/>
    <s v="Not Applicable"/>
    <m/>
    <s v="No drop-off"/>
    <n v="3"/>
    <n v="13"/>
    <n v="30"/>
    <x v="0"/>
    <n v="1"/>
    <n v="1"/>
    <n v="0"/>
    <n v="0"/>
  </r>
  <r>
    <s v="NSF-000790"/>
    <s v="USR-00687"/>
    <s v="SES-2509-59421"/>
    <d v="2025-09-28T00:00:00"/>
    <s v="North West"/>
    <s v="Manchester"/>
    <x v="2"/>
    <s v="18-24"/>
    <s v="Male"/>
    <s v="Web"/>
    <s v="Desktop"/>
    <s v="7-12 months"/>
    <s v="Free"/>
    <s v="Direct"/>
    <x v="8"/>
    <s v="First Use"/>
    <s v="Simplified Onboarding"/>
    <s v="Treatment"/>
    <n v="5"/>
    <n v="5"/>
    <n v="111"/>
    <s v="No"/>
    <x v="1"/>
    <x v="1"/>
    <s v="No Error"/>
    <x v="1"/>
    <n v="0"/>
    <n v="0"/>
    <n v="0"/>
    <s v="Feature Navigation"/>
    <s v="Yes"/>
    <s v="Feature Navigation"/>
    <s v="Unresolved"/>
    <n v="14"/>
    <s v="No drop-off"/>
    <n v="4"/>
    <n v="52"/>
    <n v="0"/>
    <x v="1"/>
    <n v="0"/>
    <n v="0"/>
    <n v="0"/>
    <n v="1"/>
  </r>
  <r>
    <s v="NSF-000729"/>
    <s v="USR-00681"/>
    <s v="SES-2508-15676"/>
    <d v="2025-08-14T00:00:00"/>
    <s v="London"/>
    <s v="Southwark"/>
    <x v="7"/>
    <s v="25-34"/>
    <s v="Male"/>
    <s v="Android"/>
    <s v="Android Phone"/>
    <s v="&lt;3 months"/>
    <s v="Plus"/>
    <s v="Referral"/>
    <x v="4"/>
    <s v="First Use"/>
    <s v="No Experiment"/>
    <s v="Control"/>
    <n v="6"/>
    <s v="3 steps"/>
    <n v="248"/>
    <s v="Yes"/>
    <x v="0"/>
    <x v="1"/>
    <s v="No Error"/>
    <x v="0"/>
    <n v="21.22"/>
    <n v="0"/>
    <n v="0.17"/>
    <s v="No Support Contact"/>
    <s v="No"/>
    <s v="No Support Contact"/>
    <s v="Not Applicable"/>
    <m/>
    <s v="No drop-off"/>
    <n v="3"/>
    <n v="-2"/>
    <n v="0"/>
    <x v="1"/>
    <n v="1"/>
    <n v="1"/>
    <n v="0"/>
    <n v="1"/>
  </r>
  <r>
    <s v="NSF-000778"/>
    <s v="USR-00290"/>
    <s v="SES-2509-19007"/>
    <d v="2025-09-19T00:00:00"/>
    <s v="West Midlands"/>
    <s v="Coventry"/>
    <x v="1"/>
    <s v="25-34"/>
    <s v="Male"/>
    <s v="Android"/>
    <s v="Android Phone"/>
    <s v="1-2 years"/>
    <s v="Premium"/>
    <s v="Organic Search"/>
    <x v="10"/>
    <s v="Repeat Use"/>
    <s v="Simplified Onboarding"/>
    <s v="Treatment"/>
    <n v="9"/>
    <n v="6"/>
    <n v="306"/>
    <s v="Yes"/>
    <x v="1"/>
    <x v="1"/>
    <s v="No Error"/>
    <x v="0"/>
    <n v="212.25"/>
    <n v="3.02"/>
    <n v="0.37"/>
    <s v="Transaction Failure"/>
    <s v="Yes"/>
    <s v="Transaction Failure"/>
    <s v="Resolved"/>
    <n v="2"/>
    <s v="Too many steps"/>
    <n v="3"/>
    <n v="15"/>
    <n v="25"/>
    <x v="0"/>
    <n v="0"/>
    <n v="1"/>
    <n v="0"/>
    <n v="0"/>
  </r>
  <r>
    <s v="NSF-001335"/>
    <s v="USR-00546"/>
    <s v="SES-2604-45179"/>
    <d v="2026-04-04T00:00:00"/>
    <s v="Yorkshire &amp; Humber"/>
    <s v="Hull"/>
    <x v="0"/>
    <s v="55-64"/>
    <s v="Male"/>
    <s v="Web"/>
    <s v="Desktop"/>
    <s v="7-12 months"/>
    <s v="Plus"/>
    <s v="Employer Partnership"/>
    <x v="10"/>
    <s v="Reactivated"/>
    <s v="No Experiment"/>
    <s v="Control"/>
    <n v="9"/>
    <n v="9"/>
    <n v="333"/>
    <s v="No"/>
    <x v="1"/>
    <x v="0"/>
    <s v="Eligibility Unclear"/>
    <x v="1"/>
    <n v="0"/>
    <n v="0"/>
    <n v="0"/>
    <s v="No Support Contact"/>
    <s v="No"/>
    <s v="No Support Contact"/>
    <s v="Not Applicable"/>
    <m/>
    <s v="Instructions unclear"/>
    <n v="3"/>
    <n v="-37"/>
    <n v="36"/>
    <x v="0"/>
    <n v="0"/>
    <n v="0"/>
    <n v="1"/>
    <n v="0"/>
  </r>
  <r>
    <s v="NSF-000763"/>
    <s v="USR-00084"/>
    <s v="SES-2509-41901"/>
    <d v="2025-09-08T00:00:00"/>
    <s v="South East"/>
    <s v="Brighton"/>
    <x v="3"/>
    <s v="35-44"/>
    <s v="Female"/>
    <s v="Ios"/>
    <s v="Iphone"/>
    <s v="2+ years"/>
    <s v="Free"/>
    <s v="Organic Search"/>
    <x v="1"/>
    <s v="Repeat Use"/>
    <s v="Progress Indicator"/>
    <s v="Treatment"/>
    <n v="4"/>
    <n v="2"/>
    <n v="215"/>
    <s v="Yes"/>
    <x v="0"/>
    <x v="0"/>
    <s v="Transfer Pending"/>
    <x v="1"/>
    <n v="0"/>
    <n v="0"/>
    <n v="0"/>
    <s v="Transaction Failure"/>
    <s v="Yes"/>
    <s v="Transaction Failure"/>
    <s v="Resolved"/>
    <n v="36"/>
    <s v="No drop-off"/>
    <n v="2"/>
    <n v="23"/>
    <n v="8"/>
    <x v="0"/>
    <n v="1"/>
    <n v="0"/>
    <n v="1"/>
    <n v="0"/>
  </r>
  <r>
    <s v="NSF-001327"/>
    <s v="USR-00532"/>
    <s v="SES-2604-25117"/>
    <d v="2026-04-29T00:00:00"/>
    <s v="Scotland"/>
    <s v="Aberdeen"/>
    <x v="0"/>
    <s v="25-34"/>
    <s v="Male"/>
    <s v="Android"/>
    <s v="Android Phone"/>
    <s v="1-2 years"/>
    <s v="Premium"/>
    <s v="Organic Search"/>
    <x v="10"/>
    <s v="Reactivated"/>
    <s v="Contextual Help"/>
    <s v="Treatment"/>
    <s v="9 steps"/>
    <n v="9"/>
    <n v="289"/>
    <s v="No"/>
    <x v="1"/>
    <x v="0"/>
    <s v="Income Verification Failed"/>
    <x v="1"/>
    <n v="0"/>
    <n v="0"/>
    <n v="0"/>
    <s v="No Support Contact"/>
    <s v="No"/>
    <s v="No Support Contact"/>
    <s v="Not Applicable"/>
    <m/>
    <s v="Technical error"/>
    <n v="3"/>
    <n v="-47"/>
    <n v="48"/>
    <x v="0"/>
    <n v="0"/>
    <n v="0"/>
    <n v="1"/>
    <n v="0"/>
  </r>
  <r>
    <s v="NSF-001255"/>
    <s v="USR-00761"/>
    <s v="SES-2603-63310"/>
    <d v="2026-03-17T00:00:00"/>
    <s v="North East"/>
    <s v="Middlesbrough"/>
    <x v="7"/>
    <s v="25-34"/>
    <s v="Female"/>
    <s v="Ios"/>
    <s v="Iphone"/>
    <s v="7-12 months"/>
    <s v="Plus"/>
    <s v="App Store"/>
    <x v="2"/>
    <s v="Repeat Use"/>
    <s v="No Experiment"/>
    <s v="Control"/>
    <s v="5 steps"/>
    <n v="5"/>
    <n v="176"/>
    <s v="No"/>
    <x v="0"/>
    <x v="0"/>
    <s v="Goal Setup Confusion"/>
    <x v="0"/>
    <n v="21.66"/>
    <n v="0"/>
    <n v="0.17"/>
    <s v="No Support Contact"/>
    <s v="No"/>
    <s v="No Support Contact"/>
    <s v="Not Applicable"/>
    <m/>
    <s v="No drop-off"/>
    <n v="2"/>
    <n v="-39"/>
    <n v="30"/>
    <x v="0"/>
    <n v="1"/>
    <n v="1"/>
    <n v="1"/>
    <n v="0"/>
  </r>
  <r>
    <s v="NSF-000384"/>
    <s v="USR-00528"/>
    <s v="SES-2504-58911"/>
    <d v="2025-04-06T00:00:00"/>
    <s v="East Midlands"/>
    <s v="Leicester"/>
    <x v="2"/>
    <s v="25-34"/>
    <s v="Male"/>
    <s v="Ios"/>
    <s v="Iphone"/>
    <s v="7-12 months"/>
    <s v="Free"/>
    <s v="Paid Search"/>
    <x v="5"/>
    <s v="Repeat Use"/>
    <s v="No Experiment"/>
    <s v="Unknown"/>
    <n v="8"/>
    <n v="8"/>
    <n v="261"/>
    <s v="No"/>
    <x v="1"/>
    <x v="0"/>
    <s v="Recipient Details Rejected"/>
    <x v="1"/>
    <n v="0"/>
    <n v="0"/>
    <n v="0"/>
    <s v="No Support Contact"/>
    <s v="No"/>
    <s v="No Support Contact"/>
    <s v="Not Applicable"/>
    <m/>
    <s v="Too many steps"/>
    <n v="2"/>
    <n v="-30"/>
    <n v="4"/>
    <x v="0"/>
    <n v="0"/>
    <n v="0"/>
    <n v="1"/>
    <n v="0"/>
  </r>
  <r>
    <s v="NSF-000010"/>
    <s v="USR-00686"/>
    <s v="SES-2501-97620"/>
    <d v="2025-01-29T00:00:00"/>
    <s v="West Midlands"/>
    <s v="Solihull"/>
    <x v="3"/>
    <s v="55-64"/>
    <s v="Male"/>
    <s v="Android"/>
    <s v="Android Phone"/>
    <s v="7-12 months"/>
    <s v="Free"/>
    <s v="Referral"/>
    <x v="3"/>
    <s v="First Use"/>
    <s v="No Experiment"/>
    <s v="Control"/>
    <n v="6"/>
    <n v="6"/>
    <n v="118"/>
    <s v="No"/>
    <x v="0"/>
    <x v="1"/>
    <s v="No Error"/>
    <x v="0"/>
    <n v="42.71"/>
    <n v="0.09"/>
    <n v="0"/>
    <s v="No Support Contact"/>
    <s v="No"/>
    <s v="No Support Contact"/>
    <s v="Not Applicable"/>
    <m/>
    <s v="No drop-off"/>
    <n v="3"/>
    <n v="7"/>
    <n v="0"/>
    <x v="0"/>
    <n v="1"/>
    <n v="1"/>
    <n v="0"/>
    <n v="0"/>
  </r>
  <r>
    <s v="NSF-000360"/>
    <s v="USR-00252"/>
    <s v="SES-2504-92230"/>
    <d v="2025-04-17T00:00:00"/>
    <s v="London"/>
    <s v="Hammersmith"/>
    <x v="3"/>
    <s v="18-24"/>
    <s v="Female"/>
    <s v="Ios"/>
    <s v="Iphone"/>
    <s v="2+ years"/>
    <s v="Free"/>
    <s v="Employer Partnership"/>
    <x v="0"/>
    <s v="Repeat Use"/>
    <s v="Contextual Help"/>
    <s v="Treatment"/>
    <n v="7"/>
    <n v="5"/>
    <n v="252"/>
    <s v="Yes"/>
    <x v="1"/>
    <x v="0"/>
    <s v="Category Setup Confusion"/>
    <x v="1"/>
    <n v="0"/>
    <n v="0"/>
    <n v="0"/>
    <s v="No Support Contact"/>
    <s v="No"/>
    <s v="No Support Contact"/>
    <s v="Not Applicable"/>
    <m/>
    <s v="Too many steps"/>
    <n v="1"/>
    <n v="-30"/>
    <n v="54"/>
    <x v="1"/>
    <n v="0"/>
    <n v="0"/>
    <n v="1"/>
    <n v="1"/>
  </r>
  <r>
    <s v="NSF-000750"/>
    <s v="USR-00043"/>
    <s v="SES-2509-57635"/>
    <d v="2025-09-26T00:00:00"/>
    <s v="North West"/>
    <s v="Chester"/>
    <x v="7"/>
    <s v="35-44"/>
    <s v="Female"/>
    <s v="Android"/>
    <s v="Android Phone"/>
    <s v="7-12 months"/>
    <s v="Free"/>
    <s v="Referral"/>
    <x v="0"/>
    <s v="First Use"/>
    <s v="Fee Transparency Panel"/>
    <s v="Control"/>
    <n v="7"/>
    <n v="7"/>
    <n v="222"/>
    <s v="No"/>
    <x v="1"/>
    <x v="0"/>
    <s v="Too Many Steps"/>
    <x v="1"/>
    <n v="0"/>
    <n v="0"/>
    <n v="0"/>
    <s v="No Support Contact"/>
    <s v="No"/>
    <s v="No Support Contact"/>
    <s v="Not Applicable"/>
    <m/>
    <s v="Technical error"/>
    <n v="2"/>
    <n v="13"/>
    <n v="0"/>
    <x v="1"/>
    <n v="0"/>
    <n v="0"/>
    <n v="1"/>
    <n v="1"/>
  </r>
  <r>
    <s v="NSF-000546"/>
    <s v="USR-00566"/>
    <s v="SES-2506-48762"/>
    <d v="2025-06-18T00:00:00"/>
    <s v="West Midlands"/>
    <s v="Solihull"/>
    <x v="0"/>
    <s v="25-34"/>
    <s v="Male"/>
    <s v="Web"/>
    <s v="Desktop"/>
    <s v="2+ years"/>
    <s v="Free"/>
    <s v="Affiliate"/>
    <x v="2"/>
    <s v="First Use"/>
    <s v="Progress Indicator"/>
    <s v="Control"/>
    <n v="5"/>
    <n v="3"/>
    <n v="196"/>
    <s v="Yes"/>
    <x v="0"/>
    <x v="1"/>
    <s v="No Error"/>
    <x v="0"/>
    <n v="0"/>
    <n v="0"/>
    <n v="0"/>
    <s v="No Support Contact"/>
    <s v="No"/>
    <s v="No Support Contact"/>
    <s v="Not Applicable"/>
    <m/>
    <s v="No drop-off"/>
    <n v="3"/>
    <n v="0"/>
    <n v="0"/>
    <x v="1"/>
    <n v="1"/>
    <n v="1"/>
    <n v="0"/>
    <n v="1"/>
  </r>
  <r>
    <s v="NSF-001150"/>
    <s v="USR-00382"/>
    <s v="SES-2602-18504"/>
    <d v="2026-02-19T00:00:00"/>
    <s v="North East"/>
    <s v="Middlesbrough"/>
    <x v="3"/>
    <s v="25-34"/>
    <s v="Female"/>
    <s v="Ios"/>
    <s v="Iphone"/>
    <s v="3-6 months"/>
    <s v="Free"/>
    <s v="Organic Search"/>
    <x v="2"/>
    <s v="Repeat Use"/>
    <s v="No Experiment"/>
    <s v="Control"/>
    <n v="5"/>
    <n v="5"/>
    <n v="137"/>
    <s v="No"/>
    <x v="0"/>
    <x v="1"/>
    <s v="No Error"/>
    <x v="1"/>
    <n v="0"/>
    <n v="0"/>
    <n v="0"/>
    <s v="No Support Contact"/>
    <s v="No"/>
    <s v="No Support Contact"/>
    <s v="Not Applicable"/>
    <m/>
    <s v="No drop-off"/>
    <n v="5"/>
    <n v="17"/>
    <n v="20"/>
    <x v="1"/>
    <n v="1"/>
    <n v="0"/>
    <n v="0"/>
    <n v="1"/>
  </r>
  <r>
    <s v="NSF-000281"/>
    <s v="USR-00161"/>
    <s v="SES-2503-23476"/>
    <d v="2025-03-16T00:00:00"/>
    <s v="West Midlands"/>
    <s v="Solihull"/>
    <x v="1"/>
    <s v="18-24"/>
    <s v="Female"/>
    <s v="Web"/>
    <s v="Mobile Browser"/>
    <s v="7-12 months"/>
    <s v="Plus"/>
    <s v="Paid Social"/>
    <x v="7"/>
    <s v="Repeat Use"/>
    <s v="Progress Indicator"/>
    <s v="Treatment"/>
    <n v="4"/>
    <n v="4"/>
    <n v="107"/>
    <s v="No"/>
    <x v="0"/>
    <x v="1"/>
    <s v="No Error"/>
    <x v="0"/>
    <n v="96.69"/>
    <n v="0.46"/>
    <n v="0.17"/>
    <s v="No Support Contact"/>
    <s v="No"/>
    <s v="No Support Contact"/>
    <s v="Not Applicable"/>
    <m/>
    <s v="No drop-off"/>
    <n v="5"/>
    <n v="31"/>
    <n v="4"/>
    <x v="1"/>
    <n v="1"/>
    <n v="1"/>
    <n v="0"/>
    <n v="1"/>
  </r>
  <r>
    <s v="NSF-001261"/>
    <s v="USR-00587"/>
    <s v="SES-2603-74792"/>
    <d v="2026-03-21T00:00:00"/>
    <s v="Scotland"/>
    <s v="Aberdeen"/>
    <x v="5"/>
    <s v="45-54"/>
    <s v="Male"/>
    <s v="Android"/>
    <s v="Android Phone"/>
    <s v="2+ years"/>
    <s v="Plus"/>
    <s v="App Store"/>
    <x v="8"/>
    <s v="Repeat Use"/>
    <s v="No Experiment"/>
    <s v="Control"/>
    <n v="5"/>
    <n v="5"/>
    <n v="136"/>
    <s v="No"/>
    <x v="0"/>
    <x v="1"/>
    <s v="No Error"/>
    <x v="0"/>
    <n v="80.11"/>
    <n v="0"/>
    <n v="0.17"/>
    <s v="No Support Contact"/>
    <s v="No"/>
    <s v="No Support Contact"/>
    <s v="Not Applicable"/>
    <m/>
    <s v="No drop-off"/>
    <n v="5"/>
    <n v="12"/>
    <n v="11"/>
    <x v="0"/>
    <n v="1"/>
    <n v="1"/>
    <n v="0"/>
    <n v="0"/>
  </r>
  <r>
    <s v="NSF-000415"/>
    <s v="USR-00663"/>
    <s v="SES-2505-88431"/>
    <d v="2025-05-22T00:00:00"/>
    <s v="London"/>
    <s v="Hammersmith"/>
    <x v="3"/>
    <s v="35-44"/>
    <s v="Female"/>
    <s v="Ios"/>
    <s v="Iphone"/>
    <s v="1-2 years"/>
    <s v="Premium"/>
    <s v="Direct"/>
    <x v="0"/>
    <s v="Repeat Use"/>
    <s v="Fee Transparency Panel"/>
    <s v="Treatment"/>
    <n v="7"/>
    <n v="7"/>
    <n v="198"/>
    <s v="No"/>
    <x v="0"/>
    <x v="1"/>
    <s v="No Error"/>
    <x v="1"/>
    <n v="0"/>
    <n v="0"/>
    <n v="0"/>
    <s v="No Support Contact"/>
    <s v="No"/>
    <s v="No Support Contact"/>
    <s v="Not Applicable"/>
    <m/>
    <s v="No drop-off"/>
    <n v="3"/>
    <n v="32"/>
    <n v="18"/>
    <x v="1"/>
    <n v="1"/>
    <n v="0"/>
    <n v="0"/>
    <n v="1"/>
  </r>
  <r>
    <s v="NSF-000884"/>
    <s v="USR-00707"/>
    <s v="SES-2510-87153"/>
    <d v="2025-10-15T00:00:00"/>
    <s v="West Midlands"/>
    <s v="Wolverhampton"/>
    <x v="0"/>
    <s v="25-34"/>
    <s v="Female"/>
    <s v="Android"/>
    <s v="Android Phone"/>
    <s v="1-2 years"/>
    <s v="Free"/>
    <s v="Organic Search"/>
    <x v="7"/>
    <s v="First Use"/>
    <s v="No Experiment"/>
    <s v="Control"/>
    <n v="4"/>
    <n v="3"/>
    <n v="9999"/>
    <s v="Yes"/>
    <x v="0"/>
    <x v="1"/>
    <s v="No Error"/>
    <x v="0"/>
    <n v="93.36"/>
    <n v="0.46"/>
    <n v="0"/>
    <s v="No Support Contact"/>
    <s v="No"/>
    <s v="No Support Contact"/>
    <s v="Not Applicable"/>
    <m/>
    <s v="No drop-off"/>
    <n v="4"/>
    <n v="29"/>
    <n v="0"/>
    <x v="1"/>
    <n v="1"/>
    <n v="1"/>
    <n v="0"/>
    <n v="1"/>
  </r>
  <r>
    <s v="NSF-001035"/>
    <s v="usr-00062"/>
    <s v="SES-2512-26914"/>
    <d v="2025-12-21T00:00:00"/>
    <s v="Wales"/>
    <s v="Cardiff"/>
    <x v="4"/>
    <s v="25-34"/>
    <s v="Female"/>
    <s v="Ios"/>
    <s v="Iphone"/>
    <s v="3-6 months"/>
    <s v="Free"/>
    <s v="Referral"/>
    <x v="5"/>
    <s v="Repeat Use"/>
    <s v="No Experiment"/>
    <s v="Control"/>
    <n v="8"/>
    <n v="8"/>
    <n v="249"/>
    <s v="No"/>
    <x v="0"/>
    <x v="1"/>
    <s v="No Error"/>
    <x v="1"/>
    <n v="0"/>
    <n v="0"/>
    <n v="0"/>
    <s v="No Support Contact"/>
    <s v="No"/>
    <s v="No Support Contact"/>
    <s v="Not Applicable"/>
    <m/>
    <s v="No drop-off"/>
    <n v="4"/>
    <n v="26"/>
    <n v="35"/>
    <x v="0"/>
    <n v="1"/>
    <n v="0"/>
    <n v="0"/>
    <n v="0"/>
  </r>
  <r>
    <s v="NSF-000972"/>
    <s v="USR-00515"/>
    <s v="SES-2511-34109"/>
    <d v="2025-11-27T00:00:00"/>
    <s v="North West"/>
    <s v="Liverpool"/>
    <x v="1"/>
    <s v="25-34"/>
    <s v="Male"/>
    <s v="Android"/>
    <s v="Android Phone"/>
    <s v="1-2 years"/>
    <s v="Free"/>
    <s v="App Store"/>
    <x v="0"/>
    <s v="Trial/Exploration"/>
    <s v="Simplified Onboarding"/>
    <s v="Treatment"/>
    <n v="7"/>
    <n v="7"/>
    <n v="152"/>
    <s v="No"/>
    <x v="0"/>
    <x v="1"/>
    <s v="No Error"/>
    <x v="0"/>
    <n v="0.53"/>
    <n v="0"/>
    <n v="0"/>
    <s v="No Support Contact"/>
    <s v="No"/>
    <s v="No Support Contact"/>
    <s v="Not Applicable"/>
    <m/>
    <s v="No drop-off"/>
    <n v="5"/>
    <n v="37"/>
    <n v="27"/>
    <x v="0"/>
    <n v="1"/>
    <n v="1"/>
    <n v="0"/>
    <n v="0"/>
  </r>
  <r>
    <s v="NSF-000013"/>
    <s v="USR-00647"/>
    <s v="SES-2501-19381"/>
    <d v="2025-01-15T00:00:00"/>
    <s v="West Midlands"/>
    <s v="Birmingham"/>
    <x v="1"/>
    <s v="55-64"/>
    <s v="Male"/>
    <s v="Ios"/>
    <s v="Iphone"/>
    <s v="3-6 months"/>
    <s v="Free"/>
    <s v="Direct"/>
    <x v="8"/>
    <s v="First Use"/>
    <s v="No Experiment"/>
    <s v="Control"/>
    <n v="5"/>
    <s v="5 steps"/>
    <n v="120"/>
    <s v="No"/>
    <x v="0"/>
    <x v="1"/>
    <s v="No Error"/>
    <x v="0"/>
    <n v="75.62"/>
    <n v="0"/>
    <n v="0"/>
    <s v="No Support Contact"/>
    <s v="No"/>
    <s v="No Support Contact"/>
    <s v="Not Applicable"/>
    <m/>
    <s v="No drop-off"/>
    <n v="4"/>
    <n v="40"/>
    <n v="0"/>
    <x v="1"/>
    <n v="1"/>
    <n v="1"/>
    <n v="0"/>
    <n v="1"/>
  </r>
  <r>
    <s v="NSF-001069"/>
    <s v="USR-00516"/>
    <s v="SES-2512-69694"/>
    <d v="2025-12-23T00:00:00"/>
    <s v="East England"/>
    <s v="Luton"/>
    <x v="7"/>
    <s v="18-24"/>
    <s v="Female"/>
    <s v="Web"/>
    <s v="Mobile Browser"/>
    <s v="1-2 years"/>
    <s v="Free"/>
    <s v="Affiliate"/>
    <x v="0"/>
    <s v="Trial/Exploration"/>
    <s v="No Experiment"/>
    <s v="Control"/>
    <n v="7"/>
    <n v="7"/>
    <n v="244"/>
    <s v="No"/>
    <x v="0"/>
    <x v="0"/>
    <s v="Too Many Steps"/>
    <x v="1"/>
    <n v="0"/>
    <n v="0"/>
    <n v="0"/>
    <s v="No Support Contact"/>
    <s v="No"/>
    <s v="No Support Contact"/>
    <s v="Not Applicable"/>
    <m/>
    <s v="No drop-off"/>
    <n v="2"/>
    <n v="-49"/>
    <s v="20 days"/>
    <x v="1"/>
    <n v="1"/>
    <n v="0"/>
    <n v="1"/>
    <n v="1"/>
  </r>
  <r>
    <s v="NSF-001229"/>
    <s v="USR-00704"/>
    <s v="SES-2603-46073"/>
    <d v="2026-03-04T00:00:00"/>
    <s v="South West"/>
    <s v="Exeter"/>
    <x v="0"/>
    <s v="25-34"/>
    <s v="Female"/>
    <s v="Ios"/>
    <s v="Iphone"/>
    <s v="7-12 months"/>
    <s v="Free"/>
    <s v="Referral"/>
    <x v="0"/>
    <s v="Reactivated"/>
    <s v="No Experiment"/>
    <s v="Control"/>
    <n v="7"/>
    <n v="6"/>
    <n v="279"/>
    <s v="Yes"/>
    <x v="0"/>
    <x v="1"/>
    <s v="No Error"/>
    <x v="1"/>
    <n v="0"/>
    <n v="0"/>
    <n v="0"/>
    <s v="No Support Contact"/>
    <s v="No"/>
    <s v="No Support Contact"/>
    <s v="Not Applicable"/>
    <m/>
    <s v="No drop-off"/>
    <n v="3"/>
    <n v="16"/>
    <n v="21"/>
    <x v="1"/>
    <n v="1"/>
    <n v="0"/>
    <n v="0"/>
    <n v="1"/>
  </r>
  <r>
    <s v="NSF-000791"/>
    <s v="USR-00322"/>
    <s v="SES-2509-20351"/>
    <d v="2025-09-27T00:00:00"/>
    <s v="Northern Ireland"/>
    <s v="Derry"/>
    <x v="3"/>
    <s v="18-24"/>
    <s v="Male"/>
    <s v="Ios"/>
    <s v="Iphone"/>
    <s v="1-2 years"/>
    <s v="Basic"/>
    <s v="Direct"/>
    <x v="5"/>
    <s v="First Use"/>
    <s v="New Cta Copy"/>
    <s v="Treatment"/>
    <n v="8"/>
    <s v="8 steps"/>
    <n v="240"/>
    <s v="No"/>
    <x v="1"/>
    <x v="0"/>
    <s v="Compliance Review Delay"/>
    <x v="1"/>
    <n v="0"/>
    <n v="0"/>
    <n v="0"/>
    <s v="No Support Contact"/>
    <s v="No"/>
    <s v="No Support Contact"/>
    <s v="Not Applicable"/>
    <m/>
    <s v="Technical error"/>
    <n v="2"/>
    <n v="-25"/>
    <n v="0"/>
    <x v="0"/>
    <n v="0"/>
    <n v="0"/>
    <n v="1"/>
    <n v="0"/>
  </r>
  <r>
    <s v="NSF-000395"/>
    <s v="USR-00817"/>
    <s v="SES-2505-86761"/>
    <d v="2025-05-24T00:00:00"/>
    <s v="North West"/>
    <s v="Manchester"/>
    <x v="7"/>
    <s v="45-54"/>
    <s v="Female"/>
    <s v="Web"/>
    <s v="Tablet Browser"/>
    <s v="7-12 months"/>
    <s v="Plus"/>
    <s v="Referral"/>
    <x v="10"/>
    <s v="First Use"/>
    <s v="Simplified Onboarding"/>
    <s v="Treatment"/>
    <n v="9"/>
    <n v="9"/>
    <n v="324"/>
    <s v="No"/>
    <x v="0"/>
    <x v="0"/>
    <s v="Eligibility Unclear"/>
    <x v="0"/>
    <n v="103.36"/>
    <n v="3.2"/>
    <n v="0.17"/>
    <s v="N/A"/>
    <s v="No"/>
    <s v="N/A"/>
    <s v="Not Applicable"/>
    <m/>
    <s v="No drop-off"/>
    <n v="3"/>
    <n v="20"/>
    <n v="0"/>
    <x v="1"/>
    <n v="1"/>
    <n v="1"/>
    <n v="1"/>
    <n v="1"/>
  </r>
  <r>
    <s v="NSF-000466"/>
    <s v="USR-00189"/>
    <s v="SES-2505-10647"/>
    <d v="2025-05-12T00:00:00"/>
    <s v="North East"/>
    <s v="Durham"/>
    <x v="1"/>
    <s v="45-54"/>
    <s v="Female"/>
    <s v="Ios"/>
    <s v="Iphone"/>
    <s v="3-6 months"/>
    <s v="Free"/>
    <s v="Referral"/>
    <x v="2"/>
    <s v="First Use"/>
    <s v="Progress Indicator"/>
    <s v="Treatment"/>
    <n v="5"/>
    <n v="5"/>
    <n v="131"/>
    <s v="No"/>
    <x v="0"/>
    <x v="1"/>
    <s v="No Error"/>
    <x v="0"/>
    <n v="0"/>
    <n v="0"/>
    <n v="0"/>
    <s v="No Support Contact"/>
    <s v="No"/>
    <s v="No Support Contact"/>
    <s v="Not Applicable"/>
    <m/>
    <s v="No drop-off"/>
    <n v="4"/>
    <n v="53"/>
    <n v="0"/>
    <x v="1"/>
    <n v="1"/>
    <n v="1"/>
    <n v="0"/>
    <n v="1"/>
  </r>
  <r>
    <s v="NSF-001364"/>
    <s v="USR-00325"/>
    <s v="SES-2605-30703"/>
    <d v="2026-05-23T00:00:00"/>
    <s v="South West"/>
    <s v="Plymouth"/>
    <x v="5"/>
    <s v="35-44"/>
    <s v="Male"/>
    <s v="Ios"/>
    <s v="Iphone"/>
    <s v="1-2 years"/>
    <s v="Premium"/>
    <s v="Direct"/>
    <x v="0"/>
    <s v="First Use"/>
    <s v="New Cta Copy"/>
    <s v="Treatment"/>
    <n v="7"/>
    <n v="4"/>
    <n v="324"/>
    <s v="Yes"/>
    <x v="1"/>
    <x v="1"/>
    <s v="No Error"/>
    <x v="1"/>
    <n v="0"/>
    <n v="0"/>
    <n v="0"/>
    <s v="No Support Contact"/>
    <s v="No"/>
    <s v="No Support Contact"/>
    <s v="Not Applicable"/>
    <m/>
    <s v="Privacy concern"/>
    <n v="2"/>
    <n v="-9"/>
    <s v="0 days"/>
    <x v="0"/>
    <n v="0"/>
    <n v="0"/>
    <n v="0"/>
    <n v="0"/>
  </r>
  <r>
    <s v="NSF-001381"/>
    <s v="USR-00101"/>
    <s v="SES-2605-18858"/>
    <d v="2026-05-14T00:00:00"/>
    <s v="Northern Ireland"/>
    <s v="Newry"/>
    <x v="3"/>
    <s v="55-64"/>
    <s v="Male"/>
    <s v="Web"/>
    <s v="Desktop"/>
    <s v="3-6 months"/>
    <s v="Free"/>
    <s v="Employer Partnership"/>
    <x v="7"/>
    <s v="Repeat Use"/>
    <s v="No Experiment"/>
    <s v="Control"/>
    <n v="4"/>
    <n v="4"/>
    <n v="113"/>
    <s v="No"/>
    <x v="0"/>
    <x v="1"/>
    <s v="No Error"/>
    <x v="0"/>
    <n v="70.599999999999994"/>
    <n v="0.46"/>
    <n v="0"/>
    <s v="No Support Contact"/>
    <s v="No"/>
    <s v="No Support Contact"/>
    <s v="Not Applicable"/>
    <m/>
    <s v="No drop-off"/>
    <n v="3"/>
    <n v="39"/>
    <n v="43"/>
    <x v="1"/>
    <n v="1"/>
    <n v="1"/>
    <n v="0"/>
    <n v="1"/>
  </r>
  <r>
    <s v="NSF-000618"/>
    <s v="USR-00598"/>
    <s v="SES-2507-39307"/>
    <d v="2025-07-24T00:00:00"/>
    <s v="Wales"/>
    <s v="Newport"/>
    <x v="0"/>
    <s v="35-44"/>
    <s v="Female"/>
    <s v="Ios"/>
    <s v="Iphone"/>
    <s v="7-12 months"/>
    <s v="Basic"/>
    <s v="Employer Partnership"/>
    <x v="5"/>
    <s v="First Use"/>
    <s v="No Experiment"/>
    <s v="Control"/>
    <n v="8"/>
    <n v="8"/>
    <n v="164"/>
    <s v="No"/>
    <x v="1"/>
    <x v="1"/>
    <s v="No Error"/>
    <x v="1"/>
    <n v="0"/>
    <n v="0"/>
    <n v="0"/>
    <s v="No Support Contact"/>
    <s v="No"/>
    <s v="No Support Contact"/>
    <s v="Not Applicable"/>
    <m/>
    <s v="Changed mind"/>
    <n v="4"/>
    <n v="43"/>
    <n v="0"/>
    <x v="1"/>
    <n v="0"/>
    <n v="0"/>
    <n v="0"/>
    <n v="1"/>
  </r>
  <r>
    <s v="NSF-000769"/>
    <s v="USR-00388"/>
    <s v="SES-2509-88842"/>
    <d v="2025-09-09T00:00:00"/>
    <s v="South West"/>
    <s v="Plymouth"/>
    <x v="5"/>
    <s v="18-24"/>
    <s v="Male"/>
    <s v="Ios"/>
    <s v="Iphone"/>
    <s v="&lt;3 months"/>
    <s v="Free"/>
    <s v="Affiliate"/>
    <x v="10"/>
    <s v="Repeat Use"/>
    <s v="No Experiment"/>
    <s v="Control"/>
    <n v="9"/>
    <n v="6"/>
    <n v="319"/>
    <s v="Yes"/>
    <x v="1"/>
    <x v="1"/>
    <s v="No Error"/>
    <x v="1"/>
    <n v="0"/>
    <n v="0"/>
    <n v="0"/>
    <s v="Fees And Pricing"/>
    <s v="Yes"/>
    <s v="Fees And Pricing"/>
    <s v="Resolved"/>
    <n v="53"/>
    <s v="Instructions unclear"/>
    <n v="3"/>
    <n v="-44"/>
    <n v="17"/>
    <x v="0"/>
    <n v="0"/>
    <n v="0"/>
    <n v="0"/>
    <n v="0"/>
  </r>
  <r>
    <s v="NSF-001126"/>
    <s v="USR-00550"/>
    <s v="SES-2601-91325"/>
    <d v="2026-01-30T00:00:00"/>
    <s v="West Midlands"/>
    <s v="Birmingham"/>
    <x v="0"/>
    <s v="18-24"/>
    <s v="Male"/>
    <s v="Ios"/>
    <s v="Iphone"/>
    <s v="2+ years"/>
    <s v="Free"/>
    <s v="Referral"/>
    <x v="1"/>
    <s v="Repeat Use"/>
    <s v="Fee Transparency Panel"/>
    <s v="Treatment"/>
    <n v="4"/>
    <n v="2"/>
    <n v="154"/>
    <s v="Yes"/>
    <x v="0"/>
    <x v="1"/>
    <s v="No Error"/>
    <x v="0"/>
    <n v="207.94"/>
    <n v="0.2"/>
    <n v="0"/>
    <s v="No Support Contact"/>
    <s v="No"/>
    <s v="No Support Contact"/>
    <s v="Not Applicable"/>
    <m/>
    <s v="No drop-off"/>
    <n v="5"/>
    <n v="14"/>
    <n v="17"/>
    <x v="1"/>
    <n v="1"/>
    <n v="1"/>
    <n v="0"/>
    <n v="1"/>
  </r>
  <r>
    <s v="NSF-001155"/>
    <s v="USR-00653"/>
    <s v="SES-2602-83697"/>
    <d v="2026-02-02T00:00:00"/>
    <s v="East England"/>
    <s v="Ipswich"/>
    <x v="7"/>
    <s v="35-44"/>
    <s v="Male"/>
    <s v="Android"/>
    <s v="Android Phone"/>
    <s v="&lt;3 months"/>
    <s v="Premium"/>
    <s v="Employer Partnership"/>
    <x v="5"/>
    <s v="Repeat Use"/>
    <s v="Simplified Onboarding"/>
    <s v="Treatment"/>
    <n v="8"/>
    <n v="7"/>
    <n v="201"/>
    <s v="Yes"/>
    <x v="0"/>
    <x v="1"/>
    <s v="No Error"/>
    <x v="1"/>
    <n v="0"/>
    <n v="0"/>
    <n v="0"/>
    <s v="No Support Contact"/>
    <s v="No"/>
    <s v="No Support Contact"/>
    <s v="Not Applicable"/>
    <m/>
    <s v="No drop-off"/>
    <n v="3"/>
    <n v="-9"/>
    <n v="31"/>
    <x v="1"/>
    <n v="1"/>
    <n v="0"/>
    <n v="0"/>
    <n v="1"/>
  </r>
  <r>
    <s v="NSF-001488"/>
    <s v="USR-00182"/>
    <s v="SES-2511-31597"/>
    <d v="2025-11-13T00:00:00"/>
    <s v="South East"/>
    <s v="Guildford"/>
    <x v="0"/>
    <s v="18-24"/>
    <s v="Male"/>
    <s v="Web"/>
    <s v="Mobile Browser"/>
    <s v="7-12 months"/>
    <s v="Plus"/>
    <s v="App Store"/>
    <x v="0"/>
    <s v="Trial/Exploration"/>
    <s v="Simplified Onboarding"/>
    <s v="Control"/>
    <n v="7"/>
    <n v="5"/>
    <n v="250"/>
    <s v="Yes"/>
    <x v="0"/>
    <x v="1"/>
    <s v="No Error"/>
    <x v="0"/>
    <n v="8.85"/>
    <n v="0"/>
    <n v="0.17"/>
    <s v="No Support Contact"/>
    <s v="No"/>
    <s v="No Support Contact"/>
    <s v="Not Applicable"/>
    <m/>
    <s v="No drop-off"/>
    <n v="5"/>
    <n v="-10"/>
    <n v="18"/>
    <x v="0"/>
    <n v="1"/>
    <n v="1"/>
    <n v="0"/>
    <n v="0"/>
  </r>
  <r>
    <s v="NSF-001233"/>
    <s v="USR-00464"/>
    <s v="SES-2603-38863"/>
    <d v="2026-03-19T00:00:00"/>
    <s v="North East"/>
    <s v="Durham"/>
    <x v="7"/>
    <s v="25-34"/>
    <s v="Male"/>
    <s v="Android"/>
    <s v="Android Phone"/>
    <s v="3-6 months"/>
    <s v="Free"/>
    <s v="Organic Search"/>
    <x v="10"/>
    <s v="Reactivated"/>
    <s v="No Experiment"/>
    <s v="Control"/>
    <n v="9"/>
    <n v="5"/>
    <n v="339"/>
    <s v="Yes"/>
    <x v="0"/>
    <x v="1"/>
    <s v="No Error"/>
    <x v="1"/>
    <n v="0"/>
    <n v="0"/>
    <n v="0"/>
    <s v="No Support Contact"/>
    <s v="No"/>
    <s v="No Support Contact"/>
    <s v="Not Applicable"/>
    <m/>
    <s v="No drop-off"/>
    <n v="4"/>
    <n v="-42"/>
    <n v="39"/>
    <x v="1"/>
    <n v="1"/>
    <n v="0"/>
    <n v="0"/>
    <n v="1"/>
  </r>
  <r>
    <s v="NSF-000928"/>
    <s v="USR-00296"/>
    <s v="SES-2511-61688"/>
    <d v="2025-11-18T00:00:00"/>
    <s v="Scotland"/>
    <s v="Dundee"/>
    <x v="3"/>
    <s v="35-44"/>
    <s v="Non-Binary"/>
    <s v="Android"/>
    <s v="Android Phone"/>
    <s v="1-2 years"/>
    <s v="Premium"/>
    <s v="Organic Search"/>
    <x v="1"/>
    <s v="Reactivated"/>
    <s v="No Experiment"/>
    <s v="Control"/>
    <n v="4"/>
    <n v="4"/>
    <n v="103"/>
    <s v="No"/>
    <x v="0"/>
    <x v="1"/>
    <s v="No Error"/>
    <x v="0"/>
    <n v="166.02"/>
    <n v="0.19"/>
    <n v="0.37"/>
    <s v="No Support Contact"/>
    <s v="No"/>
    <s v="No Support Contact"/>
    <s v="Not Applicable"/>
    <m/>
    <s v="No drop-off"/>
    <n v="4"/>
    <n v="48"/>
    <n v="25"/>
    <x v="1"/>
    <n v="1"/>
    <n v="1"/>
    <n v="0"/>
    <n v="1"/>
  </r>
  <r>
    <s v="NSF-001359"/>
    <s v="USR-00624"/>
    <s v="SES-2605-31416"/>
    <d v="2026-05-24T00:00:00"/>
    <s v="Northern Ireland"/>
    <s v="Belfast"/>
    <x v="2"/>
    <s v="35-44"/>
    <s v="Male"/>
    <s v="Ios"/>
    <s v="Iphone"/>
    <s v="2+ years"/>
    <s v="Free"/>
    <s v="Paid Social"/>
    <x v="2"/>
    <s v="Repeat Use"/>
    <s v="Simplified Onboarding"/>
    <s v="Control"/>
    <n v="5"/>
    <s v="5 steps"/>
    <n v="132"/>
    <s v="No"/>
    <x v="0"/>
    <x v="1"/>
    <s v="No Error"/>
    <x v="0"/>
    <n v="87.83"/>
    <n v="0"/>
    <n v="0"/>
    <s v="No Support Contact"/>
    <s v="No"/>
    <s v="No Support Contact"/>
    <s v="Not Applicable"/>
    <m/>
    <s v="No drop-off"/>
    <n v="3"/>
    <n v="-10"/>
    <n v="54"/>
    <x v="0"/>
    <n v="1"/>
    <n v="1"/>
    <n v="0"/>
    <n v="0"/>
  </r>
  <r>
    <s v="NSF-000020"/>
    <s v="USR-00078"/>
    <s v="SES-2501-63509"/>
    <d v="2025-01-27T00:00:00"/>
    <s v="London"/>
    <s v="Hammersmith"/>
    <x v="3"/>
    <s v="18-24"/>
    <s v="Male"/>
    <s v="Ios"/>
    <s v="Iphone"/>
    <s v="&lt;3 months"/>
    <s v="Free"/>
    <s v="Referral"/>
    <x v="9"/>
    <s v="Repeat Use"/>
    <s v="No Experiment"/>
    <s v="Control"/>
    <n v="5"/>
    <n v="5"/>
    <n v="124"/>
    <s v="No"/>
    <x v="0"/>
    <x v="1"/>
    <s v="No Error"/>
    <x v="0"/>
    <n v="155.72999999999999"/>
    <n v="0"/>
    <n v="0"/>
    <s v="No Support Contact"/>
    <s v="No"/>
    <s v="No Support Contact"/>
    <s v="Not Applicable"/>
    <m/>
    <s v="No drop-off"/>
    <n v="4"/>
    <n v="54"/>
    <n v="27"/>
    <x v="1"/>
    <n v="1"/>
    <n v="1"/>
    <n v="0"/>
    <n v="1"/>
  </r>
  <r>
    <s v="NSF-000977"/>
    <s v="USR-00814"/>
    <s v="SES-2511-88351"/>
    <d v="2025-11-25T00:00:00"/>
    <s v="Yorkshire &amp; Humber"/>
    <s v="Leeds"/>
    <x v="2"/>
    <s v="55-64"/>
    <s v="Female"/>
    <s v="Ios"/>
    <s v="Iphone"/>
    <s v="&lt;3 months"/>
    <s v="Free"/>
    <s v="Organic Search"/>
    <x v="9"/>
    <s v="Reactivated"/>
    <s v="New Cta Copy"/>
    <s v="Control"/>
    <n v="5"/>
    <s v="5 steps"/>
    <n v="154"/>
    <s v="No"/>
    <x v="0"/>
    <x v="1"/>
    <s v="No Error"/>
    <x v="0"/>
    <n v="136.06"/>
    <n v="0"/>
    <n v="0"/>
    <s v="Feature Navigation"/>
    <s v="Yes"/>
    <s v="Feature Navigation"/>
    <s v="Unresolved"/>
    <n v="2"/>
    <s v="No drop-off"/>
    <n v="3"/>
    <n v="44"/>
    <s v="38 days"/>
    <x v="0"/>
    <n v="1"/>
    <n v="1"/>
    <n v="0"/>
    <n v="0"/>
  </r>
  <r>
    <s v="NSF-000970"/>
    <s v="USR-00042"/>
    <s v="SES-2511-84165"/>
    <d v="2025-11-18T00:00:00"/>
    <s v="West Midlands"/>
    <s v="Coventry"/>
    <x v="2"/>
    <s v="25-34"/>
    <s v="Male"/>
    <s v="Ios"/>
    <s v="Iphone"/>
    <s v="7-12 months"/>
    <s v="Free"/>
    <s v="Organic Search"/>
    <x v="10"/>
    <s v="Reactivated"/>
    <s v="No Experiment"/>
    <s v="Control"/>
    <n v="9"/>
    <n v="5"/>
    <n v="269"/>
    <s v="Yes"/>
    <x v="1"/>
    <x v="1"/>
    <s v="No Error"/>
    <x v="1"/>
    <n v="0"/>
    <n v="0"/>
    <n v="0"/>
    <s v="No Support Contact"/>
    <s v="No"/>
    <s v="No Support Contact"/>
    <s v="Not Applicable"/>
    <m/>
    <s v="Too many steps"/>
    <n v="2"/>
    <n v="-39"/>
    <n v="40"/>
    <x v="0"/>
    <n v="0"/>
    <n v="0"/>
    <n v="0"/>
    <n v="0"/>
  </r>
  <r>
    <s v="NSF-000412"/>
    <s v="USR-00024"/>
    <s v="SES-2505-27476"/>
    <d v="2025-05-23T00:00:00"/>
    <s v="Wales"/>
    <s v="Swansea"/>
    <x v="1"/>
    <s v="25-34"/>
    <s v="Male"/>
    <s v="Android"/>
    <s v="Android Phone"/>
    <s v="1-2 years"/>
    <s v="Free"/>
    <s v="Direct"/>
    <x v="8"/>
    <s v="Repeat Use"/>
    <s v="No Experiment"/>
    <s v="Control"/>
    <n v="5"/>
    <n v="5"/>
    <n v="132"/>
    <s v="No"/>
    <x v="0"/>
    <x v="1"/>
    <s v="No Error"/>
    <x v="1"/>
    <n v="0"/>
    <n v="0"/>
    <n v="0"/>
    <s v="No Support Contact"/>
    <s v="No"/>
    <s v="No Support Contact"/>
    <s v="Not Applicable"/>
    <m/>
    <s v="No drop-off"/>
    <n v="4"/>
    <n v="34"/>
    <n v="43"/>
    <x v="1"/>
    <n v="1"/>
    <n v="0"/>
    <n v="0"/>
    <n v="1"/>
  </r>
  <r>
    <s v="NSF-001326"/>
    <s v="USR-00760"/>
    <s v="SES-2604-41363"/>
    <d v="2026-04-02T00:00:00"/>
    <s v="Wales"/>
    <s v="Wrexham"/>
    <x v="5"/>
    <s v="35-44"/>
    <s v="Female"/>
    <s v="Web"/>
    <s v="Desktop"/>
    <s v="3-6 months"/>
    <s v="Free"/>
    <s v="Direct"/>
    <x v="5"/>
    <s v="Reactivated"/>
    <s v="No Experiment"/>
    <s v="Control"/>
    <n v="8"/>
    <n v="5"/>
    <n v="250"/>
    <s v="Yes"/>
    <x v="1"/>
    <x v="1"/>
    <s v="No Error"/>
    <x v="1"/>
    <n v="0"/>
    <n v="0"/>
    <n v="0"/>
    <s v="No Support Contact"/>
    <s v="No"/>
    <s v="No Support Contact"/>
    <s v="Not Applicable"/>
    <m/>
    <s v="Instructions unclear"/>
    <n v="2"/>
    <n v="-33"/>
    <n v="49"/>
    <x v="0"/>
    <n v="0"/>
    <n v="0"/>
    <n v="0"/>
    <n v="0"/>
  </r>
  <r>
    <s v="NSF-000280"/>
    <s v="USR-00263"/>
    <s v="SES-2503-74225"/>
    <d v="2025-03-17T00:00:00"/>
    <s v="South West"/>
    <s v="Gloucester"/>
    <x v="1"/>
    <s v="25-34"/>
    <s v="Female"/>
    <s v="Web"/>
    <s v="Mobile Browser"/>
    <s v="7-12 months"/>
    <s v="Premium"/>
    <s v="Paid Social"/>
    <x v="3"/>
    <s v="Repeat Use"/>
    <s v="No Experiment"/>
    <s v="Control"/>
    <s v="6 steps"/>
    <s v="6 steps"/>
    <n v="142"/>
    <s v="No"/>
    <x v="0"/>
    <x v="0"/>
    <s v="Contact Permission Denied"/>
    <x v="1"/>
    <n v="0"/>
    <n v="0"/>
    <n v="0"/>
    <s v="Feature Navigation"/>
    <s v="Yes"/>
    <s v="Feature Navigation"/>
    <s v="Resolved"/>
    <n v="15"/>
    <s v="No drop-off"/>
    <n v="3"/>
    <n v="-9"/>
    <n v="31"/>
    <x v="0"/>
    <n v="1"/>
    <n v="0"/>
    <n v="1"/>
    <n v="0"/>
  </r>
  <r>
    <s v="NSF-001185"/>
    <s v="USR-00761"/>
    <s v="SES-2602-44902"/>
    <d v="2026-02-21T00:00:00"/>
    <s v="Northern Ireland"/>
    <s v="Newry"/>
    <x v="3"/>
    <s v="45-54"/>
    <s v="Female"/>
    <s v="Android"/>
    <s v="Android Phone"/>
    <s v="&lt;3 months"/>
    <s v="Plus"/>
    <s v="Direct"/>
    <x v="1"/>
    <s v="Repeat Use"/>
    <s v="Fee Transparency Panel"/>
    <s v="Treatment"/>
    <n v="4"/>
    <n v="4"/>
    <n v="103"/>
    <s v="No"/>
    <x v="0"/>
    <x v="1"/>
    <s v="No Error"/>
    <x v="0"/>
    <n v="127.5"/>
    <n v="0.23"/>
    <n v="0.17"/>
    <s v="No Support Contact"/>
    <s v="No"/>
    <s v="No Support Contact"/>
    <s v="Not Applicable"/>
    <m/>
    <s v="No drop-off"/>
    <n v="4"/>
    <n v="23"/>
    <n v="40"/>
    <x v="1"/>
    <n v="1"/>
    <n v="1"/>
    <n v="0"/>
    <n v="1"/>
  </r>
  <r>
    <s v="NSF-000824"/>
    <s v="USR-00100"/>
    <s v="SES-2509-58059"/>
    <d v="2025-09-06T00:00:00"/>
    <s v="East Midlands"/>
    <s v="Leicester"/>
    <x v="4"/>
    <s v="25-34"/>
    <s v="Female"/>
    <s v="Ios"/>
    <s v="Iphone"/>
    <s v="1-2 years"/>
    <s v="Free"/>
    <s v="Employer Partnership"/>
    <x v="3"/>
    <s v="Trial/Exploration"/>
    <s v="No Experiment"/>
    <s v="Control"/>
    <s v="6 steps"/>
    <n v="3"/>
    <n v="174"/>
    <s v="Yes"/>
    <x v="1"/>
    <x v="1"/>
    <s v="No Error"/>
    <x v="1"/>
    <n v="0"/>
    <n v="0"/>
    <n v="0"/>
    <s v="Account Verification"/>
    <s v="Yes"/>
    <s v="Account Verification"/>
    <s v="Resolved"/>
    <n v="33"/>
    <s v="Too many steps"/>
    <n v="3"/>
    <n v="13"/>
    <n v="42"/>
    <x v="1"/>
    <n v="0"/>
    <n v="0"/>
    <n v="0"/>
    <n v="1"/>
  </r>
  <r>
    <s v="NSF-001307"/>
    <s v="USR-00798"/>
    <s v="SES-2604-52189"/>
    <d v="2026-04-03T00:00:00"/>
    <s v="East England"/>
    <s v="Ipswich"/>
    <x v="3"/>
    <s v="18-24"/>
    <s v="Male"/>
    <s v="Web"/>
    <s v="Mobile Browser"/>
    <s v="1-2 years"/>
    <s v="Free"/>
    <s v="Referral"/>
    <x v="7"/>
    <s v="Repeat Use"/>
    <s v="Simplified Onboarding"/>
    <s v="Treatment"/>
    <n v="4"/>
    <n v="4"/>
    <n v="109"/>
    <s v="No"/>
    <x v="0"/>
    <x v="1"/>
    <s v="No Error"/>
    <x v="0"/>
    <n v="73.33"/>
    <n v="0.54"/>
    <n v="0"/>
    <s v="No Support Contact"/>
    <s v="No"/>
    <s v="No Support Contact"/>
    <s v="Not Applicable"/>
    <m/>
    <s v="No drop-off"/>
    <n v="4"/>
    <n v="49"/>
    <n v="50"/>
    <x v="1"/>
    <n v="1"/>
    <n v="1"/>
    <n v="0"/>
    <n v="1"/>
  </r>
  <r>
    <s v="NSF-000238"/>
    <s v="USR-00498"/>
    <s v="SES-2503-73621"/>
    <d v="2025-03-04T00:00:00"/>
    <s v="London"/>
    <s v="Hackney"/>
    <x v="5"/>
    <s v="45-54"/>
    <s v="Male"/>
    <s v="Android"/>
    <s v="Android Phone"/>
    <s v="7-12 months"/>
    <s v="Plus"/>
    <s v="Affiliate"/>
    <x v="0"/>
    <s v="Repeat Use"/>
    <s v="Simplified Onboarding"/>
    <s v="Control"/>
    <n v="7"/>
    <n v="6"/>
    <n v="221"/>
    <s v="Yes"/>
    <x v="0"/>
    <x v="1"/>
    <s v="No Error"/>
    <x v="0"/>
    <n v="69.650000000000006"/>
    <n v="0"/>
    <n v="0.17"/>
    <s v="No Support Contact"/>
    <s v="No"/>
    <s v="No Support Contact"/>
    <s v="Not Applicable"/>
    <m/>
    <s v="No drop-off"/>
    <n v="3"/>
    <n v="9"/>
    <n v="5"/>
    <x v="1"/>
    <n v="1"/>
    <n v="1"/>
    <n v="0"/>
    <n v="1"/>
  </r>
  <r>
    <s v="NSF-000063"/>
    <s v="USR-00730"/>
    <s v="SES-2501-95048"/>
    <d v="2025-01-31T00:00:00"/>
    <s v="Northern Ireland"/>
    <s v="Belfast"/>
    <x v="0"/>
    <s v="45-54"/>
    <s v="Male"/>
    <s v="Web"/>
    <s v="Mobile Browser"/>
    <s v="&lt;3 months"/>
    <s v="Plus"/>
    <s v="Organic Search"/>
    <x v="7"/>
    <s v="Repeat Use"/>
    <s v="No Experiment"/>
    <s v="Control"/>
    <n v="4"/>
    <n v="4"/>
    <n v="89"/>
    <s v="No"/>
    <x v="1"/>
    <x v="1"/>
    <s v="No Error"/>
    <x v="0"/>
    <n v="56.66"/>
    <n v="0.56999999999999995"/>
    <n v="0.17"/>
    <s v="No Support Contact"/>
    <s v="No"/>
    <s v="No Support Contact"/>
    <s v="Not Applicable"/>
    <m/>
    <s v="No drop-off"/>
    <n v="3"/>
    <n v="13"/>
    <n v="1"/>
    <x v="0"/>
    <n v="0"/>
    <n v="1"/>
    <n v="0"/>
    <n v="0"/>
  </r>
  <r>
    <s v="NSF-000117"/>
    <s v="USR-00426"/>
    <s v="SES-2502-61112"/>
    <d v="2025-02-21T00:00:00"/>
    <s v="Yorkshire &amp; Humber"/>
    <s v="Leeds"/>
    <x v="2"/>
    <s v="45-54"/>
    <s v="Female"/>
    <s v="Android"/>
    <s v="Android Phone"/>
    <s v="1-2 years"/>
    <s v="Free"/>
    <s v="Paid Social"/>
    <x v="5"/>
    <s v="Trial/Exploration"/>
    <s v="Fee Transparency Panel"/>
    <s v="Treatment"/>
    <n v="8"/>
    <s v="8 steps"/>
    <n v="150"/>
    <s v="No"/>
    <x v="0"/>
    <x v="1"/>
    <s v="No Error"/>
    <x v="0"/>
    <n v="382.13"/>
    <n v="2.63"/>
    <n v="0"/>
    <s v="No Support Contact"/>
    <s v="No"/>
    <s v="No Support Contact"/>
    <s v="Not Applicable"/>
    <m/>
    <s v="No drop-off"/>
    <n v="4"/>
    <n v="12"/>
    <n v="44"/>
    <x v="1"/>
    <n v="1"/>
    <n v="1"/>
    <n v="0"/>
    <n v="1"/>
  </r>
  <r>
    <s v="NSF-000599"/>
    <s v="USR-00575"/>
    <s v="SES-2507-74148"/>
    <d v="2025-07-15T00:00:00"/>
    <s v="West Midlands"/>
    <s v="Solihull"/>
    <x v="0"/>
    <s v="18-24"/>
    <s v="Female"/>
    <s v="Ios"/>
    <s v="Iphone"/>
    <s v="&lt;3 months"/>
    <s v="Plus"/>
    <s v="Paid Search"/>
    <x v="1"/>
    <s v="Repeat Use"/>
    <s v="No Experiment"/>
    <s v="Control"/>
    <n v="4"/>
    <n v="4"/>
    <n v="108"/>
    <s v="No"/>
    <x v="0"/>
    <x v="1"/>
    <s v="No Error"/>
    <x v="1"/>
    <n v="0"/>
    <n v="0"/>
    <n v="0"/>
    <s v="No Support Contact"/>
    <s v="No"/>
    <s v="No Support Contact"/>
    <s v="Not Applicable"/>
    <m/>
    <s v="No drop-off"/>
    <n v="4"/>
    <n v="39"/>
    <n v="17"/>
    <x v="1"/>
    <n v="1"/>
    <n v="0"/>
    <n v="0"/>
    <n v="1"/>
  </r>
  <r>
    <s v="NSF-001046"/>
    <s v="USR-00059"/>
    <s v="SES-2512-46040"/>
    <d v="2025-12-20T00:00:00"/>
    <s v="Northern Ireland"/>
    <s v="Newry"/>
    <x v="1"/>
    <s v="18-24"/>
    <s v="Male"/>
    <s v="Ios"/>
    <s v="Iphone"/>
    <s v="2+ years"/>
    <s v="Premium"/>
    <s v="App Store"/>
    <x v="9"/>
    <s v="First Use"/>
    <s v="No Experiment"/>
    <s v="Control"/>
    <n v="5"/>
    <n v="5"/>
    <n v="139"/>
    <s v="No"/>
    <x v="1"/>
    <x v="1"/>
    <s v="No Error"/>
    <x v="0"/>
    <n v="30.15"/>
    <n v="0"/>
    <n v="0.37"/>
    <s v="No Support Contact"/>
    <s v="No"/>
    <s v="No Support Contact"/>
    <s v="Not Applicable"/>
    <m/>
    <s v="Technical error"/>
    <n v="3"/>
    <n v="-3"/>
    <n v="0"/>
    <x v="0"/>
    <n v="0"/>
    <n v="1"/>
    <n v="0"/>
    <n v="0"/>
  </r>
  <r>
    <s v="NSF-000359"/>
    <s v="USR-00719"/>
    <s v="SES-2504-70859"/>
    <d v="2025-04-04T00:00:00"/>
    <s v="South East"/>
    <s v="Canterbury"/>
    <x v="0"/>
    <s v="45-54"/>
    <s v="Male"/>
    <s v="Android"/>
    <s v="Android Phone"/>
    <s v="3-6 months"/>
    <s v="Free"/>
    <s v="Referral"/>
    <x v="3"/>
    <s v="Repeat Use"/>
    <s v="Simplified Onboarding"/>
    <s v="Control"/>
    <n v="6"/>
    <n v="6"/>
    <n v="109"/>
    <s v="No"/>
    <x v="0"/>
    <x v="1"/>
    <s v="No Error"/>
    <x v="0"/>
    <n v="0"/>
    <n v="0.11"/>
    <n v="0"/>
    <s v="No Support Contact"/>
    <s v="No"/>
    <s v="No Support Contact"/>
    <s v="Not Applicable"/>
    <m/>
    <s v="No drop-off"/>
    <n v="3"/>
    <n v="29"/>
    <n v="14"/>
    <x v="0"/>
    <n v="1"/>
    <n v="1"/>
    <n v="0"/>
    <n v="0"/>
  </r>
  <r>
    <s v="NSF-000962"/>
    <s v="USR-00675"/>
    <s v="SES-2511-37260"/>
    <d v="2025-11-13T00:00:00"/>
    <s v="Scotland"/>
    <s v="Edinburgh"/>
    <x v="0"/>
    <s v="25-34"/>
    <s v="Female"/>
    <s v="Android"/>
    <s v="Android Phone"/>
    <s v="2+ years"/>
    <s v="Plus"/>
    <s v="Organic Search"/>
    <x v="7"/>
    <s v="Repeat Use"/>
    <s v="No Experiment"/>
    <s v="Control"/>
    <n v="4"/>
    <n v="4"/>
    <n v="83"/>
    <s v="No"/>
    <x v="1"/>
    <x v="1"/>
    <s v="No Error"/>
    <x v="0"/>
    <n v="47.73"/>
    <n v="0.49"/>
    <n v="0.17"/>
    <s v="No Support Contact"/>
    <s v="No"/>
    <s v="No Support Contact"/>
    <s v="Not Applicable"/>
    <m/>
    <s v="No drop-off"/>
    <n v="3"/>
    <n v="15"/>
    <n v="26"/>
    <x v="1"/>
    <n v="0"/>
    <n v="1"/>
    <n v="0"/>
    <n v="1"/>
  </r>
  <r>
    <s v="NSF-000558"/>
    <s v="USR-00289"/>
    <s v="SES-2506-40155"/>
    <d v="2025-06-28T00:00:00"/>
    <s v="East Midlands"/>
    <s v="Derby"/>
    <x v="7"/>
    <s v="18-24"/>
    <s v="Male"/>
    <s v="Android"/>
    <s v="Android Phone"/>
    <s v="3-6 months"/>
    <s v="Plus"/>
    <s v="Referral"/>
    <x v="8"/>
    <s v="Repeat Use"/>
    <s v="Contextual Help"/>
    <s v="Treatment"/>
    <s v="5 steps"/>
    <n v="4"/>
    <n v="191"/>
    <s v="Yes"/>
    <x v="0"/>
    <x v="1"/>
    <s v="No Error"/>
    <x v="0"/>
    <n v="0"/>
    <n v="0"/>
    <n v="0.17"/>
    <s v="No Support Contact"/>
    <s v="No"/>
    <s v="No Support Contact"/>
    <s v="Not Applicable"/>
    <m/>
    <s v="No drop-off"/>
    <n v="3"/>
    <n v="53"/>
    <n v="40"/>
    <x v="1"/>
    <n v="1"/>
    <n v="1"/>
    <n v="0"/>
    <n v="1"/>
  </r>
  <r>
    <s v="NSF-000082"/>
    <s v="USR-00235"/>
    <s v="SES-2501-16314"/>
    <d v="2025-01-04T00:00:00"/>
    <s v="Wales"/>
    <s v="Newport"/>
    <x v="7"/>
    <s v="55-64"/>
    <s v="Female"/>
    <s v="Web"/>
    <s v="Desktop"/>
    <s v="1-2 years"/>
    <s v="Free"/>
    <s v="Paid Search"/>
    <x v="1"/>
    <s v="First Use"/>
    <s v="Progress Indicator"/>
    <s v="Treatment"/>
    <n v="4"/>
    <n v="2"/>
    <n v="158"/>
    <s v="Yes"/>
    <x v="0"/>
    <x v="1"/>
    <s v="No Error"/>
    <x v="0"/>
    <n v="72.709999999999994"/>
    <n v="0.19"/>
    <n v="0"/>
    <s v="No Support Contact"/>
    <s v="No"/>
    <s v="No Support Contact"/>
    <s v="Not Applicable"/>
    <m/>
    <s v="No drop-off"/>
    <n v="4"/>
    <n v="50"/>
    <n v="0"/>
    <x v="1"/>
    <n v="1"/>
    <n v="1"/>
    <n v="0"/>
    <n v="1"/>
  </r>
  <r>
    <s v="NSF-000299"/>
    <s v="USR-00005"/>
    <s v="SES-2504-58006"/>
    <d v="2025-04-02T00:00:00"/>
    <s v="Scotland"/>
    <s v="Dundee"/>
    <x v="3"/>
    <s v="35-44"/>
    <s v="Male"/>
    <s v="Ios"/>
    <s v="Iphone"/>
    <s v="2+ years"/>
    <s v="Free"/>
    <s v="Employer Partnership"/>
    <x v="5"/>
    <s v="First Use"/>
    <s v="Progress Indicator"/>
    <s v="Control"/>
    <n v="8"/>
    <n v="4"/>
    <n v="246"/>
    <s v="Yes"/>
    <x v="0"/>
    <x v="1"/>
    <s v="No Error"/>
    <x v="0"/>
    <n v="456.63"/>
    <n v="2.19"/>
    <n v="0"/>
    <s v="Transaction Failure"/>
    <s v="Yes"/>
    <s v="Transaction Failure"/>
    <s v="Resolved"/>
    <n v="25"/>
    <s v="No drop-off"/>
    <n v="3"/>
    <n v="41"/>
    <n v="0"/>
    <x v="0"/>
    <n v="1"/>
    <n v="1"/>
    <n v="0"/>
    <n v="0"/>
  </r>
  <r>
    <s v="NSF-000997"/>
    <s v="USR-00693"/>
    <s v="SES-2512-80557"/>
    <d v="2025-12-03T00:00:00"/>
    <s v="East Midlands"/>
    <s v="Nottingham"/>
    <x v="0"/>
    <s v="25-34"/>
    <s v="Male"/>
    <s v="Ios"/>
    <s v="Ipad"/>
    <s v="2+ years"/>
    <s v="Free"/>
    <s v="Referral"/>
    <x v="0"/>
    <s v="Repeat Use"/>
    <s v="Progress Indicator"/>
    <s v="Control"/>
    <n v="7"/>
    <n v="7"/>
    <n v="245"/>
    <s v="No"/>
    <x v="0"/>
    <x v="0"/>
    <s v="Category Setup Confusion"/>
    <x v="0"/>
    <n v="0"/>
    <n v="0"/>
    <n v="0"/>
    <s v="Feature Navigation"/>
    <s v="Yes"/>
    <s v="Feature Navigation"/>
    <s v="Resolved"/>
    <n v="29"/>
    <s v="No drop-off"/>
    <n v="4"/>
    <n v="-33"/>
    <n v="11"/>
    <x v="0"/>
    <n v="1"/>
    <n v="1"/>
    <n v="1"/>
    <n v="0"/>
  </r>
  <r>
    <s v="NSF-001114"/>
    <s v="USR-00504"/>
    <s v="SES-2601-18347"/>
    <d v="2026-01-27T00:00:00"/>
    <s v="Wales"/>
    <s v="Newport"/>
    <x v="2"/>
    <s v="55-64"/>
    <s v="Male"/>
    <s v="Android"/>
    <s v="Android Phone"/>
    <s v="&lt;3 months"/>
    <s v="Premium"/>
    <s v="Employer Partnership"/>
    <x v="1"/>
    <s v="First Use"/>
    <s v="Simplified Onboarding"/>
    <s v="Treatment"/>
    <n v="4"/>
    <n v="4"/>
    <n v="101"/>
    <s v="No"/>
    <x v="0"/>
    <x v="1"/>
    <s v="No Error"/>
    <x v="0"/>
    <n v="122.72"/>
    <n v="0.22"/>
    <n v="0.37"/>
    <s v="No Support Contact"/>
    <s v="No"/>
    <s v="No Support Contact"/>
    <s v="Not Applicable"/>
    <m/>
    <s v="No drop-off"/>
    <n v="5"/>
    <n v="61"/>
    <s v="0 days"/>
    <x v="1"/>
    <n v="1"/>
    <n v="1"/>
    <n v="0"/>
    <n v="1"/>
  </r>
  <r>
    <s v="NSF-000263"/>
    <s v="USR-00647"/>
    <s v="SES-2503-12019"/>
    <d v="2025-03-08T00:00:00"/>
    <s v="London"/>
    <s v="Hackney"/>
    <x v="0"/>
    <s v="35-44"/>
    <s v="Male"/>
    <s v="Ios"/>
    <s v="Iphone"/>
    <s v="3-6 months"/>
    <s v="Free"/>
    <s v="Paid Search"/>
    <x v="5"/>
    <s v="Repeat Use"/>
    <s v="No Experiment"/>
    <s v="Control"/>
    <n v="8"/>
    <n v="8"/>
    <n v="167"/>
    <s v="No"/>
    <x v="1"/>
    <x v="1"/>
    <s v="No Error"/>
    <x v="1"/>
    <n v="0"/>
    <n v="0"/>
    <n v="0"/>
    <s v="No Support Contact"/>
    <s v="No"/>
    <s v="No Support Contact"/>
    <s v="Not Applicable"/>
    <m/>
    <s v="Verification took too long"/>
    <n v="4"/>
    <n v="-3"/>
    <n v="15"/>
    <x v="0"/>
    <n v="0"/>
    <n v="0"/>
    <n v="0"/>
    <n v="0"/>
  </r>
  <r>
    <s v="NSF-000262"/>
    <s v="USR-00353"/>
    <s v="SES-2503-27951"/>
    <d v="2025-03-29T00:00:00"/>
    <s v="East Midlands"/>
    <s v="Lincoln"/>
    <x v="0"/>
    <s v="45-54"/>
    <s v="Male"/>
    <s v="Ios"/>
    <s v="Iphone"/>
    <s v="&lt;3 months"/>
    <s v="Plus"/>
    <s v="Referral"/>
    <x v="8"/>
    <s v="First Use"/>
    <s v="Progress Indicator"/>
    <s v="Control"/>
    <n v="5"/>
    <n v="4"/>
    <n v="243"/>
    <s v="Yes"/>
    <x v="1"/>
    <x v="0"/>
    <s v="Reward Not Tracked"/>
    <x v="0"/>
    <n v="159.37"/>
    <n v="0"/>
    <n v="0.17"/>
    <s v="No Support Contact"/>
    <s v="No"/>
    <s v="No Support Contact"/>
    <s v="Not Applicable"/>
    <m/>
    <s v="Instructions unclear"/>
    <n v="1"/>
    <n v="-9"/>
    <n v="0"/>
    <x v="1"/>
    <n v="0"/>
    <n v="1"/>
    <n v="1"/>
    <n v="1"/>
  </r>
  <r>
    <s v="NSF-000920"/>
    <s v="USR-00600"/>
    <s v="SES-2511-14858"/>
    <d v="2025-11-28T00:00:00"/>
    <s v="South East"/>
    <s v="Oxford"/>
    <x v="0"/>
    <s v="35-44"/>
    <s v="Male"/>
    <s v="Ios"/>
    <s v="Iphone"/>
    <s v="1-2 years"/>
    <s v="Free"/>
    <s v="Employer Partnership"/>
    <x v="5"/>
    <s v="Repeat Use"/>
    <s v="Simplified Onboarding"/>
    <s v="Treatment"/>
    <n v="8"/>
    <n v="8"/>
    <n v="274"/>
    <s v="No"/>
    <x v="1"/>
    <x v="0"/>
    <s v="Fx Rate Confusion"/>
    <x v="2"/>
    <n v="0"/>
    <n v="0"/>
    <n v="0"/>
    <s v="Transaction Failure"/>
    <s v="Yes"/>
    <s v="Transaction Failure"/>
    <s v="Resolved"/>
    <n v="68"/>
    <s v="Technical error"/>
    <n v="3"/>
    <n v="-13"/>
    <n v="39"/>
    <x v="0"/>
    <n v="0"/>
    <n v="0"/>
    <n v="1"/>
    <n v="0"/>
  </r>
  <r>
    <s v="NSF-000293"/>
    <s v="USR-00622"/>
    <s v="SES-2503-68698"/>
    <d v="2025-03-04T00:00:00"/>
    <s v="South East"/>
    <s v="Reading"/>
    <x v="2"/>
    <s v="18-24"/>
    <s v="Female"/>
    <s v="Ios"/>
    <s v="Iphone"/>
    <s v="1-2 years"/>
    <s v="Free"/>
    <s v="Referral"/>
    <x v="2"/>
    <s v="First Use"/>
    <s v="No Experiment"/>
    <s v="Control"/>
    <n v="5"/>
    <n v="5"/>
    <n v="184"/>
    <s v="No"/>
    <x v="0"/>
    <x v="0"/>
    <s v="Goal Setup Confusion"/>
    <x v="0"/>
    <n v="48.62"/>
    <n v="0"/>
    <n v="0"/>
    <s v="Account Verification"/>
    <s v="Yes"/>
    <s v="Account Verification"/>
    <s v="Resolved"/>
    <n v="25"/>
    <s v="No drop-off"/>
    <n v="4"/>
    <n v="-12"/>
    <n v="0"/>
    <x v="1"/>
    <n v="1"/>
    <n v="1"/>
    <n v="1"/>
    <n v="1"/>
  </r>
  <r>
    <s v="NSF-001316"/>
    <s v="USR-00843"/>
    <s v="SES-2604-58987"/>
    <d v="2026-04-08T00:00:00"/>
    <s v="Scotland"/>
    <s v="Aberdeen"/>
    <x v="7"/>
    <s v="65+"/>
    <s v="Female"/>
    <s v="Android"/>
    <s v="Android Phone"/>
    <s v="7-12 months"/>
    <s v="Plus"/>
    <s v="Paid Search"/>
    <x v="10"/>
    <s v="Reactivated"/>
    <s v="Fee Transparency Panel"/>
    <s v="Treatment"/>
    <n v="9"/>
    <n v="9"/>
    <n v="347"/>
    <s v="No"/>
    <x v="0"/>
    <x v="0"/>
    <s v="Eligibility Unclear"/>
    <x v="1"/>
    <n v="0"/>
    <n v="0"/>
    <n v="0"/>
    <s v="No Support Contact"/>
    <s v="No"/>
    <s v="No Support Contact"/>
    <s v="Not Applicable"/>
    <m/>
    <s v="No drop-off"/>
    <n v="4"/>
    <n v="-29"/>
    <n v="39"/>
    <x v="1"/>
    <n v="1"/>
    <n v="0"/>
    <n v="1"/>
    <n v="1"/>
  </r>
  <r>
    <s v="NSF-000540"/>
    <s v="USR-00570"/>
    <s v="SES-2506-78644"/>
    <d v="2025-06-21T00:00:00"/>
    <s v="Northern Ireland"/>
    <s v="NEWRY"/>
    <x v="5"/>
    <s v="35-44"/>
    <s v="Male"/>
    <s v="Android"/>
    <s v="Android Phone"/>
    <s v="3-6 months"/>
    <s v="Free"/>
    <s v="App Store"/>
    <x v="7"/>
    <s v="First Use"/>
    <s v="No Experiment"/>
    <s v="Control"/>
    <n v="4"/>
    <s v="4 steps"/>
    <n v="100"/>
    <s v="No"/>
    <x v="0"/>
    <x v="1"/>
    <s v="No Error"/>
    <x v="0"/>
    <n v="56.31"/>
    <n v="0.54"/>
    <n v="0"/>
    <s v="No Support Contact"/>
    <s v="No"/>
    <s v="No Support Contact"/>
    <s v="Not Applicable"/>
    <m/>
    <s v="No drop-off"/>
    <n v="3"/>
    <n v="10"/>
    <s v="0 days"/>
    <x v="1"/>
    <n v="1"/>
    <n v="1"/>
    <n v="0"/>
    <n v="1"/>
  </r>
  <r>
    <s v="NSF-000596"/>
    <s v="USR-00081"/>
    <s v="SES-2507-59073"/>
    <d v="2025-07-16T00:00:00"/>
    <s v="Northern Ireland"/>
    <s v="Newry"/>
    <x v="2"/>
    <s v="35-44"/>
    <s v="Female"/>
    <s v="Android"/>
    <s v="Android Phone"/>
    <s v="2+ years"/>
    <s v="Free"/>
    <s v="Referral"/>
    <x v="0"/>
    <s v="Repeat Use"/>
    <s v="Simplified Onboarding"/>
    <s v="Control"/>
    <n v="7"/>
    <n v="7"/>
    <n v="147"/>
    <s v="No"/>
    <x v="1"/>
    <x v="1"/>
    <s v="No Error"/>
    <x v="0"/>
    <n v="67.27"/>
    <n v="0"/>
    <n v="0"/>
    <s v="No Support Contact"/>
    <s v="No"/>
    <s v="No Support Contact"/>
    <s v="Not Applicable"/>
    <m/>
    <s v="Technical error"/>
    <n v="3"/>
    <n v="19"/>
    <n v="19"/>
    <x v="0"/>
    <n v="0"/>
    <n v="1"/>
    <n v="0"/>
    <n v="0"/>
  </r>
  <r>
    <s v="NSF-000250"/>
    <s v="USR-00624"/>
    <s v="SES-2503-82001"/>
    <d v="2025-03-05T00:00:00"/>
    <s v="North East"/>
    <s v="Middlesbrough"/>
    <x v="5"/>
    <s v="25-34"/>
    <s v="Female"/>
    <s v="Web"/>
    <s v="Mobile Browser"/>
    <s v="1-2 years"/>
    <s v="Plus"/>
    <s v="Paid Search"/>
    <x v="7"/>
    <s v="Trial/Exploration"/>
    <s v="Simplified Onboarding"/>
    <s v="Control"/>
    <n v="4"/>
    <n v="4"/>
    <n v="127"/>
    <s v="No"/>
    <x v="1"/>
    <x v="0"/>
    <s v="Card Activation Failed"/>
    <x v="1"/>
    <n v="0"/>
    <n v="0"/>
    <n v="0"/>
    <s v="No Support Contact"/>
    <s v="No"/>
    <s v="No Support Contact"/>
    <s v="Not Applicable"/>
    <m/>
    <s v="Technical error"/>
    <n v="3"/>
    <n v="-8"/>
    <s v="1 days"/>
    <x v="0"/>
    <n v="0"/>
    <n v="0"/>
    <n v="1"/>
    <n v="0"/>
  </r>
  <r>
    <s v="NSF-000500"/>
    <s v="USR-00702"/>
    <s v="SES-2506-84361"/>
    <d v="2025-07-06T00:00:00"/>
    <s v="East England"/>
    <s v="Ipswich"/>
    <x v="2"/>
    <s v="25-34"/>
    <s v="Male"/>
    <s v="Web"/>
    <s v="Mobile Browser"/>
    <s v="&lt;3 months"/>
    <s v="Free"/>
    <s v="Direct"/>
    <x v="1"/>
    <s v="Reactivated"/>
    <s v="No Experiment"/>
    <s v="Control"/>
    <n v="4"/>
    <n v="4"/>
    <n v="123"/>
    <s v="No"/>
    <x v="1"/>
    <x v="1"/>
    <s v="No Error"/>
    <x v="0"/>
    <n v="137.63"/>
    <n v="0.21"/>
    <n v="0"/>
    <s v="No Support Contact"/>
    <s v="No"/>
    <s v="No Support Contact"/>
    <s v="Not Applicable"/>
    <m/>
    <s v="Unexpected fee"/>
    <n v="4"/>
    <n v="27"/>
    <n v="25"/>
    <x v="1"/>
    <n v="0"/>
    <n v="1"/>
    <n v="0"/>
    <n v="1"/>
  </r>
  <r>
    <s v="NSF-001018"/>
    <s v="USR-00619"/>
    <s v="SES-2512-12072"/>
    <d v="2025-12-18T00:00:00"/>
    <s v="South West"/>
    <s v="Plymouth"/>
    <x v="2"/>
    <s v="45-54"/>
    <s v="Female"/>
    <s v="Ios"/>
    <s v="Iphone"/>
    <s v="3-6 months"/>
    <s v="Free"/>
    <s v="Paid Search"/>
    <x v="2"/>
    <s v="Repeat Use"/>
    <s v="No Experiment"/>
    <s v="Control"/>
    <n v="5"/>
    <s v="5 steps"/>
    <n v="110"/>
    <s v="No"/>
    <x v="0"/>
    <x v="1"/>
    <s v="No Error"/>
    <x v="0"/>
    <n v="108.47"/>
    <n v="0"/>
    <n v="0"/>
    <s v="No Support Contact"/>
    <s v="No"/>
    <s v="No Support Contact"/>
    <s v="Not Applicable"/>
    <m/>
    <s v="No drop-off"/>
    <n v="4"/>
    <n v="1"/>
    <n v="22"/>
    <x v="1"/>
    <n v="1"/>
    <n v="1"/>
    <n v="0"/>
    <n v="1"/>
  </r>
  <r>
    <s v="NSF-000086"/>
    <s v="USR-00093"/>
    <s v="SES-2501-69761"/>
    <d v="2025-01-01T00:00:00"/>
    <s v="Northern Ireland"/>
    <s v="Newry"/>
    <x v="3"/>
    <s v="45-54"/>
    <s v="Female"/>
    <s v="Ios"/>
    <s v="Iphone"/>
    <s v="7-12 months"/>
    <s v="Plus"/>
    <s v="Affiliate"/>
    <x v="1"/>
    <s v="Repeat Use"/>
    <s v="Simplified Onboarding"/>
    <s v="Control"/>
    <n v="4"/>
    <n v="4"/>
    <n v="125"/>
    <s v="No"/>
    <x v="0"/>
    <x v="1"/>
    <s v="No Error"/>
    <x v="0"/>
    <n v="110.33"/>
    <n v="0.2"/>
    <n v="0.17"/>
    <s v="No Support Contact"/>
    <s v="No"/>
    <s v="No Support Contact"/>
    <s v="Not Applicable"/>
    <m/>
    <s v="No drop-off"/>
    <n v="3"/>
    <n v="33"/>
    <n v="10"/>
    <x v="1"/>
    <n v="1"/>
    <n v="1"/>
    <n v="0"/>
    <n v="1"/>
  </r>
  <r>
    <s v="NSF-001231"/>
    <s v="USR-00248"/>
    <s v="SES-2603-97207"/>
    <d v="2026-03-15T00:00:00"/>
    <s v="East England"/>
    <s v="Luton"/>
    <x v="2"/>
    <s v="35-44"/>
    <s v="Female"/>
    <s v="Android"/>
    <s v="Android Phone"/>
    <s v="3-6 months"/>
    <s v="Plus"/>
    <s v="Organic Search"/>
    <x v="0"/>
    <s v="Repeat Use"/>
    <s v="No Experiment"/>
    <s v="Control"/>
    <n v="7"/>
    <n v="7"/>
    <n v="278"/>
    <s v="No"/>
    <x v="1"/>
    <x v="0"/>
    <s v="Category Setup Confusion"/>
    <x v="1"/>
    <n v="0"/>
    <n v="0"/>
    <n v="0"/>
    <s v="No Support Contact"/>
    <s v="No"/>
    <s v="No Support Contact"/>
    <s v="Not Applicable"/>
    <m/>
    <s v="Technical error"/>
    <n v="3"/>
    <n v="25"/>
    <n v="5"/>
    <x v="1"/>
    <n v="0"/>
    <n v="0"/>
    <n v="1"/>
    <n v="1"/>
  </r>
  <r>
    <s v="NSF-000170"/>
    <s v="USR-00559"/>
    <s v="SES-2502-29318"/>
    <d v="2025-02-17T00:00:00"/>
    <s v="South West"/>
    <s v="Bristol"/>
    <x v="3"/>
    <s v="45-54"/>
    <s v="Male"/>
    <s v="Ios"/>
    <s v="Iphone"/>
    <s v="1-2 years"/>
    <s v="Free"/>
    <s v="App Store"/>
    <x v="0"/>
    <s v="Reactivated"/>
    <s v="No Experiment"/>
    <s v="Control"/>
    <n v="7"/>
    <s v="5 steps"/>
    <n v="359"/>
    <s v="Yes"/>
    <x v="0"/>
    <x v="1"/>
    <s v="No Error"/>
    <x v="0"/>
    <n v="82.64"/>
    <n v="0"/>
    <n v="0"/>
    <s v="No Support Contact"/>
    <s v="No"/>
    <s v="No Support Contact"/>
    <s v="Not Applicable"/>
    <m/>
    <s v="No drop-off"/>
    <n v="3"/>
    <n v="14"/>
    <n v="38"/>
    <x v="1"/>
    <n v="1"/>
    <n v="1"/>
    <n v="0"/>
    <n v="1"/>
  </r>
  <r>
    <s v="NSF-001410"/>
    <s v="USR-00693"/>
    <s v="SES-2605-24387"/>
    <d v="2026-05-31T00:00:00"/>
    <s v="London"/>
    <s v="Hackney"/>
    <x v="5"/>
    <s v="65+"/>
    <s v="Female"/>
    <s v="Android"/>
    <s v="Android Phone"/>
    <s v="7-12 months"/>
    <s v="Free"/>
    <s v="Employer Partnership"/>
    <x v="1"/>
    <s v="First Use"/>
    <s v="No Experiment"/>
    <s v="Control"/>
    <n v="4"/>
    <n v="4"/>
    <n v="154"/>
    <s v="No"/>
    <x v="0"/>
    <x v="0"/>
    <s v="Bank Connection Failed"/>
    <x v="0"/>
    <n v="220.29"/>
    <n v="0.23"/>
    <n v="0"/>
    <s v="Feature Navigation"/>
    <s v="Yes"/>
    <s v="Feature Navigation"/>
    <s v="Unresolved"/>
    <n v="33"/>
    <s v="No drop-off"/>
    <n v="5"/>
    <n v="15"/>
    <s v="0 days"/>
    <x v="1"/>
    <n v="1"/>
    <n v="1"/>
    <n v="1"/>
    <n v="1"/>
  </r>
  <r>
    <s v="NSF-000897"/>
    <s v="USR-00743"/>
    <s v="SES-2510-81225"/>
    <d v="2025-10-25T00:00:00"/>
    <s v="London"/>
    <s v="Camden"/>
    <x v="1"/>
    <s v="25-34"/>
    <s v="Male"/>
    <s v="Android"/>
    <s v="Android Phone"/>
    <s v="7-12 months"/>
    <s v="Free"/>
    <s v="Organic Search"/>
    <x v="5"/>
    <s v="First Use"/>
    <s v="Fee Transparency Panel"/>
    <s v="Treatment"/>
    <n v="8"/>
    <s v="8 steps"/>
    <n v="232"/>
    <s v="No"/>
    <x v="0"/>
    <x v="1"/>
    <s v="No Error"/>
    <x v="1"/>
    <n v="0"/>
    <n v="0"/>
    <n v="0"/>
    <s v="No Support Contact"/>
    <s v="No"/>
    <s v="No Support Contact"/>
    <s v="Not Applicable"/>
    <m/>
    <s v="No drop-off"/>
    <n v="4"/>
    <n v="4"/>
    <n v="0"/>
    <x v="1"/>
    <n v="1"/>
    <n v="0"/>
    <n v="0"/>
    <n v="1"/>
  </r>
  <r>
    <s v="NSF-000048"/>
    <s v="USR-00759"/>
    <s v="SES-2501-40912"/>
    <d v="2025-01-25T00:00:00"/>
    <s v="South West"/>
    <s v="Gloucester"/>
    <x v="3"/>
    <s v="35-44"/>
    <s v="Male"/>
    <s v="Android"/>
    <s v="Android Phone"/>
    <s v="7-12 months"/>
    <s v="Free"/>
    <s v="App Store"/>
    <x v="2"/>
    <s v="Repeat Use"/>
    <s v="Simplified Onboarding"/>
    <s v="Treatment"/>
    <n v="5"/>
    <n v="5"/>
    <n v="159"/>
    <s v="No"/>
    <x v="0"/>
    <x v="1"/>
    <s v="No Error"/>
    <x v="0"/>
    <n v="0"/>
    <n v="0"/>
    <n v="0"/>
    <s v="No Support Contact"/>
    <s v="No"/>
    <s v="No Support Contact"/>
    <s v="Not Applicable"/>
    <m/>
    <s v="No drop-off"/>
    <n v="4"/>
    <n v="67"/>
    <n v="51"/>
    <x v="1"/>
    <n v="1"/>
    <n v="1"/>
    <n v="0"/>
    <n v="1"/>
  </r>
  <r>
    <s v="NSF-000633"/>
    <s v="USR-00033"/>
    <s v="SES-2507-47075"/>
    <d v="2025-07-16T00:00:00"/>
    <s v="Yorkshire &amp; Humber"/>
    <s v="Hull"/>
    <x v="2"/>
    <s v="35-44"/>
    <s v="Female"/>
    <s v="Android"/>
    <s v="Android Phone"/>
    <s v="2+ years"/>
    <s v="Free"/>
    <s v="Paid Social"/>
    <x v="2"/>
    <s v="Reactivated"/>
    <s v="No Experiment"/>
    <s v="Control"/>
    <n v="5"/>
    <n v="3"/>
    <n v="286"/>
    <s v="Yes"/>
    <x v="1"/>
    <x v="0"/>
    <s v="Round-Up Not Activated"/>
    <x v="0"/>
    <n v="81.14"/>
    <n v="0"/>
    <n v="0"/>
    <s v="No Support Contact"/>
    <s v="No"/>
    <s v="No Support Contact"/>
    <s v="Not Applicable"/>
    <m/>
    <s v="Technical error"/>
    <n v="2"/>
    <n v="-8"/>
    <n v="29"/>
    <x v="1"/>
    <n v="0"/>
    <n v="1"/>
    <n v="1"/>
    <n v="1"/>
  </r>
  <r>
    <s v="NSF-000577"/>
    <s v="USR-00410"/>
    <s v="SES-2507-27451"/>
    <d v="2025-07-07T00:00:00"/>
    <s v="East Midlands"/>
    <s v="Derby"/>
    <x v="1"/>
    <s v="18-24"/>
    <s v="Female"/>
    <s v="Ios"/>
    <s v="Iphone"/>
    <s v="1-2 years"/>
    <s v="Premium"/>
    <s v="Paid Social"/>
    <x v="9"/>
    <s v="Repeat Use"/>
    <s v="Simplified Onboarding"/>
    <s v="Treatment"/>
    <n v="5"/>
    <n v="5"/>
    <n v="95"/>
    <s v="No"/>
    <x v="0"/>
    <x v="1"/>
    <s v="No Error"/>
    <x v="0"/>
    <n v="70.709999999999994"/>
    <n v="0"/>
    <n v="0.37"/>
    <s v="Feature Navigation"/>
    <s v="Unknown"/>
    <s v="Feature Navigation"/>
    <s v="Resolved"/>
    <n v="18"/>
    <s v="No drop-off"/>
    <n v="4"/>
    <n v="36"/>
    <n v="21"/>
    <x v="1"/>
    <n v="1"/>
    <n v="1"/>
    <n v="0"/>
    <n v="1"/>
  </r>
  <r>
    <s v="NSF-001143"/>
    <s v="USR-00266"/>
    <s v="SES-2601-84385"/>
    <d v="2026-01-30T00:00:00"/>
    <s v="North East"/>
    <s v="Durham"/>
    <x v="7"/>
    <s v="18-24"/>
    <s v="Female"/>
    <s v="Android"/>
    <s v="Android Phone"/>
    <s v="3-6 months"/>
    <s v="Free"/>
    <s v="Direct"/>
    <x v="4"/>
    <s v="Repeat Use"/>
    <s v="Fee Transparency Panel"/>
    <s v="Control"/>
    <n v="6"/>
    <n v="3"/>
    <n v="171"/>
    <s v="Yes"/>
    <x v="1"/>
    <x v="1"/>
    <s v="No Error"/>
    <x v="1"/>
    <n v="0"/>
    <n v="0"/>
    <n v="0"/>
    <s v="No Support Contact"/>
    <s v="No"/>
    <s v="No Support Contact"/>
    <s v="Not Applicable"/>
    <m/>
    <s v="Too many steps"/>
    <n v="2"/>
    <n v="5"/>
    <n v="56"/>
    <x v="1"/>
    <n v="0"/>
    <n v="0"/>
    <n v="0"/>
    <n v="1"/>
  </r>
  <r>
    <s v="NSF-001082"/>
    <s v="USR-00260"/>
    <s v="SES-2601-63859"/>
    <d v="2026-01-26T00:00:00"/>
    <s v="East England"/>
    <s v="Norwich"/>
    <x v="0"/>
    <s v="25-34"/>
    <s v="Female"/>
    <s v="Ios"/>
    <s v="Iphone"/>
    <s v="&lt;3 months"/>
    <s v="Basic"/>
    <s v="Referral"/>
    <x v="1"/>
    <s v="Repeat Use"/>
    <s v="Progress Indicator"/>
    <s v="Control"/>
    <n v="4"/>
    <n v="2"/>
    <n v="160"/>
    <s v="Yes"/>
    <x v="0"/>
    <x v="1"/>
    <s v="No Error"/>
    <x v="0"/>
    <n v="131.9"/>
    <n v="0.17"/>
    <n v="0"/>
    <s v="No Support Contact"/>
    <s v="No"/>
    <s v="No Support Contact"/>
    <s v="Not Applicable"/>
    <m/>
    <s v="No drop-off"/>
    <n v="4"/>
    <n v="-11"/>
    <s v="32 days"/>
    <x v="1"/>
    <n v="1"/>
    <n v="1"/>
    <n v="0"/>
    <n v="1"/>
  </r>
  <r>
    <s v="NSF-001305"/>
    <s v="USR-00508"/>
    <s v="SES-2604-56186"/>
    <d v="2026-04-10T00:00:00"/>
    <s v="South East"/>
    <s v="Canterbury"/>
    <x v="3"/>
    <s v="35-44"/>
    <s v="Non-Binary"/>
    <s v="Web"/>
    <s v="Desktop"/>
    <s v="1-2 years"/>
    <s v="Premium"/>
    <s v="Paid Social"/>
    <x v="1"/>
    <s v="Repeat Use"/>
    <s v="Simplified Onboarding"/>
    <s v="Control"/>
    <n v="4"/>
    <n v="3"/>
    <n v="189"/>
    <s v="Yes"/>
    <x v="0"/>
    <x v="1"/>
    <s v="No Error"/>
    <x v="0"/>
    <n v="102.98"/>
    <n v="0.21"/>
    <n v="0.37"/>
    <s v="No Support Contact"/>
    <s v="No"/>
    <s v="No Support Contact"/>
    <s v="Not Applicable"/>
    <m/>
    <s v="No drop-off"/>
    <n v="2"/>
    <n v="-7"/>
    <n v="33"/>
    <x v="1"/>
    <n v="1"/>
    <n v="1"/>
    <n v="0"/>
    <n v="1"/>
  </r>
  <r>
    <s v="NSF-001198"/>
    <s v="USR-00654"/>
    <s v="SES-2602-90119"/>
    <d v="2026-02-25T00:00:00"/>
    <s v="Northern Ireland"/>
    <s v="Lisburn"/>
    <x v="1"/>
    <s v="25-34"/>
    <s v="N/A"/>
    <s v="Android"/>
    <s v="Android Phone"/>
    <s v="1-2 years"/>
    <s v="Free"/>
    <s v="Paid Social"/>
    <x v="1"/>
    <s v="Repeat Use"/>
    <s v="No Experiment"/>
    <s v="Control"/>
    <s v="4 steps"/>
    <n v="4"/>
    <n v="106"/>
    <s v="No"/>
    <x v="0"/>
    <x v="1"/>
    <s v="No Error"/>
    <x v="1"/>
    <n v="0"/>
    <n v="0"/>
    <n v="0"/>
    <s v="Feature Navigation"/>
    <s v="Yes"/>
    <s v="Feature Navigation"/>
    <s v="Resolved"/>
    <n v="20"/>
    <s v="No drop-off"/>
    <n v="4"/>
    <n v="64"/>
    <s v="55 days"/>
    <x v="1"/>
    <n v="1"/>
    <n v="0"/>
    <n v="0"/>
    <n v="1"/>
  </r>
  <r>
    <s v="NSF-000158"/>
    <s v="USR-00363"/>
    <s v="SES-2502-69212"/>
    <d v="2025-02-19T00:00:00"/>
    <s v="Northern Ireland"/>
    <s v="Newry"/>
    <x v="0"/>
    <s v="45-54"/>
    <s v="Female"/>
    <s v="Ios"/>
    <s v="Iphone"/>
    <s v="2+ years"/>
    <s v="Premium"/>
    <s v="Organic Search"/>
    <x v="0"/>
    <s v="Repeat Use"/>
    <s v="No Experiment"/>
    <s v="Control"/>
    <n v="7"/>
    <n v="4"/>
    <n v="285"/>
    <s v="Yes"/>
    <x v="1"/>
    <x v="1"/>
    <s v="No Error"/>
    <x v="1"/>
    <n v="0"/>
    <n v="0"/>
    <n v="0"/>
    <s v="No Support Contact"/>
    <s v="No"/>
    <s v="No Support Contact"/>
    <s v="Not Applicable"/>
    <m/>
    <s v="Too many steps"/>
    <n v="1"/>
    <n v="4"/>
    <n v="2"/>
    <x v="1"/>
    <n v="0"/>
    <n v="0"/>
    <n v="0"/>
    <n v="1"/>
  </r>
  <r>
    <s v="NSF-000311"/>
    <s v="USR-00509"/>
    <s v="SES-2504-34307"/>
    <d v="2025-04-11T00:00:00"/>
    <s v="North West"/>
    <s v="Chester"/>
    <x v="3"/>
    <s v="35-44"/>
    <s v="Male"/>
    <s v="Ios"/>
    <s v="Ipad"/>
    <s v="7-12 months"/>
    <s v="Basic"/>
    <s v="Direct"/>
    <x v="4"/>
    <s v="Repeat Use"/>
    <s v="No Experiment"/>
    <s v="Control"/>
    <n v="6"/>
    <n v="6"/>
    <n v="114"/>
    <s v="No"/>
    <x v="0"/>
    <x v="1"/>
    <s v="No Error"/>
    <x v="0"/>
    <n v="0"/>
    <n v="0"/>
    <n v="0"/>
    <s v="Account Verification"/>
    <s v="Yes"/>
    <s v="Account Verification"/>
    <s v="Resolved"/>
    <n v="31"/>
    <s v="No drop-off"/>
    <n v="3"/>
    <n v="14"/>
    <n v="1"/>
    <x v="1"/>
    <n v="1"/>
    <n v="1"/>
    <n v="0"/>
    <n v="1"/>
  </r>
  <r>
    <s v="NSF-001166"/>
    <s v="USR-00135"/>
    <s v="SES-2602-84187"/>
    <d v="2026-02-28T00:00:00"/>
    <s v="East England"/>
    <s v="Luton"/>
    <x v="2"/>
    <s v="25-34"/>
    <s v="Female"/>
    <s v="Ios"/>
    <s v="Iphone"/>
    <s v="3-6 months"/>
    <s v="Plus"/>
    <s v="Organic Search"/>
    <x v="4"/>
    <s v="Repeat Use"/>
    <s v="No Experiment"/>
    <s v="Control"/>
    <n v="6"/>
    <n v="6"/>
    <n v="167"/>
    <s v="No"/>
    <x v="0"/>
    <x v="1"/>
    <s v="No Error"/>
    <x v="0"/>
    <n v="21.43"/>
    <n v="0"/>
    <n v="0.17"/>
    <s v="No Support Contact"/>
    <s v="No"/>
    <s v="No Support Contact"/>
    <s v="Not Applicable"/>
    <m/>
    <s v="No drop-off"/>
    <n v="5"/>
    <n v="42"/>
    <n v="12"/>
    <x v="1"/>
    <n v="1"/>
    <n v="1"/>
    <n v="0"/>
    <n v="1"/>
  </r>
  <r>
    <s v="NSF-000081"/>
    <s v="USR-00651"/>
    <s v="SES-2501-94892"/>
    <d v="2025-01-03T00:00:00"/>
    <s v="East England"/>
    <s v="Luton"/>
    <x v="7"/>
    <s v="18-24"/>
    <s v="Non-Binary"/>
    <s v="Web"/>
    <s v="Desktop"/>
    <s v="7-12 months"/>
    <s v="Plus"/>
    <s v="Organic Search"/>
    <x v="10"/>
    <s v="First Use"/>
    <s v="Fee Transparency Panel"/>
    <s v="Treatment"/>
    <n v="9"/>
    <n v="9"/>
    <n v="215"/>
    <s v="No"/>
    <x v="1"/>
    <x v="1"/>
    <s v="No Error"/>
    <x v="1"/>
    <n v="0"/>
    <n v="0"/>
    <n v="0"/>
    <s v="No Support Contact"/>
    <s v="No"/>
    <s v="No Support Contact"/>
    <s v="Not Applicable"/>
    <m/>
    <s v="No drop-off"/>
    <n v="4"/>
    <n v="31"/>
    <n v="0"/>
    <x v="1"/>
    <n v="0"/>
    <n v="0"/>
    <n v="0"/>
    <n v="1"/>
  </r>
  <r>
    <s v="NSF-000727"/>
    <s v="USR-00575"/>
    <s v="SES-2508-15551"/>
    <d v="2025-02-08T00:00:00"/>
    <s v="Yorkshire &amp; Humber"/>
    <s v="Sheffield"/>
    <x v="2"/>
    <s v="35-44"/>
    <s v="Female"/>
    <s v="Web"/>
    <s v="Desktop"/>
    <s v="1-2 years"/>
    <s v="Free"/>
    <s v="Organic Search"/>
    <x v="1"/>
    <s v="Reactivated"/>
    <s v="Fee Transparency Panel"/>
    <s v="Treatment"/>
    <n v="4"/>
    <n v="4"/>
    <n v="97"/>
    <s v="No"/>
    <x v="0"/>
    <x v="1"/>
    <s v="No Error"/>
    <x v="0"/>
    <n v="145.34"/>
    <n v="0.21"/>
    <n v="0"/>
    <s v="No Support Contact"/>
    <s v="No"/>
    <s v="No Support Contact"/>
    <s v="Not Applicable"/>
    <m/>
    <s v="No drop-off"/>
    <n v="4"/>
    <n v="64"/>
    <s v="55 days"/>
    <x v="0"/>
    <n v="1"/>
    <n v="1"/>
    <n v="0"/>
    <n v="0"/>
  </r>
  <r>
    <s v="NSF-000286"/>
    <s v="USR-00213"/>
    <s v="SES-2503-61653"/>
    <d v="2025-03-26T00:00:00"/>
    <s v="South East"/>
    <s v="Guildford"/>
    <x v="0"/>
    <s v="35-44"/>
    <s v="Female"/>
    <s v="Android"/>
    <s v="Android Phone"/>
    <s v="1-2 years"/>
    <s v="Pro"/>
    <s v="Paid Social"/>
    <x v="8"/>
    <s v="Reactivated"/>
    <s v="Progress Indicator"/>
    <s v="Treatment"/>
    <n v="5"/>
    <n v="5"/>
    <n v="149"/>
    <s v="No"/>
    <x v="0"/>
    <x v="1"/>
    <s v="No Error"/>
    <x v="0"/>
    <n v="75.13"/>
    <n v="0"/>
    <n v="0.37"/>
    <s v="No Support Contact"/>
    <s v="No"/>
    <s v="No Support Contact"/>
    <s v="Not Applicable"/>
    <m/>
    <s v="No drop-off"/>
    <n v="5"/>
    <n v="55"/>
    <s v="1 days"/>
    <x v="1"/>
    <n v="1"/>
    <n v="1"/>
    <n v="0"/>
    <n v="1"/>
  </r>
  <r>
    <s v="NSF-000656"/>
    <s v="USR-00248"/>
    <s v="SES-2507-36575"/>
    <d v="2025-07-17T00:00:00"/>
    <s v="Scotland"/>
    <s v="Aberdeen"/>
    <x v="5"/>
    <s v="55-64"/>
    <s v="Female"/>
    <s v="Ios"/>
    <s v="Iphone"/>
    <s v="2+ years"/>
    <s v="Basic"/>
    <s v="Direct"/>
    <x v="8"/>
    <s v="Repeat Use"/>
    <s v="Contextual Help"/>
    <s v="Control"/>
    <n v="5"/>
    <n v="5"/>
    <n v="93"/>
    <s v="Unknown"/>
    <x v="0"/>
    <x v="1"/>
    <s v="No Error"/>
    <x v="0"/>
    <n v="76.349999999999994"/>
    <n v="0"/>
    <n v="0"/>
    <s v="No Support Contact"/>
    <s v="No"/>
    <s v="No Support Contact"/>
    <s v="Not Applicable"/>
    <m/>
    <s v="No drop-off"/>
    <n v="5"/>
    <n v="-12"/>
    <n v="37"/>
    <x v="1"/>
    <n v="1"/>
    <n v="1"/>
    <n v="0"/>
    <n v="1"/>
  </r>
  <r>
    <s v="NSF-000070"/>
    <s v="USR-00680"/>
    <s v="SES-2501-91034"/>
    <d v="2025-01-26T00:00:00"/>
    <s v="Scotland"/>
    <s v="Glasgow"/>
    <x v="0"/>
    <s v="45-54"/>
    <s v="Male"/>
    <s v="Ios"/>
    <s v="Iphone"/>
    <s v="1-2 years"/>
    <s v="Free"/>
    <s v="Direct"/>
    <x v="3"/>
    <s v="Repeat Use"/>
    <s v="Simplified Onboarding"/>
    <s v="Treatment"/>
    <n v="6"/>
    <n v="6"/>
    <n v="181"/>
    <s v="No"/>
    <x v="1"/>
    <x v="1"/>
    <s v="No Error"/>
    <x v="1"/>
    <n v="0"/>
    <n v="0"/>
    <n v="0"/>
    <s v="No Support Contact"/>
    <s v="No"/>
    <s v="No Support Contact"/>
    <s v="Not Applicable"/>
    <m/>
    <s v="Instructions unclear"/>
    <n v="4"/>
    <n v="23"/>
    <n v="38"/>
    <x v="0"/>
    <n v="0"/>
    <n v="0"/>
    <n v="0"/>
    <n v="0"/>
  </r>
  <r>
    <s v="NSF-001101"/>
    <s v="USR-00686"/>
    <s v="SES-2601-17944"/>
    <d v="2026-01-17T00:00:00"/>
    <s v="London"/>
    <s v="Croydon"/>
    <x v="0"/>
    <s v="25-34"/>
    <s v="Male"/>
    <s v="Android"/>
    <s v="Android Tablet"/>
    <s v="7-12 months"/>
    <s v="Free"/>
    <s v="Paid Search"/>
    <x v="1"/>
    <s v="Trial/Exploration"/>
    <s v="No Experiment"/>
    <s v="Control"/>
    <n v="99"/>
    <n v="4"/>
    <n v="124"/>
    <s v="No"/>
    <x v="0"/>
    <x v="1"/>
    <s v="No Error"/>
    <x v="0"/>
    <n v="182.47"/>
    <n v="0.22"/>
    <n v="0"/>
    <s v="No Support Contact"/>
    <s v="No"/>
    <s v="No Support Contact"/>
    <s v="Not Applicable"/>
    <m/>
    <s v="No drop-off"/>
    <n v="5"/>
    <n v="13"/>
    <n v="59"/>
    <x v="0"/>
    <n v="1"/>
    <n v="1"/>
    <n v="0"/>
    <n v="0"/>
  </r>
  <r>
    <s v="NSF-000544"/>
    <s v="USR-00041"/>
    <s v="SES-2506-55883"/>
    <d v="2025-06-22T00:00:00"/>
    <s v="South East"/>
    <s v="Reading"/>
    <x v="3"/>
    <s v="55-64"/>
    <s v="Female"/>
    <s v="Web"/>
    <s v="Mobile Browser"/>
    <s v="1-2 years"/>
    <s v="Premium"/>
    <s v="Paid Social"/>
    <x v="2"/>
    <s v="First Use"/>
    <s v="No Experiment"/>
    <s v="Control"/>
    <n v="5"/>
    <n v="4"/>
    <n v="153"/>
    <s v="Yes"/>
    <x v="0"/>
    <x v="1"/>
    <s v="No Error"/>
    <x v="0"/>
    <n v="85.96"/>
    <n v="0"/>
    <n v="0.37"/>
    <s v="No Support Contact"/>
    <s v="No"/>
    <s v="No Support Contact"/>
    <s v="Not Applicable"/>
    <m/>
    <s v="No drop-off"/>
    <n v="3"/>
    <n v="53"/>
    <n v="0"/>
    <x v="0"/>
    <n v="1"/>
    <n v="1"/>
    <n v="0"/>
    <n v="0"/>
  </r>
  <r>
    <s v="NSF-000691"/>
    <s v="USR-00237"/>
    <s v="SES-2508-34866"/>
    <d v="2025-11-08T00:00:00"/>
    <s v="West Midlands"/>
    <s v="Solihull"/>
    <x v="3"/>
    <s v="25-34"/>
    <s v="Female"/>
    <s v="Web"/>
    <s v="Desktop"/>
    <s v="7-12 months"/>
    <s v="Premium"/>
    <s v="Paid Search"/>
    <x v="5"/>
    <s v="First Use"/>
    <s v="Progress Indicator"/>
    <s v="Control"/>
    <n v="8"/>
    <n v="4"/>
    <n v="255"/>
    <s v="Yes"/>
    <x v="1"/>
    <x v="0"/>
    <s v="Compliance Review Delay"/>
    <x v="1"/>
    <n v="0"/>
    <n v="0"/>
    <n v="0"/>
    <s v="Account Verification"/>
    <s v="Yes"/>
    <s v="Account Verification"/>
    <s v="Resolved"/>
    <n v="38"/>
    <s v="Technical error"/>
    <n v="1"/>
    <n v="-73"/>
    <n v="0"/>
    <x v="0"/>
    <n v="0"/>
    <n v="0"/>
    <n v="1"/>
    <n v="0"/>
  </r>
  <r>
    <s v="NSF-001385"/>
    <s v="USR-00424"/>
    <s v="SES-2605-75984"/>
    <d v="2026-05-14T00:00:00"/>
    <s v="East England"/>
    <s v="Cambridge"/>
    <x v="0"/>
    <s v="18-24"/>
    <s v="Male"/>
    <s v="Android"/>
    <s v="Android Phone"/>
    <s v="&lt;3 months"/>
    <s v="Free"/>
    <s v="App Store"/>
    <x v="9"/>
    <s v="First Use"/>
    <s v="Progress Indicator"/>
    <s v="Treatment"/>
    <n v="5"/>
    <n v="5"/>
    <n v="143"/>
    <s v="No"/>
    <x v="1"/>
    <x v="0"/>
    <s v="Cancellation Unclear"/>
    <x v="1"/>
    <n v="0"/>
    <n v="0"/>
    <n v="0"/>
    <s v="Transaction Failure"/>
    <s v="Yes"/>
    <s v="Transaction Failure"/>
    <s v="Resolved"/>
    <n v="37"/>
    <s v="No drop-off"/>
    <n v="3"/>
    <n v="21"/>
    <n v="0"/>
    <x v="0"/>
    <n v="0"/>
    <n v="0"/>
    <n v="1"/>
    <n v="0"/>
  </r>
  <r>
    <s v="NSF-000164"/>
    <s v="USR-00556"/>
    <s v="SES-2502-36066"/>
    <d v="2025-02-08T00:00:00"/>
    <s v="East England"/>
    <s v="Cambridge"/>
    <x v="1"/>
    <s v="45-54"/>
    <s v="Female"/>
    <s v="Web"/>
    <s v="Desktop"/>
    <s v="7-12 months"/>
    <s v="Free"/>
    <s v="Paid Search"/>
    <x v="1"/>
    <s v="First Use"/>
    <s v="No Experiment"/>
    <s v="Control"/>
    <n v="4"/>
    <n v="4"/>
    <n v="75"/>
    <s v="No"/>
    <x v="0"/>
    <x v="1"/>
    <s v="No Error"/>
    <x v="1"/>
    <n v="0"/>
    <n v="0"/>
    <n v="0"/>
    <s v="No Support Contact"/>
    <s v="No"/>
    <s v="No Support Contact"/>
    <s v="Not Applicable"/>
    <m/>
    <s v="No drop-off"/>
    <n v="5"/>
    <n v="66"/>
    <s v="0 days"/>
    <x v="1"/>
    <n v="1"/>
    <n v="0"/>
    <n v="0"/>
    <n v="1"/>
  </r>
  <r>
    <s v="NSF-000766"/>
    <s v="USR-00691"/>
    <s v="SES-2509-76240"/>
    <d v="2025-09-24T00:00:00"/>
    <s v="West Midlands"/>
    <s v="Birmingham"/>
    <x v="2"/>
    <s v="25-34"/>
    <s v="Male"/>
    <s v="Ios"/>
    <s v="Iphone"/>
    <s v="2+ years"/>
    <s v="Free"/>
    <s v="App Store"/>
    <x v="8"/>
    <s v="Repeat Use"/>
    <s v="No Experiment"/>
    <s v="Control"/>
    <s v="5 steps"/>
    <n v="5"/>
    <n v="95"/>
    <s v="No"/>
    <x v="0"/>
    <x v="1"/>
    <s v="No Error"/>
    <x v="0"/>
    <n v="71.650000000000006"/>
    <n v="0"/>
    <n v="0"/>
    <s v="No Support Contact"/>
    <s v="No"/>
    <s v="No Support Contact"/>
    <s v="Not Applicable"/>
    <m/>
    <s v="No drop-off"/>
    <n v="4"/>
    <n v="11"/>
    <n v="24"/>
    <x v="1"/>
    <n v="1"/>
    <n v="1"/>
    <n v="0"/>
    <n v="1"/>
  </r>
  <r>
    <s v="NSF-001193"/>
    <s v="USR-00255"/>
    <s v="SES-2602-77374"/>
    <d v="2026-02-04T00:00:00"/>
    <s v="East Midlands"/>
    <s v="Lincoln"/>
    <x v="0"/>
    <s v="35-44"/>
    <s v="Female"/>
    <s v="Android"/>
    <s v="Android Phone"/>
    <s v="3-6 months"/>
    <s v="Free"/>
    <s v="Employer Partnership"/>
    <x v="5"/>
    <s v="Repeat Use"/>
    <s v="Progress Indicator"/>
    <s v="Control"/>
    <n v="8"/>
    <n v="4"/>
    <n v="249"/>
    <s v="Yes"/>
    <x v="1"/>
    <x v="1"/>
    <s v="No Error"/>
    <x v="0"/>
    <n v="398.87"/>
    <n v="2.85"/>
    <n v="0"/>
    <s v="Transaction Failure"/>
    <s v="Yes"/>
    <s v="Transaction Failure"/>
    <s v="Resolved"/>
    <n v="38"/>
    <s v="Instructions unclear"/>
    <n v="3"/>
    <n v="-44"/>
    <n v="61"/>
    <x v="0"/>
    <n v="0"/>
    <n v="1"/>
    <n v="0"/>
    <n v="0"/>
  </r>
  <r>
    <s v="NSF-000637"/>
    <s v="USR-00700"/>
    <s v="SES-2507-23748"/>
    <d v="2025-07-17T00:00:00"/>
    <s v="Wales"/>
    <s v="Newport"/>
    <x v="7"/>
    <s v="25-34"/>
    <s v="Female"/>
    <s v="Ios"/>
    <s v="Iphone"/>
    <s v="7-12 months"/>
    <s v="Plus"/>
    <s v="Referral"/>
    <x v="3"/>
    <s v="Repeat Use"/>
    <s v="No Experiment"/>
    <s v="Control"/>
    <n v="6"/>
    <n v="6"/>
    <n v="109"/>
    <s v="No"/>
    <x v="1"/>
    <x v="1"/>
    <s v="No Error"/>
    <x v="1"/>
    <n v="0"/>
    <n v="0"/>
    <n v="0"/>
    <s v="No Support Contact"/>
    <s v="No"/>
    <s v="No Support Contact"/>
    <s v="Not Applicable"/>
    <m/>
    <s v="Too many steps"/>
    <n v="4"/>
    <n v="0"/>
    <n v="24"/>
    <x v="1"/>
    <n v="0"/>
    <n v="0"/>
    <n v="0"/>
    <n v="1"/>
  </r>
  <r>
    <s v="NSF-000167"/>
    <s v="USR-00056"/>
    <s v="SES-2502-77333"/>
    <d v="2025-02-02T00:00:00"/>
    <s v="South East"/>
    <s v="Reading"/>
    <x v="2"/>
    <s v="18-24"/>
    <s v="Female"/>
    <s v="Ios"/>
    <s v="Iphone"/>
    <s v="7-12 months"/>
    <s v="Plus"/>
    <s v="Paid Social"/>
    <x v="9"/>
    <s v="Repeat Use"/>
    <s v="Simplified Onboarding"/>
    <s v="Control"/>
    <n v="5"/>
    <n v="5"/>
    <n v="159"/>
    <s v="No"/>
    <x v="1"/>
    <x v="1"/>
    <s v="No Error"/>
    <x v="1"/>
    <n v="0"/>
    <n v="0"/>
    <n v="0"/>
    <s v="No Support Contact"/>
    <s v="No"/>
    <s v="No Support Contact"/>
    <s v="Not Applicable"/>
    <m/>
    <s v="No drop-off"/>
    <n v="4"/>
    <n v="-48"/>
    <n v="11"/>
    <x v="0"/>
    <n v="0"/>
    <n v="0"/>
    <n v="0"/>
    <n v="0"/>
  </r>
  <r>
    <s v="NSF-001357"/>
    <s v="USR-00773"/>
    <s v="SES-2605-77584"/>
    <d v="2026-05-20T00:00:00"/>
    <s v="Scotland"/>
    <s v="Dundee"/>
    <x v="3"/>
    <s v="25-34"/>
    <s v="Male"/>
    <s v="Web"/>
    <s v="Desktop"/>
    <s v="3-6 months"/>
    <s v="Premium"/>
    <s v="Paid Social"/>
    <x v="1"/>
    <s v="First Use"/>
    <s v="Progress Indicator"/>
    <s v="Control"/>
    <n v="4"/>
    <n v="4"/>
    <n v="106"/>
    <s v="No"/>
    <x v="1"/>
    <x v="1"/>
    <s v="No Error"/>
    <x v="0"/>
    <n v="195.55"/>
    <n v="0.21"/>
    <n v="0.37"/>
    <s v="No Support Contact"/>
    <s v="No"/>
    <s v="No Support Contact"/>
    <s v="Not Applicable"/>
    <m/>
    <s v="Technical error"/>
    <n v="3"/>
    <n v="23"/>
    <n v="0"/>
    <x v="0"/>
    <n v="0"/>
    <n v="1"/>
    <n v="0"/>
    <n v="0"/>
  </r>
  <r>
    <s v="NSF-000071"/>
    <s v="USR-00526"/>
    <s v="SES-2501-64440"/>
    <d v="2025-01-22T00:00:00"/>
    <s v="East England"/>
    <s v="Cambridge"/>
    <x v="0"/>
    <s v="35-44"/>
    <s v="Female"/>
    <s v="Ios"/>
    <s v="Iphone"/>
    <s v="1-2 years"/>
    <s v="Free"/>
    <s v="Affiliate"/>
    <x v="3"/>
    <s v="Reactivated"/>
    <s v="Progress Indicator"/>
    <s v="Treatment"/>
    <n v="6"/>
    <n v="6"/>
    <n v="184"/>
    <s v="No"/>
    <x v="0"/>
    <x v="1"/>
    <s v="No Error"/>
    <x v="0"/>
    <n v="63.08"/>
    <n v="0.1"/>
    <n v="0"/>
    <s v="No Support Contact"/>
    <s v="No"/>
    <s v="No Support Contact"/>
    <s v="Not Applicable"/>
    <m/>
    <s v="No drop-off"/>
    <n v="4"/>
    <n v="5"/>
    <n v="26"/>
    <x v="1"/>
    <n v="1"/>
    <n v="1"/>
    <n v="0"/>
    <n v="1"/>
  </r>
  <r>
    <s v="NSF-000397"/>
    <s v="USR-00545"/>
    <s v="SES-2505-73352"/>
    <d v="2025-05-13T00:00:00"/>
    <s v="North East"/>
    <s v="Middlesbrough"/>
    <x v="1"/>
    <s v="65+"/>
    <s v="Male"/>
    <s v="Ios"/>
    <s v="Iphone"/>
    <s v="7-12 months"/>
    <s v="Plus"/>
    <s v="Paid Search"/>
    <x v="10"/>
    <s v="First Use"/>
    <s v="No Experiment"/>
    <s v="Control"/>
    <n v="9"/>
    <n v="9"/>
    <n v="270"/>
    <s v="No"/>
    <x v="1"/>
    <x v="1"/>
    <s v="No Error"/>
    <x v="1"/>
    <n v="0"/>
    <n v="0"/>
    <n v="0"/>
    <s v="No Support Contact"/>
    <s v="No"/>
    <s v="No Support Contact"/>
    <s v="Not Applicable"/>
    <m/>
    <s v="No drop-off"/>
    <n v="3"/>
    <n v="20"/>
    <n v="0"/>
    <x v="0"/>
    <n v="0"/>
    <n v="0"/>
    <n v="0"/>
    <n v="0"/>
  </r>
  <r>
    <s v="NSF-000635"/>
    <s v="USR-00145"/>
    <s v="SES-2507-60006"/>
    <d v="2025-07-15T00:00:00"/>
    <s v="West Midlands"/>
    <s v="Solihull"/>
    <x v="0"/>
    <s v="25-34"/>
    <s v="Female"/>
    <s v="Web"/>
    <s v="Mobile Browser"/>
    <s v="3-6 months"/>
    <s v="Premium"/>
    <s v="Referral"/>
    <x v="1"/>
    <s v="Repeat Use"/>
    <s v="No Experiment"/>
    <s v="Control"/>
    <n v="4"/>
    <n v="2"/>
    <n v="126"/>
    <s v="Yes"/>
    <x v="0"/>
    <x v="1"/>
    <s v="No Error"/>
    <x v="0"/>
    <n v="142.12"/>
    <n v="0.2"/>
    <n v="0.37"/>
    <s v="No Support Contact"/>
    <s v="No"/>
    <s v="No Support Contact"/>
    <s v="Not Applicable"/>
    <m/>
    <s v="No drop-off"/>
    <n v="4"/>
    <n v="5"/>
    <n v="40"/>
    <x v="1"/>
    <n v="1"/>
    <n v="1"/>
    <n v="0"/>
    <n v="1"/>
  </r>
  <r>
    <s v="NSF-000671"/>
    <s v="USR-00668"/>
    <s v="SES-2508-10519"/>
    <d v="2025-08-10T00:00:00"/>
    <s v="East England"/>
    <s v="Cambridge"/>
    <x v="2"/>
    <s v="18-24"/>
    <s v="Male"/>
    <s v="Ios"/>
    <s v="Iphone"/>
    <s v="7-12 months"/>
    <s v="Plus"/>
    <s v="Paid Search"/>
    <x v="5"/>
    <s v="Repeat Use"/>
    <s v="New Cta Copy"/>
    <s v="Treatment"/>
    <n v="8"/>
    <n v="4"/>
    <n v="307"/>
    <s v="Yes"/>
    <x v="0"/>
    <x v="1"/>
    <s v="No Error"/>
    <x v="0"/>
    <n v="427.65"/>
    <n v="2.67"/>
    <n v="0.17"/>
    <s v="No Support Contact"/>
    <s v="No"/>
    <s v="No Support Contact"/>
    <s v="Not Applicable"/>
    <m/>
    <s v="No drop-off"/>
    <n v="3"/>
    <n v="-32"/>
    <n v="30"/>
    <x v="1"/>
    <n v="1"/>
    <n v="1"/>
    <n v="0"/>
    <n v="1"/>
  </r>
  <r>
    <s v="NSF-000654"/>
    <s v="USR-00463"/>
    <s v="SES-2507-75112"/>
    <d v="2025-07-29T00:00:00"/>
    <s v="North East"/>
    <s v="Durham"/>
    <x v="3"/>
    <s v="65+"/>
    <s v="Male"/>
    <s v="Android"/>
    <s v="Android Phone"/>
    <s v="7-12 months"/>
    <s v="Free"/>
    <s v="Paid Search"/>
    <x v="5"/>
    <s v="First Use"/>
    <s v="No Experiment"/>
    <s v="Control"/>
    <n v="8"/>
    <n v="5"/>
    <n v="262"/>
    <s v="Yes"/>
    <x v="1"/>
    <x v="1"/>
    <s v="No Error"/>
    <x v="1"/>
    <n v="0"/>
    <n v="0"/>
    <n v="0"/>
    <s v="Transaction Failure"/>
    <s v="Yes"/>
    <s v="Transaction Failure"/>
    <s v="Resolved"/>
    <n v="28"/>
    <s v="Too many steps"/>
    <n v="3"/>
    <n v="-47"/>
    <n v="0"/>
    <x v="0"/>
    <n v="0"/>
    <n v="0"/>
    <n v="0"/>
    <n v="0"/>
  </r>
  <r>
    <s v="NSF-000090"/>
    <s v="USR-00197"/>
    <s v="SES-2501-70145"/>
    <d v="2025-01-16T00:00:00"/>
    <s v="East Midlands"/>
    <s v="Nottingham"/>
    <x v="0"/>
    <s v="35-44"/>
    <s v="Male"/>
    <s v="Ios"/>
    <s v="Iphone"/>
    <s v="2+ years"/>
    <s v="Free"/>
    <s v="App Store"/>
    <x v="7"/>
    <s v="First Use"/>
    <s v="Fee Transparency Panel"/>
    <s v="Control"/>
    <n v="4"/>
    <n v="4"/>
    <n v="119"/>
    <s v="No"/>
    <x v="0"/>
    <x v="1"/>
    <s v="No Error"/>
    <x v="0"/>
    <n v="27.7"/>
    <n v="0.46"/>
    <n v="0"/>
    <s v="No Support Contact"/>
    <s v="No"/>
    <s v="No Support Contact"/>
    <s v="Not Applicable"/>
    <m/>
    <s v="No drop-off"/>
    <n v="4"/>
    <n v="40"/>
    <s v="0 days"/>
    <x v="1"/>
    <n v="1"/>
    <n v="1"/>
    <n v="0"/>
    <n v="1"/>
  </r>
  <r>
    <s v="NSF-000585"/>
    <s v="USR-00232"/>
    <s v="SES-2507-61758"/>
    <d v="2025-07-27T00:00:00"/>
    <s v="South West"/>
    <s v="Exeter"/>
    <x v="0"/>
    <s v="25-34"/>
    <s v="Male"/>
    <s v="Ios"/>
    <s v="Iphone"/>
    <s v="7-12 months"/>
    <s v="Plus"/>
    <s v="Organic Search"/>
    <x v="4"/>
    <s v="Repeat Use"/>
    <s v="Simplified Onboarding"/>
    <s v="Treatment"/>
    <n v="6"/>
    <n v="6"/>
    <n v="285"/>
    <s v="No"/>
    <x v="0"/>
    <x v="2"/>
    <s v="Insight Unclear"/>
    <x v="1"/>
    <n v="0"/>
    <n v="0"/>
    <n v="0"/>
    <s v="Other"/>
    <s v="Yes"/>
    <s v="Other"/>
    <s v="Unresolved"/>
    <n v="27"/>
    <s v="No drop-off"/>
    <n v="3"/>
    <n v="49"/>
    <n v="28"/>
    <x v="0"/>
    <n v="1"/>
    <n v="0"/>
    <n v="0"/>
    <n v="0"/>
  </r>
  <r>
    <s v="NSF-000188"/>
    <s v="USR-00577"/>
    <s v="SES-2502-21333"/>
    <d v="2025-02-17T00:00:00"/>
    <s v="South East"/>
    <s v="Canterbury"/>
    <x v="3"/>
    <s v="55-64"/>
    <s v="N/A"/>
    <s v="Android"/>
    <s v="Android Phone"/>
    <s v="3-6 months"/>
    <s v="Free"/>
    <s v="App Store"/>
    <x v="9"/>
    <s v="First Use"/>
    <s v="Simplified Onboarding"/>
    <s v="Treatment"/>
    <n v="5"/>
    <n v="5"/>
    <n v="94"/>
    <s v="No"/>
    <x v="0"/>
    <x v="1"/>
    <s v="No Error"/>
    <x v="0"/>
    <n v="106.83"/>
    <n v="0"/>
    <n v="0"/>
    <s v="No Support Contact"/>
    <s v="No"/>
    <s v="No Support Contact"/>
    <s v="Not Applicable"/>
    <m/>
    <s v="No drop-off"/>
    <n v="4"/>
    <n v="26"/>
    <n v="0"/>
    <x v="1"/>
    <n v="1"/>
    <n v="1"/>
    <n v="0"/>
    <n v="1"/>
  </r>
  <r>
    <s v="NSF-000518"/>
    <s v="USR-00303"/>
    <s v="SES-2506-19626"/>
    <d v="2025-06-17T00:00:00"/>
    <s v="London"/>
    <s v="Camden"/>
    <x v="5"/>
    <s v="65+"/>
    <s v="Male"/>
    <s v="Android"/>
    <s v="Android Phone"/>
    <s v="2+ years"/>
    <s v="Free"/>
    <s v="Employer Partnership"/>
    <x v="4"/>
    <s v="Repeat Use"/>
    <s v="No Experiment"/>
    <s v="Control"/>
    <s v="6 steps"/>
    <n v="6"/>
    <n v="128"/>
    <s v="No"/>
    <x v="0"/>
    <x v="1"/>
    <s v="No Error"/>
    <x v="0"/>
    <n v="59.79"/>
    <n v="0"/>
    <n v="0"/>
    <s v="No Support Contact"/>
    <s v="No"/>
    <s v="No Support Contact"/>
    <s v="Not Applicable"/>
    <m/>
    <s v="No drop-off"/>
    <n v="4"/>
    <n v="29"/>
    <n v="25"/>
    <x v="1"/>
    <n v="1"/>
    <n v="1"/>
    <n v="0"/>
    <n v="1"/>
  </r>
  <r>
    <s v="NSF-001299"/>
    <s v="USR-00648"/>
    <s v="SES-2604-62415"/>
    <d v="2026-04-12T00:00:00"/>
    <s v="West Midlands"/>
    <s v="Birmingham"/>
    <x v="5"/>
    <s v="25-34"/>
    <s v="Female"/>
    <s v="Ios"/>
    <s v="Iphone"/>
    <s v="7-12 months"/>
    <s v="Free"/>
    <s v="Referral"/>
    <x v="2"/>
    <s v="Trial/Exploration"/>
    <s v="Simplified Onboarding"/>
    <s v="Control"/>
    <s v="5 steps"/>
    <n v="5"/>
    <n v="151"/>
    <s v="No"/>
    <x v="0"/>
    <x v="0"/>
    <s v="Round-Up Not Activated"/>
    <x v="1"/>
    <n v="0"/>
    <n v="0"/>
    <n v="0"/>
    <s v="Transaction Failure"/>
    <s v="Yes"/>
    <s v="Transaction Failure"/>
    <s v="Unresolved"/>
    <n v="26"/>
    <s v="No drop-off"/>
    <n v="5"/>
    <n v="19"/>
    <n v="34"/>
    <x v="1"/>
    <n v="1"/>
    <n v="0"/>
    <n v="1"/>
    <n v="1"/>
  </r>
  <r>
    <s v="NSF-000606"/>
    <s v="USR-00529"/>
    <s v="SES-2507-22082"/>
    <d v="2025-07-12T00:00:00"/>
    <s v="East Midlands"/>
    <s v="Leicester"/>
    <x v="7"/>
    <s v="65+"/>
    <s v="Male"/>
    <s v="Android"/>
    <s v="Android Phone"/>
    <s v="&lt;3 months"/>
    <s v="Free"/>
    <s v="Paid Social"/>
    <x v="1"/>
    <s v="Repeat Use"/>
    <s v="No Experiment"/>
    <s v="Control"/>
    <n v="4"/>
    <n v="4"/>
    <n v="143"/>
    <s v="No"/>
    <x v="0"/>
    <x v="0"/>
    <s v="Transfer Pending"/>
    <x v="1"/>
    <n v="0"/>
    <n v="0"/>
    <n v="0"/>
    <s v="No Support Contact"/>
    <s v="No"/>
    <s v="No Support Contact"/>
    <s v="Not Applicable"/>
    <m/>
    <s v="No drop-off"/>
    <n v="3"/>
    <n v="-4"/>
    <n v="39"/>
    <x v="1"/>
    <n v="1"/>
    <n v="0"/>
    <n v="1"/>
    <n v="1"/>
  </r>
  <r>
    <s v="NSF-000029"/>
    <s v="USR-00783"/>
    <s v="SES-2501-57021"/>
    <d v="2025-01-26T00:00:00"/>
    <s v="Northern Ireland"/>
    <s v="Newry"/>
    <x v="3"/>
    <s v="55-64"/>
    <s v="Female"/>
    <s v="Web"/>
    <s v="Desktop"/>
    <s v="7-12 months"/>
    <s v="Free"/>
    <s v="Organic Search"/>
    <x v="3"/>
    <s v="Repeat Use"/>
    <s v="No Experiment"/>
    <s v="Control"/>
    <n v="6"/>
    <n v="5"/>
    <n v="261"/>
    <s v="Yes"/>
    <x v="0"/>
    <x v="0"/>
    <s v="Friend Not Found"/>
    <x v="0"/>
    <n v="0"/>
    <n v="0.11"/>
    <n v="0"/>
    <s v="No Support Contact"/>
    <s v="No"/>
    <s v="No Support Contact"/>
    <s v="Not Applicable"/>
    <m/>
    <s v="No drop-off"/>
    <n v="3"/>
    <n v="-27"/>
    <n v="1"/>
    <x v="0"/>
    <n v="1"/>
    <n v="1"/>
    <n v="1"/>
    <n v="0"/>
  </r>
  <r>
    <s v="NSF-000435"/>
    <s v="USR-00598"/>
    <s v="SES-2505-84464"/>
    <d v="2025-05-02T00:00:00"/>
    <s v="East Midlands"/>
    <s v="Lincoln"/>
    <x v="3"/>
    <s v="25-34"/>
    <s v="Female"/>
    <s v="Android"/>
    <s v="Android Phone"/>
    <s v="&lt;3 months"/>
    <s v="Plus"/>
    <s v="Paid Social"/>
    <x v="1"/>
    <s v="First Use"/>
    <s v="Progress Indicator"/>
    <s v="Control"/>
    <n v="4"/>
    <n v="4"/>
    <n v="99"/>
    <s v="No"/>
    <x v="0"/>
    <x v="1"/>
    <s v="No Error"/>
    <x v="0"/>
    <n v="137.61000000000001"/>
    <n v="0.2"/>
    <n v="0.17"/>
    <s v="No Support Contact"/>
    <s v="No"/>
    <s v="No Support Contact"/>
    <s v="Not Applicable"/>
    <m/>
    <s v="No drop-off"/>
    <n v="5"/>
    <n v="60"/>
    <n v="0"/>
    <x v="1"/>
    <n v="1"/>
    <n v="1"/>
    <n v="0"/>
    <n v="1"/>
  </r>
  <r>
    <s v="NSF-000808"/>
    <s v="USR-00163"/>
    <s v="SES-2509-86752"/>
    <d v="2025-09-23T00:00:00"/>
    <s v="South East"/>
    <s v="Reading"/>
    <x v="5"/>
    <s v="35-44"/>
    <s v="Female"/>
    <s v="Web"/>
    <s v="Desktop"/>
    <s v="3-6 months"/>
    <s v="Free"/>
    <s v="Paid Social"/>
    <x v="4"/>
    <s v="Repeat Use"/>
    <s v="Contextual Help"/>
    <s v="Treatment"/>
    <n v="6"/>
    <n v="6"/>
    <n v="110"/>
    <s v="No"/>
    <x v="1"/>
    <x v="1"/>
    <s v="No Error"/>
    <x v="1"/>
    <n v="0"/>
    <n v="0"/>
    <n v="0"/>
    <s v="No Support Contact"/>
    <s v="No"/>
    <s v="No Support Contact"/>
    <s v="Not Applicable"/>
    <m/>
    <s v="No drop-off"/>
    <n v="2"/>
    <n v="2"/>
    <n v="45"/>
    <x v="1"/>
    <n v="0"/>
    <n v="0"/>
    <n v="0"/>
    <n v="1"/>
  </r>
  <r>
    <s v="NSF-000648"/>
    <s v="USR-00840"/>
    <s v="SES-2507-85909"/>
    <d v="2025-07-31T00:00:00"/>
    <s v="South East"/>
    <s v="Oxford"/>
    <x v="1"/>
    <s v="18-24"/>
    <s v="Male"/>
    <s v="Android"/>
    <s v="Android Phone"/>
    <s v="3-6 months"/>
    <s v="Free"/>
    <s v="Employer Partnership"/>
    <x v="4"/>
    <s v="Repeat Use"/>
    <s v="New Cta Copy"/>
    <s v="Treatment"/>
    <n v="6"/>
    <n v="6"/>
    <n v="135"/>
    <s v="No"/>
    <x v="1"/>
    <x v="1"/>
    <s v="No Error"/>
    <x v="0"/>
    <n v="7.25"/>
    <n v="0"/>
    <n v="0"/>
    <s v="No Support Contact"/>
    <s v="No"/>
    <s v="No Support Contact"/>
    <s v="Not Applicable"/>
    <m/>
    <m/>
    <n v="4"/>
    <n v="9"/>
    <n v="25"/>
    <x v="0"/>
    <n v="0"/>
    <n v="1"/>
    <n v="0"/>
    <n v="0"/>
  </r>
  <r>
    <s v="NSF-000934"/>
    <s v="USR-00249"/>
    <s v="SES-2511-24603"/>
    <d v="2025-11-09T00:00:00"/>
    <s v="East England"/>
    <s v="Luton"/>
    <x v="0"/>
    <s v="35-44"/>
    <s v="Male"/>
    <s v="Web"/>
    <s v="Desktop"/>
    <s v="3-6 months"/>
    <s v="Plus"/>
    <s v="Referral"/>
    <x v="1"/>
    <s v="First Use"/>
    <s v="Contextual Help"/>
    <s v="Treatment"/>
    <n v="4"/>
    <n v="4"/>
    <n v="126"/>
    <s v="Unknown"/>
    <x v="0"/>
    <x v="1"/>
    <s v="No Error"/>
    <x v="1"/>
    <n v="0"/>
    <n v="0"/>
    <n v="0"/>
    <s v="No Support Contact"/>
    <s v="No"/>
    <s v="No Support Contact"/>
    <s v="Not Applicable"/>
    <m/>
    <s v="No drop-off"/>
    <n v="5"/>
    <n v="67"/>
    <s v="0 days"/>
    <x v="1"/>
    <n v="1"/>
    <n v="0"/>
    <n v="0"/>
    <n v="1"/>
  </r>
  <r>
    <s v="NSF-000254"/>
    <s v="USR-00533"/>
    <s v="SES-2503-44377"/>
    <d v="2025-03-13T00:00:00"/>
    <s v="London"/>
    <s v="Hackney"/>
    <x v="3"/>
    <s v="25-34"/>
    <s v="Female"/>
    <s v="Ios"/>
    <s v="Iphone"/>
    <s v="2+ years"/>
    <s v="Free"/>
    <s v="Organic Search"/>
    <x v="5"/>
    <s v="Repeat Use"/>
    <s v="New Cta Copy"/>
    <s v="Control"/>
    <n v="8"/>
    <n v="8"/>
    <n v="274"/>
    <s v="No"/>
    <x v="1"/>
    <x v="0"/>
    <s v="Fx Rate Confusion"/>
    <x v="1"/>
    <n v="0"/>
    <n v="0"/>
    <n v="0"/>
    <s v="No Support Contact"/>
    <s v="No"/>
    <s v="No Support Contact"/>
    <s v="Not Applicable"/>
    <m/>
    <s v="Technical error"/>
    <n v="3"/>
    <n v="0"/>
    <n v="13"/>
    <x v="0"/>
    <n v="0"/>
    <n v="0"/>
    <n v="1"/>
    <n v="0"/>
  </r>
  <r>
    <s v="NSF-001309"/>
    <s v="USR-00487"/>
    <s v="SES-2604-13057"/>
    <d v="2026-04-07T00:00:00"/>
    <s v="West Midlands"/>
    <s v="Wolverhampton"/>
    <x v="0"/>
    <s v="35-44"/>
    <s v="Female"/>
    <s v="Android"/>
    <s v="Android Phone"/>
    <s v="&lt;3 months"/>
    <s v="Plus"/>
    <s v="Employer Partnership"/>
    <x v="10"/>
    <s v="First Use"/>
    <s v="New Cta Copy"/>
    <s v="Control"/>
    <n v="9"/>
    <n v="6"/>
    <n v="251"/>
    <s v="Yes"/>
    <x v="0"/>
    <x v="1"/>
    <s v="No Error"/>
    <x v="0"/>
    <n v="197.88"/>
    <n v="2.8"/>
    <n v="0.17"/>
    <s v="No Support Contact"/>
    <s v="No"/>
    <s v="No Support Contact"/>
    <s v="Not Applicable"/>
    <m/>
    <s v="No drop-off"/>
    <n v="3"/>
    <n v="-53"/>
    <n v="0"/>
    <x v="0"/>
    <n v="1"/>
    <n v="1"/>
    <n v="0"/>
    <n v="0"/>
  </r>
  <r>
    <s v="NSF-001180"/>
    <s v="USR-00418"/>
    <s v="SES-2602-51787"/>
    <d v="2026-02-06T00:00:00"/>
    <s v="South West"/>
    <s v="Exeter"/>
    <x v="5"/>
    <s v="25-34"/>
    <s v="Female"/>
    <s v="Android"/>
    <s v="Android Tablet"/>
    <s v="7-12 months"/>
    <s v="Free"/>
    <s v="Employer Partnership"/>
    <x v="1"/>
    <s v="Repeat Use"/>
    <s v="No Experiment"/>
    <s v="Control"/>
    <n v="4"/>
    <n v="4"/>
    <n v="109"/>
    <s v="No"/>
    <x v="0"/>
    <x v="1"/>
    <s v="No Error"/>
    <x v="0"/>
    <n v="213.28"/>
    <n v="0.2"/>
    <n v="0"/>
    <s v="Feature Navigation"/>
    <s v="Yes"/>
    <s v="Feature Navigation"/>
    <s v="Unresolved"/>
    <n v="28"/>
    <s v="No drop-off"/>
    <n v="4"/>
    <n v="-2"/>
    <n v="46"/>
    <x v="0"/>
    <n v="1"/>
    <n v="1"/>
    <n v="0"/>
    <n v="0"/>
  </r>
  <r>
    <s v="NSF-000815"/>
    <s v="USR-00335"/>
    <s v="SES-2509-18119"/>
    <d v="2025-09-15T00:00:00"/>
    <s v="Scotland"/>
    <s v="Glasgow"/>
    <x v="1"/>
    <s v="25-34"/>
    <s v="Male"/>
    <s v="Ios"/>
    <s v="Iphone"/>
    <s v="&lt;3 months"/>
    <s v="Plus"/>
    <s v="Paid Social"/>
    <x v="2"/>
    <s v="First Use"/>
    <s v="No Experiment"/>
    <s v="Control"/>
    <n v="5"/>
    <n v="5"/>
    <n v="128"/>
    <s v="No"/>
    <x v="0"/>
    <x v="1"/>
    <s v="No Error"/>
    <x v="0"/>
    <n v="126.15"/>
    <n v="0"/>
    <n v="0.17"/>
    <s v="No Support Contact"/>
    <s v="No"/>
    <s v="No Support Contact"/>
    <s v="Not Applicable"/>
    <m/>
    <s v="No drop-off"/>
    <n v="4"/>
    <n v="14"/>
    <n v="0"/>
    <x v="1"/>
    <n v="1"/>
    <n v="1"/>
    <n v="0"/>
    <n v="1"/>
  </r>
  <r>
    <s v="NSF-000713"/>
    <s v="USR-00168"/>
    <s v="SES-2508-30485"/>
    <d v="2025-08-30T00:00:00"/>
    <s v="North West"/>
    <s v="Preston"/>
    <x v="1"/>
    <s v="35-44"/>
    <s v="Female"/>
    <s v="Android"/>
    <s v="Android Tablet"/>
    <s v="1-2 years"/>
    <s v="Free"/>
    <s v="Employer Partnership"/>
    <x v="1"/>
    <s v="First Use"/>
    <s v="New Cta Copy"/>
    <s v="Treatment"/>
    <n v="4"/>
    <n v="4"/>
    <n v="77"/>
    <s v="No"/>
    <x v="0"/>
    <x v="1"/>
    <s v="No Error"/>
    <x v="0"/>
    <n v="196.76"/>
    <n v="0.18"/>
    <n v="0"/>
    <s v="No Support Contact"/>
    <s v="No"/>
    <s v="No Support Contact"/>
    <s v="Not Applicable"/>
    <m/>
    <s v="No drop-off"/>
    <n v="5"/>
    <n v="18"/>
    <n v="0"/>
    <x v="1"/>
    <n v="1"/>
    <n v="1"/>
    <n v="0"/>
    <n v="1"/>
  </r>
  <r>
    <s v="NSF-001165"/>
    <s v="USR-00308"/>
    <s v="SES-2602-56637"/>
    <d v="2026-02-08T00:00:00"/>
    <s v="Northern Ireland"/>
    <s v="Lisburn"/>
    <x v="5"/>
    <s v="35-44"/>
    <s v="Male"/>
    <s v="Android"/>
    <s v="Android Phone"/>
    <s v="7-12 months"/>
    <s v="Free"/>
    <s v="Referral"/>
    <x v="4"/>
    <s v="Trial/Exploration"/>
    <s v="No Experiment"/>
    <s v="Control"/>
    <s v="6 steps"/>
    <s v="5 steps"/>
    <n v="233"/>
    <s v="Yes"/>
    <x v="0"/>
    <x v="1"/>
    <s v="No Error"/>
    <x v="0"/>
    <n v="0"/>
    <n v="0"/>
    <n v="0"/>
    <s v="Card Issue"/>
    <s v="Yes"/>
    <s v="Card Issue"/>
    <s v="Resolved"/>
    <n v="36"/>
    <s v="No drop-off"/>
    <n v="4"/>
    <n v="-31"/>
    <n v="40"/>
    <x v="0"/>
    <n v="1"/>
    <n v="1"/>
    <n v="0"/>
    <n v="0"/>
  </r>
  <r>
    <s v="NSF-000718"/>
    <s v="USR-00353"/>
    <s v="SES-2508-85517"/>
    <d v="2025-08-02T00:00:00"/>
    <s v="East Midlands"/>
    <s v="Derby"/>
    <x v="7"/>
    <s v="35-44"/>
    <s v="Male"/>
    <s v="Ios"/>
    <s v="Iphone"/>
    <s v="7-12 months"/>
    <s v="Plus"/>
    <s v="Paid Search"/>
    <x v="3"/>
    <s v="First Use"/>
    <s v="No Experiment"/>
    <s v="Control"/>
    <n v="6"/>
    <n v="6"/>
    <n v="133"/>
    <s v="No"/>
    <x v="0"/>
    <x v="1"/>
    <s v="No Error"/>
    <x v="0"/>
    <n v="73.69"/>
    <n v="0.11"/>
    <n v="0.17"/>
    <s v="Transaction Failure"/>
    <s v="Yes"/>
    <s v="Transaction Failure"/>
    <s v="Resolved"/>
    <n v="8"/>
    <s v="No drop-off"/>
    <n v="5"/>
    <n v="18"/>
    <n v="0"/>
    <x v="1"/>
    <n v="1"/>
    <n v="1"/>
    <n v="0"/>
    <n v="1"/>
  </r>
  <r>
    <s v="NSF-000721"/>
    <s v="USR-00482"/>
    <s v="SES-2508-67371"/>
    <d v="2025-08-13T00:00:00"/>
    <s v="Yorkshire &amp; Humber"/>
    <s v="York"/>
    <x v="0"/>
    <s v="18-24"/>
    <s v="Male"/>
    <s v="Ios"/>
    <s v="Iphone"/>
    <s v="1-2 years"/>
    <s v="Premium"/>
    <s v="App Store"/>
    <x v="3"/>
    <s v="Repeat Use"/>
    <s v="Simplified Onboarding"/>
    <s v="Treatment"/>
    <n v="6"/>
    <n v="6"/>
    <n v="150"/>
    <s v="No"/>
    <x v="1"/>
    <x v="1"/>
    <s v="No Error"/>
    <x v="0"/>
    <n v="1"/>
    <n v="0.1"/>
    <n v="0.37"/>
    <s v="No Support Contact"/>
    <s v="No"/>
    <s v="No Support Contact"/>
    <s v="Not Applicable"/>
    <m/>
    <s v="No drop-off"/>
    <n v="4"/>
    <n v="-1"/>
    <n v="67"/>
    <x v="0"/>
    <n v="0"/>
    <n v="1"/>
    <n v="0"/>
    <n v="0"/>
  </r>
  <r>
    <s v="NSF-000830"/>
    <s v="USR-00299"/>
    <s v="SES-2509-73482"/>
    <d v="2025-09-17T00:00:00"/>
    <s v="East Midlands"/>
    <s v="Leicester"/>
    <x v="2"/>
    <s v="25-34"/>
    <s v="Female"/>
    <s v="Ios"/>
    <s v="Iphone"/>
    <s v="3-6 months"/>
    <s v="Free"/>
    <s v="Referral"/>
    <x v="1"/>
    <s v="Repeat Use"/>
    <s v="No Experiment"/>
    <s v="Control"/>
    <n v="4"/>
    <n v="2"/>
    <n v="189"/>
    <s v="Yes"/>
    <x v="1"/>
    <x v="1"/>
    <s v="No Error"/>
    <x v="0"/>
    <n v="162.97999999999999"/>
    <n v="0.22"/>
    <n v="0"/>
    <s v="No Support Contact"/>
    <s v="No"/>
    <s v="No Support Contact"/>
    <s v="Not Applicable"/>
    <m/>
    <s v="Too many steps"/>
    <n v="3"/>
    <n v="5"/>
    <n v="16"/>
    <x v="1"/>
    <n v="0"/>
    <n v="1"/>
    <n v="0"/>
    <n v="1"/>
  </r>
  <r>
    <s v="NSF-000264"/>
    <s v="USR-00678"/>
    <s v="SES-2503-66447"/>
    <d v="2025-03-04T00:00:00"/>
    <s v="Scotland"/>
    <s v="Dundee"/>
    <x v="1"/>
    <s v="35-44"/>
    <s v="Female"/>
    <s v="Android"/>
    <s v="Android Phone"/>
    <s v="2+ years"/>
    <s v="Plus"/>
    <s v="Organic Search"/>
    <x v="7"/>
    <s v="First Use"/>
    <s v="Progress Indicator"/>
    <s v="Control"/>
    <n v="4"/>
    <n v="4"/>
    <n v="94"/>
    <s v="No"/>
    <x v="0"/>
    <x v="1"/>
    <s v="No Error"/>
    <x v="0"/>
    <n v="125.4"/>
    <n v="0.43"/>
    <n v="0.17"/>
    <s v="No Support Contact"/>
    <s v="No"/>
    <s v="No Support Contact"/>
    <s v="Not Applicable"/>
    <m/>
    <s v="No drop-off"/>
    <n v="5"/>
    <n v="42"/>
    <s v="0 days"/>
    <x v="0"/>
    <n v="1"/>
    <n v="1"/>
    <n v="0"/>
    <n v="0"/>
  </r>
  <r>
    <s v="NSF-000409"/>
    <s v="USR-00301"/>
    <s v="SES-2505-18710"/>
    <d v="2025-05-13T00:00:00"/>
    <s v="London"/>
    <s v="Camden"/>
    <x v="3"/>
    <s v="35-44"/>
    <s v="Male"/>
    <s v="Web"/>
    <s v="Mobile Browser"/>
    <s v="7-12 months"/>
    <s v="Free"/>
    <s v="Paid Social"/>
    <x v="4"/>
    <s v="Repeat Use"/>
    <s v="New Cta Copy"/>
    <s v="Control"/>
    <n v="6"/>
    <n v="6"/>
    <n v="145"/>
    <s v="No"/>
    <x v="0"/>
    <x v="1"/>
    <s v="No Error"/>
    <x v="0"/>
    <n v="19.38"/>
    <n v="0"/>
    <n v="0"/>
    <s v="Account Verification"/>
    <s v="Yes"/>
    <s v="Account Verification"/>
    <s v="Unresolved"/>
    <n v="15"/>
    <s v="No drop-off"/>
    <n v="5"/>
    <n v="-5"/>
    <n v="37"/>
    <x v="1"/>
    <n v="1"/>
    <n v="1"/>
    <n v="0"/>
    <n v="1"/>
  </r>
  <r>
    <s v="NSF-000143"/>
    <s v="USR-00272"/>
    <s v="SES-2502-76122"/>
    <d v="2025-10-02T00:00:00"/>
    <s v="London"/>
    <s v="Camden"/>
    <x v="0"/>
    <s v="25-34"/>
    <s v="Female"/>
    <s v="Android"/>
    <s v="Android Phone"/>
    <s v="&lt;3 months"/>
    <s v="Free"/>
    <s v="Paid Social"/>
    <x v="9"/>
    <s v="First Use"/>
    <s v="Simplified Onboarding"/>
    <s v="Treatment"/>
    <n v="5"/>
    <n v="5"/>
    <n v="144"/>
    <s v="No"/>
    <x v="0"/>
    <x v="1"/>
    <s v="No Error"/>
    <x v="0"/>
    <n v="25.17"/>
    <n v="0"/>
    <n v="0"/>
    <s v="No Support Contact"/>
    <s v="No"/>
    <s v="No Support Contact"/>
    <s v="Not Applicable"/>
    <m/>
    <s v="No drop-off"/>
    <n v="4"/>
    <n v="75"/>
    <n v="0"/>
    <x v="1"/>
    <n v="1"/>
    <n v="1"/>
    <n v="0"/>
    <n v="1"/>
  </r>
  <r>
    <s v="NSF-000603"/>
    <s v="USR-00567"/>
    <s v="SES-2507-63192"/>
    <d v="2025-07-27T00:00:00"/>
    <s v="North West"/>
    <s v="Manchester"/>
    <x v="4"/>
    <s v="65+"/>
    <s v="Male"/>
    <s v="Android"/>
    <s v="Android Phone"/>
    <s v="2+ years"/>
    <s v="Plus"/>
    <s v="Organic Search"/>
    <x v="0"/>
    <s v="First Use"/>
    <s v="No Experiment"/>
    <s v="Control"/>
    <n v="7"/>
    <n v="6"/>
    <n v="229"/>
    <s v="Yes"/>
    <x v="0"/>
    <x v="1"/>
    <s v="No Error"/>
    <x v="0"/>
    <n v="18.149999999999999"/>
    <n v="0"/>
    <n v="0.17"/>
    <s v="No Support Contact"/>
    <s v="No"/>
    <s v="No Support Contact"/>
    <s v="Not Applicable"/>
    <m/>
    <s v="No drop-off"/>
    <n v="3"/>
    <n v="-31"/>
    <n v="0"/>
    <x v="0"/>
    <n v="1"/>
    <n v="1"/>
    <n v="0"/>
    <n v="0"/>
  </r>
  <r>
    <s v="NSF-000002"/>
    <s v="USR-00307"/>
    <s v="SES-2501-18180"/>
    <d v="2025-01-09T00:00:00"/>
    <s v="South East"/>
    <s v="Oxford"/>
    <x v="0"/>
    <s v="35-44"/>
    <s v="Female"/>
    <s v="Android"/>
    <s v="Android Phone"/>
    <s v="3-6 months"/>
    <s v="Free"/>
    <s v="Referral"/>
    <x v="1"/>
    <s v="Reactivated"/>
    <s v="No Experiment"/>
    <s v="Control"/>
    <n v="4"/>
    <n v="4"/>
    <n v="124"/>
    <s v="No"/>
    <x v="0"/>
    <x v="1"/>
    <s v="No Error"/>
    <x v="0"/>
    <n v="101.47"/>
    <n v="0.2"/>
    <n v="0"/>
    <s v="Account Verification"/>
    <s v="Yes"/>
    <s v="Account Verification"/>
    <s v="Resolved"/>
    <n v="38"/>
    <s v="No drop-off"/>
    <n v="3"/>
    <n v="59"/>
    <n v="20"/>
    <x v="1"/>
    <n v="1"/>
    <n v="1"/>
    <n v="0"/>
    <n v="1"/>
  </r>
  <r>
    <s v="NSF-001130"/>
    <s v="USR-00429"/>
    <s v="SES-2601-64005"/>
    <d v="2026-01-06T00:00:00"/>
    <s v="North West"/>
    <s v="Chester"/>
    <x v="7"/>
    <s v="25-34"/>
    <s v="Female"/>
    <s v="Android"/>
    <s v="Android Phone"/>
    <s v="3-6 months"/>
    <s v="Free"/>
    <s v="Paid Search"/>
    <x v="5"/>
    <s v="Repeat Use"/>
    <s v="Simplified Onboarding"/>
    <s v="Treatment"/>
    <n v="8"/>
    <n v="8"/>
    <n v="145"/>
    <s v="No"/>
    <x v="1"/>
    <x v="1"/>
    <s v="No Error"/>
    <x v="0"/>
    <n v="360.05"/>
    <n v="2.4900000000000002"/>
    <n v="0"/>
    <s v="No Support Contact"/>
    <s v="No"/>
    <s v="No Support Contact"/>
    <s v="Not Applicable"/>
    <m/>
    <s v="No drop-off"/>
    <n v="3"/>
    <n v="-16"/>
    <n v="24"/>
    <x v="1"/>
    <n v="0"/>
    <n v="1"/>
    <n v="0"/>
    <n v="1"/>
  </r>
  <r>
    <s v="NSF-001159"/>
    <s v="USR-00343"/>
    <s v="SES-2602-35365"/>
    <d v="2026-02-05T00:00:00"/>
    <s v="South West"/>
    <s v="Exeter"/>
    <x v="0"/>
    <s v="45-54"/>
    <s v="Female"/>
    <s v="Android"/>
    <s v="Android Phone"/>
    <s v="1-2 years"/>
    <s v="Free"/>
    <s v="Paid Social"/>
    <x v="2"/>
    <s v="First Use"/>
    <s v="New Cta Copy"/>
    <s v="Control"/>
    <n v="5"/>
    <n v="5"/>
    <n v="144"/>
    <s v="No"/>
    <x v="0"/>
    <x v="1"/>
    <s v="No Error"/>
    <x v="1"/>
    <n v="0"/>
    <n v="0"/>
    <n v="0"/>
    <s v="Fees And Pricing"/>
    <s v="Yes"/>
    <s v="Fees And Pricing"/>
    <s v="Unresolved"/>
    <n v="39"/>
    <s v="No drop-off"/>
    <n v="4"/>
    <n v="66"/>
    <n v="0"/>
    <x v="1"/>
    <n v="1"/>
    <n v="0"/>
    <n v="0"/>
    <n v="1"/>
  </r>
  <r>
    <s v="NSF-000645"/>
    <s v="USR-00067"/>
    <s v="SES-2507-52504"/>
    <d v="2025-07-18T00:00:00"/>
    <s v="Scotland"/>
    <s v="Edinburgh"/>
    <x v="5"/>
    <s v="45-54"/>
    <s v="Male"/>
    <s v="Ios"/>
    <s v="Iphone"/>
    <s v="2+ years"/>
    <s v="Premium"/>
    <s v="Paid Search"/>
    <x v="1"/>
    <s v="Reactivated"/>
    <s v="New Cta Copy"/>
    <s v="Control"/>
    <n v="4"/>
    <n v="3"/>
    <n v="162"/>
    <s v="Yes"/>
    <x v="0"/>
    <x v="1"/>
    <s v="No Error"/>
    <x v="0"/>
    <n v="156.36000000000001"/>
    <n v="0.22"/>
    <n v="0.37"/>
    <s v="No Support Contact"/>
    <s v="No"/>
    <s v="No Support Contact"/>
    <s v="Not Applicable"/>
    <m/>
    <s v="No drop-off"/>
    <n v="4"/>
    <n v="4"/>
    <n v="7"/>
    <x v="1"/>
    <n v="1"/>
    <n v="1"/>
    <n v="0"/>
    <n v="1"/>
  </r>
  <r>
    <s v="NSF-000589"/>
    <s v="USR-00160"/>
    <s v="SES-2507-92864"/>
    <d v="2025-07-10T00:00:00"/>
    <s v="South East"/>
    <s v="Brighton"/>
    <x v="5"/>
    <s v="25-34"/>
    <s v="Female"/>
    <s v="Ios"/>
    <s v="Iphone"/>
    <s v="3-6 months"/>
    <s v="Free"/>
    <s v="Paid Social"/>
    <x v="2"/>
    <s v="Repeat Use"/>
    <s v="New Cta Copy"/>
    <s v="Treatment"/>
    <n v="5"/>
    <n v="5"/>
    <n v="154"/>
    <s v="No"/>
    <x v="1"/>
    <x v="1"/>
    <s v="No Error"/>
    <x v="1"/>
    <n v="0"/>
    <n v="0"/>
    <n v="0"/>
    <s v="No Support Contact"/>
    <s v="Unknown"/>
    <s v="No Support Contact"/>
    <s v="Not Applicable"/>
    <m/>
    <s v="Changed mind"/>
    <n v="4"/>
    <n v="20"/>
    <n v="20"/>
    <x v="0"/>
    <n v="0"/>
    <n v="0"/>
    <n v="0"/>
    <n v="0"/>
  </r>
  <r>
    <s v="NSF-001425"/>
    <s v="USR-00696"/>
    <s v="SES-2606-29128"/>
    <d v="2026-06-20T00:00:00"/>
    <s v="Scotland"/>
    <s v="Aberdeen"/>
    <x v="5"/>
    <s v="55-64"/>
    <s v="Male"/>
    <s v="Web"/>
    <s v="Desktop"/>
    <s v="3-6 months"/>
    <s v="Free"/>
    <s v="Paid Search"/>
    <x v="5"/>
    <s v="Repeat Use"/>
    <s v="No Experiment"/>
    <s v="Control"/>
    <n v="8"/>
    <n v="8"/>
    <n v="171"/>
    <s v="No"/>
    <x v="1"/>
    <x v="1"/>
    <s v="No Error"/>
    <x v="1"/>
    <n v="0"/>
    <n v="0"/>
    <n v="0"/>
    <s v="No Support Contact"/>
    <s v="No"/>
    <s v="No Support Contact"/>
    <s v="Not Applicable"/>
    <m/>
    <s v="No drop-off"/>
    <n v="4"/>
    <n v="-6"/>
    <n v="39"/>
    <x v="1"/>
    <n v="0"/>
    <n v="0"/>
    <n v="0"/>
    <n v="1"/>
  </r>
  <r>
    <s v="NSF-000122"/>
    <s v="USR-00475"/>
    <s v="SES-2502-41324"/>
    <d v="2025-02-13T00:00:00"/>
    <s v="South West"/>
    <s v="Bristol"/>
    <x v="7"/>
    <s v="18-24"/>
    <s v="Male"/>
    <s v="Android"/>
    <s v="Android Phone"/>
    <s v="2+ years"/>
    <s v="Free"/>
    <s v="Employer Partnership"/>
    <x v="1"/>
    <s v="First Use"/>
    <s v="Simplified Onboarding"/>
    <s v="Control"/>
    <n v="4"/>
    <n v="4"/>
    <n v="101"/>
    <s v="No"/>
    <x v="0"/>
    <x v="1"/>
    <s v="No Error"/>
    <x v="0"/>
    <n v="66.3"/>
    <n v="0.22"/>
    <n v="0"/>
    <s v="No Support Contact"/>
    <s v="No"/>
    <s v="No Support Contact"/>
    <s v="Not Applicable"/>
    <m/>
    <s v="No drop-off"/>
    <n v="4"/>
    <n v="15"/>
    <n v="0"/>
    <x v="0"/>
    <n v="1"/>
    <n v="1"/>
    <n v="0"/>
    <n v="0"/>
  </r>
  <r>
    <s v="NSF-000192"/>
    <s v="USR-00726"/>
    <s v="SES-2502-60194"/>
    <d v="2025-02-28T00:00:00"/>
    <s v="Wales"/>
    <s v="Cardiff"/>
    <x v="5"/>
    <s v="18-24"/>
    <s v="Female"/>
    <s v="Web"/>
    <s v="Desktop"/>
    <s v="1-2 years"/>
    <s v="Free"/>
    <s v="Organic Search"/>
    <x v="3"/>
    <s v="Reactivated"/>
    <s v="No Experiment"/>
    <s v="Control"/>
    <n v="6"/>
    <n v="6"/>
    <n v="185"/>
    <s v="No"/>
    <x v="1"/>
    <x v="1"/>
    <s v="No Error"/>
    <x v="1"/>
    <n v="0"/>
    <n v="0"/>
    <n v="0"/>
    <s v="No Support Contact"/>
    <s v="No"/>
    <s v="No Support Contact"/>
    <s v="Not Applicable"/>
    <m/>
    <s v="No drop-off"/>
    <n v="4"/>
    <n v="43"/>
    <n v="29"/>
    <x v="0"/>
    <n v="0"/>
    <n v="0"/>
    <n v="0"/>
    <n v="0"/>
  </r>
  <r>
    <s v="NSF-001450"/>
    <s v="USR-00185"/>
    <s v="SES-2606-99828"/>
    <d v="2026-06-24T00:00:00"/>
    <s v="London"/>
    <s v="Croydon"/>
    <x v="7"/>
    <s v="18-24"/>
    <s v="Female"/>
    <s v="Ios"/>
    <s v="Ipad"/>
    <s v="&lt;3 months"/>
    <s v="Premium"/>
    <s v="Referral"/>
    <x v="0"/>
    <s v="First Use"/>
    <s v="No Experiment"/>
    <s v="Control"/>
    <n v="7"/>
    <n v="7"/>
    <n v="204"/>
    <s v="No"/>
    <x v="1"/>
    <x v="1"/>
    <s v="No Error"/>
    <x v="1"/>
    <n v="0"/>
    <n v="0"/>
    <n v="0"/>
    <s v="No Support Contact"/>
    <s v="No"/>
    <s v="No Support Contact"/>
    <s v="Not Applicable"/>
    <m/>
    <s v="No drop-off"/>
    <n v="2"/>
    <n v="-15"/>
    <n v="0"/>
    <x v="0"/>
    <n v="0"/>
    <n v="0"/>
    <n v="0"/>
    <n v="0"/>
  </r>
  <r>
    <s v="NSF-000761"/>
    <s v="USR-00249"/>
    <s v="SES-2509-93813"/>
    <d v="2025-09-29T00:00:00"/>
    <s v="East Midlands"/>
    <s v="Derby"/>
    <x v="0"/>
    <s v="18-24"/>
    <s v="Male"/>
    <s v="Web"/>
    <s v="Desktop"/>
    <s v="7-12 months"/>
    <s v="Plus"/>
    <s v="Referral"/>
    <x v="1"/>
    <s v="Repeat Use"/>
    <s v="No Experiment"/>
    <s v="Control"/>
    <n v="4"/>
    <n v="4"/>
    <n v="147"/>
    <s v="No"/>
    <x v="0"/>
    <x v="0"/>
    <s v="Recipient Validation Error"/>
    <x v="0"/>
    <n v="142.99"/>
    <n v="0.18"/>
    <n v="0.17"/>
    <s v="Other"/>
    <s v="Yes"/>
    <s v="Other"/>
    <s v="Unresolved"/>
    <n v="18"/>
    <s v="No drop-off"/>
    <n v="3"/>
    <n v="-26"/>
    <n v="37"/>
    <x v="1"/>
    <n v="1"/>
    <n v="1"/>
    <n v="1"/>
    <n v="1"/>
  </r>
  <r>
    <s v="NSF-000180"/>
    <s v="USR-00439"/>
    <s v="SES-2502-91708"/>
    <d v="2025-02-18T00:00:00"/>
    <s v="South West"/>
    <s v="Bath"/>
    <x v="3"/>
    <s v="35-44"/>
    <s v="Male"/>
    <s v="Web"/>
    <s v="Desktop"/>
    <s v="3-6 months"/>
    <s v="Free"/>
    <s v="Referral"/>
    <x v="1"/>
    <s v="First Use"/>
    <s v="No Experiment"/>
    <s v="Control"/>
    <n v="4"/>
    <n v="4"/>
    <n v="96"/>
    <s v="No"/>
    <x v="0"/>
    <x v="1"/>
    <s v="No Error"/>
    <x v="0"/>
    <n v="98.67"/>
    <n v="0.2"/>
    <n v="0"/>
    <s v="No Support Contact"/>
    <s v="No"/>
    <s v="No Support Contact"/>
    <s v="Not Applicable"/>
    <m/>
    <s v="No drop-off"/>
    <n v="4"/>
    <n v="57"/>
    <n v="0"/>
    <x v="1"/>
    <n v="1"/>
    <n v="1"/>
    <n v="0"/>
    <n v="1"/>
  </r>
  <r>
    <s v="NSF-000128"/>
    <s v="USR-00194"/>
    <s v="SES-2502-48621"/>
    <d v="2025-02-09T00:00:00"/>
    <s v="Wales"/>
    <m/>
    <x v="3"/>
    <s v="35-44"/>
    <s v="Female"/>
    <s v="Android"/>
    <s v="Android Phone"/>
    <s v="7-12 months"/>
    <s v="Free"/>
    <s v="Paid Search"/>
    <x v="5"/>
    <s v="Repeat Use"/>
    <s v="No Experiment"/>
    <s v="Control"/>
    <n v="8"/>
    <n v="8"/>
    <n v="254"/>
    <s v="No"/>
    <x v="0"/>
    <x v="1"/>
    <s v="No Error"/>
    <x v="0"/>
    <n v="467.33"/>
    <n v="2.59"/>
    <n v="0"/>
    <s v="No Support Contact"/>
    <s v="No"/>
    <s v="No Support Contact"/>
    <s v="Not Applicable"/>
    <m/>
    <s v="No drop-off"/>
    <n v="4"/>
    <n v="0"/>
    <n v="1"/>
    <x v="1"/>
    <n v="1"/>
    <n v="1"/>
    <n v="0"/>
    <n v="1"/>
  </r>
  <r>
    <s v="NSF-001205"/>
    <s v="USR-00579"/>
    <s v="SES-2602-84318"/>
    <d v="2026-02-18T00:00:00"/>
    <s v="West Midlands"/>
    <s v="Solihull"/>
    <x v="3"/>
    <s v="55-64"/>
    <s v="Male"/>
    <s v="Ios"/>
    <s v="Ipad"/>
    <s v="1-2 years"/>
    <s v="Free"/>
    <s v="Organic Search"/>
    <x v="1"/>
    <s v="First Use"/>
    <s v="No Experiment"/>
    <s v="Control"/>
    <n v="4"/>
    <n v="4"/>
    <n v="138"/>
    <s v="No"/>
    <x v="0"/>
    <x v="0"/>
    <s v="Recipient Validation Error"/>
    <x v="0"/>
    <n v="165.09"/>
    <n v="0.18"/>
    <n v="0"/>
    <s v="Transaction Failure"/>
    <s v="Yes"/>
    <s v="Transaction Failure"/>
    <s v="Resolved"/>
    <n v="37"/>
    <s v="No drop-off"/>
    <n v="3"/>
    <n v="18"/>
    <n v="0"/>
    <x v="1"/>
    <n v="1"/>
    <n v="1"/>
    <n v="1"/>
    <n v="1"/>
  </r>
  <r>
    <s v="NSF-001214"/>
    <s v="USR-00086"/>
    <s v="SES-2602-81227"/>
    <d v="2026-02-17T00:00:00"/>
    <s v="South West"/>
    <s v="Bristol"/>
    <x v="1"/>
    <s v="35-44"/>
    <s v="Female"/>
    <s v="Android"/>
    <s v="Android Phone"/>
    <s v="1-2 years"/>
    <s v="Plus"/>
    <s v="Referral"/>
    <x v="10"/>
    <s v="Repeat Use"/>
    <s v="No Experiment"/>
    <s v="Control"/>
    <n v="9"/>
    <n v="9"/>
    <n v="249"/>
    <s v="No"/>
    <x v="1"/>
    <x v="1"/>
    <s v="No Error"/>
    <x v="1"/>
    <n v="0"/>
    <n v="0"/>
    <n v="0"/>
    <s v="No Support Contact"/>
    <s v="No"/>
    <s v="No Support Contact"/>
    <s v="Not Applicable"/>
    <m/>
    <s v="Privacy concern"/>
    <n v="2"/>
    <n v="5"/>
    <n v="17"/>
    <x v="0"/>
    <n v="0"/>
    <n v="0"/>
    <n v="0"/>
    <n v="0"/>
  </r>
  <r>
    <s v="NSF-000576"/>
    <s v="USR-00032"/>
    <s v="SES-2507-97956"/>
    <d v="2025-07-04T00:00:00"/>
    <s v="East Midlands"/>
    <s v="Lincoln"/>
    <x v="5"/>
    <s v="25-34"/>
    <s v="Male"/>
    <s v="Web"/>
    <s v="Mobile Browser"/>
    <s v="1-2 years"/>
    <s v="Plus"/>
    <s v="App Store"/>
    <x v="1"/>
    <s v="Trial/Exploration"/>
    <s v="No Experiment"/>
    <s v="Control"/>
    <n v="4"/>
    <n v="4"/>
    <n v="97"/>
    <s v="No"/>
    <x v="0"/>
    <x v="1"/>
    <s v="No Error"/>
    <x v="0"/>
    <n v="115.69"/>
    <n v="0.18"/>
    <n v="0.17"/>
    <s v="No Support Contact"/>
    <s v="No"/>
    <s v="No Support Contact"/>
    <s v="Not Applicable"/>
    <m/>
    <s v="No drop-off"/>
    <n v="4"/>
    <n v="41"/>
    <n v="28"/>
    <x v="0"/>
    <n v="1"/>
    <n v="1"/>
    <n v="0"/>
    <n v="0"/>
  </r>
  <r>
    <s v="NSF-000129"/>
    <s v="USR-00724"/>
    <s v="SES-2502-50676"/>
    <d v="2025-02-16T00:00:00"/>
    <s v="Wales"/>
    <s v="Wrexham"/>
    <x v="3"/>
    <s v="25-34"/>
    <s v="Male"/>
    <s v="Ios"/>
    <s v="Iphone"/>
    <s v="&lt;3 months"/>
    <s v="Premium"/>
    <s v="Paid Search"/>
    <x v="1"/>
    <s v="Repeat Use"/>
    <s v="Progress Indicator"/>
    <s v="Control"/>
    <n v="4"/>
    <n v="3"/>
    <n v="193"/>
    <s v="Yes"/>
    <x v="0"/>
    <x v="1"/>
    <s v="No Error"/>
    <x v="0"/>
    <n v="176.51"/>
    <n v="0.2"/>
    <n v="0.37"/>
    <s v="No Support Contact"/>
    <s v="No"/>
    <s v="No Support Contact"/>
    <s v="Not Applicable"/>
    <m/>
    <s v="No drop-off"/>
    <n v="3"/>
    <n v="38"/>
    <n v="31"/>
    <x v="1"/>
    <n v="1"/>
    <n v="1"/>
    <n v="0"/>
    <n v="1"/>
  </r>
  <r>
    <s v="NSF-001111"/>
    <s v="USR-00211"/>
    <s v="SES-2601-13387"/>
    <d v="2026-01-16T00:00:00"/>
    <s v="West Midlands"/>
    <s v="Wolverhampton"/>
    <x v="2"/>
    <s v="18-24"/>
    <s v="Male"/>
    <s v="Android"/>
    <s v="Android Phone"/>
    <s v="7-12 months"/>
    <s v="Free"/>
    <s v="Referral"/>
    <x v="7"/>
    <s v="Reactivated"/>
    <s v="Simplified Onboarding"/>
    <s v="Treatment"/>
    <n v="4"/>
    <n v="2"/>
    <n v="248"/>
    <s v="Yes"/>
    <x v="0"/>
    <x v="0"/>
    <s v="Card Activation Failed"/>
    <x v="1"/>
    <n v="0"/>
    <n v="0"/>
    <n v="0"/>
    <s v="Fees And Pricing"/>
    <s v="Yes"/>
    <s v="Fees And Pricing"/>
    <s v="Resolved"/>
    <n v="44"/>
    <s v="Technical error"/>
    <n v="2"/>
    <n v="11"/>
    <n v="37"/>
    <x v="1"/>
    <n v="1"/>
    <n v="0"/>
    <n v="1"/>
    <n v="1"/>
  </r>
  <r>
    <s v="NSF-000201"/>
    <s v="USR-00377"/>
    <s v="SES-2503-26246"/>
    <d v="2025-03-28T00:00:00"/>
    <s v="Wales"/>
    <s v="Swansea"/>
    <x v="0"/>
    <s v="45-54"/>
    <s v="Female"/>
    <s v="Web"/>
    <s v="Desktop"/>
    <s v="&lt;3 months"/>
    <s v="Free"/>
    <s v="Paid Search"/>
    <x v="10"/>
    <s v="First Use"/>
    <s v="New Cta Copy"/>
    <s v="Treatment"/>
    <n v="9"/>
    <n v="9"/>
    <n v="327"/>
    <s v="No"/>
    <x v="0"/>
    <x v="0"/>
    <s v="Income Verification Failed"/>
    <x v="1"/>
    <n v="0"/>
    <n v="0"/>
    <n v="0"/>
    <s v="No Support Contact"/>
    <s v="No"/>
    <s v="No Support Contact"/>
    <s v="Not Applicable"/>
    <m/>
    <s v="No drop-off"/>
    <n v="3"/>
    <n v="0"/>
    <n v="0"/>
    <x v="0"/>
    <n v="1"/>
    <n v="0"/>
    <n v="1"/>
    <n v="0"/>
  </r>
  <r>
    <s v="NSF-000704"/>
    <s v="USR-00803"/>
    <s v="SES-2508-45672"/>
    <d v="2025-08-12T00:00:00"/>
    <s v="South East"/>
    <s v="Guildford"/>
    <x v="0"/>
    <s v="45-54"/>
    <s v="Female"/>
    <s v="Web"/>
    <s v="Tablet Browser"/>
    <s v="7-12 months"/>
    <s v="Free"/>
    <s v="Paid Search"/>
    <x v="0"/>
    <s v="Repeat Use"/>
    <s v="No Experiment"/>
    <s v="Control"/>
    <n v="7"/>
    <s v="7 steps"/>
    <n v="203"/>
    <s v="No"/>
    <x v="1"/>
    <x v="0"/>
    <s v="Category Setup Confusion"/>
    <x v="1"/>
    <n v="0"/>
    <n v="0"/>
    <n v="0"/>
    <s v="No Support Contact"/>
    <s v="No"/>
    <s v="No Support Contact"/>
    <s v="Not Applicable"/>
    <m/>
    <s v="Technical error"/>
    <n v="1"/>
    <n v="-21"/>
    <n v="1"/>
    <x v="1"/>
    <n v="0"/>
    <n v="0"/>
    <n v="1"/>
    <n v="1"/>
  </r>
  <r>
    <s v="NSF-001242"/>
    <s v="USR-00013"/>
    <s v="SES-2603-81734"/>
    <d v="2026-03-15T00:00:00"/>
    <s v="London"/>
    <s v="Hammersmith"/>
    <x v="3"/>
    <s v="25-34"/>
    <s v="Male"/>
    <s v="Web"/>
    <s v="Mobile Browser"/>
    <s v="3-6 months"/>
    <s v="Plus"/>
    <s v="Paid Search"/>
    <x v="2"/>
    <s v="Repeat Use"/>
    <s v="Progress Indicator"/>
    <s v="Treatment"/>
    <n v="5"/>
    <n v="5"/>
    <n v="133"/>
    <s v="No"/>
    <x v="1"/>
    <x v="1"/>
    <s v="No Error"/>
    <x v="1"/>
    <n v="0"/>
    <n v="0"/>
    <n v="0"/>
    <s v="No Support Contact"/>
    <s v="No"/>
    <s v="No Support Contact"/>
    <s v="Not Applicable"/>
    <m/>
    <s v="No drop-off"/>
    <n v="4"/>
    <n v="34"/>
    <n v="6"/>
    <x v="0"/>
    <n v="0"/>
    <n v="0"/>
    <n v="0"/>
    <n v="0"/>
  </r>
  <r>
    <s v="NSF-001248"/>
    <s v="usr-00616"/>
    <s v="SES-2603-51106"/>
    <d v="2026-03-31T00:00:00"/>
    <s v="North West"/>
    <s v="Chester"/>
    <x v="0"/>
    <s v="18-24"/>
    <s v="Male"/>
    <s v="Ios"/>
    <s v="Iphone"/>
    <s v="&lt;3 months"/>
    <s v="Plus"/>
    <s v="Referral"/>
    <x v="7"/>
    <s v="Trial/Exploration"/>
    <s v="No Experiment"/>
    <s v="Control"/>
    <n v="4"/>
    <n v="4"/>
    <n v="94"/>
    <s v="No"/>
    <x v="0"/>
    <x v="1"/>
    <s v="No Error"/>
    <x v="1"/>
    <n v="0"/>
    <n v="0"/>
    <n v="0"/>
    <s v="No Support Contact"/>
    <s v="No"/>
    <s v="No Support Contact"/>
    <s v="Not Applicable"/>
    <m/>
    <s v="No drop-off"/>
    <n v="4"/>
    <n v="28"/>
    <n v="33"/>
    <x v="0"/>
    <n v="1"/>
    <n v="0"/>
    <n v="0"/>
    <n v="0"/>
  </r>
  <r>
    <s v="NSF-001429"/>
    <s v="USR-00280"/>
    <s v="SES-2606-12264"/>
    <d v="2026-06-16T00:00:00"/>
    <s v="East England"/>
    <s v="Ipswich"/>
    <x v="7"/>
    <s v="18-24"/>
    <s v="Male"/>
    <s v="Android"/>
    <s v="Android Phone"/>
    <s v="7-12 months"/>
    <s v="Free"/>
    <s v="Referral"/>
    <x v="5"/>
    <s v="Reactivated"/>
    <s v="New Cta Copy"/>
    <s v="Treatment"/>
    <s v="8 steps"/>
    <n v="8"/>
    <n v="242"/>
    <s v="No"/>
    <x v="0"/>
    <x v="1"/>
    <s v="No Error"/>
    <x v="0"/>
    <n v="361.92"/>
    <n v="2.2599999999999998"/>
    <n v="0"/>
    <s v="No Support Contact"/>
    <s v="No"/>
    <s v="No Support Contact"/>
    <s v="Not Applicable"/>
    <m/>
    <s v="No drop-off"/>
    <n v="3"/>
    <n v="7"/>
    <n v="8"/>
    <x v="0"/>
    <n v="1"/>
    <n v="1"/>
    <n v="0"/>
    <n v="0"/>
  </r>
  <r>
    <s v="NSF-000168"/>
    <s v="USR-00226"/>
    <s v="SES-2502-92670"/>
    <d v="2025-02-09T00:00:00"/>
    <s v="North East"/>
    <s v="Newcastle"/>
    <x v="0"/>
    <s v="18-24"/>
    <s v="Female"/>
    <s v="Ios"/>
    <s v="Iphone"/>
    <s v="3-6 months"/>
    <s v="Free"/>
    <s v="Referral"/>
    <x v="4"/>
    <s v="Reactivated"/>
    <s v="No Experiment"/>
    <s v="Control"/>
    <n v="6"/>
    <s v="6 steps"/>
    <n v="0"/>
    <s v="No"/>
    <x v="1"/>
    <x v="0"/>
    <s v="Data Refresh Delayed"/>
    <x v="1"/>
    <n v="0"/>
    <n v="0"/>
    <n v="0"/>
    <s v="No Support Contact"/>
    <s v="No"/>
    <s v="No Support Contact"/>
    <s v="Not Applicable"/>
    <m/>
    <s v="No drop-off"/>
    <n v="2"/>
    <n v="-1"/>
    <n v="22"/>
    <x v="1"/>
    <n v="0"/>
    <n v="0"/>
    <n v="1"/>
    <n v="1"/>
  </r>
  <r>
    <s v="NSF-000194"/>
    <s v="USR-00608"/>
    <s v="SES-2502-16986"/>
    <d v="2025-02-09T00:00:00"/>
    <s v="London"/>
    <s v="Hackney"/>
    <x v="4"/>
    <s v="25-34"/>
    <s v="Male"/>
    <s v="Web"/>
    <s v="Desktop"/>
    <s v="2+ years"/>
    <s v="Free"/>
    <s v="Organic Search"/>
    <x v="0"/>
    <s v="Repeat Use"/>
    <s v="Simplified Onboarding"/>
    <s v="Control"/>
    <n v="7"/>
    <n v="6"/>
    <n v="262"/>
    <s v="Yes"/>
    <x v="0"/>
    <x v="1"/>
    <s v="No Error"/>
    <x v="0"/>
    <n v="0"/>
    <n v="0"/>
    <n v="0"/>
    <s v="No Support Contact"/>
    <s v="No"/>
    <s v="No Support Contact"/>
    <s v="Not Applicable"/>
    <m/>
    <s v="No drop-off"/>
    <n v="3"/>
    <n v="-24"/>
    <n v="52"/>
    <x v="1"/>
    <n v="1"/>
    <n v="1"/>
    <n v="0"/>
    <n v="1"/>
  </r>
  <r>
    <s v="NSF-001104"/>
    <s v="USR-00592"/>
    <s v="SES-2601-30517"/>
    <d v="2026-01-14T00:00:00"/>
    <s v="West Midlands"/>
    <s v="Solihull"/>
    <x v="5"/>
    <s v="45-54"/>
    <s v="Male"/>
    <s v="Android"/>
    <s v="Android Phone"/>
    <s v="3-6 months"/>
    <s v="Free"/>
    <s v="Organic Search"/>
    <x v="5"/>
    <s v="Repeat Use"/>
    <s v="No Experiment"/>
    <s v="Control"/>
    <n v="8"/>
    <n v="8"/>
    <n v="0"/>
    <s v="No"/>
    <x v="1"/>
    <x v="1"/>
    <s v="No Error"/>
    <x v="1"/>
    <n v="0"/>
    <n v="0"/>
    <n v="0"/>
    <s v="No Support Contact"/>
    <s v="No"/>
    <s v="No Support Contact"/>
    <s v="Not Applicable"/>
    <m/>
    <s v="No drop-off"/>
    <n v="2"/>
    <n v="30"/>
    <n v="27"/>
    <x v="0"/>
    <n v="0"/>
    <n v="0"/>
    <n v="0"/>
    <n v="0"/>
  </r>
  <r>
    <s v="NSF-000487"/>
    <s v="USR-00615"/>
    <s v="SES-2506-19359"/>
    <d v="2025-06-17T00:00:00"/>
    <s v="East Midlands"/>
    <s v="Derby"/>
    <x v="3"/>
    <s v="25-34"/>
    <s v="Female"/>
    <s v="Android"/>
    <s v="Android Phone"/>
    <s v="&lt;3 months"/>
    <s v="Free"/>
    <s v="Referral"/>
    <x v="5"/>
    <s v="Repeat Use"/>
    <s v="No Experiment"/>
    <s v="Control"/>
    <n v="8"/>
    <n v="8"/>
    <n v="155"/>
    <s v="No"/>
    <x v="0"/>
    <x v="1"/>
    <s v="No Error"/>
    <x v="0"/>
    <n v="398.55"/>
    <n v="2.62"/>
    <n v="0"/>
    <s v="Feature Navigation"/>
    <s v="Yes"/>
    <s v="Feature Navigation"/>
    <s v="Unresolved"/>
    <n v="29"/>
    <s v="No drop-off"/>
    <n v="0"/>
    <n v="0"/>
    <n v="35"/>
    <x v="1"/>
    <n v="1"/>
    <n v="1"/>
    <n v="0"/>
    <n v="1"/>
  </r>
  <r>
    <s v="NSF-000388"/>
    <s v="USR-00455"/>
    <s v="SES-2504-32838"/>
    <d v="2025-04-01T00:00:00"/>
    <s v="Yorkshire &amp; Humber"/>
    <s v="Leeds"/>
    <x v="0"/>
    <s v="45-54"/>
    <s v="Male"/>
    <s v="Android"/>
    <s v="Android Phone"/>
    <s v="3-6 months"/>
    <s v="Plus"/>
    <s v="Organic Search"/>
    <x v="0"/>
    <s v="First Use"/>
    <s v="Contextual Help"/>
    <s v="Control"/>
    <n v="7"/>
    <n v="7"/>
    <n v="133"/>
    <s v="No"/>
    <x v="0"/>
    <x v="1"/>
    <s v="No Error"/>
    <x v="0"/>
    <n v="0"/>
    <n v="0"/>
    <n v="0.17"/>
    <s v="No Support Contact"/>
    <s v="No"/>
    <s v="No Support Contact"/>
    <s v="Not Applicable"/>
    <m/>
    <s v="No drop-off"/>
    <n v="5"/>
    <n v="16"/>
    <n v="0"/>
    <x v="1"/>
    <n v="1"/>
    <n v="1"/>
    <n v="0"/>
    <n v="1"/>
  </r>
  <r>
    <s v="NSF-001383"/>
    <s v="USR-00612"/>
    <s v="SES-2605-72829"/>
    <d v="2026-05-19T00:00:00"/>
    <s v="West Midlands"/>
    <s v="Wolverhampton"/>
    <x v="0"/>
    <s v="45-54"/>
    <s v="Female"/>
    <s v="Ios"/>
    <s v="Iphone"/>
    <s v="3-6 months"/>
    <s v="Premium"/>
    <s v="App Store"/>
    <x v="1"/>
    <s v="Repeat Use"/>
    <s v="Simplified Onboarding"/>
    <s v="Treatment"/>
    <n v="4"/>
    <n v="4"/>
    <n v="111"/>
    <s v="No"/>
    <x v="0"/>
    <x v="1"/>
    <s v="No Error"/>
    <x v="0"/>
    <n v="186.79"/>
    <n v="0.17"/>
    <n v="0.37"/>
    <s v="No Support Contact"/>
    <s v="No"/>
    <s v="No Support Contact"/>
    <s v="Not Applicable"/>
    <m/>
    <s v="No drop-off"/>
    <n v="4"/>
    <n v="64"/>
    <n v="50"/>
    <x v="1"/>
    <n v="1"/>
    <n v="1"/>
    <n v="0"/>
    <n v="1"/>
  </r>
  <r>
    <s v="NSF-001279"/>
    <s v="USR-00115"/>
    <s v="SES-2603-98587"/>
    <d v="2026-03-29T00:00:00"/>
    <s v="Yorkshire &amp; Humber"/>
    <s v="Leeds"/>
    <x v="1"/>
    <s v="18-24"/>
    <s v="Male"/>
    <s v="Ios"/>
    <s v="Iphone"/>
    <s v="1-2 years"/>
    <s v="Free"/>
    <s v="Organic Search"/>
    <x v="7"/>
    <s v="First Use"/>
    <s v="Progress Indicator"/>
    <s v="Treatment"/>
    <s v="4 steps"/>
    <n v="4"/>
    <n v="100"/>
    <s v="No"/>
    <x v="0"/>
    <x v="1"/>
    <s v="No Error"/>
    <x v="1"/>
    <n v="0"/>
    <n v="0"/>
    <n v="0"/>
    <s v="No Support Contact"/>
    <s v="No"/>
    <s v="No Support Contact"/>
    <s v="Not Applicable"/>
    <m/>
    <s v="No drop-off"/>
    <n v="4"/>
    <n v="46"/>
    <n v="0"/>
    <x v="1"/>
    <n v="1"/>
    <n v="0"/>
    <n v="0"/>
    <n v="1"/>
  </r>
  <r>
    <s v="NSF-000335"/>
    <s v="USR-00553"/>
    <s v="SES-2504-76434"/>
    <d v="2025-04-18T00:00:00"/>
    <s v="East England"/>
    <s v="Luton"/>
    <x v="2"/>
    <s v="55-64"/>
    <s v="Female"/>
    <s v="Ios"/>
    <s v="Iphone"/>
    <s v="3-6 months"/>
    <s v="Premium"/>
    <s v="Direct"/>
    <x v="0"/>
    <s v="Repeat Use"/>
    <s v="No Experiment"/>
    <s v="Control"/>
    <n v="7"/>
    <n v="7"/>
    <n v="312"/>
    <s v="No"/>
    <x v="1"/>
    <x v="0"/>
    <s v="Bank Feed Mismatch"/>
    <x v="1"/>
    <n v="0"/>
    <n v="0"/>
    <n v="0"/>
    <s v="Transaction Failure"/>
    <s v="Yes"/>
    <s v="Transaction Failure"/>
    <s v="Resolved"/>
    <n v="20"/>
    <s v="Technical error"/>
    <n v="3"/>
    <n v="-8"/>
    <s v="37 days"/>
    <x v="1"/>
    <n v="0"/>
    <n v="0"/>
    <n v="1"/>
    <n v="1"/>
  </r>
  <r>
    <s v="NSF-001232"/>
    <s v="USR-00399"/>
    <s v="SES-2603-29417"/>
    <d v="2026-03-19T00:00:00"/>
    <s v="London"/>
    <s v="Southwark"/>
    <x v="5"/>
    <s v="25-34"/>
    <s v="Female"/>
    <s v="Ios"/>
    <s v="Iphone"/>
    <s v="1-2 years"/>
    <s v="Premium"/>
    <s v="Paid Social"/>
    <x v="10"/>
    <s v="Repeat Use"/>
    <s v="Contextual Help"/>
    <s v="Treatment"/>
    <n v="9"/>
    <n v="9"/>
    <n v="247"/>
    <s v="No"/>
    <x v="0"/>
    <x v="1"/>
    <s v="No Error"/>
    <x v="1"/>
    <n v="0"/>
    <n v="0"/>
    <n v="0"/>
    <s v="No Support Contact"/>
    <s v="No"/>
    <s v="No Support Contact"/>
    <s v="Not Applicable"/>
    <m/>
    <s v="No drop-off"/>
    <n v="3"/>
    <n v="12"/>
    <n v="7"/>
    <x v="0"/>
    <n v="1"/>
    <n v="0"/>
    <n v="0"/>
    <n v="0"/>
  </r>
  <r>
    <s v="NSF-000764"/>
    <s v="USR-00130"/>
    <s v="SES-2509-50849"/>
    <d v="2025-10-09T00:00:00"/>
    <s v="East Midlands"/>
    <s v="Lincoln"/>
    <x v="3"/>
    <s v="25-34"/>
    <s v="Female"/>
    <s v="Ios"/>
    <s v="Iphone"/>
    <s v="1-2 years"/>
    <s v="Free"/>
    <s v="Referral"/>
    <x v="1"/>
    <s v="First Use"/>
    <s v="No Experiment"/>
    <s v="Control"/>
    <n v="4"/>
    <n v="4"/>
    <n v="109"/>
    <s v="No"/>
    <x v="0"/>
    <x v="1"/>
    <s v="No Error"/>
    <x v="1"/>
    <n v="0"/>
    <n v="0"/>
    <n v="0"/>
    <s v="No Support Contact"/>
    <s v="No"/>
    <s v="No Support Contact"/>
    <s v="Not Applicable"/>
    <m/>
    <s v="No drop-off"/>
    <n v="4"/>
    <n v="-2"/>
    <n v="0"/>
    <x v="0"/>
    <n v="1"/>
    <n v="0"/>
    <n v="0"/>
    <n v="0"/>
  </r>
  <r>
    <s v="NSF-001125"/>
    <s v="USR-00779"/>
    <s v="SES-2601-16927"/>
    <d v="2026-01-19T00:00:00"/>
    <s v="North East"/>
    <s v="Durham"/>
    <x v="4"/>
    <s v="35-44"/>
    <s v="Male"/>
    <s v="Ios"/>
    <s v="Iphone"/>
    <s v="&lt;3 months"/>
    <s v="Free"/>
    <s v="Affiliate"/>
    <x v="9"/>
    <s v="Reactivated"/>
    <s v="Progress Indicator"/>
    <s v="Control"/>
    <n v="5"/>
    <n v="5"/>
    <n v="151"/>
    <s v="No"/>
    <x v="0"/>
    <x v="1"/>
    <s v="No Error"/>
    <x v="0"/>
    <n v="92.23"/>
    <n v="0"/>
    <n v="0"/>
    <s v="Other"/>
    <s v="Yes"/>
    <s v="Other"/>
    <s v="Resolved"/>
    <n v="37"/>
    <s v="No drop-off"/>
    <n v="4"/>
    <n v="27"/>
    <n v="30"/>
    <x v="1"/>
    <n v="1"/>
    <n v="1"/>
    <n v="0"/>
    <n v="1"/>
  </r>
  <r>
    <s v="NSF-001421"/>
    <s v="USR-00724"/>
    <s v="SES-2606-96153"/>
    <d v="2026-06-21T00:00:00"/>
    <s v="South West"/>
    <s v="Plymouth"/>
    <x v="0"/>
    <s v="25-34"/>
    <s v="Female"/>
    <s v="Android"/>
    <s v="Android Phone"/>
    <s v="7-12 months"/>
    <s v="Free"/>
    <s v="Employer Partnership"/>
    <x v="8"/>
    <s v="Reactivated"/>
    <s v="Fee Transparency Panel"/>
    <s v="Control"/>
    <n v="5"/>
    <n v="5"/>
    <n v="136"/>
    <s v="No"/>
    <x v="0"/>
    <x v="1"/>
    <s v="No Error"/>
    <x v="0"/>
    <n v="95.41"/>
    <n v="0"/>
    <n v="0"/>
    <s v="No Support Contact"/>
    <s v="No"/>
    <s v="No Support Contact"/>
    <s v="Not Applicable"/>
    <m/>
    <s v="No drop-off"/>
    <n v="4"/>
    <n v="0"/>
    <n v="34"/>
    <x v="1"/>
    <n v="1"/>
    <n v="1"/>
    <n v="0"/>
    <n v="1"/>
  </r>
  <r>
    <s v="NSF-000221"/>
    <s v="USR-00024"/>
    <s v="SES-2503-52077"/>
    <d v="2025-03-23T00:00:00"/>
    <s v="West Midlands"/>
    <s v="Solihull"/>
    <x v="5"/>
    <s v="35-44"/>
    <s v="Female"/>
    <s v="Ios"/>
    <s v="Iphone"/>
    <s v="1-2 years"/>
    <s v="Free"/>
    <s v="App Store"/>
    <x v="4"/>
    <s v="Repeat Use"/>
    <s v="Fee Transparency Panel"/>
    <s v="Treatment"/>
    <n v="6"/>
    <n v="6"/>
    <n v="150"/>
    <s v="No"/>
    <x v="0"/>
    <x v="1"/>
    <s v="No Error"/>
    <x v="0"/>
    <n v="0"/>
    <n v="0"/>
    <n v="0"/>
    <s v="No Support Contact"/>
    <s v="No"/>
    <s v="No Support Contact"/>
    <s v="Not Applicable"/>
    <m/>
    <s v="No drop-off"/>
    <n v="5"/>
    <n v="30"/>
    <n v="27"/>
    <x v="1"/>
    <n v="1"/>
    <n v="1"/>
    <n v="0"/>
    <n v="1"/>
  </r>
  <r>
    <s v="NSF-001199"/>
    <s v="USR-00342"/>
    <s v="SES-2602-41065"/>
    <d v="2026-02-22T00:00:00"/>
    <s v="East Midlands"/>
    <s v="Nottingham"/>
    <x v="2"/>
    <s v="18-24"/>
    <s v="Male"/>
    <s v="Web"/>
    <s v="Desktop"/>
    <s v="3-6 months"/>
    <s v="Premium"/>
    <s v="Paid Social"/>
    <x v="2"/>
    <s v="Reactivated"/>
    <s v="Simplified Onboarding"/>
    <s v="Control"/>
    <n v="5"/>
    <n v="5"/>
    <n v="113"/>
    <s v="No"/>
    <x v="0"/>
    <x v="1"/>
    <s v="No Error"/>
    <x v="0"/>
    <n v="68.44"/>
    <n v="0"/>
    <n v="0.37"/>
    <s v="No Support Contact"/>
    <s v="No"/>
    <s v="No Support Contact"/>
    <s v="Not Applicable"/>
    <m/>
    <s v="No drop-off"/>
    <n v="4"/>
    <n v="34"/>
    <n v="49"/>
    <x v="1"/>
    <n v="1"/>
    <n v="1"/>
    <n v="0"/>
    <n v="1"/>
  </r>
  <r>
    <s v="NSF-000550"/>
    <s v="USR-00620"/>
    <s v="SES-2506-17721"/>
    <d v="2025-06-28T00:00:00"/>
    <s v="South West"/>
    <s v="BATH"/>
    <x v="0"/>
    <s v="55-64"/>
    <s v="Male"/>
    <s v="Android"/>
    <s v="Android Phone"/>
    <s v="1-2 years"/>
    <s v="Basic"/>
    <s v="Affiliate"/>
    <x v="2"/>
    <s v="Reactivated"/>
    <s v="Simplified Onboarding"/>
    <s v="Control"/>
    <n v="5"/>
    <s v="5 steps"/>
    <n v="213"/>
    <s v="No"/>
    <x v="0"/>
    <x v="0"/>
    <s v="Funding Source Unclear"/>
    <x v="1"/>
    <n v="0"/>
    <n v="0"/>
    <n v="0"/>
    <s v="No Support Contact"/>
    <s v="No"/>
    <s v="No Support Contact"/>
    <s v="Not Applicable"/>
    <m/>
    <s v="No drop-off"/>
    <n v="2"/>
    <n v="-15"/>
    <n v="18"/>
    <x v="0"/>
    <n v="1"/>
    <n v="0"/>
    <n v="1"/>
    <n v="0"/>
  </r>
  <r>
    <s v="NSF-000503"/>
    <s v="USR-00626"/>
    <s v="SES-2506-73258"/>
    <d v="2025-06-01T00:00:00"/>
    <s v="North West"/>
    <s v="Manchester"/>
    <x v="0"/>
    <s v="18-24"/>
    <s v="Male"/>
    <s v="Web"/>
    <s v="Desktop"/>
    <s v="2+ years"/>
    <s v="Free"/>
    <s v="Paid Search"/>
    <x v="0"/>
    <s v="Reactivated"/>
    <s v="New Cta Copy"/>
    <s v="Control"/>
    <n v="7"/>
    <n v="7"/>
    <n v="164"/>
    <s v="Unknown"/>
    <x v="1"/>
    <x v="1"/>
    <s v="No Error"/>
    <x v="0"/>
    <n v="15.47"/>
    <n v="0"/>
    <n v="0"/>
    <s v="Card Issue"/>
    <s v="Yes"/>
    <s v="Card Issue"/>
    <s v="Resolved"/>
    <n v="11"/>
    <s v="Too many steps"/>
    <n v="4"/>
    <n v="4"/>
    <n v="33"/>
    <x v="0"/>
    <n v="0"/>
    <n v="1"/>
    <n v="0"/>
    <n v="0"/>
  </r>
  <r>
    <s v="NSF-000065"/>
    <s v="USR-00719"/>
    <s v="SES-2501-35681"/>
    <d v="2025-01-13T00:00:00"/>
    <s v="North West"/>
    <s v="Manchester"/>
    <x v="5"/>
    <s v="65+"/>
    <s v="Non-Binary"/>
    <s v="Android"/>
    <s v="Android Phone"/>
    <s v="1-2 years"/>
    <s v="Plus"/>
    <s v="Direct"/>
    <x v="1"/>
    <s v="Repeat Use"/>
    <s v="No Experiment"/>
    <s v="Control"/>
    <n v="4"/>
    <n v="4"/>
    <n v="125"/>
    <s v="No"/>
    <x v="1"/>
    <x v="1"/>
    <s v="No Error"/>
    <x v="1"/>
    <n v="0"/>
    <n v="0"/>
    <n v="0"/>
    <s v="No Support Contact"/>
    <s v="No"/>
    <s v="No Support Contact"/>
    <s v="Not Applicable"/>
    <m/>
    <s v="No drop-off"/>
    <n v="4"/>
    <n v="38"/>
    <s v="44 days"/>
    <x v="1"/>
    <n v="0"/>
    <n v="0"/>
    <n v="0"/>
    <n v="1"/>
  </r>
  <r>
    <s v="NSF-000683"/>
    <s v="USR-00071"/>
    <s v="SES-2508-67649"/>
    <d v="2025-08-15T00:00:00"/>
    <s v="East England"/>
    <s v="Norwich"/>
    <x v="2"/>
    <s v="25-34"/>
    <s v="Female"/>
    <s v="Ios"/>
    <s v="Iphone"/>
    <s v="3-6 months"/>
    <s v="Free"/>
    <s v="Employer Partnership"/>
    <x v="0"/>
    <s v="Repeat Use"/>
    <s v="Contextual Help"/>
    <s v="Control"/>
    <n v="7"/>
    <n v="6"/>
    <n v="281"/>
    <s v="Yes"/>
    <x v="1"/>
    <x v="1"/>
    <s v="No Error"/>
    <x v="1"/>
    <n v="0"/>
    <n v="0"/>
    <n v="0"/>
    <s v="Card Issue"/>
    <s v="Yes"/>
    <s v="Card Issue"/>
    <s v="Unresolved"/>
    <n v="43"/>
    <s v="Too many steps"/>
    <n v="2"/>
    <n v="5"/>
    <n v="31"/>
    <x v="0"/>
    <n v="0"/>
    <n v="0"/>
    <n v="0"/>
    <n v="0"/>
  </r>
  <r>
    <s v="NSF-001196"/>
    <s v="USR-00131"/>
    <s v="SES-2602-38034"/>
    <d v="2026-02-14T00:00:00"/>
    <s v="South East"/>
    <s v="Oxford"/>
    <x v="2"/>
    <s v="55-64"/>
    <s v="Male"/>
    <s v="Android"/>
    <s v="Android Phone"/>
    <s v="3-6 months"/>
    <s v="Premium"/>
    <s v="Paid Social"/>
    <x v="7"/>
    <s v="Trial/Exploration"/>
    <s v="Progress Indicator"/>
    <s v="Treatment"/>
    <n v="4"/>
    <n v="4"/>
    <n v="116"/>
    <s v="No"/>
    <x v="0"/>
    <x v="1"/>
    <s v="No Error"/>
    <x v="0"/>
    <n v="92.73"/>
    <n v="0.45"/>
    <n v="0.37"/>
    <s v="No Support Contact"/>
    <s v="No"/>
    <s v="No Support Contact"/>
    <s v="Not Applicable"/>
    <m/>
    <s v="No drop-off"/>
    <n v="5"/>
    <n v="9"/>
    <n v="42"/>
    <x v="1"/>
    <n v="1"/>
    <n v="1"/>
    <n v="0"/>
    <n v="1"/>
  </r>
  <r>
    <s v="NSF-000949"/>
    <s v="USR-00522"/>
    <s v="SES-2511-68476"/>
    <d v="2025-11-27T00:00:00"/>
    <s v="London"/>
    <s v="Southwark"/>
    <x v="2"/>
    <s v="45-54"/>
    <s v="Male"/>
    <s v="Android"/>
    <s v="Android Phone"/>
    <s v="&lt;3 months"/>
    <s v="Premium"/>
    <s v="App Store"/>
    <x v="8"/>
    <s v="Repeat Use"/>
    <s v="No Experiment"/>
    <s v="Control"/>
    <n v="5"/>
    <n v="3"/>
    <n v="258"/>
    <s v="Yes"/>
    <x v="1"/>
    <x v="0"/>
    <s v="Merchant Eligibility Mismatch"/>
    <x v="0"/>
    <n v="47.71"/>
    <n v="0"/>
    <n v="0.37"/>
    <s v="No Support Contact"/>
    <s v="No"/>
    <s v="No Support Contact"/>
    <s v="Not Applicable"/>
    <m/>
    <s v="Technical error"/>
    <n v="1"/>
    <n v="-19"/>
    <n v="16"/>
    <x v="1"/>
    <n v="0"/>
    <n v="1"/>
    <n v="1"/>
    <n v="1"/>
  </r>
  <r>
    <s v="NSF-000743"/>
    <s v="USR-00151"/>
    <s v="SES-2508-53933"/>
    <d v="2025-08-21T00:00:00"/>
    <s v="Yorkshire &amp; Humber"/>
    <s v="Sheffield"/>
    <x v="0"/>
    <s v="25-34"/>
    <s v="Female"/>
    <s v="Android"/>
    <s v="Android Phone"/>
    <s v="&lt;3 months"/>
    <s v="Free"/>
    <s v="Employer Partnership"/>
    <x v="1"/>
    <s v="Repeat Use"/>
    <s v="Fee Transparency Panel"/>
    <s v="Treatment"/>
    <n v="4"/>
    <n v="4"/>
    <n v="111"/>
    <s v="No"/>
    <x v="0"/>
    <x v="1"/>
    <s v="No Error"/>
    <x v="0"/>
    <n v="158.33000000000001"/>
    <n v="0.17"/>
    <n v="0"/>
    <s v="No Support Contact"/>
    <s v="No"/>
    <s v="No Support Contact"/>
    <s v="Not Applicable"/>
    <m/>
    <s v="No drop-off"/>
    <n v="3"/>
    <n v="39"/>
    <n v="48"/>
    <x v="1"/>
    <n v="1"/>
    <n v="1"/>
    <n v="0"/>
    <n v="1"/>
  </r>
  <r>
    <s v="NSF-000720"/>
    <s v="USR-00816"/>
    <s v="SES-2508-74048"/>
    <d v="2025-08-11T00:00:00"/>
    <s v="South West"/>
    <s v="Gloucester"/>
    <x v="7"/>
    <s v="45-54"/>
    <s v="Male"/>
    <s v="Android"/>
    <s v="Android Phone"/>
    <s v="3-6 months"/>
    <s v="Premium"/>
    <s v="App Store"/>
    <x v="1"/>
    <s v="First Use"/>
    <s v="New Cta Copy"/>
    <s v="Treatment"/>
    <n v="4"/>
    <n v="4"/>
    <n v="105"/>
    <s v="No"/>
    <x v="0"/>
    <x v="1"/>
    <s v="No Error"/>
    <x v="0"/>
    <n v="177.85"/>
    <n v="0.22"/>
    <n v="0.37"/>
    <s v="No Support Contact"/>
    <s v="No"/>
    <s v="No Support Contact"/>
    <s v="Not Applicable"/>
    <m/>
    <s v="No drop-off"/>
    <n v="5"/>
    <n v="38"/>
    <n v="0"/>
    <x v="1"/>
    <n v="1"/>
    <n v="1"/>
    <n v="0"/>
    <n v="1"/>
  </r>
  <r>
    <s v="NSF-000288"/>
    <s v="USR-00400"/>
    <s v="SES-2503-61059"/>
    <d v="2025-03-23T00:00:00"/>
    <s v="North West"/>
    <s v="Liverpool"/>
    <x v="2"/>
    <s v="25-34"/>
    <s v="Female"/>
    <s v="Ios"/>
    <s v="Iphone"/>
    <s v="2+ years"/>
    <s v="Free"/>
    <s v="Employer Partnership"/>
    <x v="7"/>
    <s v="Reactivated"/>
    <s v="New Cta Copy"/>
    <s v="Treatment"/>
    <n v="4"/>
    <n v="4"/>
    <n v="100"/>
    <s v="No"/>
    <x v="0"/>
    <x v="1"/>
    <s v="No Error"/>
    <x v="0"/>
    <n v="94.99"/>
    <n v="0.47"/>
    <n v="0"/>
    <s v="No Support Contact"/>
    <s v="Unknown"/>
    <s v="No Support Contact"/>
    <s v="Not Applicable"/>
    <m/>
    <s v="No drop-off"/>
    <n v="4"/>
    <n v="66"/>
    <n v="38"/>
    <x v="1"/>
    <n v="1"/>
    <n v="1"/>
    <n v="0"/>
    <n v="1"/>
  </r>
  <r>
    <s v="NSF-001446"/>
    <s v="USR-00301"/>
    <s v="SES-2606-16906"/>
    <d v="2026-06-30T00:00:00"/>
    <s v="London"/>
    <s v="HAMMERSMITH"/>
    <x v="3"/>
    <s v="25-34"/>
    <s v="Female"/>
    <s v="Web"/>
    <s v="Mobile Browser"/>
    <s v="7-12 months"/>
    <s v="Free"/>
    <s v="Organic Search"/>
    <x v="9"/>
    <s v="Repeat Use"/>
    <s v="Progress Indicator"/>
    <s v="Control"/>
    <n v="5"/>
    <n v="5"/>
    <n v="173"/>
    <s v="No"/>
    <x v="0"/>
    <x v="0"/>
    <s v="Payment Schedule Mismatch"/>
    <x v="1"/>
    <n v="0"/>
    <n v="0"/>
    <n v="0"/>
    <s v="Feature Navigation"/>
    <s v="Yes"/>
    <s v="Feature Navigation"/>
    <s v="Unresolved"/>
    <n v="32"/>
    <s v="No drop-off"/>
    <n v="4"/>
    <n v="-28"/>
    <n v="68"/>
    <x v="1"/>
    <n v="1"/>
    <n v="0"/>
    <n v="1"/>
    <n v="1"/>
  </r>
  <r>
    <s v="NSF-001336"/>
    <s v="USR-00827"/>
    <s v="SES-2604-59839"/>
    <d v="2026-04-27T00:00:00"/>
    <s v="East Midlands"/>
    <s v="Lincoln"/>
    <x v="5"/>
    <s v="18-24"/>
    <s v="Female"/>
    <s v="Web"/>
    <s v="Desktop"/>
    <s v="7-12 months"/>
    <s v="Plus"/>
    <s v="Direct"/>
    <x v="5"/>
    <s v="Trial/Exploration"/>
    <s v="Simplified Onboarding"/>
    <s v="Control"/>
    <s v="8 steps"/>
    <n v="8"/>
    <n v="269"/>
    <s v="No"/>
    <x v="1"/>
    <x v="0"/>
    <s v="Fx Rate Confusion"/>
    <x v="1"/>
    <n v="0"/>
    <n v="0"/>
    <n v="0"/>
    <s v="No Support Contact"/>
    <s v="No"/>
    <s v="No Support Contact"/>
    <s v="Not Applicable"/>
    <m/>
    <s v="No drop-off"/>
    <n v="2"/>
    <n v="-28"/>
    <n v="31"/>
    <x v="0"/>
    <n v="0"/>
    <n v="0"/>
    <n v="1"/>
    <n v="0"/>
  </r>
  <r>
    <s v="NSF-001181"/>
    <s v="USR-00672"/>
    <s v="SES-2602-58923"/>
    <d v="2026-02-10T00:00:00"/>
    <s v="South East"/>
    <s v="Reading"/>
    <x v="2"/>
    <s v="45-54"/>
    <s v="Male"/>
    <s v="Web"/>
    <s v="Desktop"/>
    <s v="2+ years"/>
    <s v="Plus"/>
    <s v="App Store"/>
    <x v="4"/>
    <s v="First Use"/>
    <s v="No Experiment"/>
    <s v="Control"/>
    <s v="6 steps"/>
    <n v="6"/>
    <n v="124"/>
    <s v="No"/>
    <x v="0"/>
    <x v="1"/>
    <s v="No Error"/>
    <x v="0"/>
    <n v="0"/>
    <n v="0"/>
    <n v="0.17"/>
    <s v="Feature Navigation"/>
    <s v="Yes"/>
    <s v="Feature Navigation"/>
    <s v="Resolved"/>
    <n v="24"/>
    <s v="No drop-off"/>
    <n v="4"/>
    <n v="1"/>
    <n v="0"/>
    <x v="1"/>
    <n v="1"/>
    <n v="1"/>
    <n v="0"/>
    <n v="1"/>
  </r>
  <r>
    <s v="NSF-000083"/>
    <s v="USR-00775"/>
    <s v="SES-2501-14891"/>
    <d v="2025-01-28T00:00:00"/>
    <s v="South East"/>
    <s v="Oxford"/>
    <x v="2"/>
    <s v="25-34"/>
    <s v="Male"/>
    <s v="Ios"/>
    <s v="Iphone"/>
    <s v="2+ years"/>
    <s v="Free"/>
    <s v="Paid Search"/>
    <x v="0"/>
    <s v="First Use"/>
    <s v="No Experiment"/>
    <s v="Control"/>
    <n v="7"/>
    <n v="7"/>
    <n v="200"/>
    <s v="No"/>
    <x v="0"/>
    <x v="0"/>
    <s v="Too Many Steps"/>
    <x v="1"/>
    <n v="0"/>
    <n v="0"/>
    <n v="0"/>
    <s v="No Support Contact"/>
    <s v="No"/>
    <s v="No Support Contact"/>
    <s v="Not Applicable"/>
    <m/>
    <s v="No drop-off"/>
    <n v="3"/>
    <n v="-11"/>
    <s v="0 days"/>
    <x v="1"/>
    <n v="1"/>
    <n v="0"/>
    <n v="1"/>
    <n v="1"/>
  </r>
  <r>
    <s v="NSF-001204"/>
    <s v="USR-00196"/>
    <s v="SES-2602-37247"/>
    <d v="2026-02-11T00:00:00"/>
    <s v="South East"/>
    <s v="Oxford"/>
    <x v="0"/>
    <s v="18-24"/>
    <s v="Female"/>
    <s v="Ios"/>
    <s v="Ipad"/>
    <s v="7-12 months"/>
    <s v="Free"/>
    <s v="Referral"/>
    <x v="3"/>
    <s v="First Use"/>
    <s v="Fee Transparency Panel"/>
    <s v="Control"/>
    <n v="6"/>
    <n v="6"/>
    <n v="163"/>
    <s v="No"/>
    <x v="0"/>
    <x v="1"/>
    <s v="No Error"/>
    <x v="0"/>
    <n v="56.03"/>
    <n v="0.11"/>
    <n v="0"/>
    <s v="No Support Contact"/>
    <s v="No"/>
    <s v="No Support Contact"/>
    <s v="Not Applicable"/>
    <m/>
    <s v="No drop-off"/>
    <n v="3"/>
    <n v="-32"/>
    <n v="0"/>
    <x v="1"/>
    <n v="1"/>
    <n v="1"/>
    <n v="0"/>
    <n v="1"/>
  </r>
  <r>
    <s v="NSF-000044"/>
    <s v="USR-00238"/>
    <s v="SES-2501-14099"/>
    <d v="2025-01-26T00:00:00"/>
    <s v="Yorkshire &amp; Humber"/>
    <s v="Leeds"/>
    <x v="2"/>
    <s v="18-24"/>
    <s v="Male"/>
    <s v="Android"/>
    <s v="Android Phone"/>
    <s v="3-6 months"/>
    <s v="Free"/>
    <s v="Paid Search"/>
    <x v="8"/>
    <s v="Repeat Use"/>
    <s v="No Experiment"/>
    <s v="Control"/>
    <n v="5"/>
    <n v="5"/>
    <n v="125"/>
    <s v="No"/>
    <x v="1"/>
    <x v="1"/>
    <s v="No Error"/>
    <x v="1"/>
    <n v="0"/>
    <n v="0"/>
    <n v="0"/>
    <s v="No Support Contact"/>
    <s v="No"/>
    <s v="No Support Contact"/>
    <s v="Not Applicable"/>
    <m/>
    <s v="No drop-off"/>
    <n v="3"/>
    <n v="59"/>
    <n v="17"/>
    <x v="1"/>
    <n v="0"/>
    <n v="0"/>
    <n v="0"/>
    <n v="1"/>
  </r>
  <r>
    <s v="NSF-000392"/>
    <s v="USR-00818"/>
    <s v="SES-2505-55945"/>
    <d v="2025-05-07T00:00:00"/>
    <s v="London"/>
    <s v="Croydon"/>
    <x v="5"/>
    <s v="25-34"/>
    <s v="Female"/>
    <s v="Web"/>
    <s v="Mobile Browser"/>
    <s v="&lt;3 months"/>
    <s v="Free"/>
    <s v="Paid Search"/>
    <x v="9"/>
    <s v="Repeat Use"/>
    <s v="Simplified Onboarding"/>
    <s v="Treatment"/>
    <n v="5"/>
    <n v="5"/>
    <n v="104"/>
    <s v="No"/>
    <x v="0"/>
    <x v="1"/>
    <s v="No Error"/>
    <x v="0"/>
    <n v="103.33"/>
    <n v="0"/>
    <n v="0"/>
    <s v="No Support Contact"/>
    <s v="No"/>
    <s v="No Support Contact"/>
    <s v="Not Applicable"/>
    <m/>
    <s v="No drop-off"/>
    <n v="5"/>
    <n v="37"/>
    <n v="36"/>
    <x v="1"/>
    <n v="1"/>
    <n v="1"/>
    <n v="0"/>
    <n v="1"/>
  </r>
  <r>
    <s v="NSF-000991"/>
    <s v="USR-00411"/>
    <s v="SES-2511-37192"/>
    <d v="2025-11-26T00:00:00"/>
    <s v="South East"/>
    <s v="Oxford"/>
    <x v="7"/>
    <s v="25-34"/>
    <s v="Female"/>
    <s v="Ios"/>
    <s v="Iphone"/>
    <s v="2+ years"/>
    <s v="Plus"/>
    <s v="Paid Social"/>
    <x v="2"/>
    <s v="Repeat Use"/>
    <s v="Simplified Onboarding"/>
    <s v="Treatment"/>
    <n v="5"/>
    <n v="5"/>
    <n v="157"/>
    <s v="No"/>
    <x v="0"/>
    <x v="1"/>
    <s v="No Error"/>
    <x v="0"/>
    <n v="52.89"/>
    <n v="0"/>
    <n v="0.17"/>
    <s v="Transaction Failure"/>
    <s v="Yes"/>
    <s v="Transaction Failure"/>
    <s v="Resolved"/>
    <n v="13"/>
    <s v="No drop-off"/>
    <n v="5"/>
    <n v="54"/>
    <n v="30"/>
    <x v="1"/>
    <n v="1"/>
    <n v="1"/>
    <n v="0"/>
    <n v="1"/>
  </r>
  <r>
    <s v="NSF-001290"/>
    <s v="USR-00035"/>
    <s v="SES-2604-29273"/>
    <d v="2026-04-10T00:00:00"/>
    <s v="Yorkshire &amp; Humber"/>
    <s v="Leeds"/>
    <x v="0"/>
    <s v="18-24"/>
    <s v="Male"/>
    <s v="Ios"/>
    <s v="Iphone"/>
    <s v="&lt;3 months"/>
    <s v="Free"/>
    <s v="Referral"/>
    <x v="0"/>
    <s v="Trial/Exploration"/>
    <s v="New Cta Copy"/>
    <s v="Control"/>
    <n v="7"/>
    <n v="7"/>
    <n v="141"/>
    <s v="No"/>
    <x v="0"/>
    <x v="1"/>
    <s v="No Error"/>
    <x v="0"/>
    <n v="0"/>
    <n v="0"/>
    <n v="0"/>
    <s v="Fees And Pricing"/>
    <s v="Yes"/>
    <s v="Fees And Pricing"/>
    <s v="Resolved"/>
    <n v="41"/>
    <s v="No drop-off"/>
    <n v="3"/>
    <n v="-11"/>
    <n v="33"/>
    <x v="0"/>
    <n v="1"/>
    <n v="1"/>
    <n v="0"/>
    <n v="0"/>
  </r>
  <r>
    <s v="NSF-000350"/>
    <s v="USR-00774"/>
    <s v="SES-2504-29884"/>
    <d v="2025-04-12T00:00:00"/>
    <s v="West Midlands"/>
    <s v="Coventry"/>
    <x v="0"/>
    <s v="25-34"/>
    <s v="Male"/>
    <s v="Android"/>
    <s v="Android Tablet"/>
    <s v="7-12 months"/>
    <s v="Free"/>
    <s v="Organic Search"/>
    <x v="1"/>
    <s v="Repeat Use"/>
    <s v="No Experiment"/>
    <s v="Control"/>
    <n v="4"/>
    <n v="4"/>
    <n v="112"/>
    <s v="No"/>
    <x v="0"/>
    <x v="1"/>
    <s v="No Error"/>
    <x v="0"/>
    <n v="118.07"/>
    <n v="0.22"/>
    <n v="0"/>
    <s v="No Support Contact"/>
    <s v="No"/>
    <s v="No Support Contact"/>
    <s v="Not Applicable"/>
    <m/>
    <s v="No drop-off"/>
    <n v="5"/>
    <n v="34"/>
    <n v="48"/>
    <x v="1"/>
    <n v="1"/>
    <n v="1"/>
    <n v="0"/>
    <n v="1"/>
  </r>
  <r>
    <s v="NSF-000845"/>
    <s v="USR-00500"/>
    <s v="SES-2510-13189"/>
    <d v="2025-10-02T00:00:00"/>
    <s v="North West"/>
    <s v="Manchester"/>
    <x v="2"/>
    <s v="35-44"/>
    <s v="Female"/>
    <s v="Web"/>
    <s v="Mobile Browser"/>
    <s v="7-12 months"/>
    <s v="Premium"/>
    <s v="Organic Search"/>
    <x v="0"/>
    <s v="Repeat Use"/>
    <s v="No Experiment"/>
    <s v="Control"/>
    <n v="7"/>
    <n v="5"/>
    <n v="180"/>
    <s v="Yes"/>
    <x v="1"/>
    <x v="1"/>
    <s v="No Error"/>
    <x v="1"/>
    <n v="0"/>
    <n v="0"/>
    <n v="0"/>
    <s v="No Support Contact"/>
    <s v="No"/>
    <s v="No Support Contact"/>
    <s v="Not Applicable"/>
    <m/>
    <s v="Unexpected fee"/>
    <n v="3"/>
    <n v="17"/>
    <n v="42"/>
    <x v="0"/>
    <n v="0"/>
    <n v="0"/>
    <n v="0"/>
    <n v="0"/>
  </r>
  <r>
    <s v="NSF-000055"/>
    <s v="USR-00260"/>
    <s v="SES-2501-25212"/>
    <d v="2025-01-27T00:00:00"/>
    <s v="Northern Ireland"/>
    <s v="Newry"/>
    <x v="0"/>
    <s v="45-54"/>
    <s v="Female"/>
    <s v="Android"/>
    <s v="Android Phone"/>
    <s v="2+ years"/>
    <s v="Free"/>
    <s v="Employer Partnership"/>
    <x v="2"/>
    <s v="First Use"/>
    <s v="Fee Transparency Panel"/>
    <s v="Treatment"/>
    <n v="5"/>
    <s v="5 steps"/>
    <n v="134"/>
    <s v="No"/>
    <x v="1"/>
    <x v="1"/>
    <s v="No Error"/>
    <x v="0"/>
    <n v="94.22"/>
    <n v="0"/>
    <n v="0"/>
    <s v="No Support Contact"/>
    <s v="No"/>
    <s v="No Support Contact"/>
    <s v="Not Applicable"/>
    <m/>
    <s v="Too many steps"/>
    <n v="3"/>
    <n v="61"/>
    <n v="0"/>
    <x v="0"/>
    <n v="0"/>
    <n v="1"/>
    <n v="0"/>
    <n v="0"/>
  </r>
  <r>
    <s v="NSF-001322"/>
    <s v="USR-00094"/>
    <s v="SES-2604-78684"/>
    <d v="2026-04-24T00:00:00"/>
    <s v="London"/>
    <s v="Southwark"/>
    <x v="0"/>
    <s v="18-24"/>
    <s v="Female"/>
    <s v="Android"/>
    <s v="Android Phone"/>
    <s v="&lt;3 months"/>
    <s v="Plus"/>
    <s v="Affiliate"/>
    <x v="4"/>
    <s v="First Use"/>
    <s v="Progress Indicator"/>
    <s v="Control"/>
    <n v="6"/>
    <n v="6"/>
    <n v="176"/>
    <s v="No"/>
    <x v="1"/>
    <x v="1"/>
    <s v="No Error"/>
    <x v="1"/>
    <n v="0"/>
    <n v="0"/>
    <n v="0"/>
    <s v="No Support Contact"/>
    <s v="No"/>
    <s v="No Support Contact"/>
    <s v="Not Applicable"/>
    <m/>
    <s v="Too many steps"/>
    <n v="3"/>
    <n v="13"/>
    <n v="0"/>
    <x v="0"/>
    <n v="0"/>
    <n v="0"/>
    <n v="0"/>
    <n v="0"/>
  </r>
  <r>
    <s v="NSF-001133"/>
    <s v="USR-00479"/>
    <s v="SES-2601-79772"/>
    <d v="2026-01-30T00:00:00"/>
    <s v="Northern Ireland"/>
    <s v="Lisburn"/>
    <x v="2"/>
    <s v="35-44"/>
    <s v="Female"/>
    <s v="Ios"/>
    <s v="Iphone"/>
    <s v="3-6 months"/>
    <s v="Premium"/>
    <s v="App Store"/>
    <x v="7"/>
    <s v="First Use"/>
    <s v="New Cta Copy"/>
    <s v="Treatment"/>
    <n v="4"/>
    <s v="4 steps"/>
    <n v="106"/>
    <s v="No"/>
    <x v="0"/>
    <x v="0"/>
    <s v="Card Details Not Displayed"/>
    <x v="0"/>
    <n v="108.5"/>
    <n v="0.53"/>
    <n v="0.37"/>
    <s v="No Support Contact"/>
    <s v="No"/>
    <s v="No Support Contact"/>
    <s v="Not Applicable"/>
    <m/>
    <s v="No drop-off"/>
    <n v="4"/>
    <n v="20"/>
    <n v="0"/>
    <x v="1"/>
    <n v="1"/>
    <n v="1"/>
    <n v="1"/>
    <n v="1"/>
  </r>
  <r>
    <s v="NSF-000007"/>
    <s v="USR-00179"/>
    <s v="SES-2501-87733"/>
    <d v="2025-01-22T00:00:00"/>
    <s v="South West"/>
    <s v="Bristol"/>
    <x v="1"/>
    <s v="45-54"/>
    <s v="Female"/>
    <s v="Android"/>
    <s v="Android Phone"/>
    <s v="7-12 months"/>
    <s v="Free"/>
    <s v="Organic Search"/>
    <x v="10"/>
    <s v="Repeat Use"/>
    <s v="No Experiment"/>
    <s v="Control"/>
    <s v="9 steps"/>
    <n v="9"/>
    <n v="210"/>
    <s v="No"/>
    <x v="0"/>
    <x v="1"/>
    <s v="No Error"/>
    <x v="0"/>
    <n v="278.72000000000003"/>
    <n v="2.72"/>
    <n v="0"/>
    <s v="No Support Contact"/>
    <s v="No"/>
    <s v="No Support Contact"/>
    <s v="Not Applicable"/>
    <m/>
    <s v="No drop-off"/>
    <n v="3"/>
    <n v="24"/>
    <n v="30"/>
    <x v="0"/>
    <n v="1"/>
    <n v="1"/>
    <n v="0"/>
    <n v="0"/>
  </r>
  <r>
    <s v="NSF-000515"/>
    <s v="USR-00632"/>
    <s v="SES-2506-99367"/>
    <d v="2025-06-09T00:00:00"/>
    <s v="East Midlands"/>
    <s v="Lincoln"/>
    <x v="0"/>
    <s v="35-44"/>
    <s v="Female"/>
    <s v="Android"/>
    <s v="Android Phone"/>
    <s v="2+ years"/>
    <s v="Free"/>
    <s v="Organic Search"/>
    <x v="8"/>
    <s v="Reactivated"/>
    <s v="No Experiment"/>
    <s v="Control"/>
    <n v="5"/>
    <n v="5"/>
    <n v="112"/>
    <s v="No"/>
    <x v="1"/>
    <x v="1"/>
    <s v="No Error"/>
    <x v="0"/>
    <n v="0"/>
    <n v="0"/>
    <n v="0"/>
    <s v="No Support Contact"/>
    <s v="No"/>
    <s v="No Support Contact"/>
    <s v="Not Applicable"/>
    <m/>
    <s v="Too many steps"/>
    <n v="4"/>
    <n v="53"/>
    <n v="53"/>
    <x v="0"/>
    <n v="0"/>
    <n v="1"/>
    <n v="0"/>
    <n v="0"/>
  </r>
  <r>
    <s v="NSF-000088"/>
    <s v="USR-00369"/>
    <s v="SES-2501-22538"/>
    <d v="2025-01-01T00:00:00"/>
    <s v="Scotland"/>
    <s v="Glasgow"/>
    <x v="2"/>
    <s v="25-34"/>
    <s v="Male"/>
    <s v="Android"/>
    <s v="Android Phone"/>
    <s v="1-2 years"/>
    <s v="Plus"/>
    <s v="Referral"/>
    <x v="7"/>
    <s v="Repeat Use"/>
    <s v="No Experiment"/>
    <s v="Control"/>
    <n v="4"/>
    <n v="4"/>
    <n v="91"/>
    <s v="No"/>
    <x v="0"/>
    <x v="1"/>
    <s v="No Error"/>
    <x v="0"/>
    <n v="127.78"/>
    <n v="0.48"/>
    <n v="0.17"/>
    <s v="No Support Contact"/>
    <s v="No"/>
    <s v="No Support Contact"/>
    <s v="Not Applicable"/>
    <m/>
    <s v="No drop-off"/>
    <n v="4"/>
    <n v="76"/>
    <n v="2"/>
    <x v="1"/>
    <n v="1"/>
    <n v="1"/>
    <n v="0"/>
    <n v="1"/>
  </r>
  <r>
    <s v="NSF-000213"/>
    <s v="USR-00773"/>
    <s v="SES-2503-70775"/>
    <d v="2025-03-12T00:00:00"/>
    <s v="East England"/>
    <s v="Ipswich"/>
    <x v="3"/>
    <s v="35-44"/>
    <s v="Female"/>
    <s v="Ios"/>
    <s v="Iphone"/>
    <s v="7-12 months"/>
    <s v="Premium"/>
    <s v="Organic Search"/>
    <x v="1"/>
    <s v="Repeat Use"/>
    <s v="Simplified Onboarding"/>
    <s v="Treatment"/>
    <n v="4"/>
    <n v="4"/>
    <n v="150"/>
    <s v="No"/>
    <x v="0"/>
    <x v="0"/>
    <s v="Transfer Pending"/>
    <x v="0"/>
    <n v="177.6"/>
    <n v="0.2"/>
    <n v="0.37"/>
    <s v="No Support Contact"/>
    <s v="No"/>
    <s v="No Support Contact"/>
    <s v="Not Applicable"/>
    <m/>
    <s v="No drop-off"/>
    <n v="3"/>
    <n v="36"/>
    <n v="16"/>
    <x v="1"/>
    <n v="1"/>
    <n v="1"/>
    <n v="1"/>
    <n v="1"/>
  </r>
  <r>
    <s v="NSF-000854"/>
    <s v="usr-00635"/>
    <s v="SES-2510-52360"/>
    <d v="2025-10-21T00:00:00"/>
    <s v="Wales"/>
    <s v="Wrexham"/>
    <x v="2"/>
    <s v="25-34"/>
    <s v="Male"/>
    <s v="Ios"/>
    <s v="Iphone"/>
    <s v="&lt;3 months"/>
    <s v="Premium"/>
    <s v="App Store"/>
    <x v="5"/>
    <s v="First Use"/>
    <s v="No Experiment"/>
    <s v="Control"/>
    <n v="8"/>
    <n v="8"/>
    <n v="168"/>
    <s v="No"/>
    <x v="0"/>
    <x v="1"/>
    <s v="No Error"/>
    <x v="0"/>
    <n v="390.02"/>
    <n v="2.44"/>
    <n v="0.37"/>
    <s v="No Support Contact"/>
    <s v="No"/>
    <s v="No Support Contact"/>
    <s v="Not Applicable"/>
    <m/>
    <s v="No drop-off"/>
    <n v="4"/>
    <n v="-6"/>
    <n v="0"/>
    <x v="1"/>
    <n v="1"/>
    <n v="1"/>
    <n v="0"/>
    <n v="1"/>
  </r>
  <r>
    <s v="NSF-000697"/>
    <s v="USR-00356"/>
    <s v="SES-2508-53986"/>
    <d v="2025-08-08T00:00:00"/>
    <s v="London"/>
    <s v="Southwark"/>
    <x v="2"/>
    <s v="45-54"/>
    <s v="Male"/>
    <s v="Ios"/>
    <s v="Iphone"/>
    <s v="7-12 months"/>
    <s v="Plus"/>
    <s v="Referral"/>
    <x v="7"/>
    <s v="Trial/Exploration"/>
    <s v="No Experiment"/>
    <s v="Control"/>
    <n v="4"/>
    <n v="4"/>
    <n v="97"/>
    <s v="No"/>
    <x v="0"/>
    <x v="1"/>
    <s v="No Error"/>
    <x v="0"/>
    <n v="24.39"/>
    <n v="0.56999999999999995"/>
    <n v="0.17"/>
    <s v="No Support Contact"/>
    <s v="No"/>
    <s v="No Support Contact"/>
    <s v="Not Applicable"/>
    <m/>
    <s v="No drop-off"/>
    <n v="4"/>
    <n v="8"/>
    <s v="33 days"/>
    <x v="1"/>
    <n v="1"/>
    <n v="1"/>
    <n v="0"/>
    <n v="1"/>
  </r>
  <r>
    <s v="NSF-000462"/>
    <s v="USR-00069"/>
    <s v="SES-2505-42618"/>
    <d v="2025-05-14T00:00:00"/>
    <s v="South East"/>
    <s v="Brighton"/>
    <x v="0"/>
    <s v="35-44"/>
    <s v="Male"/>
    <s v="Android"/>
    <s v="Android Phone"/>
    <s v="2+ years"/>
    <s v="Plus"/>
    <s v="Organic Search"/>
    <x v="10"/>
    <s v="First Use"/>
    <s v="No Experiment"/>
    <s v="Control"/>
    <n v="9"/>
    <n v="9"/>
    <n v="312"/>
    <s v="No"/>
    <x v="1"/>
    <x v="0"/>
    <s v="Eligibility Unclear"/>
    <x v="1"/>
    <n v="0"/>
    <n v="0"/>
    <n v="0"/>
    <s v="No Support Contact"/>
    <s v="No"/>
    <s v="No Support Contact"/>
    <s v="Not Applicable"/>
    <m/>
    <s v="No drop-off"/>
    <n v="4"/>
    <n v="-24"/>
    <n v="0"/>
    <x v="1"/>
    <n v="0"/>
    <n v="0"/>
    <n v="1"/>
    <n v="1"/>
  </r>
  <r>
    <s v="NSF-000407"/>
    <s v="USR-00628"/>
    <s v="SES-2505-21228"/>
    <d v="2025-05-03T00:00:00"/>
    <s v="North West"/>
    <s v="Manchester"/>
    <x v="0"/>
    <s v="35-44"/>
    <s v="Male"/>
    <s v="Ios"/>
    <s v="Iphone"/>
    <s v="7-12 months"/>
    <s v="Premium"/>
    <s v="App Store"/>
    <x v="1"/>
    <s v="First Use"/>
    <s v="Simplified Onboarding"/>
    <s v="Treatment"/>
    <n v="4"/>
    <n v="4"/>
    <n v="93"/>
    <s v="No"/>
    <x v="0"/>
    <x v="0"/>
    <s v="Transfer Pending"/>
    <x v="0"/>
    <n v="216.65"/>
    <n v="0.23"/>
    <n v="0.37"/>
    <s v="No Support Contact"/>
    <s v="No"/>
    <s v="No Support Contact"/>
    <s v="Not Applicable"/>
    <m/>
    <s v="No drop-off"/>
    <n v="3"/>
    <n v="47"/>
    <n v="0"/>
    <x v="1"/>
    <n v="1"/>
    <n v="1"/>
    <n v="1"/>
    <n v="1"/>
  </r>
  <r>
    <s v="NSF-000605"/>
    <s v="USR-00793"/>
    <s v="SES-2507-24006"/>
    <d v="2025-07-13T00:00:00"/>
    <s v="Scotland"/>
    <s v="Aberdeen"/>
    <x v="2"/>
    <s v="35-44"/>
    <s v="Male"/>
    <s v="Ios"/>
    <s v="Iphone"/>
    <s v="&lt;3 months"/>
    <s v="Plus"/>
    <s v="Paid Search"/>
    <x v="1"/>
    <s v="First Use"/>
    <s v="No Experiment"/>
    <s v="Control"/>
    <n v="4"/>
    <n v="4"/>
    <n v="81"/>
    <s v="No"/>
    <x v="1"/>
    <x v="1"/>
    <s v="No Error"/>
    <x v="1"/>
    <n v="0"/>
    <n v="0"/>
    <n v="0"/>
    <s v="No Support Contact"/>
    <s v="No"/>
    <s v="No Support Contact"/>
    <s v="Not Applicable"/>
    <m/>
    <s v="No drop-off"/>
    <n v="4"/>
    <n v="41"/>
    <n v="0"/>
    <x v="1"/>
    <n v="0"/>
    <n v="0"/>
    <n v="0"/>
    <n v="1"/>
  </r>
  <r>
    <s v="NSF-000615"/>
    <s v="USR-00533"/>
    <s v="SES-2507-75526"/>
    <d v="2025-07-28T00:00:00"/>
    <s v="Wales"/>
    <s v="Newport"/>
    <x v="0"/>
    <s v="45-54"/>
    <s v="Female"/>
    <s v="Web"/>
    <s v="Desktop"/>
    <s v="3-6 months"/>
    <s v="Free"/>
    <s v="Referral"/>
    <x v="3"/>
    <s v="Repeat Use"/>
    <s v="Contextual Help"/>
    <s v="Treatment"/>
    <n v="6"/>
    <n v="5"/>
    <n v="189"/>
    <s v="Yes"/>
    <x v="1"/>
    <x v="1"/>
    <s v="No Error"/>
    <x v="1"/>
    <n v="0"/>
    <n v="0"/>
    <n v="0"/>
    <s v="No Support Contact"/>
    <s v="No"/>
    <s v="No Support Contact"/>
    <s v="Not Applicable"/>
    <m/>
    <s v="Too many steps"/>
    <n v="3"/>
    <n v="52"/>
    <n v="41"/>
    <x v="0"/>
    <n v="0"/>
    <n v="0"/>
    <n v="0"/>
    <n v="0"/>
  </r>
  <r>
    <s v="NSF-000931"/>
    <s v="USR-00620"/>
    <s v="SES-2511-45249"/>
    <d v="2025-11-17T00:00:00"/>
    <s v="North West"/>
    <s v="Manchester"/>
    <x v="2"/>
    <s v="25-34"/>
    <s v="Male"/>
    <s v="Android"/>
    <s v="Android Phone"/>
    <s v="1-2 years"/>
    <s v="Basic"/>
    <s v="Paid Search"/>
    <x v="2"/>
    <s v="Reactivated"/>
    <s v="No Experiment"/>
    <s v="Control"/>
    <n v="5"/>
    <n v="3"/>
    <n v="190"/>
    <s v="Yes"/>
    <x v="1"/>
    <x v="1"/>
    <s v="No Error"/>
    <x v="1"/>
    <n v="0"/>
    <n v="0"/>
    <n v="0"/>
    <s v="Fees And Pricing"/>
    <s v="Yes"/>
    <s v="Fees And Pricing"/>
    <s v="Unresolved"/>
    <n v="40"/>
    <s v="Instructions unclear"/>
    <n v="3"/>
    <n v="14"/>
    <n v="37"/>
    <x v="0"/>
    <n v="0"/>
    <n v="0"/>
    <n v="0"/>
    <n v="0"/>
  </r>
  <r>
    <s v="NSF-001345"/>
    <s v="USR-00155"/>
    <s v="SES-2604-73853"/>
    <d v="2026-04-05T00:00:00"/>
    <s v="East England"/>
    <s v="Ipswich"/>
    <x v="7"/>
    <s v="25-34"/>
    <s v="Male"/>
    <s v="Ios"/>
    <s v="Iphone"/>
    <s v="7-12 months"/>
    <s v="Free"/>
    <s v="Referral"/>
    <x v="8"/>
    <s v="Trial/Exploration"/>
    <s v="No Experiment"/>
    <s v="Control"/>
    <n v="5"/>
    <n v="4"/>
    <n v="133"/>
    <s v="Yes"/>
    <x v="0"/>
    <x v="1"/>
    <s v="No Error"/>
    <x v="0"/>
    <n v="28.25"/>
    <n v="0"/>
    <n v="0"/>
    <s v="No Support Contact"/>
    <s v="No"/>
    <s v="No Support Contact"/>
    <s v="Not Applicable"/>
    <n v="999"/>
    <s v="No drop-off"/>
    <n v="4"/>
    <n v="8"/>
    <n v="46"/>
    <x v="1"/>
    <n v="1"/>
    <n v="1"/>
    <n v="0"/>
    <n v="1"/>
  </r>
  <r>
    <s v="NSF-000817"/>
    <s v="USR-00634"/>
    <s v="SES-2509-46815"/>
    <d v="2025-09-17T00:00:00"/>
    <s v="Wales"/>
    <s v="Cardiff"/>
    <x v="3"/>
    <s v="35-44"/>
    <s v="Female"/>
    <s v="Ios"/>
    <s v="Iphone"/>
    <s v="1-2 years"/>
    <s v="Premium"/>
    <s v="Paid Social"/>
    <x v="1"/>
    <s v="Repeat Use"/>
    <s v="Simplified Onboarding"/>
    <s v="Treatment"/>
    <n v="4"/>
    <n v="4"/>
    <n v="94"/>
    <s v="No"/>
    <x v="0"/>
    <x v="1"/>
    <s v="No Error"/>
    <x v="0"/>
    <n v="93.67"/>
    <n v="0.21"/>
    <n v="0.37"/>
    <s v="Fees And Pricing"/>
    <s v="Yes"/>
    <s v="Fees And Pricing"/>
    <s v="Resolved"/>
    <n v="28"/>
    <s v="No drop-off"/>
    <n v="5"/>
    <n v="14"/>
    <n v="17"/>
    <x v="0"/>
    <n v="1"/>
    <n v="1"/>
    <n v="0"/>
    <n v="0"/>
  </r>
  <r>
    <s v="NSF-000907"/>
    <s v="USR-00685"/>
    <s v="SES-2510-84467"/>
    <d v="2025-10-03T00:00:00"/>
    <s v="London"/>
    <s v="Camden"/>
    <x v="1"/>
    <s v="35-44"/>
    <s v="Female"/>
    <s v="Ios"/>
    <s v="Iphone"/>
    <s v="7-12 months"/>
    <s v="Free"/>
    <s v="Affiliate"/>
    <x v="1"/>
    <s v="First Use"/>
    <s v="New Cta Copy"/>
    <s v="Control"/>
    <n v="4"/>
    <n v="3"/>
    <n v="152"/>
    <s v="Yes"/>
    <x v="0"/>
    <x v="1"/>
    <s v="No Error"/>
    <x v="1"/>
    <n v="0"/>
    <n v="0"/>
    <n v="0"/>
    <s v="No Support Contact"/>
    <s v="No"/>
    <s v="No Support Contact"/>
    <s v="Not Applicable"/>
    <m/>
    <s v="No drop-off"/>
    <n v="3"/>
    <n v="13"/>
    <n v="0"/>
    <x v="1"/>
    <n v="1"/>
    <n v="0"/>
    <n v="0"/>
    <n v="1"/>
  </r>
  <r>
    <s v="NSF-000952"/>
    <s v="USR-00713"/>
    <s v="SES-2511-83750"/>
    <d v="2025-11-03T00:00:00"/>
    <s v="South East"/>
    <s v="Guildford"/>
    <x v="2"/>
    <s v="25-34"/>
    <s v="Male"/>
    <s v="Ios"/>
    <s v="Iphone"/>
    <s v="1-2 years"/>
    <s v="Free"/>
    <s v="Direct"/>
    <x v="0"/>
    <s v="Repeat Use"/>
    <s v="No Experiment"/>
    <s v="Control"/>
    <n v="7"/>
    <n v="7"/>
    <n v="201"/>
    <s v="No"/>
    <x v="1"/>
    <x v="1"/>
    <s v="No Error"/>
    <x v="1"/>
    <n v="0"/>
    <n v="0"/>
    <n v="0"/>
    <s v="No Support Contact"/>
    <s v="No"/>
    <s v="No Support Contact"/>
    <s v="Not Applicable"/>
    <m/>
    <s v="No drop-off"/>
    <n v="3"/>
    <n v="13"/>
    <s v="63 days"/>
    <x v="0"/>
    <n v="0"/>
    <n v="0"/>
    <n v="0"/>
    <n v="0"/>
  </r>
  <r>
    <s v="NSF-000938"/>
    <s v="USR-00300"/>
    <s v="SES-2511-54877"/>
    <d v="2025-11-23T00:00:00"/>
    <s v="Yorkshire &amp; Humber"/>
    <s v="York"/>
    <x v="2"/>
    <s v="18-24"/>
    <s v="Female"/>
    <s v="Web"/>
    <s v="Desktop"/>
    <s v="&lt;3 months"/>
    <s v="Free"/>
    <s v="App Store"/>
    <x v="3"/>
    <s v="First Use"/>
    <s v="No Experiment"/>
    <s v="Control"/>
    <n v="6"/>
    <n v="6"/>
    <n v="189"/>
    <s v="No"/>
    <x v="0"/>
    <x v="1"/>
    <s v="No Error"/>
    <x v="0"/>
    <n v="80.63"/>
    <n v="0.1"/>
    <n v="0"/>
    <s v="No Support Contact"/>
    <s v="No"/>
    <s v="No Support Contact"/>
    <s v="Not Applicable"/>
    <m/>
    <s v="No drop-off"/>
    <n v="4"/>
    <n v="23"/>
    <n v="0"/>
    <x v="0"/>
    <n v="1"/>
    <n v="1"/>
    <n v="0"/>
    <n v="0"/>
  </r>
  <r>
    <s v="NSF-000649"/>
    <s v="USR-00331"/>
    <s v="SES-2507-96071"/>
    <d v="2025-07-30T00:00:00"/>
    <s v="Northern Ireland"/>
    <s v="Belfast"/>
    <x v="1"/>
    <s v="18-24"/>
    <s v="Female"/>
    <s v="Ios"/>
    <s v="Iphone"/>
    <s v="&lt;3 months"/>
    <s v="Plus"/>
    <s v="Referral"/>
    <x v="2"/>
    <s v="Repeat Use"/>
    <s v="New Cta Copy"/>
    <s v="Control"/>
    <n v="5"/>
    <n v="5"/>
    <n v="135"/>
    <s v="No"/>
    <x v="1"/>
    <x v="1"/>
    <s v="No Error"/>
    <x v="0"/>
    <n v="133.34"/>
    <n v="0"/>
    <n v="0.17"/>
    <s v="No Support Contact"/>
    <s v="No"/>
    <s v="No Support Contact"/>
    <s v="Not Applicable"/>
    <m/>
    <s v="Instructions unclear"/>
    <n v="3"/>
    <n v="21"/>
    <n v="16"/>
    <x v="1"/>
    <n v="0"/>
    <n v="1"/>
    <n v="0"/>
    <n v="1"/>
  </r>
  <r>
    <s v="NSF-000277"/>
    <s v="USR-00399"/>
    <s v="SES-2503-95001"/>
    <d v="2025-03-20T00:00:00"/>
    <s v="South East"/>
    <s v="Oxford"/>
    <x v="0"/>
    <s v="35-44"/>
    <s v="Male"/>
    <s v="Ios"/>
    <s v="Iphone"/>
    <s v="7-12 months"/>
    <s v="Free"/>
    <s v="App Store"/>
    <x v="0"/>
    <s v="First Use"/>
    <s v="No Experiment"/>
    <s v="Control"/>
    <s v="many"/>
    <n v="5"/>
    <n v="270"/>
    <s v="Yes"/>
    <x v="0"/>
    <x v="1"/>
    <s v="No Error"/>
    <x v="0"/>
    <n v="61.04"/>
    <n v="0"/>
    <n v="0"/>
    <s v="No Support Contact"/>
    <s v="No"/>
    <s v="No Support Contact"/>
    <s v="Not Applicable"/>
    <m/>
    <s v="No drop-off"/>
    <n v="2"/>
    <n v="-25"/>
    <n v="0"/>
    <x v="2"/>
    <n v="1"/>
    <n v="1"/>
    <n v="0"/>
    <n v="0"/>
  </r>
  <r>
    <s v="NSF-001377"/>
    <s v="USR-00042"/>
    <s v="SES-2605-12918"/>
    <d v="2026-05-20T00:00:00"/>
    <s v="Scotland"/>
    <s v="Glasgow"/>
    <x v="0"/>
    <s v="45-54"/>
    <s v="Non-Binary"/>
    <s v="Android"/>
    <s v="Android Phone"/>
    <s v="&lt;3 months"/>
    <s v="Free"/>
    <s v="Paid Search"/>
    <x v="8"/>
    <s v="First Use"/>
    <s v="Simplified Onboarding"/>
    <s v="Control"/>
    <n v="5"/>
    <n v="4"/>
    <n v="171"/>
    <s v="Yes"/>
    <x v="1"/>
    <x v="1"/>
    <s v="No Error"/>
    <x v="1"/>
    <n v="0"/>
    <n v="0"/>
    <n v="0"/>
    <s v="Feature Navigation"/>
    <s v="Yes"/>
    <s v="Feature Navigation"/>
    <s v="Resolved"/>
    <n v="20"/>
    <s v="Instructions unclear"/>
    <n v="3"/>
    <n v="-49"/>
    <n v="0"/>
    <x v="0"/>
    <n v="0"/>
    <n v="0"/>
    <n v="0"/>
    <n v="0"/>
  </r>
  <r>
    <s v="NSF-000957"/>
    <s v="USR-00830"/>
    <s v="SES-2511-58554"/>
    <d v="2025-11-04T00:00:00"/>
    <s v="Northern Ireland"/>
    <s v="Derry"/>
    <x v="1"/>
    <s v="35-44"/>
    <s v="Female"/>
    <s v="Android"/>
    <s v="Android Phone"/>
    <s v="7-12 months"/>
    <s v="Free"/>
    <s v="Referral"/>
    <x v="2"/>
    <s v="Reactivated"/>
    <s v="No Experiment"/>
    <s v="Control"/>
    <n v="5"/>
    <n v="3"/>
    <n v="153"/>
    <s v="Yes"/>
    <x v="1"/>
    <x v="1"/>
    <s v="No Error"/>
    <x v="1"/>
    <n v="0"/>
    <n v="0"/>
    <n v="0"/>
    <s v="No Support Contact"/>
    <s v="No"/>
    <s v="No Support Contact"/>
    <s v="Not Applicable"/>
    <m/>
    <s v="Unexpected fee"/>
    <n v="2"/>
    <n v="-7"/>
    <n v="11"/>
    <x v="0"/>
    <n v="0"/>
    <n v="0"/>
    <n v="0"/>
    <n v="0"/>
  </r>
  <r>
    <s v="NSF-000614"/>
    <s v="USR-00655"/>
    <s v="SES-2507-55730"/>
    <d v="2025-07-27T00:00:00"/>
    <s v="North West"/>
    <s v="Manchester"/>
    <x v="0"/>
    <s v="25-34"/>
    <s v="Male"/>
    <s v="Android"/>
    <s v="Android Phone"/>
    <s v="7-12 months"/>
    <s v="Free"/>
    <s v="Paid Social"/>
    <x v="2"/>
    <s v="First Use"/>
    <s v="Fee Transparency Panel"/>
    <s v="Control"/>
    <n v="5"/>
    <n v="5"/>
    <n v="124"/>
    <s v="No"/>
    <x v="0"/>
    <x v="1"/>
    <s v="No Error"/>
    <x v="0"/>
    <n v="118.13"/>
    <n v="0"/>
    <n v="0"/>
    <s v="No Support Contact"/>
    <s v="No"/>
    <s v="No Support Contact"/>
    <s v="Not Applicable"/>
    <m/>
    <s v="No drop-off"/>
    <n v="4"/>
    <n v="-1"/>
    <n v="999"/>
    <x v="1"/>
    <n v="1"/>
    <n v="1"/>
    <n v="0"/>
    <n v="1"/>
  </r>
  <r>
    <s v="NSF-000394"/>
    <s v="USR-00025"/>
    <s v="SES-2505-93145"/>
    <d v="2025-05-17T00:00:00"/>
    <s v="North East"/>
    <s v="Middlesbrough"/>
    <x v="2"/>
    <s v="55-64"/>
    <s v="Male"/>
    <s v="Ios"/>
    <s v="Iphone"/>
    <s v="&lt;3 months"/>
    <s v="Free"/>
    <s v="Referral"/>
    <x v="1"/>
    <s v="Repeat Use"/>
    <s v="No Experiment"/>
    <s v="Control"/>
    <n v="4"/>
    <n v="4"/>
    <n v="90"/>
    <s v="No"/>
    <x v="0"/>
    <x v="1"/>
    <s v="No Error"/>
    <x v="0"/>
    <n v="220.15"/>
    <n v="0.19"/>
    <n v="0"/>
    <s v="No Support Contact"/>
    <s v="No"/>
    <s v="No Support Contact"/>
    <s v="Not Applicable"/>
    <m/>
    <s v="No drop-off"/>
    <n v="3"/>
    <n v="28"/>
    <n v="10"/>
    <x v="0"/>
    <n v="1"/>
    <n v="1"/>
    <n v="0"/>
    <n v="0"/>
  </r>
  <r>
    <s v="NSF-000922"/>
    <s v="USR-00647"/>
    <s v="SES-2511-26494"/>
    <d v="2025-11-23T00:00:00"/>
    <s v="East England"/>
    <s v="Norwich"/>
    <x v="0"/>
    <s v="35-44"/>
    <s v="Female"/>
    <s v="Ios"/>
    <s v="Iphone"/>
    <s v="1-2 years"/>
    <s v="Free"/>
    <s v="Paid Social"/>
    <x v="3"/>
    <s v="Trial/Exploration"/>
    <s v="No Experiment"/>
    <s v="Control"/>
    <n v="6"/>
    <s v="6 steps"/>
    <n v="166"/>
    <s v="No"/>
    <x v="1"/>
    <x v="0"/>
    <s v="Split Amount Confusing"/>
    <x v="1"/>
    <n v="0"/>
    <n v="0"/>
    <n v="0"/>
    <s v="No Support Contact"/>
    <s v="No"/>
    <s v="No Support Contact"/>
    <s v="Not Applicable"/>
    <m/>
    <s v="No drop-off"/>
    <n v="2"/>
    <n v="12"/>
    <n v="59"/>
    <x v="0"/>
    <n v="0"/>
    <n v="0"/>
    <n v="1"/>
    <n v="0"/>
  </r>
  <r>
    <s v="NSF-000171"/>
    <s v="USR-00551"/>
    <s v="SES-2502-50885"/>
    <d v="2025-02-08T00:00:00"/>
    <s v="London"/>
    <s v="Camden"/>
    <x v="3"/>
    <s v="25-34"/>
    <s v="Male"/>
    <s v="Web"/>
    <s v="Mobile Browser"/>
    <s v="7-12 months"/>
    <s v="Basic"/>
    <s v="Organic Search"/>
    <x v="10"/>
    <s v="First Use"/>
    <s v="No Experiment"/>
    <s v="Control"/>
    <n v="9"/>
    <n v="9"/>
    <n v="264"/>
    <s v="No"/>
    <x v="0"/>
    <x v="1"/>
    <s v="No Error"/>
    <x v="0"/>
    <n v="94.52"/>
    <n v="3.26"/>
    <n v="0"/>
    <s v="No Support Contact"/>
    <s v="No"/>
    <s v="No Support Contact"/>
    <s v="Not Applicable"/>
    <m/>
    <s v="No drop-off"/>
    <n v="4"/>
    <n v="-9"/>
    <n v="0"/>
    <x v="0"/>
    <n v="1"/>
    <n v="1"/>
    <n v="0"/>
    <n v="0"/>
  </r>
  <r>
    <s v="NSF-000716"/>
    <s v="USR-00666"/>
    <s v="SES-2508-56094"/>
    <d v="2025-08-27T00:00:00"/>
    <s v="East England"/>
    <s v="Cambridge"/>
    <x v="3"/>
    <s v="18-24"/>
    <s v="Male"/>
    <s v="Ios"/>
    <s v="Iphone"/>
    <s v="7-12 months"/>
    <s v="Free"/>
    <s v="Referral"/>
    <x v="1"/>
    <s v="First Use"/>
    <s v="No Experiment"/>
    <s v="Control"/>
    <n v="4"/>
    <n v="4"/>
    <n v="82"/>
    <s v="No"/>
    <x v="0"/>
    <x v="1"/>
    <s v="No Error"/>
    <x v="0"/>
    <n v="230.31"/>
    <n v="0.17"/>
    <n v="0"/>
    <s v="No Support Contact"/>
    <s v="No"/>
    <s v="No Support Contact"/>
    <s v="Not Applicable"/>
    <m/>
    <s v="No drop-off"/>
    <n v="5"/>
    <n v="39"/>
    <n v="0"/>
    <x v="1"/>
    <n v="1"/>
    <n v="1"/>
    <n v="0"/>
    <n v="1"/>
  </r>
  <r>
    <s v="NSF-001090"/>
    <s v="USR-00052"/>
    <s v="SES-2601-76242"/>
    <d v="2026-01-01T00:00:00"/>
    <s v="Yorkshire &amp; Humber"/>
    <s v="Sheffield"/>
    <x v="3"/>
    <s v="65+"/>
    <s v="Male"/>
    <s v="Android"/>
    <s v="Android Phone"/>
    <s v="2+ years"/>
    <s v="Free"/>
    <s v="Organic Search"/>
    <x v="5"/>
    <s v="Repeat Use"/>
    <s v="Simplified Onboarding"/>
    <s v="Control"/>
    <n v="8"/>
    <n v="6"/>
    <n v="354"/>
    <s v="Yes"/>
    <x v="1"/>
    <x v="0"/>
    <s v="Compliance Review Delay"/>
    <x v="1"/>
    <n v="0"/>
    <n v="0"/>
    <n v="0"/>
    <s v="No Support Contact"/>
    <s v="No"/>
    <s v="No Support Contact"/>
    <s v="Not Applicable"/>
    <m/>
    <s v="Technical error"/>
    <n v="1"/>
    <n v="-31"/>
    <n v="16"/>
    <x v="0"/>
    <n v="0"/>
    <n v="0"/>
    <n v="1"/>
    <n v="0"/>
  </r>
  <r>
    <s v="NSF-000849"/>
    <s v="USR-00301"/>
    <s v="SES-2510-56819"/>
    <d v="2025-10-24T00:00:00"/>
    <s v="South East"/>
    <s v="Oxford"/>
    <x v="1"/>
    <s v="25-34"/>
    <s v="Female"/>
    <s v="Android"/>
    <s v="Android Phone"/>
    <s v="7-12 months"/>
    <s v="Free"/>
    <s v="Referral"/>
    <x v="3"/>
    <s v="Trial/Exploration"/>
    <s v="No Experiment"/>
    <s v="Control"/>
    <n v="6"/>
    <n v="3"/>
    <n v="220"/>
    <s v="Yes"/>
    <x v="0"/>
    <x v="1"/>
    <s v="No Error"/>
    <x v="0"/>
    <n v="0"/>
    <n v="0.1"/>
    <n v="0"/>
    <s v="No Support Contact"/>
    <s v="No"/>
    <s v="No Support Contact"/>
    <s v="Not Applicable"/>
    <m/>
    <s v="No drop-off"/>
    <n v="3"/>
    <n v="10"/>
    <n v="8"/>
    <x v="1"/>
    <n v="1"/>
    <n v="1"/>
    <n v="0"/>
    <n v="1"/>
  </r>
  <r>
    <s v="NSF-000508"/>
    <s v="USR-00487"/>
    <s v="SES-2506-21393"/>
    <d v="2025-06-03T00:00:00"/>
    <s v="South East"/>
    <s v="Reading"/>
    <x v="7"/>
    <s v="18-24"/>
    <s v="Non-Binary"/>
    <s v="Android"/>
    <s v="Android Phone"/>
    <s v="&lt;3 months"/>
    <s v="Plus"/>
    <s v="Referral"/>
    <x v="1"/>
    <s v="Repeat Use"/>
    <s v="New Cta Copy"/>
    <s v="Control"/>
    <n v="4"/>
    <n v="4"/>
    <n v="85"/>
    <s v="No"/>
    <x v="1"/>
    <x v="1"/>
    <s v="No Error"/>
    <x v="1"/>
    <n v="0"/>
    <n v="0"/>
    <n v="0"/>
    <s v="No Support Contact"/>
    <s v="No"/>
    <s v="No Support Contact"/>
    <s v="Not Applicable"/>
    <m/>
    <s v="Verification took too long"/>
    <n v="3"/>
    <n v="34"/>
    <n v="53"/>
    <x v="0"/>
    <n v="0"/>
    <n v="0"/>
    <n v="0"/>
    <n v="0"/>
  </r>
  <r>
    <s v="NSF-000098"/>
    <s v="USR-00808"/>
    <s v="SES-2502-32600"/>
    <d v="2025-02-22T00:00:00"/>
    <s v="London"/>
    <s v="Hammersmith"/>
    <x v="2"/>
    <s v="25-34"/>
    <s v="Male"/>
    <s v="Android"/>
    <s v="Android Phone"/>
    <s v="2+ years"/>
    <s v="Free"/>
    <s v="Paid Social"/>
    <x v="5"/>
    <s v="Trial/Exploration"/>
    <s v="New Cta Copy"/>
    <s v="Control"/>
    <n v="8"/>
    <n v="8"/>
    <n v="244"/>
    <s v="No"/>
    <x v="0"/>
    <x v="1"/>
    <s v="No Error"/>
    <x v="1"/>
    <n v="0"/>
    <n v="0"/>
    <n v="0"/>
    <s v="No Support Contact"/>
    <s v="No"/>
    <s v="No Support Contact"/>
    <s v="Not Applicable"/>
    <m/>
    <s v="No drop-off"/>
    <n v="3"/>
    <n v="33"/>
    <n v="34"/>
    <x v="1"/>
    <n v="1"/>
    <n v="0"/>
    <n v="0"/>
    <n v="1"/>
  </r>
  <r>
    <s v="NSF-000947"/>
    <s v="USR-00308"/>
    <s v="SES-2511-38064"/>
    <d v="2025-11-03T00:00:00"/>
    <s v="South West"/>
    <s v="Bristol"/>
    <x v="5"/>
    <s v="25-34"/>
    <s v="Female"/>
    <s v="Android"/>
    <s v="Android Phone"/>
    <s v="7-12 months"/>
    <s v="Free"/>
    <s v="Affiliate"/>
    <x v="7"/>
    <s v="Reactivated"/>
    <s v="Simplified Onboarding"/>
    <s v="Control"/>
    <n v="4"/>
    <n v="4"/>
    <n v="96"/>
    <s v="No"/>
    <x v="0"/>
    <x v="1"/>
    <s v="No Error"/>
    <x v="0"/>
    <n v="0"/>
    <n v="0.46"/>
    <n v="0"/>
    <s v="No Support Contact"/>
    <s v="No"/>
    <s v="No Support Contact"/>
    <s v="Not Applicable"/>
    <m/>
    <s v="No drop-off"/>
    <n v="4"/>
    <n v="12"/>
    <s v="60 days"/>
    <x v="0"/>
    <n v="1"/>
    <n v="1"/>
    <n v="0"/>
    <n v="0"/>
  </r>
  <r>
    <s v="NSF-000828"/>
    <s v="USR-00054"/>
    <s v="SES-2509-34857"/>
    <d v="2025-09-21T00:00:00"/>
    <s v="Wales"/>
    <s v="Swansea"/>
    <x v="7"/>
    <s v="35-44"/>
    <s v="Male"/>
    <s v="Ios"/>
    <s v="Iphone"/>
    <s v="1-2 years"/>
    <s v="Plus"/>
    <s v="App Store"/>
    <x v="4"/>
    <s v="First Use"/>
    <s v="Simplified Onboarding"/>
    <s v="Control"/>
    <n v="6"/>
    <n v="6"/>
    <n v="169"/>
    <s v="No"/>
    <x v="0"/>
    <x v="1"/>
    <s v="No Error"/>
    <x v="0"/>
    <n v="35.74"/>
    <n v="0"/>
    <n v="0.17"/>
    <s v="Fees And Pricing"/>
    <s v="Yes"/>
    <s v="Fees And Pricing"/>
    <s v="Resolved"/>
    <n v="20"/>
    <s v="No drop-off"/>
    <n v="5"/>
    <n v="64"/>
    <n v="0"/>
    <x v="1"/>
    <n v="1"/>
    <n v="1"/>
    <n v="0"/>
    <n v="1"/>
  </r>
  <r>
    <s v="NSF-001289"/>
    <s v="USR-00414"/>
    <s v="SES-2604-76519"/>
    <d v="2026-04-11T00:00:00"/>
    <s v="East England"/>
    <s v="Ipswich"/>
    <x v="0"/>
    <s v="25-34"/>
    <s v="Female"/>
    <s v="Web"/>
    <s v="Tablet Browser"/>
    <s v="7-12 months"/>
    <s v="Free"/>
    <s v="Paid Search"/>
    <x v="5"/>
    <s v="Repeat Use"/>
    <s v="No Experiment"/>
    <s v="Control"/>
    <n v="8"/>
    <n v="8"/>
    <n v="189"/>
    <s v="No"/>
    <x v="1"/>
    <x v="1"/>
    <s v="No Error"/>
    <x v="1"/>
    <n v="0"/>
    <n v="0"/>
    <n v="0"/>
    <s v="No Support Contact"/>
    <s v="No"/>
    <s v="No Support Contact"/>
    <s v="Not Applicable"/>
    <m/>
    <s v="No drop-off"/>
    <n v="3"/>
    <n v="7"/>
    <n v="82"/>
    <x v="0"/>
    <n v="0"/>
    <n v="0"/>
    <n v="0"/>
    <n v="0"/>
  </r>
  <r>
    <s v="NSF-000794"/>
    <s v="USR-00485"/>
    <s v="SES-2509-53854"/>
    <d v="2025-09-05T00:00:00"/>
    <s v="East England"/>
    <s v="Ipswich"/>
    <x v="3"/>
    <s v="35-44"/>
    <s v="Female"/>
    <s v="Ios"/>
    <s v="Ipad"/>
    <s v="7-12 months"/>
    <s v="Free"/>
    <s v="Employer Partnership"/>
    <x v="1"/>
    <s v="First Use"/>
    <s v="Progress Indicator"/>
    <s v="Control"/>
    <n v="4"/>
    <n v="4"/>
    <n v="90"/>
    <s v="No"/>
    <x v="0"/>
    <x v="1"/>
    <s v="No Error"/>
    <x v="0"/>
    <n v="119.87"/>
    <n v="0.2"/>
    <n v="0"/>
    <s v="No Support Contact"/>
    <s v="No"/>
    <s v="No Support Contact"/>
    <s v="Not Applicable"/>
    <m/>
    <s v="No drop-off"/>
    <n v="4"/>
    <n v="57"/>
    <n v="0"/>
    <x v="1"/>
    <n v="1"/>
    <n v="1"/>
    <n v="0"/>
    <n v="1"/>
  </r>
  <r>
    <s v="NSF-000915"/>
    <s v="USR-00150"/>
    <s v="SES-2511-29564"/>
    <d v="2025-11-27T00:00:00"/>
    <s v="South West"/>
    <s v="Plymouth"/>
    <x v="2"/>
    <s v="18-24"/>
    <s v="Male"/>
    <s v="Ios"/>
    <s v="Iphone"/>
    <s v="7-12 months"/>
    <s v="Premium"/>
    <s v="Organic Search"/>
    <x v="8"/>
    <s v="Repeat Use"/>
    <s v="Progress Indicator"/>
    <s v="Treatment"/>
    <n v="5"/>
    <n v="5"/>
    <n v="140"/>
    <s v="No"/>
    <x v="0"/>
    <x v="0"/>
    <s v="Merchant Eligibility Mismatch"/>
    <x v="1"/>
    <n v="0"/>
    <n v="0"/>
    <n v="0"/>
    <s v="No Support Contact"/>
    <s v="No"/>
    <s v="No Support Contact"/>
    <s v="Not Applicable"/>
    <m/>
    <s v="No drop-off"/>
    <n v="3"/>
    <n v="40"/>
    <n v="11"/>
    <x v="0"/>
    <n v="1"/>
    <n v="0"/>
    <n v="1"/>
    <n v="0"/>
  </r>
  <r>
    <s v="NSF-001418"/>
    <s v="USR-00422"/>
    <s v="SES-2606-58845"/>
    <d v="2026-06-30T00:00:00"/>
    <s v="London"/>
    <s v="Camden"/>
    <x v="0"/>
    <s v="35-44"/>
    <s v="Male"/>
    <s v="Ios"/>
    <s v="Iphone"/>
    <s v="2+ years"/>
    <s v="Free"/>
    <s v="App Store"/>
    <x v="1"/>
    <s v="Repeat Use"/>
    <s v="No Experiment"/>
    <s v="Control"/>
    <n v="4"/>
    <n v="4"/>
    <n v="116"/>
    <s v="No"/>
    <x v="0"/>
    <x v="1"/>
    <s v="No Error"/>
    <x v="0"/>
    <n v="130.44999999999999"/>
    <n v="0.19"/>
    <n v="0"/>
    <s v="No Support Contact"/>
    <s v="No"/>
    <s v="No Support Contact"/>
    <s v="Not Applicable"/>
    <m/>
    <s v="No drop-off"/>
    <n v="4"/>
    <n v="31"/>
    <n v="57"/>
    <x v="0"/>
    <n v="1"/>
    <n v="1"/>
    <n v="0"/>
    <n v="0"/>
  </r>
  <r>
    <s v="NSF-000984"/>
    <s v="USR-00125"/>
    <s v="SES-2511-92837"/>
    <d v="2025-11-20T00:00:00"/>
    <s v="West Midlands"/>
    <s v="COVENTRY"/>
    <x v="3"/>
    <s v="18-24"/>
    <s v="Male"/>
    <s v="Ios"/>
    <s v="Iphone"/>
    <s v="2+ years"/>
    <s v="Plus"/>
    <s v="Organic Search"/>
    <x v="7"/>
    <s v="First Use"/>
    <s v="No Experiment"/>
    <s v="Control"/>
    <n v="4"/>
    <n v="4"/>
    <n v="97"/>
    <s v="No"/>
    <x v="0"/>
    <x v="1"/>
    <s v="No Error"/>
    <x v="0"/>
    <n v="37.4"/>
    <n v="0.45"/>
    <n v="0.17"/>
    <s v="No Support Contact"/>
    <s v="No"/>
    <s v="No Support Contact"/>
    <s v="Not Applicable"/>
    <m/>
    <s v="No drop-off"/>
    <n v="3"/>
    <n v="2"/>
    <n v="0"/>
    <x v="1"/>
    <n v="1"/>
    <n v="1"/>
    <n v="0"/>
    <n v="1"/>
  </r>
  <r>
    <s v="NSF-001170"/>
    <s v="USR-00352"/>
    <s v="SES-2602-88312"/>
    <d v="2026-02-14T00:00:00"/>
    <s v="West Midlands"/>
    <s v="Solihull"/>
    <x v="5"/>
    <s v="25-34"/>
    <s v="Male"/>
    <s v="Web"/>
    <s v="Desktop"/>
    <s v="&lt;3 months"/>
    <s v="Free"/>
    <s v="Organic Search"/>
    <x v="7"/>
    <s v="Repeat Use"/>
    <s v="No Experiment"/>
    <s v="Control"/>
    <n v="4"/>
    <n v="4"/>
    <n v="108"/>
    <s v="No"/>
    <x v="0"/>
    <x v="1"/>
    <s v="No Error"/>
    <x v="0"/>
    <n v="19.64"/>
    <n v="0.56999999999999995"/>
    <n v="0"/>
    <s v="No Support Contact"/>
    <s v="No"/>
    <s v="No Support Contact"/>
    <s v="Not Applicable"/>
    <m/>
    <s v="No drop-off"/>
    <n v="5"/>
    <n v="35"/>
    <n v="29"/>
    <x v="1"/>
    <n v="1"/>
    <n v="1"/>
    <n v="0"/>
    <n v="1"/>
  </r>
  <r>
    <s v="NSF-000656"/>
    <s v="USR-00248"/>
    <s v="SES-2507-36575"/>
    <d v="2025-07-17T00:00:00"/>
    <s v="Scotland"/>
    <s v="Aberdeen"/>
    <x v="5"/>
    <s v="55-64"/>
    <s v="Female"/>
    <s v="Ios"/>
    <s v="Iphone"/>
    <s v="2+ years"/>
    <s v="Free"/>
    <s v="Direct"/>
    <x v="8"/>
    <s v="Repeat Use"/>
    <s v="Contextual Help"/>
    <s v="Control"/>
    <n v="5"/>
    <n v="5"/>
    <n v="93"/>
    <s v="No"/>
    <x v="0"/>
    <x v="1"/>
    <s v="No Error"/>
    <x v="0"/>
    <n v="76.349999999999994"/>
    <n v="0"/>
    <n v="0"/>
    <s v="No Support Contact"/>
    <s v="No"/>
    <s v="No Support Contact"/>
    <s v="Not Applicable"/>
    <m/>
    <s v="No drop-off"/>
    <n v="5"/>
    <n v="-12"/>
    <n v="37"/>
    <x v="1"/>
    <n v="1"/>
    <n v="1"/>
    <n v="0"/>
    <n v="1"/>
  </r>
  <r>
    <s v="NSF-000753"/>
    <s v="USR-00749"/>
    <s v="SES-2509-37293"/>
    <d v="2025-09-12T00:00:00"/>
    <s v="East Midlands"/>
    <s v="Leicester"/>
    <x v="1"/>
    <s v="25-34"/>
    <s v="Female"/>
    <s v="Android"/>
    <s v="Android Phone"/>
    <s v="7-12 months"/>
    <s v="Plus"/>
    <s v="Paid Social"/>
    <x v="2"/>
    <s v="First Use"/>
    <s v="No Experiment"/>
    <s v="Control"/>
    <s v="5 steps"/>
    <n v="4"/>
    <n v="250"/>
    <s v="Yes"/>
    <x v="0"/>
    <x v="1"/>
    <s v="No Error"/>
    <x v="0"/>
    <n v="104.1"/>
    <n v="0"/>
    <n v="0.17"/>
    <s v="No Support Contact"/>
    <s v="No"/>
    <s v="No Support Contact"/>
    <s v="Not Applicable"/>
    <m/>
    <s v="No drop-off"/>
    <n v="4"/>
    <n v="-7"/>
    <n v="0"/>
    <x v="1"/>
    <n v="1"/>
    <n v="1"/>
    <n v="0"/>
    <n v="1"/>
  </r>
  <r>
    <s v="NSF-000433"/>
    <s v="USR-00031"/>
    <s v="SES-2505-24576"/>
    <d v="2025-05-25T00:00:00"/>
    <s v="London"/>
    <s v="Hammersmith"/>
    <x v="1"/>
    <s v="35-44"/>
    <s v="Male"/>
    <s v="Web"/>
    <s v="Desktop"/>
    <s v="1-2 years"/>
    <s v="Free"/>
    <s v="Paid Social"/>
    <x v="7"/>
    <s v="Repeat Use"/>
    <s v="Simplified Onboarding"/>
    <s v="Control"/>
    <n v="4"/>
    <n v="3"/>
    <n v="197"/>
    <s v="Yes"/>
    <x v="1"/>
    <x v="1"/>
    <s v="No Error"/>
    <x v="1"/>
    <n v="0"/>
    <n v="0"/>
    <n v="0"/>
    <s v="No Support Contact"/>
    <s v="No"/>
    <s v="No Support Contact"/>
    <s v="Not Applicable"/>
    <m/>
    <s v="Privacy concern"/>
    <n v="3"/>
    <n v="-26"/>
    <n v="32"/>
    <x v="0"/>
    <n v="0"/>
    <n v="0"/>
    <n v="0"/>
    <n v="0"/>
  </r>
  <r>
    <s v="NSF-000833"/>
    <s v="USR-00483"/>
    <s v="SES-2510-93474"/>
    <d v="2025-10-12T00:00:00"/>
    <s v="Scotland"/>
    <s v="Edinburgh"/>
    <x v="2"/>
    <s v="45-54"/>
    <s v="Male"/>
    <s v="Web"/>
    <s v="Mobile Browser"/>
    <s v="2+ years"/>
    <s v="Free"/>
    <s v="Paid Search"/>
    <x v="2"/>
    <s v="Trial/Exploration"/>
    <s v="Progress Indicator"/>
    <s v="Treatment"/>
    <n v="5"/>
    <n v="5"/>
    <n v="131"/>
    <s v="No"/>
    <x v="0"/>
    <x v="1"/>
    <s v="No Error"/>
    <x v="0"/>
    <n v="21.61"/>
    <n v="0"/>
    <n v="0"/>
    <s v="No Support Contact"/>
    <s v="No"/>
    <s v="No Support Contact"/>
    <s v="Not Applicable"/>
    <m/>
    <s v="No drop-off"/>
    <n v="5"/>
    <n v="43"/>
    <n v="21"/>
    <x v="1"/>
    <n v="1"/>
    <n v="1"/>
    <n v="0"/>
    <n v="1"/>
  </r>
  <r>
    <s v="NSF-001117"/>
    <s v="USR-00549"/>
    <s v="SES-2601-57202"/>
    <d v="2026-01-29T00:00:00"/>
    <s v="North West"/>
    <s v="Preston"/>
    <x v="5"/>
    <s v="18-24"/>
    <s v="Female"/>
    <s v="Ios"/>
    <s v="Iphone"/>
    <s v="7-12 months"/>
    <s v="Premium"/>
    <s v="Organic Search"/>
    <x v="0"/>
    <s v="Repeat Use"/>
    <s v="No Experiment"/>
    <s v="Control"/>
    <n v="7"/>
    <n v="4"/>
    <n v="382"/>
    <s v="Yes"/>
    <x v="1"/>
    <x v="2"/>
    <s v="Category Setup Confusion"/>
    <x v="1"/>
    <n v="0"/>
    <n v="0"/>
    <n v="0"/>
    <s v="Transaction Failure"/>
    <s v="Yes"/>
    <s v="Transaction Failure"/>
    <s v="Unresolved"/>
    <n v="31"/>
    <s v="Too many steps"/>
    <n v="1"/>
    <n v="-17"/>
    <n v="1"/>
    <x v="1"/>
    <n v="0"/>
    <n v="0"/>
    <n v="0"/>
    <n v="1"/>
  </r>
  <r>
    <s v="NSF-000472"/>
    <s v="USR-00656"/>
    <s v="SES-2505-37339"/>
    <d v="2025-05-07T00:00:00"/>
    <s v="Northern Ireland"/>
    <s v="Belfast"/>
    <x v="0"/>
    <s v="25-34"/>
    <s v="Male"/>
    <s v="Ios"/>
    <s v="Iphone"/>
    <s v="3-6 months"/>
    <s v="Free"/>
    <s v="Unknown"/>
    <x v="7"/>
    <s v="Repeat Use"/>
    <s v="No Experiment"/>
    <s v="Control"/>
    <s v="4 steps"/>
    <n v="4"/>
    <n v="100"/>
    <s v="Unknown"/>
    <x v="0"/>
    <x v="1"/>
    <s v="No Error"/>
    <x v="0"/>
    <n v="92.48"/>
    <n v="0.46"/>
    <n v="0"/>
    <s v="No Support Contact"/>
    <s v="No"/>
    <s v="No Support Contact"/>
    <s v="Not Applicable"/>
    <m/>
    <s v="No drop-off"/>
    <n v="5"/>
    <n v="26"/>
    <n v="41"/>
    <x v="2"/>
    <n v="1"/>
    <n v="1"/>
    <n v="0"/>
    <n v="0"/>
  </r>
  <r>
    <s v="NSF-001348"/>
    <s v="USR-00376"/>
    <s v="SES-2604-27720"/>
    <d v="2026-04-13T00:00:00"/>
    <s v="Yorkshire &amp; Humber"/>
    <s v="Leeds"/>
    <x v="3"/>
    <s v="18-24"/>
    <s v="Female"/>
    <s v="Ios"/>
    <s v="Ipad"/>
    <s v="3-6 months"/>
    <s v="Free"/>
    <s v="Paid Search"/>
    <x v="1"/>
    <s v="Trial/Exploration"/>
    <s v="No Experiment"/>
    <s v="Control"/>
    <n v="4"/>
    <n v="4"/>
    <n v="107"/>
    <s v="No"/>
    <x v="1"/>
    <x v="1"/>
    <s v="No Error"/>
    <x v="0"/>
    <n v="164.47"/>
    <n v="0.22"/>
    <n v="0"/>
    <s v="Fees And Pricing"/>
    <s v="Yes"/>
    <s v="Fees And Pricing"/>
    <s v="Resolved"/>
    <n v="38"/>
    <s v="No drop-off"/>
    <n v="4"/>
    <n v="59"/>
    <n v="46"/>
    <x v="1"/>
    <n v="0"/>
    <n v="1"/>
    <n v="0"/>
    <n v="1"/>
  </r>
  <r>
    <s v="NSF-001142"/>
    <s v="USR-00176"/>
    <s v="SES-2601-45994"/>
    <d v="2026-01-12T00:00:00"/>
    <s v="Wales"/>
    <s v="Newport"/>
    <x v="0"/>
    <s v="35-44"/>
    <s v="Non-Binary"/>
    <s v="Ios"/>
    <s v="Iphone"/>
    <s v="1-2 years"/>
    <s v="Premium"/>
    <s v="Referral"/>
    <x v="4"/>
    <s v="First Use"/>
    <s v="No Experiment"/>
    <s v="Control"/>
    <n v="6"/>
    <n v="6"/>
    <n v="144"/>
    <s v="No"/>
    <x v="0"/>
    <x v="1"/>
    <s v="No Error"/>
    <x v="0"/>
    <n v="11.54"/>
    <n v="0"/>
    <n v="0.37"/>
    <s v="No Support Contact"/>
    <s v="No"/>
    <s v="No Support Contact"/>
    <s v="Not Applicable"/>
    <m/>
    <s v="No drop-off"/>
    <n v="4"/>
    <n v="13"/>
    <n v="0"/>
    <x v="0"/>
    <n v="1"/>
    <n v="1"/>
    <n v="0"/>
    <n v="0"/>
  </r>
  <r>
    <s v="NSF-001308"/>
    <s v="USR-00202"/>
    <s v="SES-2604-20278"/>
    <d v="2026-04-04T00:00:00"/>
    <s v="North West"/>
    <s v="Liverpool"/>
    <x v="1"/>
    <s v="35-44"/>
    <s v="Female"/>
    <s v="Android"/>
    <s v="Android Phone"/>
    <s v="7-12 months"/>
    <s v="Free"/>
    <s v="Organic Search"/>
    <x v="2"/>
    <s v="Reactivated"/>
    <s v="Simplified Onboarding"/>
    <s v="Control"/>
    <s v="5 steps"/>
    <n v="3"/>
    <n v="211"/>
    <s v="Yes"/>
    <x v="1"/>
    <x v="1"/>
    <s v="No Error"/>
    <x v="0"/>
    <n v="34.78"/>
    <n v="0"/>
    <n v="0"/>
    <s v="No Support Contact"/>
    <s v="No"/>
    <s v="No Support Contact"/>
    <s v="Not Applicable"/>
    <m/>
    <s v="Instructions unclear"/>
    <n v="4"/>
    <n v="-29"/>
    <n v="36"/>
    <x v="1"/>
    <n v="0"/>
    <n v="1"/>
    <n v="0"/>
    <n v="1"/>
  </r>
  <r>
    <s v="NSF-000165"/>
    <s v="USR-00835"/>
    <s v="SES-2502-13582"/>
    <d v="2025-02-25T00:00:00"/>
    <s v="East England"/>
    <s v="Norwich"/>
    <x v="3"/>
    <s v="55-64"/>
    <s v="Female"/>
    <s v="Android"/>
    <s v="Android Phone"/>
    <s v="3-6 months"/>
    <s v="Premium"/>
    <s v="Paid Social"/>
    <x v="3"/>
    <s v="Repeat Use"/>
    <s v="No Experiment"/>
    <s v="Control"/>
    <n v="6"/>
    <n v="6"/>
    <n v="189"/>
    <s v="No"/>
    <x v="1"/>
    <x v="1"/>
    <s v="No Error"/>
    <x v="1"/>
    <n v="0"/>
    <n v="0"/>
    <n v="0"/>
    <s v="No Support Contact"/>
    <s v="No"/>
    <s v="No Support Contact"/>
    <s v="Not Applicable"/>
    <m/>
    <s v="Too many steps"/>
    <n v="3"/>
    <n v="34"/>
    <n v="20"/>
    <x v="0"/>
    <n v="0"/>
    <n v="0"/>
    <n v="0"/>
    <n v="0"/>
  </r>
  <r>
    <s v="NSF-001434"/>
    <s v="USR-00610"/>
    <s v="SES-2606-25263"/>
    <d v="2026-06-20T00:00:00"/>
    <s v="South East"/>
    <s v="Canterbury"/>
    <x v="7"/>
    <s v="65+"/>
    <s v="Male"/>
    <s v="Ios"/>
    <s v="Iphone"/>
    <s v="2+ years"/>
    <s v="Free"/>
    <s v="Organic Search"/>
    <x v="0"/>
    <s v="Repeat Use"/>
    <s v="New Cta Copy"/>
    <s v="Control"/>
    <n v="7"/>
    <n v="7"/>
    <n v="194"/>
    <s v="No"/>
    <x v="1"/>
    <x v="1"/>
    <s v="No Error"/>
    <x v="1"/>
    <n v="0"/>
    <n v="0"/>
    <n v="0"/>
    <s v="No Support Contact"/>
    <s v="No"/>
    <s v="No Support Contact"/>
    <s v="Not Applicable"/>
    <m/>
    <s v="Changed mind"/>
    <n v="2"/>
    <n v="-8"/>
    <n v="46"/>
    <x v="1"/>
    <n v="0"/>
    <n v="0"/>
    <n v="0"/>
    <n v="1"/>
  </r>
  <r>
    <s v="NSF-000524"/>
    <s v="USR-00685"/>
    <s v="SES-2506-43749"/>
    <d v="2025-06-15T00:00:00"/>
    <s v="North West"/>
    <s v="Chester"/>
    <x v="0"/>
    <s v="55-64"/>
    <s v="Female"/>
    <s v="Ios"/>
    <s v="Iphone"/>
    <s v="1-2 years"/>
    <s v="Free"/>
    <s v="Organic Search"/>
    <x v="2"/>
    <s v="Repeat Use"/>
    <s v="No Experiment"/>
    <s v="Control"/>
    <n v="5"/>
    <s v="5 steps"/>
    <n v="115"/>
    <s v="No"/>
    <x v="0"/>
    <x v="1"/>
    <s v="No Error"/>
    <x v="0"/>
    <n v="18.89"/>
    <n v="0"/>
    <n v="0"/>
    <s v="No Support Contact"/>
    <s v="No"/>
    <s v="No Support Contact"/>
    <s v="Not Applicable"/>
    <m/>
    <s v="No drop-off"/>
    <n v="4"/>
    <n v="75"/>
    <n v="25"/>
    <x v="1"/>
    <n v="1"/>
    <n v="1"/>
    <n v="0"/>
    <n v="1"/>
  </r>
  <r>
    <s v="NSF-000058"/>
    <s v="USR-00403"/>
    <s v="SES-2501-86479"/>
    <d v="2025-01-05T00:00:00"/>
    <s v="Northern Ireland"/>
    <s v="Newry"/>
    <x v="3"/>
    <s v="18-24"/>
    <s v="Female"/>
    <s v="Ios"/>
    <s v="Iphone"/>
    <s v="1-2 years"/>
    <s v="Free"/>
    <s v="Organic Search"/>
    <x v="5"/>
    <s v="Repeat Use"/>
    <s v="No Experiment"/>
    <s v="Control"/>
    <n v="8"/>
    <s v="8 steps"/>
    <n v="195"/>
    <s v="No"/>
    <x v="1"/>
    <x v="1"/>
    <s v="No Error"/>
    <x v="1"/>
    <n v="0"/>
    <n v="0"/>
    <n v="0"/>
    <s v="No Support Contact"/>
    <s v="No"/>
    <s v="No Support Contact"/>
    <s v="Not Applicable"/>
    <m/>
    <s v="Instructions unclear"/>
    <n v="2"/>
    <n v="-38"/>
    <n v="19"/>
    <x v="1"/>
    <n v="0"/>
    <n v="0"/>
    <n v="0"/>
    <n v="1"/>
  </r>
  <r>
    <s v="NSF-000598"/>
    <s v="USR-00497"/>
    <s v="SES-2507-80831"/>
    <d v="2025-07-29T00:00:00"/>
    <s v="East Midlands"/>
    <s v="Leicester"/>
    <x v="2"/>
    <s v="25-34"/>
    <s v="Female"/>
    <s v="Android"/>
    <s v="Android Phone"/>
    <s v="3-6 months"/>
    <s v="Free"/>
    <s v="Referral"/>
    <x v="0"/>
    <s v="Repeat Use"/>
    <s v="Progress Indicator"/>
    <s v="Treatment"/>
    <n v="7"/>
    <n v="6"/>
    <n v="291"/>
    <s v="Yes"/>
    <x v="1"/>
    <x v="1"/>
    <s v="No Error"/>
    <x v="1"/>
    <n v="0"/>
    <n v="0"/>
    <n v="0"/>
    <s v="Fees And Pricing"/>
    <s v="Yes"/>
    <s v="Fees And Pricing"/>
    <s v="Unresolved"/>
    <n v="19"/>
    <s v="Instructions unclear"/>
    <n v="2"/>
    <n v="20"/>
    <n v="2"/>
    <x v="1"/>
    <n v="0"/>
    <n v="0"/>
    <n v="0"/>
    <n v="1"/>
  </r>
  <r>
    <s v="NSF-000142"/>
    <s v="USR-00295"/>
    <s v="SES-2502-60098"/>
    <d v="2025-02-28T00:00:00"/>
    <s v="North West"/>
    <s v="Chester"/>
    <x v="5"/>
    <s v="18-24"/>
    <s v="Female"/>
    <s v="Android"/>
    <s v="Android Phone"/>
    <s v="2+ years"/>
    <s v="Basic"/>
    <s v="Paid Search"/>
    <x v="2"/>
    <s v="Reactivated"/>
    <s v="New Cta Copy"/>
    <s v="Treatment"/>
    <n v="5"/>
    <n v="3"/>
    <n v="233"/>
    <s v="Yes"/>
    <x v="0"/>
    <x v="1"/>
    <s v="No Error"/>
    <x v="0"/>
    <n v="17.809999999999999"/>
    <n v="0"/>
    <n v="0"/>
    <s v="No Support Contact"/>
    <s v="No"/>
    <s v="No Support Contact"/>
    <s v="Not Applicable"/>
    <m/>
    <s v="No drop-off"/>
    <n v="4"/>
    <n v="26"/>
    <n v="14"/>
    <x v="0"/>
    <n v="1"/>
    <n v="1"/>
    <n v="0"/>
    <n v="0"/>
  </r>
  <r>
    <s v="NSF-001076"/>
    <s v="USR-00265"/>
    <s v="SES-2601-49356"/>
    <d v="2026-10-01T00:00:00"/>
    <s v="Northern Ireland"/>
    <s v="Belfast"/>
    <x v="3"/>
    <s v="25-34"/>
    <s v="Female"/>
    <s v="Web"/>
    <s v="Desktop"/>
    <s v="2+ years"/>
    <s v="Free"/>
    <s v="Paid Search"/>
    <x v="0"/>
    <s v="Repeat Use"/>
    <s v="New Cta Copy"/>
    <s v="Treatment"/>
    <n v="7"/>
    <n v="7"/>
    <n v="221"/>
    <s v="No"/>
    <x v="0"/>
    <x v="1"/>
    <s v="No Error"/>
    <x v="1"/>
    <n v="0"/>
    <n v="0"/>
    <n v="0"/>
    <s v="No Support Contact"/>
    <s v="No"/>
    <s v="No Support Contact"/>
    <s v="Not Applicable"/>
    <m/>
    <s v="No drop-off"/>
    <n v="4"/>
    <n v="7"/>
    <n v="16"/>
    <x v="0"/>
    <n v="1"/>
    <n v="0"/>
    <n v="0"/>
    <n v="0"/>
  </r>
  <r>
    <s v="NSF-001031"/>
    <s v="USR-00695"/>
    <s v="SES-2512-35171"/>
    <d v="2025-12-04T00:00:00"/>
    <s v="South East"/>
    <s v="Canterbury"/>
    <x v="3"/>
    <s v="35-44"/>
    <s v="Male"/>
    <s v="Ios"/>
    <s v="Iphone"/>
    <s v="1-2 years"/>
    <s v="Free"/>
    <s v="Paid Social"/>
    <x v="5"/>
    <s v="Repeat Use"/>
    <s v="No Experiment"/>
    <s v="Control"/>
    <n v="8"/>
    <n v="5"/>
    <n v="232"/>
    <s v="Yes"/>
    <x v="1"/>
    <x v="1"/>
    <s v="No Error"/>
    <x v="1"/>
    <n v="0"/>
    <n v="0"/>
    <n v="0"/>
    <s v="No Support Contact"/>
    <s v="No"/>
    <s v="No Support Contact"/>
    <s v="Not Applicable"/>
    <m/>
    <s v="Too many steps"/>
    <n v="3"/>
    <n v="-26"/>
    <n v="24"/>
    <x v="1"/>
    <n v="0"/>
    <n v="0"/>
    <n v="0"/>
    <n v="1"/>
  </r>
  <r>
    <s v="NSF-000820"/>
    <s v="USR-00643"/>
    <s v="SES-2509-29393"/>
    <d v="2025-09-17T00:00:00"/>
    <s v="Yorkshire &amp; Humber"/>
    <s v="Leeds"/>
    <x v="1"/>
    <s v="18-24"/>
    <s v="Male"/>
    <s v="Ios"/>
    <s v="Iphone"/>
    <s v="3-6 months"/>
    <s v="Plus"/>
    <s v="Employer Partnership"/>
    <x v="1"/>
    <s v="First Use"/>
    <s v="Progress Indicator"/>
    <s v="Treatment"/>
    <n v="4"/>
    <n v="4"/>
    <n v="83"/>
    <s v="No"/>
    <x v="0"/>
    <x v="1"/>
    <s v="No Error"/>
    <x v="0"/>
    <n v="178.58"/>
    <n v="0.21"/>
    <n v="0.17"/>
    <s v="No Support Contact"/>
    <s v="No"/>
    <s v="No Support Contact"/>
    <s v="Not Applicable"/>
    <m/>
    <s v="No drop-off"/>
    <n v="5"/>
    <n v="73"/>
    <n v="0"/>
    <x v="1"/>
    <n v="1"/>
    <n v="1"/>
    <n v="0"/>
    <n v="1"/>
  </r>
  <r>
    <s v="NSF-001217"/>
    <s v="USR-00655"/>
    <s v="SES-2602-76894"/>
    <d v="2026-02-23T00:00:00"/>
    <s v="Wales"/>
    <s v="Cardiff"/>
    <x v="0"/>
    <s v="25-34"/>
    <s v="Male"/>
    <s v="Ios"/>
    <s v="Iphone"/>
    <s v="2+ years"/>
    <s v="Free"/>
    <s v="Referral"/>
    <x v="3"/>
    <s v="First Use"/>
    <s v="Contextual Help"/>
    <s v="Treatment"/>
    <n v="6"/>
    <n v="6"/>
    <n v="133"/>
    <s v="No"/>
    <x v="0"/>
    <x v="1"/>
    <s v="No Error"/>
    <x v="0"/>
    <n v="0"/>
    <n v="0.11"/>
    <n v="0"/>
    <s v="No Support Contact"/>
    <s v="No"/>
    <s v="No Support Contact"/>
    <s v="Not Applicable"/>
    <m/>
    <s v="No drop-off"/>
    <n v="4"/>
    <n v="-5"/>
    <n v="0"/>
    <x v="0"/>
    <n v="1"/>
    <n v="1"/>
    <n v="0"/>
    <n v="0"/>
  </r>
  <r>
    <s v="NSF-000725"/>
    <s v="USR-00015"/>
    <s v="SES-2508-30442"/>
    <d v="2025-08-21T00:00:00"/>
    <s v="North East"/>
    <s v="Middlesbrough"/>
    <x v="4"/>
    <s v="45-54"/>
    <s v="Female"/>
    <s v="Ios"/>
    <s v="Iphone"/>
    <s v="7-12 months"/>
    <s v="Free"/>
    <s v="Paid Social"/>
    <x v="5"/>
    <s v="Repeat Use"/>
    <s v="Simplified Onboarding"/>
    <s v="Control"/>
    <n v="8"/>
    <n v="8"/>
    <n v="161"/>
    <s v="No"/>
    <x v="0"/>
    <x v="1"/>
    <s v="No Error"/>
    <x v="0"/>
    <n v="412.23"/>
    <n v="2.8"/>
    <n v="0"/>
    <s v="Transaction Failure"/>
    <s v="Yes"/>
    <s v="Transaction Failure"/>
    <s v="Resolved"/>
    <n v="32"/>
    <s v="No drop-off"/>
    <n v="3"/>
    <n v="23"/>
    <n v="61"/>
    <x v="1"/>
    <n v="1"/>
    <n v="1"/>
    <n v="0"/>
    <n v="1"/>
  </r>
  <r>
    <s v="NSF-000510"/>
    <s v="USR-00580"/>
    <s v="SES-2506-86073"/>
    <d v="2025-06-12T00:00:00"/>
    <s v="Yorkshire &amp; Humber"/>
    <s v="Hull"/>
    <x v="0"/>
    <s v="25-34"/>
    <s v="Female"/>
    <s v="Android"/>
    <s v="Android Phone"/>
    <s v="3-6 months"/>
    <s v="Free"/>
    <s v="Referral"/>
    <x v="3"/>
    <s v="First Use"/>
    <s v="Progress Indicator"/>
    <s v="Control"/>
    <n v="6"/>
    <n v="6"/>
    <n v="118"/>
    <s v="No"/>
    <x v="1"/>
    <x v="1"/>
    <s v="No Error"/>
    <x v="1"/>
    <n v="0"/>
    <n v="0"/>
    <n v="0"/>
    <s v="No Support Contact"/>
    <s v="No"/>
    <s v="No Support Contact"/>
    <s v="Not Applicable"/>
    <m/>
    <s v="Too many steps"/>
    <n v="3"/>
    <n v="-24"/>
    <n v="0"/>
    <x v="1"/>
    <n v="0"/>
    <n v="0"/>
    <n v="0"/>
    <n v="1"/>
  </r>
  <r>
    <s v="NSF-000123"/>
    <s v="USR-00328"/>
    <s v="SES-2502-83881"/>
    <d v="2025-02-03T00:00:00"/>
    <s v="East Midlands"/>
    <s v="Leicester"/>
    <x v="2"/>
    <s v="18-24"/>
    <s v="Female"/>
    <s v="Ios"/>
    <s v="Iphone"/>
    <s v="&lt;3 months"/>
    <s v="Basic"/>
    <s v="Referral"/>
    <x v="5"/>
    <s v="First Use"/>
    <s v="No Experiment"/>
    <s v="Control"/>
    <n v="8"/>
    <n v="8"/>
    <n v="175"/>
    <s v="No"/>
    <x v="0"/>
    <x v="1"/>
    <s v="No Error"/>
    <x v="1"/>
    <n v="0"/>
    <n v="0"/>
    <n v="0"/>
    <s v="No Support Contact"/>
    <s v="No"/>
    <s v="No Support Contact"/>
    <s v="Not Applicable"/>
    <m/>
    <s v="No drop-off"/>
    <n v="4"/>
    <n v="55"/>
    <n v="0"/>
    <x v="1"/>
    <n v="1"/>
    <n v="0"/>
    <n v="0"/>
    <n v="1"/>
  </r>
  <r>
    <s v="NSF-000682"/>
    <s v="USR-00453"/>
    <s v="SES-2508-45495"/>
    <d v="2025-08-14T00:00:00"/>
    <s v="East England"/>
    <s v="Ipswich"/>
    <x v="3"/>
    <s v="18-24"/>
    <s v="Male"/>
    <s v="Ios"/>
    <s v="Iphone"/>
    <s v="7-12 months"/>
    <s v="Free"/>
    <s v="Employer Partnership"/>
    <x v="8"/>
    <s v="Trial/Exploration"/>
    <s v="Simplified Onboarding"/>
    <s v="Control"/>
    <n v="5"/>
    <n v="5"/>
    <n v="135"/>
    <s v="No"/>
    <x v="0"/>
    <x v="1"/>
    <s v="No Error"/>
    <x v="0"/>
    <n v="0"/>
    <n v="0"/>
    <n v="0"/>
    <s v="No Support Contact"/>
    <s v="No"/>
    <s v="No Support Contact"/>
    <s v="Not Applicable"/>
    <m/>
    <s v="No drop-off"/>
    <n v="4"/>
    <n v="47"/>
    <n v="44"/>
    <x v="1"/>
    <n v="1"/>
    <n v="1"/>
    <n v="0"/>
    <n v="1"/>
  </r>
  <r>
    <s v="NSF-001433"/>
    <s v="USR-00290"/>
    <s v="SES-2606-11058"/>
    <d v="2026-06-22T00:00:00"/>
    <s v="Northern Ireland"/>
    <s v="Lisburn"/>
    <x v="1"/>
    <s v="35-44"/>
    <s v="Female"/>
    <s v="Web"/>
    <s v="Desktop"/>
    <s v="&lt;3 months"/>
    <s v="Free"/>
    <s v="Paid Social"/>
    <x v="5"/>
    <s v="First Use"/>
    <s v="Contextual Help"/>
    <s v="Control"/>
    <n v="8"/>
    <n v="8"/>
    <n v="195"/>
    <s v="No"/>
    <x v="1"/>
    <x v="1"/>
    <s v="No Error"/>
    <x v="1"/>
    <n v="0"/>
    <n v="0"/>
    <n v="0"/>
    <s v="Transaction Failure"/>
    <s v="Yes"/>
    <s v="Transaction Failure"/>
    <s v="Resolved"/>
    <n v="22"/>
    <s v="Unexpected fee"/>
    <n v="2"/>
    <n v="15"/>
    <n v="0"/>
    <x v="1"/>
    <n v="0"/>
    <n v="0"/>
    <n v="0"/>
    <n v="1"/>
  </r>
  <r>
    <s v="NSF-000030"/>
    <s v="USR-00196"/>
    <s v="SES-2501-53144"/>
    <d v="2025-01-20T00:00:00"/>
    <s v="North East"/>
    <s v="Middlesbrough"/>
    <x v="3"/>
    <s v="45-54"/>
    <s v="Non-Binary"/>
    <s v="Android"/>
    <s v="Android Phone"/>
    <s v="3-6 months"/>
    <s v="Free"/>
    <s v="Affiliate"/>
    <x v="4"/>
    <s v="Repeat Use"/>
    <s v="Simplified Onboarding"/>
    <s v="Control"/>
    <n v="6"/>
    <n v="6"/>
    <n v="138"/>
    <s v="No"/>
    <x v="0"/>
    <x v="1"/>
    <s v="No Error"/>
    <x v="0"/>
    <n v="41.14"/>
    <n v="0"/>
    <n v="0"/>
    <s v="No Support Contact"/>
    <s v="No"/>
    <s v="No Support Contact"/>
    <s v="Not Applicable"/>
    <m/>
    <s v="No drop-off"/>
    <n v="3"/>
    <n v="57"/>
    <n v="12"/>
    <x v="1"/>
    <n v="1"/>
    <n v="1"/>
    <n v="0"/>
    <n v="1"/>
  </r>
  <r>
    <s v="NSF-000260"/>
    <s v="USR-00564"/>
    <s v="SES-2503-51866"/>
    <d v="2025-03-15T00:00:00"/>
    <s v="Scotland"/>
    <s v="Edinburgh"/>
    <x v="5"/>
    <s v="45-54"/>
    <s v="Female"/>
    <s v="Android"/>
    <s v="Android Phone"/>
    <s v="7-12 months"/>
    <s v="Free"/>
    <s v="Referral"/>
    <x v="3"/>
    <s v="Reactivated"/>
    <s v="Contextual Help"/>
    <s v="Control"/>
    <n v="6"/>
    <n v="4"/>
    <n v="237"/>
    <s v="Yes"/>
    <x v="0"/>
    <x v="1"/>
    <s v="No Error"/>
    <x v="0"/>
    <n v="46.34"/>
    <n v="0.11"/>
    <n v="0"/>
    <s v="No Support Contact"/>
    <s v="No"/>
    <s v="No Support Contact"/>
    <s v="Not Applicable"/>
    <m/>
    <s v="No drop-off"/>
    <n v="4"/>
    <n v="-19"/>
    <n v="45"/>
    <x v="1"/>
    <n v="1"/>
    <n v="1"/>
    <n v="0"/>
    <n v="1"/>
  </r>
  <r>
    <s v="NSF-001320"/>
    <s v="USR-00625"/>
    <s v="SES-2604-52683"/>
    <d v="2026-04-19T00:00:00"/>
    <s v="East Midlands"/>
    <s v="Leicester"/>
    <x v="7"/>
    <s v="25-34"/>
    <s v="Female"/>
    <s v="Ios"/>
    <s v="Iphone"/>
    <s v="7-12 months"/>
    <s v="Free"/>
    <s v="Organic Search"/>
    <x v="7"/>
    <s v="Repeat Use"/>
    <s v="Fee Transparency Panel"/>
    <s v="Treatment"/>
    <n v="4"/>
    <n v="4"/>
    <n v="104"/>
    <s v="No"/>
    <x v="0"/>
    <x v="0"/>
    <s v="Card Details Not Displayed"/>
    <x v="0"/>
    <n v="84.39"/>
    <n v="0.48"/>
    <n v="0"/>
    <s v="No Support Contact"/>
    <s v="No"/>
    <s v="No Support Contact"/>
    <s v="Not Applicable"/>
    <m/>
    <s v="No drop-off"/>
    <n v="3"/>
    <n v="-38"/>
    <n v="11"/>
    <x v="1"/>
    <n v="1"/>
    <n v="1"/>
    <n v="1"/>
    <n v="1"/>
  </r>
  <r>
    <s v="NSF-000551"/>
    <s v="USR-00549"/>
    <s v="SES-2506-85458"/>
    <d v="2025-06-10T00:00:00"/>
    <s v="North West"/>
    <s v="Preston"/>
    <x v="2"/>
    <s v="55-64"/>
    <s v="Female"/>
    <s v="Android"/>
    <s v="Android Phone"/>
    <s v="2+ years"/>
    <s v="Free"/>
    <s v="Employer Partnership"/>
    <x v="3"/>
    <s v="Repeat Use"/>
    <s v="Contextual Help"/>
    <s v="Treatment"/>
    <n v="6"/>
    <n v="5"/>
    <n v="183"/>
    <s v="Yes"/>
    <x v="0"/>
    <x v="1"/>
    <s v="No Error"/>
    <x v="1"/>
    <n v="0"/>
    <n v="0"/>
    <n v="0"/>
    <s v="No Support Contact"/>
    <s v="No"/>
    <s v="No Support Contact"/>
    <s v="Not Applicable"/>
    <m/>
    <s v="No drop-off"/>
    <n v="4"/>
    <n v="35"/>
    <n v="27"/>
    <x v="1"/>
    <n v="1"/>
    <n v="0"/>
    <n v="0"/>
    <n v="1"/>
  </r>
  <r>
    <s v="NSF-001416"/>
    <s v="USR-00714"/>
    <s v="SES-2606-29084"/>
    <d v="2026-06-11T00:00:00"/>
    <s v="North West"/>
    <s v="Chester"/>
    <x v="2"/>
    <s v="35-44"/>
    <s v="Male"/>
    <s v="Android"/>
    <s v="Android Phone"/>
    <s v="1-2 years"/>
    <s v="Free"/>
    <s v="Paid Social"/>
    <x v="1"/>
    <s v="First Use"/>
    <s v="Simplified Onboarding"/>
    <s v="Treatment"/>
    <n v="4"/>
    <n v="4"/>
    <n v="139"/>
    <s v="No"/>
    <x v="0"/>
    <x v="0"/>
    <s v="Transfer Pending"/>
    <x v="0"/>
    <n v="111.79"/>
    <n v="0.18"/>
    <n v="0"/>
    <s v="No Support Contact"/>
    <s v="No"/>
    <s v="No Support Contact"/>
    <s v="Not Applicable"/>
    <m/>
    <s v="No drop-off"/>
    <n v="5"/>
    <n v="-10"/>
    <n v="0"/>
    <x v="0"/>
    <n v="1"/>
    <n v="1"/>
    <n v="1"/>
    <n v="0"/>
  </r>
  <r>
    <s v="NSF-000279"/>
    <s v="USR-00325"/>
    <s v="SES-2503-32886"/>
    <d v="2025-03-26T00:00:00"/>
    <s v="Yorkshire &amp; Humber"/>
    <s v="Leeds"/>
    <x v="2"/>
    <s v="45-54"/>
    <s v="Male"/>
    <s v="Android"/>
    <s v="Android Phone"/>
    <s v="7-12 months"/>
    <s v="Plus"/>
    <s v="Organic Search"/>
    <x v="1"/>
    <s v="First Use"/>
    <s v="Contextual Help"/>
    <s v="Treatment"/>
    <n v="4"/>
    <n v="4"/>
    <n v="84"/>
    <s v="No"/>
    <x v="0"/>
    <x v="1"/>
    <s v="No Error"/>
    <x v="0"/>
    <n v="-10"/>
    <n v="0.2"/>
    <n v="0.17"/>
    <s v="No Support Contact"/>
    <s v="No"/>
    <s v="No Support Contact"/>
    <s v="Not Applicable"/>
    <m/>
    <s v="No drop-off"/>
    <n v="5"/>
    <n v="52"/>
    <n v="0"/>
    <x v="1"/>
    <n v="1"/>
    <n v="1"/>
    <n v="0"/>
    <n v="1"/>
  </r>
  <r>
    <s v="NSF-000454"/>
    <s v="USR-00144"/>
    <s v="SES-2505-31261"/>
    <d v="2025-05-27T00:00:00"/>
    <s v="Northern Ireland"/>
    <s v="Derry"/>
    <x v="1"/>
    <s v="45-54"/>
    <s v="Male"/>
    <s v="Web"/>
    <s v="Desktop"/>
    <s v="1-2 years"/>
    <s v="Free"/>
    <s v="App Store"/>
    <x v="4"/>
    <s v="Repeat Use"/>
    <s v="No Experiment"/>
    <s v="Control"/>
    <n v="6"/>
    <n v="6"/>
    <n v="151"/>
    <s v="No"/>
    <x v="0"/>
    <x v="1"/>
    <s v="No Error"/>
    <x v="0"/>
    <n v="0"/>
    <n v="0"/>
    <n v="0"/>
    <s v="No Support Contact"/>
    <s v="No"/>
    <s v="No Support Contact"/>
    <s v="Not Applicable"/>
    <m/>
    <s v="No drop-off"/>
    <n v="4"/>
    <n v="32"/>
    <n v="14"/>
    <x v="1"/>
    <n v="1"/>
    <n v="1"/>
    <n v="0"/>
    <n v="1"/>
  </r>
  <r>
    <s v="NSF-001079"/>
    <s v="USR-00603"/>
    <s v="SES-2601-69818"/>
    <d v="2026-01-29T00:00:00"/>
    <s v="East Midlands"/>
    <s v="Lincoln"/>
    <x v="0"/>
    <s v="25-34"/>
    <s v="Female"/>
    <s v="Android"/>
    <s v="Android Phone"/>
    <s v="1-2 years"/>
    <s v="Free"/>
    <s v="Affiliate"/>
    <x v="2"/>
    <s v="Trial/Exploration"/>
    <s v="No Experiment"/>
    <s v="Control"/>
    <n v="5"/>
    <n v="5"/>
    <n v="102"/>
    <s v="Unknown"/>
    <x v="0"/>
    <x v="1"/>
    <s v="No Error"/>
    <x v="0"/>
    <n v="138.34"/>
    <n v="0"/>
    <n v="0"/>
    <s v="Account Verification"/>
    <s v="Yes"/>
    <s v="Account Verification"/>
    <s v="Resolved"/>
    <n v="14"/>
    <s v="No drop-off"/>
    <n v="4"/>
    <n v="4"/>
    <n v="30"/>
    <x v="1"/>
    <n v="1"/>
    <n v="1"/>
    <n v="0"/>
    <n v="1"/>
  </r>
  <r>
    <s v="NSF-001058"/>
    <s v="USR-00466"/>
    <s v="SES-2512-59612"/>
    <d v="2025-12-12T00:00:00"/>
    <s v="North West"/>
    <s v="Manchester"/>
    <x v="2"/>
    <s v="55-64"/>
    <s v="Male"/>
    <s v="Web"/>
    <s v="Desktop"/>
    <s v="2+ years"/>
    <s v="Free"/>
    <s v="Affiliate"/>
    <x v="5"/>
    <s v="Repeat Use"/>
    <s v="No Experiment"/>
    <s v="Control"/>
    <n v="8"/>
    <s v="8 steps"/>
    <n v="239"/>
    <s v="No"/>
    <x v="1"/>
    <x v="1"/>
    <s v="No Error"/>
    <x v="1"/>
    <n v="0"/>
    <n v="0"/>
    <n v="0"/>
    <s v="No Support Contact"/>
    <s v="No"/>
    <s v="No Support Contact"/>
    <s v="Not Applicable"/>
    <m/>
    <s v="No drop-off"/>
    <n v="3"/>
    <n v="-31"/>
    <n v="8"/>
    <x v="0"/>
    <n v="0"/>
    <n v="0"/>
    <n v="0"/>
    <n v="0"/>
  </r>
  <r>
    <s v="NSF-000151"/>
    <s v="USR-00378"/>
    <s v="SES-2502-84520"/>
    <d v="2025-02-06T00:00:00"/>
    <s v="London"/>
    <s v="Camden"/>
    <x v="2"/>
    <s v="25-34"/>
    <s v="Non-Binary"/>
    <s v="Ios"/>
    <s v="Iphone"/>
    <s v="&lt;3 months"/>
    <s v="Free"/>
    <s v="Paid Social"/>
    <x v="7"/>
    <s v="Repeat Use"/>
    <s v="No Experiment"/>
    <s v="Control"/>
    <n v="4"/>
    <n v="4"/>
    <n v="106"/>
    <s v="No"/>
    <x v="0"/>
    <x v="1"/>
    <s v="No Error"/>
    <x v="0"/>
    <n v="28.12"/>
    <n v="0.47"/>
    <n v="0"/>
    <s v="Fees And Pricing"/>
    <s v="Yes"/>
    <s v="Fees And Pricing"/>
    <s v="Resolved"/>
    <n v="16"/>
    <s v="No drop-off"/>
    <n v="5"/>
    <n v="29"/>
    <n v="37"/>
    <x v="0"/>
    <n v="1"/>
    <n v="1"/>
    <n v="0"/>
    <n v="0"/>
  </r>
  <r>
    <s v="NSF-000022"/>
    <s v="USR-00085"/>
    <s v="SES-2501-49611"/>
    <d v="2025-01-25T00:00:00"/>
    <s v="East Midlands"/>
    <s v="Leicester"/>
    <x v="0"/>
    <s v="25-34"/>
    <s v="Male"/>
    <s v="Android"/>
    <s v="Android Phone"/>
    <s v="&lt;3 months"/>
    <s v="Free"/>
    <s v="Paid Social"/>
    <x v="7"/>
    <s v="Repeat Use"/>
    <s v="No Experiment"/>
    <s v="Control"/>
    <n v="4"/>
    <n v="4"/>
    <n v="99"/>
    <s v="No"/>
    <x v="0"/>
    <x v="1"/>
    <s v="No Error"/>
    <x v="0"/>
    <n v="91.11"/>
    <n v="0.51"/>
    <n v="0"/>
    <s v="No Support Contact"/>
    <s v="No"/>
    <s v="No Support Contact"/>
    <s v="N/A"/>
    <m/>
    <s v="No drop-off"/>
    <n v="5"/>
    <n v="24"/>
    <n v="37"/>
    <x v="1"/>
    <n v="1"/>
    <n v="1"/>
    <n v="0"/>
    <n v="1"/>
  </r>
  <r>
    <s v="NSF-000024"/>
    <s v="USR-00116"/>
    <s v="SES-2501-55647"/>
    <d v="2025-01-14T00:00:00"/>
    <s v="North East"/>
    <s v="Middlesbrough"/>
    <x v="3"/>
    <s v="18-24"/>
    <s v="Male"/>
    <s v="Ios"/>
    <s v="Iphone"/>
    <s v="&lt;3 months"/>
    <s v="Free"/>
    <s v="Employer Partnership"/>
    <x v="8"/>
    <s v="Reactivated"/>
    <s v="No Experiment"/>
    <s v="Control"/>
    <s v="5 steps"/>
    <n v="5"/>
    <n v="150"/>
    <s v="No"/>
    <x v="0"/>
    <x v="1"/>
    <s v="No Error"/>
    <x v="0"/>
    <n v="0"/>
    <n v="0"/>
    <n v="0"/>
    <s v="No Support Contact"/>
    <s v="No"/>
    <s v="No Support Contact"/>
    <s v="Not Applicable"/>
    <m/>
    <s v="No drop-off"/>
    <n v="5"/>
    <n v="42"/>
    <n v="32"/>
    <x v="0"/>
    <n v="1"/>
    <n v="1"/>
    <n v="0"/>
    <n v="0"/>
  </r>
  <r>
    <s v="NSF-001055"/>
    <s v="USR-00195"/>
    <s v="SES-2512-50124"/>
    <d v="2025-12-25T00:00:00"/>
    <s v="South West"/>
    <s v="Plymouth"/>
    <x v="3"/>
    <s v="35-44"/>
    <s v="Female"/>
    <s v="Ios"/>
    <s v="Iphone"/>
    <s v="1-2 years"/>
    <s v="Free"/>
    <s v="Organic Search"/>
    <x v="7"/>
    <s v="First Use"/>
    <s v="Simplified Onboarding"/>
    <s v="Control"/>
    <n v="4"/>
    <n v="4"/>
    <n v="91"/>
    <s v="No"/>
    <x v="0"/>
    <x v="1"/>
    <s v="No Error"/>
    <x v="0"/>
    <n v="72.84"/>
    <n v="0.51"/>
    <n v="0"/>
    <s v="Feature Navigation"/>
    <s v="Yes"/>
    <s v="Feature Navigation"/>
    <s v="Resolved"/>
    <n v="48"/>
    <s v="No drop-off"/>
    <n v="5"/>
    <n v="62"/>
    <n v="0"/>
    <x v="1"/>
    <n v="1"/>
    <n v="1"/>
    <n v="0"/>
    <n v="1"/>
  </r>
  <r>
    <s v="NSF-000772"/>
    <s v="USR-00829"/>
    <s v="SES-2509-65105"/>
    <d v="2025-09-26T00:00:00"/>
    <s v="Wales"/>
    <s v="Cardiff"/>
    <x v="2"/>
    <s v="25-34"/>
    <s v="Female"/>
    <s v="Android"/>
    <s v="Android Phone"/>
    <s v="3-6 months"/>
    <s v="Free"/>
    <s v="Referral"/>
    <x v="10"/>
    <s v="Repeat Use"/>
    <s v="No Experiment"/>
    <s v="Control"/>
    <n v="9"/>
    <n v="9"/>
    <n v="182"/>
    <s v="No"/>
    <x v="1"/>
    <x v="1"/>
    <s v="No Error"/>
    <x v="1"/>
    <n v="0"/>
    <n v="0"/>
    <n v="0"/>
    <s v="No Support Contact"/>
    <s v="No"/>
    <s v="No Support Contact"/>
    <s v="Not Applicable"/>
    <m/>
    <s v="Unexpected fee"/>
    <n v="2"/>
    <n v="-4"/>
    <n v="1"/>
    <x v="0"/>
    <n v="0"/>
    <n v="0"/>
    <n v="0"/>
    <n v="0"/>
  </r>
  <r>
    <s v="NSF-000723"/>
    <s v="USR-00295"/>
    <s v="SES-2508-42489"/>
    <d v="2025-08-30T00:00:00"/>
    <s v="Wales"/>
    <s v="Cardiff"/>
    <x v="4"/>
    <s v="25-34"/>
    <s v="Female"/>
    <s v="Android"/>
    <s v="Android Phone"/>
    <s v="3-6 months"/>
    <s v="Free"/>
    <s v="Paid Search"/>
    <x v="5"/>
    <s v="First Use"/>
    <s v="New Cta Copy"/>
    <s v="Treatment"/>
    <n v="8"/>
    <n v="8"/>
    <n v="190"/>
    <s v="No"/>
    <x v="0"/>
    <x v="1"/>
    <s v="No Error"/>
    <x v="0"/>
    <n v="358.75"/>
    <n v="2.31"/>
    <n v="0"/>
    <s v="No Support Contact"/>
    <s v="No"/>
    <s v="No Support Contact"/>
    <s v="Not Applicable"/>
    <m/>
    <s v="No drop-off"/>
    <n v="4"/>
    <n v="-10"/>
    <n v="0"/>
    <x v="0"/>
    <n v="1"/>
    <n v="1"/>
    <n v="0"/>
    <n v="0"/>
  </r>
  <r>
    <s v="NSF-000185"/>
    <s v="USR-00754"/>
    <s v="SES-2502-17878"/>
    <d v="2025-02-10T00:00:00"/>
    <s v="North West"/>
    <s v="LIVERPOOL"/>
    <x v="1"/>
    <s v="25-34"/>
    <s v="Female"/>
    <s v="Web"/>
    <s v="Tablet Browser"/>
    <s v="2+ years"/>
    <s v="Free"/>
    <s v="App Store"/>
    <x v="10"/>
    <s v="Repeat Use"/>
    <s v="No Experiment"/>
    <s v="Control"/>
    <n v="9"/>
    <n v="9"/>
    <n v="210"/>
    <s v="No"/>
    <x v="1"/>
    <x v="1"/>
    <s v="No Error"/>
    <x v="1"/>
    <n v="0"/>
    <n v="0"/>
    <n v="0"/>
    <s v="No Support Contact"/>
    <s v="No"/>
    <s v="No Support Contact"/>
    <s v="Not Applicable"/>
    <m/>
    <s v="Instructions unclear"/>
    <n v="3"/>
    <n v="-12"/>
    <n v="33"/>
    <x v="0"/>
    <n v="0"/>
    <n v="0"/>
    <n v="0"/>
    <n v="0"/>
  </r>
  <r>
    <s v="NSF-000324"/>
    <s v="USR-00672"/>
    <s v="SES-2504-42039"/>
    <d v="2025-04-04T00:00:00"/>
    <s v="North East"/>
    <s v="Newcastle"/>
    <x v="2"/>
    <s v="25-34"/>
    <s v="Male"/>
    <s v="Ios"/>
    <s v="Iphone"/>
    <s v="1-2 years"/>
    <s v="Free"/>
    <s v="Organic Search"/>
    <x v="2"/>
    <s v="Repeat Use"/>
    <s v="Simplified Onboarding"/>
    <s v="Control"/>
    <n v="5"/>
    <n v="5"/>
    <n v="131"/>
    <s v="No"/>
    <x v="0"/>
    <x v="0"/>
    <s v="Round-Up Not Activated"/>
    <x v="0"/>
    <n v="52.53"/>
    <n v="0"/>
    <n v="0"/>
    <s v="No Support Contact"/>
    <s v="No"/>
    <s v="No Support Contact"/>
    <s v="Not Applicable"/>
    <m/>
    <s v="No drop-off"/>
    <n v="3"/>
    <n v="6"/>
    <n v="11"/>
    <x v="1"/>
    <n v="1"/>
    <n v="1"/>
    <n v="1"/>
    <n v="1"/>
  </r>
  <r>
    <s v="NSF-001437"/>
    <s v="USR-00036"/>
    <s v="SES-2606-33206"/>
    <d v="2026-06-30T00:00:00"/>
    <s v="North West"/>
    <s v="Preston"/>
    <x v="3"/>
    <s v="35-44"/>
    <s v="Male"/>
    <s v="Android"/>
    <s v="Android Phone"/>
    <s v="2+ years"/>
    <s v="Free"/>
    <s v="Referral"/>
    <x v="1"/>
    <s v="First Use"/>
    <s v="No Experiment"/>
    <s v="Control"/>
    <n v="4"/>
    <n v="4"/>
    <n v="85"/>
    <s v="No"/>
    <x v="0"/>
    <x v="1"/>
    <s v="No Error"/>
    <x v="0"/>
    <n v="106.47"/>
    <n v="0.2"/>
    <n v="0"/>
    <s v="No Support Contact"/>
    <s v="No"/>
    <s v="No Support Contact"/>
    <s v="Not Applicable"/>
    <m/>
    <s v="No drop-off"/>
    <n v="4"/>
    <n v="23"/>
    <s v="0 days"/>
    <x v="1"/>
    <n v="1"/>
    <n v="1"/>
    <n v="0"/>
    <n v="1"/>
  </r>
  <r>
    <s v="NSF-000146"/>
    <s v="USR-00060"/>
    <s v="SES-2502-47525"/>
    <d v="2025-02-11T00:00:00"/>
    <s v="North West"/>
    <s v="Liverpool"/>
    <x v="4"/>
    <s v="25-34"/>
    <s v="Male"/>
    <s v="Android"/>
    <s v="Android Phone"/>
    <s v="1-2 years"/>
    <s v="Free"/>
    <s v="Affiliate"/>
    <x v="5"/>
    <s v="Repeat Use"/>
    <s v="Simplified Onboarding"/>
    <s v="Treatment"/>
    <n v="8"/>
    <n v="6"/>
    <n v="313"/>
    <s v="Yes"/>
    <x v="0"/>
    <x v="1"/>
    <s v="No Error"/>
    <x v="0"/>
    <n v="399.08"/>
    <n v="2.81"/>
    <n v="0"/>
    <s v="No Support Contact"/>
    <s v="No"/>
    <s v="No Support Contact"/>
    <s v="Not Applicable"/>
    <m/>
    <s v="No drop-off"/>
    <n v="3"/>
    <n v="5"/>
    <n v="29"/>
    <x v="1"/>
    <n v="1"/>
    <n v="1"/>
    <n v="0"/>
    <n v="1"/>
  </r>
  <r>
    <s v="NSF-001245"/>
    <s v="USR-00661"/>
    <s v="SES-2603-87948"/>
    <d v="2026-03-08T00:00:00"/>
    <s v="East Midlands"/>
    <s v="Lincoln"/>
    <x v="0"/>
    <s v="35-44"/>
    <s v="Male"/>
    <s v="Android"/>
    <s v="Android Phone"/>
    <s v="1-2 years"/>
    <s v="Premium"/>
    <s v="Organic Search"/>
    <x v="3"/>
    <s v="Repeat Use"/>
    <s v="Fee Transparency Panel"/>
    <s v="Control"/>
    <n v="6"/>
    <n v="6"/>
    <n v="139"/>
    <s v="No"/>
    <x v="0"/>
    <x v="1"/>
    <s v="No Error"/>
    <x v="0"/>
    <n v="18.57"/>
    <n v="0.11"/>
    <n v="0.37"/>
    <s v="No Support Contact"/>
    <s v="No"/>
    <s v="No Support Contact"/>
    <s v="Not Applicable"/>
    <m/>
    <s v="No drop-off"/>
    <n v="5"/>
    <n v="-38"/>
    <n v="42"/>
    <x v="0"/>
    <n v="1"/>
    <n v="1"/>
    <n v="0"/>
    <n v="0"/>
  </r>
  <r>
    <s v="NSF-000308"/>
    <s v="USR-00376"/>
    <s v="SES-2504-31048"/>
    <d v="2025-04-29T00:00:00"/>
    <s v="Scotland"/>
    <s v="Aberdeen"/>
    <x v="7"/>
    <s v="45-54"/>
    <s v="Female"/>
    <s v="Ios"/>
    <s v="Ipad"/>
    <s v="1-2 years"/>
    <s v="Free"/>
    <s v="Organic Search"/>
    <x v="7"/>
    <s v="Reactivated"/>
    <s v="New Cta Copy"/>
    <s v="Control"/>
    <n v="4"/>
    <n v="3"/>
    <n v="205"/>
    <s v="Yes"/>
    <x v="1"/>
    <x v="1"/>
    <s v="No Error"/>
    <x v="0"/>
    <n v="60.91"/>
    <n v="0.56000000000000005"/>
    <n v="0"/>
    <s v="No Support Contact"/>
    <s v="No"/>
    <s v="No Support Contact"/>
    <s v="Not Applicable"/>
    <m/>
    <s v="Unexpected fee"/>
    <n v="2"/>
    <n v="-5"/>
    <n v="60"/>
    <x v="1"/>
    <n v="0"/>
    <n v="1"/>
    <n v="0"/>
    <n v="1"/>
  </r>
  <r>
    <s v="NSF-000511"/>
    <s v="USR-00815"/>
    <s v="SES-2506-58832"/>
    <d v="2025-06-19T00:00:00"/>
    <s v="Northern Ireland"/>
    <s v="Belfast"/>
    <x v="7"/>
    <s v="18-24"/>
    <s v="Male"/>
    <s v="Web"/>
    <s v="Mobile Browser"/>
    <s v="7-12 months"/>
    <s v="Plus"/>
    <s v="Referral"/>
    <x v="0"/>
    <s v="First Use"/>
    <s v="No Experiment"/>
    <s v="Control"/>
    <n v="7"/>
    <n v="7"/>
    <n v="132"/>
    <s v="No"/>
    <x v="0"/>
    <x v="1"/>
    <s v="No Error"/>
    <x v="0"/>
    <n v="0"/>
    <n v="0"/>
    <n v="0.17"/>
    <s v="No Support Contact"/>
    <s v="No"/>
    <s v="No Support Contact"/>
    <s v="Not Applicable"/>
    <m/>
    <s v="No drop-off"/>
    <n v="4"/>
    <n v="8"/>
    <n v="0"/>
    <x v="1"/>
    <n v="1"/>
    <n v="1"/>
    <n v="0"/>
    <n v="1"/>
  </r>
  <r>
    <s v="NSF-000251"/>
    <s v="USR-00775"/>
    <s v="SES-2503-26171"/>
    <d v="2025-03-09T00:00:00"/>
    <s v="East England"/>
    <s v="Norwich"/>
    <x v="3"/>
    <s v="35-44"/>
    <s v="Male"/>
    <s v="Ios"/>
    <s v="Iphone"/>
    <s v="7-12 months"/>
    <s v="Plus"/>
    <s v="Referral"/>
    <x v="2"/>
    <s v="Trial/Exploration"/>
    <s v="New Cta Copy"/>
    <s v="Control"/>
    <n v="5"/>
    <n v="5"/>
    <n v="127"/>
    <s v="No"/>
    <x v="0"/>
    <x v="1"/>
    <s v="No Error"/>
    <x v="1"/>
    <n v="0"/>
    <n v="0"/>
    <n v="0"/>
    <s v="No Support Contact"/>
    <s v="No"/>
    <s v="No Support Contact"/>
    <s v="Not Applicable"/>
    <m/>
    <s v="No drop-off"/>
    <n v="4"/>
    <n v="46"/>
    <n v="24"/>
    <x v="0"/>
    <n v="1"/>
    <n v="0"/>
    <n v="0"/>
    <n v="0"/>
  </r>
  <r>
    <s v="NSF-000047"/>
    <s v="USR-00155"/>
    <s v="SES-2501-67266"/>
    <d v="2025-01-02T00:00:00"/>
    <s v="London"/>
    <s v="Southwark"/>
    <x v="3"/>
    <s v="35-44"/>
    <s v="Male"/>
    <s v="Web"/>
    <s v="Desktop"/>
    <s v="3-6 months"/>
    <s v="Free"/>
    <s v="Organic Search"/>
    <x v="1"/>
    <s v="First Use"/>
    <s v="No Experiment"/>
    <s v="Control"/>
    <s v="4 steps"/>
    <s v="4 steps"/>
    <n v="120"/>
    <s v="No"/>
    <x v="0"/>
    <x v="1"/>
    <s v="No Error"/>
    <x v="0"/>
    <n v="147.80000000000001"/>
    <n v="0.2"/>
    <n v="0"/>
    <s v="No Support Contact"/>
    <s v="No"/>
    <s v="No Support Contact"/>
    <s v="Not Applicable"/>
    <m/>
    <s v="No drop-off"/>
    <n v="4"/>
    <n v="36"/>
    <n v="0"/>
    <x v="1"/>
    <n v="1"/>
    <n v="1"/>
    <n v="0"/>
    <n v="1"/>
  </r>
  <r>
    <s v="NSF-001431"/>
    <s v="USR-00323"/>
    <s v="SES-2606-58842"/>
    <d v="2026-06-17T00:00:00"/>
    <s v="West Midlands"/>
    <s v="Wolverhampton"/>
    <x v="7"/>
    <s v="45-54"/>
    <s v="Female"/>
    <s v="Ios"/>
    <s v="Iphone"/>
    <s v="1-2 years"/>
    <s v="Plus"/>
    <s v="Paid Social"/>
    <x v="10"/>
    <s v="Repeat Use"/>
    <s v="Fee Transparency Panel"/>
    <s v="Control"/>
    <n v="9"/>
    <n v="6"/>
    <n v="280"/>
    <s v="Yes"/>
    <x v="1"/>
    <x v="1"/>
    <s v="No Error"/>
    <x v="1"/>
    <n v="0"/>
    <n v="0"/>
    <n v="0"/>
    <s v="No Support Contact"/>
    <s v="No"/>
    <s v="No Support Contact"/>
    <s v="Not Applicable"/>
    <m/>
    <s v="Too many steps"/>
    <n v="1"/>
    <n v="-66"/>
    <s v="33 days"/>
    <x v="0"/>
    <n v="0"/>
    <n v="0"/>
    <n v="0"/>
    <n v="0"/>
  </r>
  <r>
    <s v="NSF-000012"/>
    <s v="USR-00469"/>
    <s v="SES-2501-12503"/>
    <d v="2025-01-19T00:00:00"/>
    <s v="London"/>
    <s v="Croydon"/>
    <x v="5"/>
    <s v="35-44"/>
    <s v="Male"/>
    <s v="Android"/>
    <s v="Android Phone"/>
    <s v="2+ years"/>
    <s v="Premium"/>
    <s v="Paid Social"/>
    <x v="2"/>
    <s v="First Use"/>
    <s v="New Cta Copy"/>
    <s v="Control"/>
    <n v="5"/>
    <n v="3"/>
    <n v="209"/>
    <s v="Yes"/>
    <x v="0"/>
    <x v="1"/>
    <s v="No Error"/>
    <x v="1"/>
    <n v="0"/>
    <n v="0"/>
    <n v="0"/>
    <s v="Feature Navigation"/>
    <s v="Yes"/>
    <s v="Feature Navigation"/>
    <s v="Resolved"/>
    <n v="22"/>
    <s v="No drop-off"/>
    <n v="3"/>
    <n v="-25"/>
    <n v="0"/>
    <x v="1"/>
    <n v="1"/>
    <n v="0"/>
    <n v="0"/>
    <n v="1"/>
  </r>
  <r>
    <s v="NSF-000203"/>
    <s v="USR-00567"/>
    <s v="SES-2503-87364"/>
    <d v="2025-03-21T00:00:00"/>
    <s v="South East"/>
    <s v="Brighton"/>
    <x v="4"/>
    <s v="25-34"/>
    <s v="Female"/>
    <s v="Ios"/>
    <s v="Iphone"/>
    <s v="1-2 years"/>
    <s v="Free"/>
    <s v="Paid Social"/>
    <x v="1"/>
    <s v="Repeat Use"/>
    <s v="Simplified Onboarding"/>
    <s v="Control"/>
    <n v="4"/>
    <n v="4"/>
    <n v="72"/>
    <s v="No"/>
    <x v="1"/>
    <x v="1"/>
    <s v="No Error"/>
    <x v="1"/>
    <n v="0"/>
    <n v="0"/>
    <n v="0"/>
    <s v="No Support Contact"/>
    <s v="No"/>
    <s v="No Support Contact"/>
    <s v="Not Applicable"/>
    <m/>
    <s v="No drop-off"/>
    <n v="3"/>
    <n v="15"/>
    <n v="7"/>
    <x v="0"/>
    <n v="0"/>
    <n v="0"/>
    <n v="0"/>
    <n v="0"/>
  </r>
  <r>
    <s v="NSF-000453"/>
    <s v="USR-00836"/>
    <s v="SES-2505-51826"/>
    <d v="2025-05-03T00:00:00"/>
    <s v="East Midlands"/>
    <s v="Derby"/>
    <x v="0"/>
    <s v="25-34"/>
    <s v="Female"/>
    <s v="Android"/>
    <s v="Android Phone"/>
    <s v="&lt;3 months"/>
    <s v="Plus"/>
    <s v="Paid Social"/>
    <x v="2"/>
    <s v="Repeat Use"/>
    <s v="Simplified Onboarding"/>
    <s v="Control"/>
    <n v="5"/>
    <n v="4"/>
    <n v="203"/>
    <s v="Yes"/>
    <x v="1"/>
    <x v="0"/>
    <s v="Goal Setup Confusion"/>
    <x v="1"/>
    <n v="0"/>
    <n v="0"/>
    <n v="0"/>
    <s v="No Support Contact"/>
    <s v="No"/>
    <s v="No Support Contact"/>
    <s v="Not Applicable"/>
    <m/>
    <s v="Technical error"/>
    <n v="2"/>
    <n v="-12"/>
    <n v="38"/>
    <x v="0"/>
    <n v="0"/>
    <n v="0"/>
    <n v="1"/>
    <n v="0"/>
  </r>
  <r>
    <s v="NSF-000787"/>
    <s v="USR-00664"/>
    <s v="SES-2509-49686"/>
    <d v="2025-09-22T00:00:00"/>
    <s v="London"/>
    <s v="Hammersmith"/>
    <x v="0"/>
    <s v="25-34"/>
    <s v="Female"/>
    <s v="Android"/>
    <s v="Android Phone"/>
    <s v="2+ years"/>
    <s v="Free"/>
    <s v="Organic Search"/>
    <x v="7"/>
    <s v="Repeat Use"/>
    <s v="No Experiment"/>
    <s v="Control"/>
    <n v="4"/>
    <s v="4 steps"/>
    <n v="103"/>
    <s v="No"/>
    <x v="0"/>
    <x v="1"/>
    <s v="No Error"/>
    <x v="0"/>
    <n v="70.63"/>
    <n v="0.52"/>
    <n v="0"/>
    <s v="No Support Contact"/>
    <s v="No"/>
    <s v="No Support Contact"/>
    <s v="Not Applicable"/>
    <m/>
    <s v="No drop-off"/>
    <n v="3"/>
    <n v="34"/>
    <n v="18"/>
    <x v="1"/>
    <n v="1"/>
    <n v="1"/>
    <n v="0"/>
    <n v="1"/>
  </r>
  <r>
    <s v="NSF-000214"/>
    <s v="USR-00618"/>
    <s v="SES-2503-90682"/>
    <d v="2025-03-22T00:00:00"/>
    <s v="London"/>
    <s v="Croydon"/>
    <x v="1"/>
    <s v="18-24"/>
    <s v="Male"/>
    <s v="Android"/>
    <s v="Android Phone"/>
    <s v="2+ years"/>
    <s v="Pro"/>
    <s v="Referral"/>
    <x v="8"/>
    <s v="Repeat Use"/>
    <s v="New Cta Copy"/>
    <s v="Control"/>
    <n v="5"/>
    <s v="5 steps"/>
    <n v="126"/>
    <s v="No"/>
    <x v="1"/>
    <x v="1"/>
    <s v="No Error"/>
    <x v="1"/>
    <n v="0"/>
    <n v="0"/>
    <n v="0"/>
    <s v="Fees And Pricing"/>
    <s v="Yes"/>
    <s v="Fees And Pricing"/>
    <s v="Unresolved"/>
    <n v="11"/>
    <s v="No drop-off"/>
    <n v="3"/>
    <n v="46"/>
    <n v="27"/>
    <x v="0"/>
    <n v="0"/>
    <n v="0"/>
    <n v="0"/>
    <n v="0"/>
  </r>
  <r>
    <s v="NSF-001280"/>
    <s v="USR-00616"/>
    <s v="SES-2603-75487"/>
    <d v="2026-03-01T00:00:00"/>
    <s v="North East"/>
    <s v="Durham"/>
    <x v="0"/>
    <s v="35-44"/>
    <s v="Male"/>
    <s v="Android"/>
    <s v="Android Tablet"/>
    <s v="7-12 months"/>
    <s v="Free"/>
    <s v="Organic Search"/>
    <x v="3"/>
    <s v="First Use"/>
    <s v="New Cta Copy"/>
    <s v="Control"/>
    <n v="6"/>
    <n v="6"/>
    <n v="146"/>
    <s v="No"/>
    <x v="1"/>
    <x v="0"/>
    <s v="Friend Not Found"/>
    <x v="1"/>
    <n v="0"/>
    <n v="0"/>
    <n v="0"/>
    <s v="No Support Contact"/>
    <s v="No"/>
    <s v="No Support Contact"/>
    <s v="Not Applicable"/>
    <m/>
    <s v="No drop-off"/>
    <n v="3"/>
    <n v="-70"/>
    <n v="0"/>
    <x v="1"/>
    <n v="0"/>
    <n v="0"/>
    <n v="1"/>
    <n v="1"/>
  </r>
  <r>
    <s v="NSF-000393"/>
    <s v="USR-00529"/>
    <s v="SES-2505-22643"/>
    <d v="2025-05-01T00:00:00"/>
    <s v="North East"/>
    <s v="Middlesbrough"/>
    <x v="5"/>
    <s v="25-34"/>
    <s v="Female"/>
    <s v="Ios"/>
    <s v="Iphone"/>
    <s v="7-12 months"/>
    <s v="Free"/>
    <s v="Affiliate"/>
    <x v="7"/>
    <s v="Reactivated"/>
    <s v="Simplified Onboarding"/>
    <s v="Treatment"/>
    <n v="4"/>
    <n v="3"/>
    <n v="198"/>
    <s v="Yes"/>
    <x v="0"/>
    <x v="1"/>
    <s v="No Error"/>
    <x v="0"/>
    <n v="77.92"/>
    <n v="0.55000000000000004"/>
    <n v="0"/>
    <s v="No Support Contact"/>
    <s v="No"/>
    <s v="No Support Contact"/>
    <s v="Not Applicable"/>
    <m/>
    <s v="No drop-off"/>
    <n v="4"/>
    <n v="30"/>
    <n v="40"/>
    <x v="1"/>
    <n v="1"/>
    <n v="1"/>
    <n v="0"/>
    <n v="1"/>
  </r>
  <r>
    <s v="NSF-000159"/>
    <s v="USR-00430"/>
    <s v="SES-2502-52274"/>
    <d v="2025-02-26T00:00:00"/>
    <s v="North West"/>
    <s v="Preston"/>
    <x v="2"/>
    <s v="18-24"/>
    <s v="Female"/>
    <s v="Android"/>
    <s v="Android Phone"/>
    <s v="2+ years"/>
    <s v="Plus"/>
    <s v="Affiliate"/>
    <x v="1"/>
    <s v="Trial/Exploration"/>
    <s v="No Experiment"/>
    <s v="Control"/>
    <n v="4"/>
    <n v="4"/>
    <n v="123"/>
    <s v="No"/>
    <x v="1"/>
    <x v="1"/>
    <s v="No Error"/>
    <x v="1"/>
    <n v="0"/>
    <n v="0"/>
    <n v="0"/>
    <s v="Feature Navigation"/>
    <s v="Yes"/>
    <s v="Feature Navigation"/>
    <s v="Resolved"/>
    <n v="41"/>
    <s v="No drop-off"/>
    <n v="4"/>
    <n v="28"/>
    <n v="22"/>
    <x v="1"/>
    <n v="0"/>
    <n v="0"/>
    <n v="0"/>
    <n v="1"/>
  </r>
  <r>
    <s v="NSF-001163"/>
    <s v="USR-00292"/>
    <s v="SES-2602-75274"/>
    <d v="2026-02-02T00:00:00"/>
    <s v="East Midlands"/>
    <s v="Leicester"/>
    <x v="0"/>
    <s v="35-44"/>
    <s v="Male"/>
    <s v="Ios"/>
    <s v="Iphone"/>
    <s v="2+ years"/>
    <s v="Free"/>
    <s v="Paid Social"/>
    <x v="1"/>
    <s v="First Use"/>
    <s v="No Experiment"/>
    <s v="Control"/>
    <n v="4"/>
    <n v="4"/>
    <n v="84"/>
    <s v="Unknown"/>
    <x v="0"/>
    <x v="1"/>
    <s v="No Error"/>
    <x v="0"/>
    <n v="132.97"/>
    <n v="0.19"/>
    <n v="0"/>
    <s v="Feature Navigation"/>
    <s v="Yes"/>
    <s v="Feature Navigation"/>
    <s v="Resolved"/>
    <n v="40"/>
    <s v="No drop-off"/>
    <n v="5"/>
    <n v="-19"/>
    <n v="0"/>
    <x v="1"/>
    <n v="1"/>
    <n v="1"/>
    <n v="0"/>
    <n v="1"/>
  </r>
  <r>
    <s v="NSF-000300"/>
    <s v="USR-00297"/>
    <s v="SES-2504-41444"/>
    <d v="2025-04-21T00:00:00"/>
    <s v="South West"/>
    <s v="Bath"/>
    <x v="0"/>
    <s v="45-54"/>
    <s v="Female"/>
    <s v="Ios"/>
    <s v="Iphone"/>
    <s v="3-6 months"/>
    <s v="Free"/>
    <s v="App Store"/>
    <x v="10"/>
    <s v="Repeat Use"/>
    <s v="No Experiment"/>
    <s v="Control"/>
    <n v="9"/>
    <n v="9"/>
    <n v="175"/>
    <s v="No"/>
    <x v="0"/>
    <x v="1"/>
    <s v="No Error"/>
    <x v="0"/>
    <n v="0"/>
    <n v="0"/>
    <n v="0"/>
    <s v="No Support Contact"/>
    <s v="No"/>
    <s v="No Support Contact"/>
    <s v="Not Applicable"/>
    <m/>
    <s v="No drop-off"/>
    <n v="4"/>
    <n v="10"/>
    <n v="30"/>
    <x v="1"/>
    <n v="1"/>
    <n v="1"/>
    <n v="0"/>
    <n v="1"/>
  </r>
  <r>
    <s v="NSF-000694"/>
    <s v="USR-00549"/>
    <s v="SES-2508-86040"/>
    <d v="2025-08-14T00:00:00"/>
    <s v="Wales"/>
    <s v="Swansea"/>
    <x v="0"/>
    <s v="18-24"/>
    <s v="Female"/>
    <s v="Ios"/>
    <s v="Iphone"/>
    <s v="&lt;3 months"/>
    <s v="Plus"/>
    <s v="Paid Social"/>
    <x v="1"/>
    <s v="First Use"/>
    <s v="No Experiment"/>
    <s v="Control"/>
    <n v="4"/>
    <n v="4"/>
    <n v="121"/>
    <s v="No"/>
    <x v="0"/>
    <x v="1"/>
    <s v="No Error"/>
    <x v="0"/>
    <n v="115.14"/>
    <n v="0.17"/>
    <n v="0.17"/>
    <s v="No Support Contact"/>
    <s v="No"/>
    <s v="No Support Contact"/>
    <s v="Not Applicable"/>
    <m/>
    <s v="No drop-off"/>
    <n v="4"/>
    <n v="12"/>
    <n v="0"/>
    <x v="1"/>
    <n v="1"/>
    <n v="1"/>
    <n v="0"/>
    <n v="1"/>
  </r>
  <r>
    <s v="NSF-000627"/>
    <s v="USR-00256"/>
    <s v="SES-2507-74724"/>
    <d v="2025-07-27T00:00:00"/>
    <s v="Northern Ireland"/>
    <s v="Derry"/>
    <x v="1"/>
    <s v="25-34"/>
    <s v="Male"/>
    <s v="Android"/>
    <s v="Android Phone"/>
    <s v="7-12 months"/>
    <s v="Free"/>
    <s v="Paid Social"/>
    <x v="4"/>
    <s v="Repeat Use"/>
    <s v="Progress Indicator"/>
    <s v="Treatment"/>
    <n v="6"/>
    <n v="4"/>
    <n v="388"/>
    <s v="Yes"/>
    <x v="1"/>
    <x v="0"/>
    <s v="Insight Unclear"/>
    <x v="1"/>
    <n v="0"/>
    <n v="0"/>
    <n v="0"/>
    <s v="No Support Contact"/>
    <s v="No"/>
    <s v="No Support Contact"/>
    <s v="Not Applicable"/>
    <m/>
    <s v="Instructions unclear"/>
    <n v="1"/>
    <n v="-6"/>
    <n v="24"/>
    <x v="0"/>
    <n v="0"/>
    <n v="0"/>
    <n v="1"/>
    <n v="0"/>
  </r>
  <r>
    <s v="NSF-000291"/>
    <s v="USR-00288"/>
    <s v="SES-2503-89537"/>
    <d v="2025-03-04T00:00:00"/>
    <s v="South East"/>
    <s v="Guildford"/>
    <x v="2"/>
    <s v="18-24"/>
    <s v="Female"/>
    <s v="Android"/>
    <s v="Android Phone"/>
    <s v="7-12 months"/>
    <s v="Free"/>
    <s v="App Store"/>
    <x v="8"/>
    <s v="Repeat Use"/>
    <s v="New Cta Copy"/>
    <s v="Control"/>
    <n v="5"/>
    <n v="5"/>
    <n v="93"/>
    <s v="No"/>
    <x v="0"/>
    <x v="1"/>
    <s v="No Error"/>
    <x v="0"/>
    <n v="0"/>
    <n v="0"/>
    <n v="0"/>
    <s v="No Support Contact"/>
    <s v="No"/>
    <s v="No Support Contact"/>
    <s v="Not Applicable"/>
    <m/>
    <s v="No drop-off"/>
    <n v="3"/>
    <n v="59"/>
    <n v="18"/>
    <x v="1"/>
    <n v="1"/>
    <n v="1"/>
    <n v="0"/>
    <n v="1"/>
  </r>
  <r>
    <s v="NSF-000880"/>
    <s v="USR-00812"/>
    <s v="SES-2510-22937"/>
    <d v="2025-10-22T00:00:00"/>
    <s v="Northern Ireland"/>
    <s v="Belfast"/>
    <x v="3"/>
    <s v="18-24"/>
    <s v="Male"/>
    <s v="Android"/>
    <s v="Android Phone"/>
    <s v="1-2 years"/>
    <s v="Free"/>
    <s v="Organic Search"/>
    <x v="8"/>
    <s v="Reactivated"/>
    <s v="No Experiment"/>
    <s v="Control"/>
    <n v="5"/>
    <n v="5"/>
    <n v="155"/>
    <s v="No"/>
    <x v="0"/>
    <x v="1"/>
    <s v="No Error"/>
    <x v="0"/>
    <n v="31.13"/>
    <n v="0"/>
    <n v="0"/>
    <s v="No Support Contact"/>
    <s v="No"/>
    <s v="No Support Contact"/>
    <s v="Not Applicable"/>
    <m/>
    <s v="No drop-off"/>
    <n v="5"/>
    <n v="88"/>
    <n v="25"/>
    <x v="1"/>
    <n v="1"/>
    <n v="1"/>
    <n v="0"/>
    <n v="1"/>
  </r>
  <r>
    <s v="NSF-001285"/>
    <s v="USR-00597"/>
    <s v="SES-2603-75317"/>
    <d v="2026-03-03T00:00:00"/>
    <s v="Yorkshire &amp; Humber"/>
    <s v="SHEFFIELD"/>
    <x v="4"/>
    <s v="35-44"/>
    <s v="Female"/>
    <s v="Android"/>
    <s v="Android Phone"/>
    <s v="2+ years"/>
    <s v="Free"/>
    <s v="Paid Social"/>
    <x v="7"/>
    <s v="Trial/Exploration"/>
    <s v="No Experiment"/>
    <s v="Control"/>
    <n v="4"/>
    <n v="2"/>
    <n v="257"/>
    <s v="Yes"/>
    <x v="1"/>
    <x v="0"/>
    <s v="Merchant Declined Card"/>
    <x v="1"/>
    <n v="0"/>
    <n v="0"/>
    <n v="0"/>
    <s v="No Support Contact"/>
    <s v="No"/>
    <s v="No Support Contact"/>
    <s v="Not Applicable"/>
    <m/>
    <s v="Technical error"/>
    <n v="5"/>
    <n v="-44"/>
    <n v="40"/>
    <x v="0"/>
    <n v="0"/>
    <n v="0"/>
    <n v="1"/>
    <n v="0"/>
  </r>
  <r>
    <s v="NSF-001375"/>
    <s v="USR-00482"/>
    <s v="SES-2605-32163"/>
    <d v="2026-05-26T00:00:00"/>
    <s v="South West"/>
    <s v="Bristol"/>
    <x v="0"/>
    <s v="55-64"/>
    <s v="Male"/>
    <s v="Ios"/>
    <s v="Iphone"/>
    <s v="3-6 months"/>
    <s v="Free"/>
    <s v="Employer Partnership"/>
    <x v="10"/>
    <s v="Repeat Use"/>
    <s v="No Experiment"/>
    <s v="Control"/>
    <n v="9"/>
    <n v="9"/>
    <n v="360"/>
    <s v="No"/>
    <x v="1"/>
    <x v="0"/>
    <s v="Terms Not Understood"/>
    <x v="1"/>
    <n v="0"/>
    <n v="0"/>
    <n v="0"/>
    <s v="No Support Contact"/>
    <s v="No"/>
    <s v="No Support Contact"/>
    <s v="Not Applicable"/>
    <m/>
    <s v="Verification took too long"/>
    <n v="3"/>
    <n v="-55"/>
    <n v="18"/>
    <x v="0"/>
    <n v="0"/>
    <n v="0"/>
    <n v="1"/>
    <n v="0"/>
  </r>
  <r>
    <s v="NSF-001222"/>
    <s v="USR-00694"/>
    <s v="SES-2603-20212"/>
    <d v="2026-03-02T00:00:00"/>
    <s v="South West"/>
    <s v="Plymouth"/>
    <x v="2"/>
    <s v="25-34"/>
    <s v="Male"/>
    <s v="Ios"/>
    <s v="Iphone"/>
    <s v="2+ years"/>
    <s v="Free"/>
    <s v="Paid Social"/>
    <x v="10"/>
    <s v="Trial/Exploration"/>
    <s v="Progress Indicator"/>
    <s v="Control"/>
    <n v="9"/>
    <n v="7"/>
    <n v="557"/>
    <s v="Yes"/>
    <x v="1"/>
    <x v="0"/>
    <s v="Income Verification Failed"/>
    <x v="1"/>
    <n v="0"/>
    <n v="0"/>
    <n v="0"/>
    <s v="No Support Contact"/>
    <s v="No"/>
    <s v="No Support Contact"/>
    <s v="Not Applicable"/>
    <m/>
    <s v="Privacy concern"/>
    <n v="1"/>
    <n v="-80"/>
    <n v="1"/>
    <x v="1"/>
    <n v="0"/>
    <n v="0"/>
    <n v="1"/>
    <n v="1"/>
  </r>
  <r>
    <s v="NSF-001273"/>
    <s v="USR-00468"/>
    <s v="SES-2603-84802"/>
    <d v="2026-03-13T00:00:00"/>
    <s v="South West"/>
    <s v="Exeter"/>
    <x v="7"/>
    <s v="35-44"/>
    <s v="Male"/>
    <s v="Android"/>
    <s v="Android Phone"/>
    <s v="1-2 years"/>
    <s v="Free"/>
    <s v="Direct"/>
    <x v="1"/>
    <s v="Repeat Use"/>
    <s v="Simplified Onboarding"/>
    <s v="Treatment"/>
    <n v="4"/>
    <n v="2"/>
    <n v="199"/>
    <s v="Yes"/>
    <x v="0"/>
    <x v="0"/>
    <s v="Recipient Validation Error"/>
    <x v="0"/>
    <n v="171.32"/>
    <n v="0.17"/>
    <n v="0"/>
    <s v="Account Verification"/>
    <s v="Yes"/>
    <s v="Account Verification"/>
    <s v="Resolved"/>
    <n v="62"/>
    <s v="No drop-off"/>
    <n v="3"/>
    <n v="-18"/>
    <n v="24"/>
    <x v="0"/>
    <n v="1"/>
    <n v="1"/>
    <n v="1"/>
    <n v="0"/>
  </r>
  <r>
    <s v="NSF-001417"/>
    <s v="USR-00682"/>
    <s v="SES-2606-11848"/>
    <d v="2026-06-20T00:00:00"/>
    <s v="South West"/>
    <s v="Exeter"/>
    <x v="1"/>
    <s v="45-54"/>
    <s v="Male"/>
    <s v="Ios"/>
    <s v="Iphone"/>
    <s v="1-2 years"/>
    <s v="Free"/>
    <s v="Referral"/>
    <x v="0"/>
    <s v="First Use"/>
    <s v="No Experiment"/>
    <s v="Control"/>
    <n v="7"/>
    <s v="7 steps"/>
    <n v="231"/>
    <s v="No"/>
    <x v="0"/>
    <x v="0"/>
    <s v="Category Setup Confusion"/>
    <x v="0"/>
    <n v="0"/>
    <n v="0"/>
    <n v="0"/>
    <s v="No Support Contact"/>
    <s v="No"/>
    <s v="No Support Contact"/>
    <s v="Not Applicable"/>
    <m/>
    <s v="No drop-off"/>
    <n v="4"/>
    <n v="-25"/>
    <n v="0"/>
    <x v="1"/>
    <n v="1"/>
    <n v="1"/>
    <n v="1"/>
    <n v="1"/>
  </r>
  <r>
    <s v="NSF-000104"/>
    <s v="USR-00407"/>
    <s v="SES-2502-10368"/>
    <d v="2025-02-23T00:00:00"/>
    <s v="Scotland"/>
    <s v="Aberdeen"/>
    <x v="5"/>
    <s v="35-44"/>
    <s v="Prefer Not To Say"/>
    <s v="Web"/>
    <s v="Mobile Browser"/>
    <s v="1-2 years"/>
    <s v="Free"/>
    <s v="Direct"/>
    <x v="9"/>
    <s v="First Use"/>
    <s v="Simplified Onboarding"/>
    <s v="Control"/>
    <n v="5"/>
    <n v="5"/>
    <n v="91"/>
    <s v="No"/>
    <x v="0"/>
    <x v="1"/>
    <s v="No Error"/>
    <x v="0"/>
    <n v="76.13"/>
    <n v="0"/>
    <n v="0"/>
    <s v="No Support Contact"/>
    <s v="No"/>
    <s v="No Support Contact"/>
    <s v="Not Applicable"/>
    <m/>
    <s v="No drop-off"/>
    <n v="5"/>
    <n v="43"/>
    <n v="0"/>
    <x v="1"/>
    <n v="1"/>
    <n v="1"/>
    <n v="0"/>
    <n v="1"/>
  </r>
  <r>
    <s v="NSF-000703"/>
    <s v="USR-00286"/>
    <s v="SES-2508-54101"/>
    <d v="2025-08-20T00:00:00"/>
    <s v="North East"/>
    <s v="Durham"/>
    <x v="2"/>
    <s v="25-34"/>
    <s v="Male"/>
    <s v="Android"/>
    <s v="Android Phone"/>
    <s v="7-12 months"/>
    <s v="Premium"/>
    <s v="Paid Social"/>
    <x v="10"/>
    <s v="Repeat Use"/>
    <s v="New Cta Copy"/>
    <s v="Treatment"/>
    <n v="9"/>
    <n v="6"/>
    <n v="344"/>
    <s v="Yes"/>
    <x v="0"/>
    <x v="1"/>
    <s v="No Error"/>
    <x v="0"/>
    <n v="128.66"/>
    <n v="3.18"/>
    <n v="0.37"/>
    <s v="No Support Contact"/>
    <s v="No"/>
    <s v="No Support Contact"/>
    <s v="Not Applicable"/>
    <m/>
    <s v="No drop-off"/>
    <n v="3"/>
    <n v="-15"/>
    <n v="1"/>
    <x v="1"/>
    <n v="1"/>
    <n v="1"/>
    <n v="0"/>
    <n v="1"/>
  </r>
  <r>
    <s v="NSF-000219"/>
    <s v="USR-00110"/>
    <s v="SES-2503-19776"/>
    <d v="2025-03-22T00:00:00"/>
    <s v="North West"/>
    <s v="Manchester"/>
    <x v="0"/>
    <s v="35-44"/>
    <s v="Female"/>
    <s v="Ios"/>
    <s v="Iphone"/>
    <s v="1-2 years"/>
    <s v="Plus"/>
    <s v="Referral"/>
    <x v="8"/>
    <s v="Reactivated"/>
    <s v="No Experiment"/>
    <s v="Control"/>
    <n v="5"/>
    <n v="4"/>
    <n v="163"/>
    <s v="Yes"/>
    <x v="1"/>
    <x v="1"/>
    <s v="No Error"/>
    <x v="0"/>
    <n v="94.05"/>
    <n v="0"/>
    <n v="0.17"/>
    <s v="N/A"/>
    <s v="No"/>
    <s v="N/A"/>
    <s v="Not Applicable"/>
    <m/>
    <s v="Too many steps"/>
    <n v="3"/>
    <n v="32"/>
    <n v="25"/>
    <x v="0"/>
    <n v="0"/>
    <n v="1"/>
    <n v="0"/>
    <n v="0"/>
  </r>
  <r>
    <s v="NSF-000706"/>
    <s v="USR-00356"/>
    <s v="SES-2508-90443"/>
    <d v="2025-08-31T00:00:00"/>
    <s v="East Midlands"/>
    <s v="Leicester"/>
    <x v="7"/>
    <s v="18-24"/>
    <s v="Male"/>
    <s v="Ios"/>
    <s v="Iphone"/>
    <s v="1-2 years"/>
    <s v="Free"/>
    <s v="App Store"/>
    <x v="4"/>
    <s v="Trial/Exploration"/>
    <s v="Contextual Help"/>
    <s v="Treatment"/>
    <n v="6"/>
    <n v="6"/>
    <n v="111"/>
    <s v="No"/>
    <x v="0"/>
    <x v="1"/>
    <s v="No Error"/>
    <x v="0"/>
    <n v="0"/>
    <n v="0"/>
    <n v="0"/>
    <s v="No Support Contact"/>
    <s v="No"/>
    <s v="No Support Contact"/>
    <s v="Not Applicable"/>
    <m/>
    <s v="No drop-off"/>
    <n v="4"/>
    <n v="23"/>
    <n v="1"/>
    <x v="0"/>
    <n v="1"/>
    <n v="1"/>
    <n v="0"/>
    <n v="0"/>
  </r>
  <r>
    <s v="NSF-000950"/>
    <s v="USR-00127"/>
    <s v="SES-2511-31546"/>
    <d v="2025-11-06T00:00:00"/>
    <s v="Yorkshire &amp; Humber"/>
    <s v="Sheffield"/>
    <x v="0"/>
    <s v="25-34"/>
    <s v="Male"/>
    <s v="Ios"/>
    <s v="Ipad"/>
    <s v="&lt;3 months"/>
    <s v="Plus"/>
    <s v="Paid Social"/>
    <x v="5"/>
    <s v="Repeat Use"/>
    <s v="No Experiment"/>
    <s v="Control"/>
    <n v="8"/>
    <n v="8"/>
    <n v="174"/>
    <s v="No"/>
    <x v="1"/>
    <x v="1"/>
    <s v="No Error"/>
    <x v="1"/>
    <n v="0"/>
    <n v="0"/>
    <n v="0"/>
    <s v="No Support Contact"/>
    <s v="No"/>
    <s v="No Support Contact"/>
    <s v="Not Applicable"/>
    <m/>
    <s v="Changed mind"/>
    <n v="3"/>
    <n v="14"/>
    <n v="36"/>
    <x v="1"/>
    <n v="0"/>
    <n v="0"/>
    <n v="0"/>
    <n v="1"/>
  </r>
  <r>
    <s v="NSF-001343"/>
    <s v="USR-00147"/>
    <s v="SES-2604-68777"/>
    <d v="2026-04-07T00:00:00"/>
    <s v="Yorkshire &amp; Humber"/>
    <s v="York"/>
    <x v="0"/>
    <s v="25-34"/>
    <s v="Female"/>
    <s v="Web"/>
    <s v="Desktop"/>
    <s v="1-2 years"/>
    <s v="Free"/>
    <s v="Organic Search"/>
    <x v="4"/>
    <s v="Repeat Use"/>
    <s v="Simplified Onboarding"/>
    <s v="Control"/>
    <n v="6"/>
    <n v="4"/>
    <n v="284"/>
    <s v="Yes"/>
    <x v="1"/>
    <x v="1"/>
    <s v="No Error"/>
    <x v="1"/>
    <n v="0"/>
    <n v="0"/>
    <n v="0"/>
    <s v="No Support Contact"/>
    <s v="No"/>
    <s v="No Support Contact"/>
    <s v="Not Applicable"/>
    <m/>
    <s v="Instructions unclear"/>
    <n v="3"/>
    <n v="41"/>
    <n v="46"/>
    <x v="2"/>
    <n v="0"/>
    <n v="0"/>
    <n v="0"/>
    <n v="0"/>
  </r>
  <r>
    <s v="NSF-000918"/>
    <s v="USR-00495"/>
    <s v="SES-2511-38186"/>
    <d v="2025-11-28T00:00:00"/>
    <s v="Wales"/>
    <s v="Cardiff"/>
    <x v="5"/>
    <s v="18-24"/>
    <s v="Male"/>
    <s v="Web"/>
    <s v="Desktop"/>
    <s v="1-2 years"/>
    <s v="Free"/>
    <s v="Referral"/>
    <x v="3"/>
    <s v="Repeat Use"/>
    <s v="No Experiment"/>
    <s v="Control"/>
    <n v="6"/>
    <n v="6"/>
    <n v="190"/>
    <s v="No"/>
    <x v="0"/>
    <x v="1"/>
    <s v="No Error"/>
    <x v="0"/>
    <n v="0"/>
    <n v="0.11"/>
    <n v="0"/>
    <s v="Feature Navigation"/>
    <s v="Yes"/>
    <s v="Feature Navigation"/>
    <s v="Resolved"/>
    <n v="2"/>
    <s v="No drop-off"/>
    <n v="4"/>
    <n v="21"/>
    <n v="34"/>
    <x v="1"/>
    <n v="1"/>
    <n v="1"/>
    <n v="0"/>
    <n v="1"/>
  </r>
  <r>
    <s v="NSF-001061"/>
    <s v="USR-00732"/>
    <s v="SES-2512-80516"/>
    <d v="2025-12-28T00:00:00"/>
    <s v="East England"/>
    <s v="Luton"/>
    <x v="4"/>
    <s v="35-44"/>
    <s v="Male"/>
    <s v="Web"/>
    <s v="Mobile Browser"/>
    <s v="7-12 months"/>
    <s v="Free"/>
    <s v="Referral"/>
    <x v="0"/>
    <s v="First Use"/>
    <s v="New Cta Copy"/>
    <s v="Treatment"/>
    <n v="7"/>
    <n v="7"/>
    <n v="213"/>
    <s v="No"/>
    <x v="0"/>
    <x v="1"/>
    <s v="No Error"/>
    <x v="1"/>
    <n v="0"/>
    <n v="0"/>
    <n v="0"/>
    <s v="No Support Contact"/>
    <s v="No"/>
    <s v="No Support Contact"/>
    <s v="Not Applicable"/>
    <m/>
    <s v="No drop-off"/>
    <n v="5"/>
    <n v="-26"/>
    <s v="0 days"/>
    <x v="1"/>
    <n v="1"/>
    <n v="0"/>
    <n v="0"/>
    <n v="1"/>
  </r>
  <r>
    <s v="NSF-000152"/>
    <s v="USR-00825"/>
    <s v="SES-2502-83588"/>
    <d v="2025-02-23T00:00:00"/>
    <s v="East England"/>
    <s v="Cambridge"/>
    <x v="4"/>
    <s v="25-34"/>
    <s v="Female"/>
    <s v="Ios"/>
    <s v="Iphone"/>
    <s v="7-12 months"/>
    <s v="Plus"/>
    <s v="Direct"/>
    <x v="7"/>
    <s v="First Use"/>
    <s v="Fee Transparency Panel"/>
    <s v="Control"/>
    <n v="4"/>
    <s v="N/A"/>
    <n v="113"/>
    <s v="No"/>
    <x v="1"/>
    <x v="1"/>
    <s v="No Error"/>
    <x v="0"/>
    <n v="87.69"/>
    <n v="0.53"/>
    <n v="0.17"/>
    <s v="No Support Contact"/>
    <s v="No"/>
    <s v="No Support Contact"/>
    <s v="N/A"/>
    <m/>
    <s v="No drop-off"/>
    <n v="3"/>
    <n v="57"/>
    <n v="0"/>
    <x v="0"/>
    <n v="0"/>
    <n v="1"/>
    <n v="0"/>
    <n v="0"/>
  </r>
  <r>
    <s v="NSF-000582"/>
    <s v="USR-00263"/>
    <s v="SES-2507-55783"/>
    <d v="2025-07-14T00:00:00"/>
    <s v="West Midlands"/>
    <s v="Solihull"/>
    <x v="0"/>
    <s v="18-24"/>
    <s v="Female"/>
    <s v="Android"/>
    <s v="Android Phone"/>
    <s v="7-12 months"/>
    <s v="Free"/>
    <s v="Paid Social"/>
    <x v="9"/>
    <s v="First Use"/>
    <s v="No Experiment"/>
    <s v="Control"/>
    <s v="5 steps"/>
    <s v="5 steps"/>
    <n v="152"/>
    <s v="No"/>
    <x v="0"/>
    <x v="1"/>
    <s v="No Error"/>
    <x v="0"/>
    <n v="92.39"/>
    <n v="0"/>
    <n v="0"/>
    <s v="No Support Contact"/>
    <s v="No"/>
    <s v="No Support Contact"/>
    <s v="Not Applicable"/>
    <m/>
    <s v="No drop-off"/>
    <n v="4"/>
    <n v="49"/>
    <n v="0"/>
    <x v="0"/>
    <n v="1"/>
    <n v="1"/>
    <n v="0"/>
    <n v="0"/>
  </r>
  <r>
    <s v="NSF-001400"/>
    <s v="USR-00750"/>
    <s v="SES-2605-25597"/>
    <d v="2026-05-03T00:00:00"/>
    <s v="Wales"/>
    <s v="Wrexham"/>
    <x v="0"/>
    <s v="25-34"/>
    <s v="Male"/>
    <s v="Ios"/>
    <s v="Iphone"/>
    <s v="&lt;3 months"/>
    <s v="Free"/>
    <s v="Paid Search"/>
    <x v="9"/>
    <s v="Reactivated"/>
    <s v="New Cta Copy"/>
    <s v="Treatment"/>
    <s v="5 steps"/>
    <n v="5"/>
    <n v="148"/>
    <s v="No"/>
    <x v="0"/>
    <x v="1"/>
    <s v="No Error"/>
    <x v="0"/>
    <n v="83.25"/>
    <n v="0"/>
    <n v="0"/>
    <s v="No Support Contact"/>
    <s v="No"/>
    <s v="No Support Contact"/>
    <s v="Not Applicable"/>
    <m/>
    <s v="No drop-off"/>
    <n v="4"/>
    <n v="19"/>
    <n v="60"/>
    <x v="1"/>
    <n v="1"/>
    <n v="1"/>
    <n v="0"/>
    <n v="1"/>
  </r>
  <r>
    <s v="NSF-000827"/>
    <s v="USR-00485"/>
    <s v="SES-2509-98163"/>
    <d v="2025-09-05T00:00:00"/>
    <s v="Northern Ireland"/>
    <s v="Belfast"/>
    <x v="2"/>
    <s v="55-64"/>
    <s v="Male"/>
    <s v="Android"/>
    <s v="Android Phone"/>
    <s v="&lt;3 months"/>
    <s v="Plus"/>
    <s v="Organic Search"/>
    <x v="10"/>
    <s v="First Use"/>
    <s v="No Experiment"/>
    <s v="Control"/>
    <n v="9"/>
    <n v="9"/>
    <n v="264"/>
    <s v="No"/>
    <x v="1"/>
    <x v="1"/>
    <s v="No Error"/>
    <x v="1"/>
    <n v="0"/>
    <n v="0"/>
    <n v="0"/>
    <s v="Feature Navigation"/>
    <s v="Yes"/>
    <s v="Feature Navigation"/>
    <s v="Resolved"/>
    <n v="40"/>
    <s v="No drop-off"/>
    <n v="2"/>
    <n v="-18"/>
    <n v="0"/>
    <x v="1"/>
    <n v="0"/>
    <n v="0"/>
    <n v="0"/>
    <n v="1"/>
  </r>
  <r>
    <s v="NSF-000672"/>
    <s v="USR-00437"/>
    <s v="SES-2508-59611"/>
    <d v="2025-08-16T00:00:00"/>
    <s v="North East"/>
    <s v="MIDDLESBROUGH"/>
    <x v="5"/>
    <s v="35-44"/>
    <s v="Male"/>
    <s v="Ios"/>
    <s v="Iphone"/>
    <s v="3-6 months"/>
    <s v="Premium"/>
    <s v="Paid Social"/>
    <x v="1"/>
    <s v="Repeat Use"/>
    <s v="No Experiment"/>
    <s v="Control"/>
    <n v="4"/>
    <n v="4"/>
    <n v="110"/>
    <s v="No"/>
    <x v="0"/>
    <x v="1"/>
    <s v="No Error"/>
    <x v="0"/>
    <n v="171.36"/>
    <n v="0.18"/>
    <n v="0.37"/>
    <s v="No Support Contact"/>
    <s v="No"/>
    <s v="No Support Contact"/>
    <s v="Not Applicable"/>
    <m/>
    <s v="No drop-off"/>
    <n v="4"/>
    <n v="50"/>
    <n v="40"/>
    <x v="1"/>
    <n v="1"/>
    <n v="1"/>
    <n v="0"/>
    <n v="1"/>
  </r>
  <r>
    <s v="NSF-000369"/>
    <s v="USR-00638"/>
    <s v="SES-2504-97695"/>
    <d v="2025-04-10T00:00:00"/>
    <s v="Scotland"/>
    <s v="Glasgow"/>
    <x v="2"/>
    <s v="25-34"/>
    <s v="Male"/>
    <s v="Ios"/>
    <s v="Iphone"/>
    <s v="1-2 years"/>
    <s v="Plus"/>
    <s v="Direct"/>
    <x v="10"/>
    <s v="First Use"/>
    <s v="Progress Indicator"/>
    <s v="Treatment"/>
    <n v="9"/>
    <n v="9"/>
    <n v="175"/>
    <s v="No"/>
    <x v="0"/>
    <x v="1"/>
    <s v="No Error"/>
    <x v="0"/>
    <n v="218.44"/>
    <n v="3.09"/>
    <n v="0.17"/>
    <s v="No Support Contact"/>
    <s v="No"/>
    <s v="No Support Contact"/>
    <s v="Not Applicable"/>
    <m/>
    <s v="No drop-off"/>
    <n v="4"/>
    <n v="-24"/>
    <n v="0"/>
    <x v="1"/>
    <n v="1"/>
    <n v="1"/>
    <n v="0"/>
    <n v="1"/>
  </r>
  <r>
    <s v="NSF-001432"/>
    <s v="USR-00541"/>
    <s v="SES-2606-79755"/>
    <d v="2026-06-26T00:00:00"/>
    <s v="North West"/>
    <s v="Manchester"/>
    <x v="2"/>
    <s v="25-34"/>
    <s v="Male"/>
    <s v="Android"/>
    <s v="Android Phone"/>
    <s v="1-2 years"/>
    <s v="Plus"/>
    <s v="Referral"/>
    <x v="1"/>
    <s v="Reactivated"/>
    <s v="No Experiment"/>
    <s v="Control"/>
    <n v="4"/>
    <n v="4"/>
    <n v="86"/>
    <s v="No"/>
    <x v="1"/>
    <x v="0"/>
    <s v="Bank Connection Failed"/>
    <x v="1"/>
    <n v="0"/>
    <n v="0"/>
    <n v="0"/>
    <s v="Account Verification"/>
    <s v="Yes"/>
    <s v="Account Verification"/>
    <s v="Resolved"/>
    <n v="30"/>
    <s v="Technical error"/>
    <n v="4"/>
    <n v="26"/>
    <n v="50"/>
    <x v="1"/>
    <n v="0"/>
    <n v="0"/>
    <n v="1"/>
    <n v="1"/>
  </r>
  <r>
    <s v="NSF-000553"/>
    <s v="USR-00017"/>
    <s v="SES-2506-71554"/>
    <d v="2025-06-03T00:00:00"/>
    <s v="East England"/>
    <s v="Cambridge"/>
    <x v="5"/>
    <s v="45-54"/>
    <s v="Male"/>
    <s v="Ios"/>
    <s v="Iphone"/>
    <s v="1-2 years"/>
    <s v="Plus"/>
    <s v="Organic Search"/>
    <x v="10"/>
    <s v="Repeat Use"/>
    <s v="Progress Indicator"/>
    <s v="Control"/>
    <n v="9"/>
    <n v="5"/>
    <n v="385"/>
    <s v="Yes"/>
    <x v="0"/>
    <x v="0"/>
    <s v="Terms Not Understood"/>
    <x v="1"/>
    <n v="0"/>
    <n v="0"/>
    <n v="0"/>
    <s v="Transaction Failure"/>
    <s v="Yes"/>
    <s v="Transaction Failure"/>
    <s v="Resolved"/>
    <n v="43"/>
    <s v="Changed mind"/>
    <n v="2"/>
    <n v="-23"/>
    <n v="1"/>
    <x v="1"/>
    <n v="1"/>
    <n v="0"/>
    <n v="1"/>
    <n v="1"/>
  </r>
  <r>
    <s v="NSF-000756"/>
    <s v="USR-00424"/>
    <s v="SES-2509-52217"/>
    <d v="2025-09-01T00:00:00"/>
    <s v="West Midlands"/>
    <s v="Solihull"/>
    <x v="2"/>
    <s v="55-64"/>
    <s v="Male"/>
    <s v="Ios"/>
    <s v="Iphone"/>
    <s v="3-6 months"/>
    <s v="Free"/>
    <s v="Affiliate"/>
    <x v="7"/>
    <s v="Trial/Exploration"/>
    <s v="New Cta Copy"/>
    <s v="Treatment"/>
    <n v="4"/>
    <s v="2 steps"/>
    <n v="188"/>
    <s v="Yes"/>
    <x v="0"/>
    <x v="1"/>
    <s v="No Error"/>
    <x v="0"/>
    <n v="38.86"/>
    <n v="0.54"/>
    <n v="0"/>
    <s v="No Support Contact"/>
    <s v="No"/>
    <s v="No Support Contact"/>
    <s v="Not Applicable"/>
    <m/>
    <s v="No drop-off"/>
    <n v="4"/>
    <n v="-38"/>
    <n v="43"/>
    <x v="1"/>
    <n v="1"/>
    <n v="1"/>
    <n v="0"/>
    <n v="1"/>
  </r>
  <r>
    <s v="NSF-001407"/>
    <s v="USR-00184"/>
    <s v="SES-2605-21746"/>
    <d v="2026-05-30T00:00:00"/>
    <s v="Scotland"/>
    <s v="Aberdeen"/>
    <x v="1"/>
    <s v="35-44"/>
    <s v="Female"/>
    <s v="Ios"/>
    <s v="Iphone"/>
    <s v="1-2 years"/>
    <s v="Premium"/>
    <s v="Organic Search"/>
    <x v="8"/>
    <s v="Repeat Use"/>
    <s v="Fee Transparency Panel"/>
    <s v="Treatment"/>
    <n v="5"/>
    <n v="5"/>
    <n v="116"/>
    <s v="No"/>
    <x v="1"/>
    <x v="1"/>
    <s v="No Error"/>
    <x v="1"/>
    <n v="0"/>
    <n v="0"/>
    <n v="0"/>
    <s v="No Support Contact"/>
    <s v="No"/>
    <s v="No Support Contact"/>
    <s v="Not Applicable"/>
    <m/>
    <s v="No drop-off"/>
    <n v="4"/>
    <n v="40"/>
    <n v="29"/>
    <x v="1"/>
    <n v="0"/>
    <n v="0"/>
    <n v="0"/>
    <n v="1"/>
  </r>
  <r>
    <s v="NSF-000344"/>
    <s v="USR-00054"/>
    <s v="SES-2504-22489"/>
    <d v="2025-04-13T00:00:00"/>
    <s v="North West"/>
    <s v="Chester"/>
    <x v="0"/>
    <s v="35-44"/>
    <s v="Female"/>
    <s v="Android"/>
    <s v="Android Phone"/>
    <s v="&lt;3 months"/>
    <s v="Free"/>
    <s v="Paid Search"/>
    <x v="8"/>
    <s v="Reactivated"/>
    <s v="No Experiment"/>
    <s v="Control"/>
    <n v="5"/>
    <s v="5 steps"/>
    <n v="115"/>
    <s v="No"/>
    <x v="0"/>
    <x v="1"/>
    <s v="No Error"/>
    <x v="0"/>
    <n v="61.77"/>
    <n v="0"/>
    <n v="0"/>
    <s v="Feature Navigation"/>
    <s v="Yes"/>
    <s v="Feature Navigation"/>
    <s v="Resolved"/>
    <n v="27"/>
    <s v="No drop-off"/>
    <n v="4"/>
    <n v="15"/>
    <n v="22"/>
    <x v="1"/>
    <n v="1"/>
    <n v="1"/>
    <n v="0"/>
    <n v="1"/>
  </r>
  <r>
    <s v="NSF-000385"/>
    <s v="USR-00471"/>
    <s v="SES-2504-34185"/>
    <d v="2025-04-02T00:00:00"/>
    <s v="Scotland"/>
    <s v="Glasgow"/>
    <x v="0"/>
    <s v="35-44"/>
    <s v="Female"/>
    <s v="Ios"/>
    <s v="Iphone"/>
    <s v="3-6 months"/>
    <s v="Free"/>
    <s v="Employer Partnership"/>
    <x v="3"/>
    <s v="Repeat Use"/>
    <s v="No Experiment"/>
    <s v="Control"/>
    <n v="6"/>
    <n v="6"/>
    <n v="128"/>
    <s v="No"/>
    <x v="1"/>
    <x v="1"/>
    <s v="No Error"/>
    <x v="0"/>
    <n v="0"/>
    <n v="0.11"/>
    <n v="0"/>
    <s v="No Support Contact"/>
    <s v="No"/>
    <s v="No Support Contact"/>
    <s v="Not Applicable"/>
    <m/>
    <s v="No drop-off"/>
    <n v="3"/>
    <n v="20"/>
    <n v="36"/>
    <x v="1"/>
    <n v="0"/>
    <n v="1"/>
    <n v="0"/>
    <n v="1"/>
  </r>
  <r>
    <s v="NSF-000768"/>
    <s v="USR-00279"/>
    <s v="SES-2509-75680"/>
    <d v="2025-09-05T00:00:00"/>
    <s v="North East"/>
    <s v="Middlesbrough"/>
    <x v="0"/>
    <s v="25-34"/>
    <s v="Female"/>
    <s v="Web"/>
    <s v="Desktop"/>
    <s v="2+ years"/>
    <s v="Plus"/>
    <s v="Organic Search"/>
    <x v="7"/>
    <s v="Repeat Use"/>
    <s v="Simplified Onboarding"/>
    <s v="Control"/>
    <n v="4"/>
    <s v="4 steps"/>
    <n v="123"/>
    <s v="No"/>
    <x v="0"/>
    <x v="1"/>
    <s v="No Error"/>
    <x v="0"/>
    <n v="76.78"/>
    <n v="0.49"/>
    <n v="0.17"/>
    <s v="No Support Contact"/>
    <s v="No"/>
    <s v="No Support Contact"/>
    <s v="Not Applicable"/>
    <m/>
    <s v="No drop-off"/>
    <n v="5"/>
    <n v="23"/>
    <n v="52"/>
    <x v="1"/>
    <n v="1"/>
    <n v="1"/>
    <n v="0"/>
    <n v="1"/>
  </r>
  <r>
    <s v="NSF-000373"/>
    <s v="USR-00384"/>
    <s v="SES-2504-57611"/>
    <d v="2025-04-10T00:00:00"/>
    <s v="East England"/>
    <s v="Cambridge"/>
    <x v="2"/>
    <s v="18-24"/>
    <s v="Male"/>
    <s v="Ios"/>
    <s v="Iphone"/>
    <s v="2+ years"/>
    <s v="Plus"/>
    <s v="Affiliate"/>
    <x v="1"/>
    <s v="Repeat Use"/>
    <s v="No Experiment"/>
    <s v="Control"/>
    <n v="4"/>
    <n v="4"/>
    <n v="83"/>
    <s v="No"/>
    <x v="0"/>
    <x v="1"/>
    <s v="No Error"/>
    <x v="0"/>
    <n v="185.25"/>
    <n v="0.2"/>
    <n v="0.17"/>
    <s v="No Support Contact"/>
    <s v="No"/>
    <s v="No Support Contact"/>
    <s v="Not Applicable"/>
    <m/>
    <s v="No drop-off"/>
    <n v="5"/>
    <n v="53"/>
    <n v="46"/>
    <x v="1"/>
    <n v="1"/>
    <n v="1"/>
    <n v="0"/>
    <n v="1"/>
  </r>
  <r>
    <s v="NSF-000428"/>
    <s v="USR-00121"/>
    <s v="SES-2505-39727"/>
    <d v="2025-06-05T00:00:00"/>
    <s v="Wales"/>
    <s v="Cardiff"/>
    <x v="0"/>
    <s v="25-34"/>
    <s v="Male"/>
    <s v="Web"/>
    <s v="Desktop"/>
    <s v="&lt;3 months"/>
    <s v="Free"/>
    <s v="Paid Search"/>
    <x v="1"/>
    <s v="First Use"/>
    <s v="No Experiment"/>
    <s v="Control"/>
    <n v="4"/>
    <n v="4"/>
    <n v="115"/>
    <s v="No"/>
    <x v="0"/>
    <x v="1"/>
    <s v="No Error"/>
    <x v="0"/>
    <n v="165.34"/>
    <n v="0.23"/>
    <n v="0"/>
    <s v="Feature Navigation"/>
    <s v="Yes"/>
    <s v="Feature Navigation"/>
    <s v="Resolved"/>
    <n v="29"/>
    <s v="No drop-off"/>
    <n v="5"/>
    <n v="-9"/>
    <n v="0"/>
    <x v="1"/>
    <n v="1"/>
    <n v="1"/>
    <n v="0"/>
    <n v="1"/>
  </r>
  <r>
    <s v="NSF-001387"/>
    <s v="USR-00051"/>
    <s v="SES-2605-73419"/>
    <d v="2026-05-18T00:00:00"/>
    <s v="West Midlands"/>
    <s v="Wolverhampton"/>
    <x v="3"/>
    <s v="25-34"/>
    <s v="Male"/>
    <s v="Android"/>
    <s v="Android Phone"/>
    <s v="3-6 months"/>
    <s v="Free"/>
    <s v="Referral"/>
    <x v="1"/>
    <s v="Trial/Exploration"/>
    <s v="No Experiment"/>
    <s v="Control"/>
    <n v="4"/>
    <n v="4"/>
    <n v="112"/>
    <s v="No"/>
    <x v="0"/>
    <x v="1"/>
    <s v="No Error"/>
    <x v="1"/>
    <n v="0"/>
    <n v="0"/>
    <n v="0"/>
    <s v="No Support Contact"/>
    <s v="No"/>
    <s v="No Support Contact"/>
    <s v="Not Applicable"/>
    <m/>
    <s v="No drop-off"/>
    <n v="5"/>
    <n v="26"/>
    <n v="41"/>
    <x v="1"/>
    <n v="1"/>
    <n v="0"/>
    <n v="0"/>
    <n v="1"/>
  </r>
  <r>
    <s v="NSF-000189"/>
    <s v="USR-00129"/>
    <s v="SES-2502-62214"/>
    <d v="2025-02-01T00:00:00"/>
    <s v="Scotland"/>
    <s v="Glasgow"/>
    <x v="5"/>
    <s v="45-54"/>
    <s v="Female"/>
    <s v="Android"/>
    <s v="Android Phone"/>
    <s v="&lt;3 months"/>
    <s v="Free"/>
    <s v="Paid Social"/>
    <x v="5"/>
    <s v="Trial/Exploration"/>
    <s v="Fee Transparency Panel"/>
    <s v="Treatment"/>
    <s v="8 steps"/>
    <n v="8"/>
    <n v="293"/>
    <s v="Unknown"/>
    <x v="1"/>
    <x v="0"/>
    <s v="Fx Rate Confusion"/>
    <x v="1"/>
    <n v="0"/>
    <n v="0"/>
    <n v="0"/>
    <s v="No Support Contact"/>
    <s v="No"/>
    <s v="No Support Contact"/>
    <s v="Not Applicable"/>
    <m/>
    <s v="No drop-off"/>
    <n v="2"/>
    <n v="-3"/>
    <n v="4"/>
    <x v="1"/>
    <n v="0"/>
    <n v="0"/>
    <n v="1"/>
    <n v="1"/>
  </r>
  <r>
    <s v="NSF-000147"/>
    <s v="USR-00354"/>
    <s v="SES-2502-75016"/>
    <d v="2025-02-18T00:00:00"/>
    <s v="East England"/>
    <s v="Ipswich"/>
    <x v="0"/>
    <s v="25-34"/>
    <s v="Female"/>
    <s v="Ios"/>
    <s v="Iphone"/>
    <s v="1-2 years"/>
    <s v="Free"/>
    <s v="Organic Search"/>
    <x v="10"/>
    <s v="Reactivated"/>
    <s v="Simplified Onboarding"/>
    <s v="Control"/>
    <n v="9"/>
    <s v="9 steps"/>
    <n v="188"/>
    <s v="Unknown"/>
    <x v="0"/>
    <x v="1"/>
    <s v="No Error"/>
    <x v="0"/>
    <n v="166.4"/>
    <n v="2.8"/>
    <n v="0"/>
    <s v="No Support Contact"/>
    <s v="No"/>
    <s v="No Support Contact"/>
    <s v="Not Applicable"/>
    <m/>
    <s v="No drop-off"/>
    <n v="4"/>
    <n v="26"/>
    <n v="13"/>
    <x v="1"/>
    <n v="1"/>
    <n v="1"/>
    <n v="0"/>
    <n v="1"/>
  </r>
  <r>
    <s v="NSF-000799"/>
    <s v="USR-00177"/>
    <s v="SES-2509-27612"/>
    <d v="2025-09-10T00:00:00"/>
    <s v="South East"/>
    <m/>
    <x v="4"/>
    <s v="25-34"/>
    <s v="Female"/>
    <s v="Ios"/>
    <s v="Iphone"/>
    <s v="2+ years"/>
    <s v="Free"/>
    <s v="Paid Search"/>
    <x v="2"/>
    <s v="Trial/Exploration"/>
    <s v="No Experiment"/>
    <s v="Control"/>
    <n v="5"/>
    <n v="4"/>
    <n v="154"/>
    <s v="Yes"/>
    <x v="0"/>
    <x v="1"/>
    <s v="No Error"/>
    <x v="1"/>
    <n v="0"/>
    <n v="0"/>
    <n v="0"/>
    <s v="No Support Contact"/>
    <s v="No"/>
    <s v="No Support Contact"/>
    <s v="Not Applicable"/>
    <m/>
    <s v="No drop-off"/>
    <n v="4"/>
    <n v="10"/>
    <n v="54"/>
    <x v="0"/>
    <n v="1"/>
    <n v="0"/>
    <n v="0"/>
    <n v="0"/>
  </r>
  <r>
    <s v="NSF-000641"/>
    <s v="USR-00534"/>
    <s v="SES-2507-51233"/>
    <d v="2025-07-10T00:00:00"/>
    <s v="West Midlands"/>
    <s v="Solihull"/>
    <x v="3"/>
    <s v="35-44"/>
    <s v="Female"/>
    <s v="Web"/>
    <s v="Desktop"/>
    <s v="2+ years"/>
    <s v="Premium"/>
    <s v="Organic Search"/>
    <x v="7"/>
    <s v="First Use"/>
    <s v="No Experiment"/>
    <s v="Control"/>
    <n v="4"/>
    <n v="2"/>
    <n v="174"/>
    <s v="Yes"/>
    <x v="1"/>
    <x v="1"/>
    <s v="No Error"/>
    <x v="1"/>
    <n v="0"/>
    <n v="0"/>
    <n v="0"/>
    <s v="No Support Contact"/>
    <s v="No"/>
    <s v="No Support Contact"/>
    <s v="Not Applicable"/>
    <m/>
    <s v="Too many steps"/>
    <n v="2"/>
    <n v="-20"/>
    <n v="0"/>
    <x v="1"/>
    <n v="0"/>
    <n v="0"/>
    <n v="0"/>
    <n v="1"/>
  </r>
  <r>
    <s v="NSF-000942"/>
    <s v="USR-00435"/>
    <s v="SES-2511-16756"/>
    <d v="2025-11-05T00:00:00"/>
    <s v="Northern Ireland"/>
    <s v="Derry"/>
    <x v="0"/>
    <s v="25-34"/>
    <s v="Prefer Not To Say"/>
    <s v="Ios"/>
    <s v="Iphone"/>
    <s v="1-2 years"/>
    <s v="Free"/>
    <s v="Employer Partnership"/>
    <x v="7"/>
    <s v="Trial/Exploration"/>
    <s v="No Experiment"/>
    <s v="Control"/>
    <n v="4"/>
    <s v="4 steps"/>
    <n v="99"/>
    <s v="No"/>
    <x v="0"/>
    <x v="1"/>
    <s v="No Error"/>
    <x v="0"/>
    <n v="144.94"/>
    <n v="0.5"/>
    <n v="0"/>
    <s v="No Support Contact"/>
    <s v="No"/>
    <s v="No Support Contact"/>
    <s v="Not Applicable"/>
    <m/>
    <s v="No drop-off"/>
    <n v="4"/>
    <n v="27"/>
    <n v="1"/>
    <x v="1"/>
    <n v="1"/>
    <n v="1"/>
    <n v="0"/>
    <n v="1"/>
  </r>
  <r>
    <s v="NSF-000802"/>
    <s v="USR-00234"/>
    <s v="SES-2509-98510"/>
    <d v="2025-09-10T00:00:00"/>
    <s v="Scotland"/>
    <s v="Dundee"/>
    <x v="2"/>
    <s v="25-34"/>
    <s v="Female"/>
    <s v="Android"/>
    <s v="Android Phone"/>
    <s v="3-6 months"/>
    <s v="Plus"/>
    <s v="Paid Social"/>
    <x v="9"/>
    <s v="Repeat Use"/>
    <s v="No Experiment"/>
    <s v="Control"/>
    <n v="5"/>
    <n v="5"/>
    <n v="128"/>
    <s v="No"/>
    <x v="0"/>
    <x v="1"/>
    <s v="No Error"/>
    <x v="0"/>
    <n v="44.52"/>
    <n v="0"/>
    <n v="0.17"/>
    <s v="No Support Contact"/>
    <s v="No"/>
    <s v="No Support Contact"/>
    <s v="Not Applicable"/>
    <m/>
    <s v="No drop-off"/>
    <n v="5"/>
    <n v="5"/>
    <n v="59"/>
    <x v="1"/>
    <n v="1"/>
    <n v="1"/>
    <n v="0"/>
    <n v="1"/>
  </r>
  <r>
    <s v="NSF-001115"/>
    <s v="USR-00423"/>
    <s v="SES-2601-41269"/>
    <d v="2026-01-02T00:00:00"/>
    <s v="Northern Ireland"/>
    <s v="Belfast"/>
    <x v="0"/>
    <s v="18-24"/>
    <s v="Male"/>
    <s v="Android"/>
    <s v="Android Phone"/>
    <s v="7-12 months"/>
    <s v="Premium"/>
    <s v="Organic Search"/>
    <x v="7"/>
    <s v="Repeat Use"/>
    <s v="New Cta Copy"/>
    <s v="Treatment"/>
    <s v="4 steps"/>
    <n v="4"/>
    <n v="87"/>
    <s v="No"/>
    <x v="0"/>
    <x v="1"/>
    <s v="No Error"/>
    <x v="0"/>
    <n v="109.44"/>
    <n v="0.48"/>
    <n v="0.37"/>
    <s v="No Support Contact"/>
    <s v="No"/>
    <s v="No Support Contact"/>
    <s v="Not Applicable"/>
    <m/>
    <s v="No drop-off"/>
    <n v="5"/>
    <n v="46"/>
    <n v="46"/>
    <x v="1"/>
    <n v="1"/>
    <n v="1"/>
    <n v="0"/>
    <n v="1"/>
  </r>
  <r>
    <s v="NSF-000089"/>
    <s v="USR-00613"/>
    <s v="SES-2501-81786"/>
    <d v="2025-01-22T00:00:00"/>
    <s v="Wales"/>
    <s v="Cardiff"/>
    <x v="5"/>
    <s v="35-44"/>
    <s v="Non-Binary"/>
    <s v="Ios"/>
    <s v="Iphone"/>
    <s v="&lt;3 months"/>
    <s v="Free"/>
    <s v="Affiliate"/>
    <x v="8"/>
    <s v="Repeat Use"/>
    <s v="New Cta Copy"/>
    <s v="Treatment"/>
    <n v="5"/>
    <n v="3"/>
    <n v="192"/>
    <s v="Yes"/>
    <x v="1"/>
    <x v="1"/>
    <s v="No Error"/>
    <x v="1"/>
    <n v="0"/>
    <n v="0"/>
    <n v="0"/>
    <s v="No Support Contact"/>
    <s v="No"/>
    <s v="No Support Contact"/>
    <s v="Not Applicable"/>
    <m/>
    <s v="Too many steps"/>
    <n v="3"/>
    <n v="8"/>
    <n v="21"/>
    <x v="0"/>
    <n v="0"/>
    <n v="0"/>
    <n v="0"/>
    <n v="0"/>
  </r>
  <r>
    <s v="NSF-001259"/>
    <s v="USR-00638"/>
    <s v="SES-2603-66781"/>
    <d v="2026-03-04T00:00:00"/>
    <s v="South East"/>
    <s v="Canterbury"/>
    <x v="3"/>
    <s v="55-64"/>
    <s v="Female"/>
    <s v="Ios"/>
    <s v="Iphone"/>
    <s v="3-6 months"/>
    <s v="Free"/>
    <s v="Paid Social"/>
    <x v="2"/>
    <s v="Reactivated"/>
    <s v="No Experiment"/>
    <s v="Control"/>
    <n v="5"/>
    <n v="5"/>
    <n v="147"/>
    <s v="No"/>
    <x v="0"/>
    <x v="1"/>
    <s v="No Error"/>
    <x v="0"/>
    <n v="65.62"/>
    <n v="0"/>
    <n v="0"/>
    <s v="No Support Contact"/>
    <s v="No"/>
    <s v="No Support Contact"/>
    <s v="Not Applicable"/>
    <m/>
    <s v="No drop-off"/>
    <n v="4"/>
    <n v="36"/>
    <n v="45"/>
    <x v="1"/>
    <n v="1"/>
    <n v="1"/>
    <n v="0"/>
    <n v="1"/>
  </r>
  <r>
    <s v="NSF-000197"/>
    <s v="USR-00109"/>
    <s v="SES-2503-62820"/>
    <d v="2025-03-16T00:00:00"/>
    <s v="London"/>
    <s v="Camden"/>
    <x v="2"/>
    <s v="18-24"/>
    <s v="Male"/>
    <s v="Web"/>
    <s v="Desktop"/>
    <s v="7-12 months"/>
    <s v="Premium"/>
    <s v="Direct"/>
    <x v="4"/>
    <s v="Reactivated"/>
    <s v="No Experiment"/>
    <s v="Control"/>
    <n v="6"/>
    <n v="6"/>
    <n v="190"/>
    <s v="No"/>
    <x v="0"/>
    <x v="1"/>
    <s v="No Error"/>
    <x v="0"/>
    <n v="0"/>
    <n v="0"/>
    <n v="0.37"/>
    <s v="Feature Navigation"/>
    <s v="Yes"/>
    <s v="Feature Navigation"/>
    <s v="Unresolved"/>
    <n v="20"/>
    <s v="No drop-off"/>
    <n v="4"/>
    <n v="45"/>
    <n v="44"/>
    <x v="1"/>
    <n v="1"/>
    <n v="1"/>
    <n v="0"/>
    <n v="1"/>
  </r>
  <r>
    <s v="NSF-001032"/>
    <s v="USR-00496"/>
    <s v="SES-2512-46122"/>
    <d v="2025-12-07T00:00:00"/>
    <s v="London"/>
    <s v="Hammersmith"/>
    <x v="2"/>
    <s v="25-34"/>
    <s v="Male"/>
    <s v="Android"/>
    <s v="Android Phone"/>
    <s v="1-2 years"/>
    <s v="Plus"/>
    <s v="Paid Social"/>
    <x v="4"/>
    <s v="Repeat Use"/>
    <s v="Fee Transparency Panel"/>
    <s v="Treatment"/>
    <n v="6"/>
    <n v="3"/>
    <n v="172"/>
    <s v="Yes"/>
    <x v="1"/>
    <x v="1"/>
    <s v="No Error"/>
    <x v="0"/>
    <n v="0"/>
    <n v="0"/>
    <n v="0.17"/>
    <s v="No Support Contact"/>
    <s v="No"/>
    <s v="No Support Contact"/>
    <s v="Not Applicable"/>
    <m/>
    <s v="Too many steps"/>
    <n v="3"/>
    <n v="-4"/>
    <n v="58"/>
    <x v="0"/>
    <n v="0"/>
    <n v="1"/>
    <n v="0"/>
    <n v="0"/>
  </r>
  <r>
    <s v="NSF-001179"/>
    <s v="USR-00640"/>
    <s v="SES-2602-80522"/>
    <d v="2026-02-22T00:00:00"/>
    <s v="East England"/>
    <s v="Cambridge"/>
    <x v="0"/>
    <s v="45-54"/>
    <s v="Male"/>
    <s v="Web"/>
    <s v="Mobile Browser"/>
    <s v="&lt;3 months"/>
    <s v="Free"/>
    <s v="Organic Search"/>
    <x v="9"/>
    <s v="Repeat Use"/>
    <s v="Fee Transparency Panel"/>
    <s v="Control"/>
    <s v="5 steps"/>
    <n v="5"/>
    <n v="142"/>
    <s v="No"/>
    <x v="0"/>
    <x v="1"/>
    <s v="No Error"/>
    <x v="0"/>
    <n v="110.57"/>
    <n v="0"/>
    <n v="0"/>
    <s v="Transaction Failure"/>
    <s v="Yes"/>
    <s v="Transaction Failure"/>
    <s v="Resolved"/>
    <n v="29"/>
    <s v="No drop-off"/>
    <n v="5"/>
    <n v="-40"/>
    <n v="50"/>
    <x v="1"/>
    <n v="1"/>
    <n v="1"/>
    <n v="0"/>
    <n v="1"/>
  </r>
  <r>
    <s v="NSF-000031"/>
    <s v="USR-00294"/>
    <s v="SES-2501-93984"/>
    <d v="2025-01-21T00:00:00"/>
    <s v="South West"/>
    <s v="Bristol"/>
    <x v="0"/>
    <s v="35-44"/>
    <s v="Female"/>
    <s v="Android"/>
    <s v="Android Phone"/>
    <s v="1-2 years"/>
    <s v="Free"/>
    <s v="Referral"/>
    <x v="0"/>
    <s v="Repeat Use"/>
    <s v="No Experiment"/>
    <s v="Control"/>
    <n v="7"/>
    <n v="7"/>
    <n v="129"/>
    <s v="No"/>
    <x v="1"/>
    <x v="1"/>
    <s v="No Error"/>
    <x v="1"/>
    <n v="0"/>
    <n v="0"/>
    <n v="0"/>
    <s v="No Support Contact"/>
    <s v="No"/>
    <s v="No Support Contact"/>
    <s v="Not Applicable"/>
    <m/>
    <s v="No drop-off"/>
    <n v="3"/>
    <n v="24"/>
    <n v="18"/>
    <x v="1"/>
    <n v="0"/>
    <n v="0"/>
    <n v="0"/>
    <n v="1"/>
  </r>
  <r>
    <s v="NSF-001339"/>
    <s v="USR-00707"/>
    <s v="SES-2604-62756"/>
    <d v="2026-04-23T00:00:00"/>
    <s v="North East"/>
    <s v="Middlesbrough"/>
    <x v="1"/>
    <s v="18-24"/>
    <s v="Male"/>
    <s v="Ios"/>
    <s v="Iphone"/>
    <s v="7-12 months"/>
    <s v="Free"/>
    <s v="Referral"/>
    <x v="8"/>
    <s v="First Use"/>
    <s v="Progress Indicator"/>
    <s v="Treatment"/>
    <n v="5"/>
    <n v="3"/>
    <n v="169"/>
    <s v="Yes"/>
    <x v="1"/>
    <x v="1"/>
    <s v="No Error"/>
    <x v="1"/>
    <n v="0"/>
    <n v="0"/>
    <n v="0"/>
    <s v="No Support Contact"/>
    <s v="No"/>
    <s v="No Support Contact"/>
    <s v="Not Applicable"/>
    <m/>
    <s v="Too many steps"/>
    <n v="3"/>
    <n v="30"/>
    <n v="0"/>
    <x v="0"/>
    <n v="0"/>
    <n v="0"/>
    <n v="0"/>
    <n v="0"/>
  </r>
  <r>
    <s v="NSF-000131"/>
    <s v="USR-00155"/>
    <s v="SES-2502-41878"/>
    <d v="2025-02-12T00:00:00"/>
    <s v="West Midlands"/>
    <s v="Solihull"/>
    <x v="7"/>
    <s v="45-54"/>
    <s v="Male"/>
    <s v="Web"/>
    <s v="Desktop"/>
    <s v="7-12 months"/>
    <s v="Plus"/>
    <s v="Employer Partnership"/>
    <x v="9"/>
    <s v="Repeat Use"/>
    <s v="Fee Transparency Panel"/>
    <s v="Treatment"/>
    <n v="5"/>
    <n v="5"/>
    <n v="194"/>
    <s v="No"/>
    <x v="0"/>
    <x v="0"/>
    <s v="Mandate Not Found"/>
    <x v="1"/>
    <n v="0"/>
    <n v="0"/>
    <n v="0"/>
    <s v="Transaction Failure"/>
    <s v="Yes"/>
    <s v="Transaction Failure"/>
    <s v="Resolved"/>
    <n v="13"/>
    <s v="No drop-off"/>
    <n v="4"/>
    <n v="66"/>
    <n v="33"/>
    <x v="1"/>
    <n v="1"/>
    <n v="0"/>
    <n v="1"/>
    <n v="1"/>
  </r>
  <r>
    <s v="NSF-000278"/>
    <s v="USR-00715"/>
    <s v="SES-2503-49809"/>
    <d v="2025-03-11T00:00:00"/>
    <s v="North East"/>
    <s v="Durham"/>
    <x v="1"/>
    <s v="35-44"/>
    <s v="Female"/>
    <s v="Android"/>
    <s v="Android Phone"/>
    <s v="1-2 years"/>
    <s v="Free"/>
    <s v="Paid Social"/>
    <x v="10"/>
    <s v="Repeat Use"/>
    <s v="No Experiment"/>
    <s v="Control"/>
    <n v="9"/>
    <n v="9"/>
    <n v="308"/>
    <s v="No"/>
    <x v="1"/>
    <x v="0"/>
    <s v="Income Verification Failed"/>
    <x v="1"/>
    <n v="0"/>
    <n v="0"/>
    <n v="0"/>
    <s v="No Support Contact"/>
    <s v="No"/>
    <s v="No Support Contact"/>
    <s v="Not Applicable"/>
    <m/>
    <s v="Technical error"/>
    <n v="3"/>
    <n v="-28"/>
    <n v="30"/>
    <x v="0"/>
    <n v="0"/>
    <n v="0"/>
    <n v="1"/>
    <n v="0"/>
  </r>
  <r>
    <s v="NSF-001314"/>
    <s v="usr-00572"/>
    <s v="SES-2604-53050"/>
    <d v="2026-04-01T00:00:00"/>
    <s v="East Midlands"/>
    <s v="Derby"/>
    <x v="2"/>
    <s v="55-64"/>
    <s v="Female"/>
    <s v="Android"/>
    <s v="Android Phone"/>
    <s v="1-2 years"/>
    <s v="Free"/>
    <s v="Paid Social"/>
    <x v="1"/>
    <s v="Trial/Exploration"/>
    <s v="No Experiment"/>
    <s v="Control"/>
    <n v="4"/>
    <n v="4"/>
    <n v="113"/>
    <s v="No"/>
    <x v="0"/>
    <x v="1"/>
    <s v="No Error"/>
    <x v="0"/>
    <n v="96.96"/>
    <n v="0.22"/>
    <n v="0"/>
    <s v="Other"/>
    <s v="Yes"/>
    <s v="Other"/>
    <s v="Resolved"/>
    <n v="42"/>
    <s v="No drop-off"/>
    <n v="4"/>
    <n v="2"/>
    <n v="47"/>
    <x v="1"/>
    <n v="1"/>
    <n v="1"/>
    <n v="0"/>
    <n v="1"/>
  </r>
  <r>
    <s v="NSF-000492"/>
    <s v="USR-00554"/>
    <s v="SES-2506-11453"/>
    <d v="2025-03-06T00:00:00"/>
    <s v="East Midlands"/>
    <s v="Nottingham"/>
    <x v="0"/>
    <s v="25-34"/>
    <s v="Female"/>
    <s v="Ios"/>
    <s v="Iphone"/>
    <s v="7-12 months"/>
    <s v="Plus"/>
    <s v="Referral"/>
    <x v="2"/>
    <s v="Repeat Use"/>
    <s v="Simplified Onboarding"/>
    <s v="Control"/>
    <n v="5"/>
    <n v="5"/>
    <n v="135"/>
    <s v="No"/>
    <x v="0"/>
    <x v="1"/>
    <s v="No Error"/>
    <x v="0"/>
    <n v="0"/>
    <n v="0"/>
    <n v="0.17"/>
    <s v="No Support Contact"/>
    <s v="No"/>
    <s v="No Support Contact"/>
    <s v="Not Applicable"/>
    <m/>
    <s v="No drop-off"/>
    <n v="4"/>
    <n v="40"/>
    <n v="46"/>
    <x v="0"/>
    <n v="1"/>
    <n v="1"/>
    <n v="0"/>
    <n v="0"/>
  </r>
  <r>
    <s v="NSF-001184"/>
    <s v="USR-00518"/>
    <s v="SES-2602-63433"/>
    <d v="2026-02-22T00:00:00"/>
    <s v="London"/>
    <s v="Croydon"/>
    <x v="3"/>
    <s v="35-44"/>
    <s v="Male"/>
    <s v="Ios"/>
    <s v="Iphone"/>
    <s v="&lt;3 months"/>
    <s v="Premium"/>
    <s v="Organic Search"/>
    <x v="3"/>
    <s v="Repeat Use"/>
    <s v="No Experiment"/>
    <s v="Control"/>
    <n v="6"/>
    <n v="6"/>
    <n v="121"/>
    <s v="No"/>
    <x v="1"/>
    <x v="1"/>
    <s v="No Error"/>
    <x v="0"/>
    <n v="0"/>
    <n v="0.11"/>
    <n v="0.37"/>
    <s v="No Support Contact"/>
    <s v="No"/>
    <s v="No Support Contact"/>
    <s v="Not Applicable"/>
    <m/>
    <s v="No drop-off"/>
    <n v="3"/>
    <n v="-7"/>
    <n v="35"/>
    <x v="0"/>
    <n v="0"/>
    <n v="1"/>
    <n v="0"/>
    <n v="0"/>
  </r>
  <r>
    <s v="NSF-000141"/>
    <s v="USR-00100"/>
    <s v="SES-2502-13417"/>
    <d v="2025-02-05T00:00:00"/>
    <s v="East Midlands"/>
    <s v="Lincoln"/>
    <x v="0"/>
    <s v="55-64"/>
    <s v="Non-Binary"/>
    <s v="Ios"/>
    <s v="Iphone"/>
    <s v="7-12 months"/>
    <s v="Free"/>
    <s v="Paid Search"/>
    <x v="4"/>
    <s v="Repeat Use"/>
    <s v="Progress Indicator"/>
    <s v="Control"/>
    <n v="6"/>
    <n v="6"/>
    <n v="133"/>
    <s v="No"/>
    <x v="1"/>
    <x v="1"/>
    <s v="No Error"/>
    <x v="1"/>
    <n v="0"/>
    <n v="0"/>
    <n v="0"/>
    <s v="No Support Contact"/>
    <s v="No"/>
    <s v="No Support Contact"/>
    <s v="Not Applicable"/>
    <m/>
    <s v="No drop-off"/>
    <n v="4"/>
    <n v="49"/>
    <n v="10"/>
    <x v="0"/>
    <n v="0"/>
    <n v="0"/>
    <n v="0"/>
    <n v="0"/>
  </r>
  <r>
    <s v="NSF-001350"/>
    <s v="USR-00302"/>
    <s v="SES-2604-92598"/>
    <d v="2026-04-23T00:00:00"/>
    <s v="Yorkshire &amp; Humber"/>
    <s v="Sheffield"/>
    <x v="0"/>
    <s v="25-34"/>
    <s v="Female"/>
    <s v="Android"/>
    <s v="Android Phone"/>
    <s v="&lt;3 months"/>
    <s v="Plus"/>
    <s v="Affiliate"/>
    <x v="3"/>
    <s v="Repeat Use"/>
    <s v="No Experiment"/>
    <s v="Control"/>
    <n v="6"/>
    <n v="4"/>
    <n v="294"/>
    <s v="Yes"/>
    <x v="0"/>
    <x v="0"/>
    <s v="Friend Not Found"/>
    <x v="1"/>
    <n v="0"/>
    <n v="0"/>
    <n v="0"/>
    <s v="Feature Navigation"/>
    <s v="Yes"/>
    <s v="Feature Navigation"/>
    <s v="Resolved"/>
    <n v="22"/>
    <s v="No drop-off"/>
    <n v="1"/>
    <n v="-49"/>
    <n v="53"/>
    <x v="0"/>
    <n v="1"/>
    <n v="0"/>
    <n v="1"/>
    <n v="0"/>
  </r>
  <r>
    <s v="NSF-001039"/>
    <s v="USR-00221"/>
    <s v="SES-2512-97252"/>
    <d v="2025-12-22T00:00:00"/>
    <s v="East Midlands"/>
    <s v="Nottingham"/>
    <x v="1"/>
    <s v="18-24"/>
    <s v="Female"/>
    <s v="Android"/>
    <s v="Android Phone"/>
    <s v="1-2 years"/>
    <s v="Plus"/>
    <s v="Paid Search"/>
    <x v="5"/>
    <s v="First Use"/>
    <s v="No Experiment"/>
    <s v="Control"/>
    <n v="8"/>
    <n v="8"/>
    <n v="310"/>
    <s v="No"/>
    <x v="1"/>
    <x v="0"/>
    <s v="Fx Rate Confusion"/>
    <x v="1"/>
    <n v="0"/>
    <n v="0"/>
    <n v="0"/>
    <s v="Feature Navigation"/>
    <s v="Yes"/>
    <s v="Feature Navigation"/>
    <s v="Resolved"/>
    <n v="24"/>
    <s v="Technical error"/>
    <n v="2"/>
    <n v="-30"/>
    <n v="0"/>
    <x v="0"/>
    <n v="0"/>
    <n v="0"/>
    <n v="1"/>
    <n v="0"/>
  </r>
  <r>
    <s v="NSF-000659"/>
    <s v="USR-00771"/>
    <s v="SES-2507-14405"/>
    <d v="2025-07-10T00:00:00"/>
    <s v="West Midlands"/>
    <s v="Wolverhampton"/>
    <x v="5"/>
    <s v="45-54"/>
    <s v="Male"/>
    <s v="Android"/>
    <s v="Android Phone"/>
    <s v="3-6 months"/>
    <s v="Free"/>
    <s v="Organic Search"/>
    <x v="7"/>
    <s v="Repeat Use"/>
    <s v="No Experiment"/>
    <s v="Control"/>
    <n v="4"/>
    <s v="4 steps"/>
    <n v="78"/>
    <s v="No"/>
    <x v="0"/>
    <x v="1"/>
    <s v="No Error"/>
    <x v="0"/>
    <n v="123.9"/>
    <n v="0.44"/>
    <n v="0"/>
    <s v="No Support Contact"/>
    <s v="No"/>
    <s v="No Support Contact"/>
    <s v="Not Applicable"/>
    <m/>
    <s v="No drop-off"/>
    <n v="6"/>
    <n v="60"/>
    <n v="25"/>
    <x v="1"/>
    <n v="1"/>
    <n v="1"/>
    <n v="0"/>
    <n v="1"/>
  </r>
  <r>
    <s v="NSF-000125"/>
    <s v="USR-00823"/>
    <s v="SES-2502-14337"/>
    <d v="2025-02-20T00:00:00"/>
    <s v="East England"/>
    <s v="Ipswich"/>
    <x v="0"/>
    <s v="35-44"/>
    <s v="Male"/>
    <s v="Android"/>
    <s v="Android Tablet"/>
    <s v="1-2 years"/>
    <s v="Free"/>
    <s v="App Store"/>
    <x v="0"/>
    <s v="Repeat Use"/>
    <s v="No Experiment"/>
    <s v="Control"/>
    <n v="7"/>
    <n v="7"/>
    <n v="131"/>
    <s v="No"/>
    <x v="0"/>
    <x v="1"/>
    <s v="No Error"/>
    <x v="0"/>
    <n v="32.43"/>
    <n v="0"/>
    <n v="0"/>
    <s v="No Support Contact"/>
    <s v="No"/>
    <s v="No Support Contact"/>
    <s v="Not Applicable"/>
    <m/>
    <s v="No drop-off"/>
    <n v="4"/>
    <n v="36"/>
    <n v="9"/>
    <x v="1"/>
    <n v="1"/>
    <n v="1"/>
    <n v="0"/>
    <n v="1"/>
  </r>
  <r>
    <s v="NSF-000358"/>
    <s v="USR-00532"/>
    <s v="SES-2504-37656"/>
    <d v="2025-04-22T00:00:00"/>
    <s v="North East"/>
    <s v="Middlesbrough"/>
    <x v="3"/>
    <s v="55-64"/>
    <s v="Female"/>
    <s v="Android"/>
    <s v="Android Phone"/>
    <s v="2+ years"/>
    <s v="Free"/>
    <s v="Organic Search"/>
    <x v="2"/>
    <s v="Reactivated"/>
    <s v="New Cta Copy"/>
    <s v="Control"/>
    <n v="5"/>
    <n v="5"/>
    <n v="105"/>
    <s v="No"/>
    <x v="0"/>
    <x v="1"/>
    <s v="No Error"/>
    <x v="0"/>
    <n v="4.54"/>
    <n v="0"/>
    <n v="0"/>
    <s v="Account Verification"/>
    <s v="Yes"/>
    <s v="Account Verification"/>
    <s v="Unresolved"/>
    <n v="3"/>
    <s v="No drop-off"/>
    <n v="3"/>
    <n v="18"/>
    <n v="37"/>
    <x v="0"/>
    <n v="1"/>
    <n v="1"/>
    <n v="0"/>
    <n v="0"/>
  </r>
  <r>
    <s v="NSF-000619"/>
    <s v="USR-00147"/>
    <s v="SES-2507-23626"/>
    <d v="2025-07-26T00:00:00"/>
    <s v="Scotland"/>
    <s v="Dundee"/>
    <x v="0"/>
    <s v="18-24"/>
    <s v="Male"/>
    <s v="Ios"/>
    <s v="Iphone"/>
    <s v="2+ years"/>
    <s v="Plus"/>
    <s v="Direct"/>
    <x v="4"/>
    <s v="First Use"/>
    <s v="No Experiment"/>
    <s v="Control"/>
    <n v="6"/>
    <n v="6"/>
    <n v="189"/>
    <s v="No"/>
    <x v="0"/>
    <x v="1"/>
    <s v="No Error"/>
    <x v="0"/>
    <n v="0.45"/>
    <n v="0"/>
    <n v="0.17"/>
    <s v="Feature Navigation"/>
    <s v="Yes"/>
    <s v="Feature Navigation"/>
    <s v="Unresolved"/>
    <n v="34"/>
    <s v="No drop-off"/>
    <n v="4"/>
    <n v="-26"/>
    <n v="0"/>
    <x v="1"/>
    <n v="1"/>
    <n v="1"/>
    <n v="0"/>
    <n v="1"/>
  </r>
  <r>
    <s v="NSF-000001"/>
    <s v="USR-00019"/>
    <s v="SES-2501-57907"/>
    <d v="2025-01-05T00:00:00"/>
    <s v="West Midlands"/>
    <s v="Wolverhampton"/>
    <x v="0"/>
    <s v="25-34"/>
    <s v="Male"/>
    <s v="Android"/>
    <s v="Android Phone"/>
    <s v="2+ years"/>
    <s v="Free"/>
    <s v="Paid Search"/>
    <x v="8"/>
    <s v="Repeat Use"/>
    <s v="No Experiment"/>
    <s v="Control"/>
    <n v="5"/>
    <n v="5"/>
    <n v="91"/>
    <s v="No"/>
    <x v="0"/>
    <x v="1"/>
    <s v="No Error"/>
    <x v="0"/>
    <n v="41.03"/>
    <n v="0"/>
    <n v="0"/>
    <s v="No Support Contact"/>
    <s v="No"/>
    <s v="No Support Contact"/>
    <s v="Not Applicable"/>
    <m/>
    <s v="No drop-off"/>
    <n v="4"/>
    <n v="31"/>
    <s v="1 days"/>
    <x v="1"/>
    <n v="1"/>
    <n v="1"/>
    <n v="0"/>
    <n v="1"/>
  </r>
  <r>
    <s v="NSF-000174"/>
    <s v="USR-00336"/>
    <s v="SES-2502-11084"/>
    <d v="2025-02-17T00:00:00"/>
    <s v="East England"/>
    <s v="Norwich"/>
    <x v="0"/>
    <s v="25-34"/>
    <s v="Female"/>
    <s v="Ios"/>
    <s v="Iphone"/>
    <s v="3-6 months"/>
    <s v="Free"/>
    <s v="Affiliate"/>
    <x v="2"/>
    <s v="Repeat Use"/>
    <s v="Simplified Onboarding"/>
    <s v="Treatment"/>
    <n v="5"/>
    <n v="5"/>
    <n v="146"/>
    <s v="No"/>
    <x v="1"/>
    <x v="1"/>
    <s v="No Error"/>
    <x v="0"/>
    <n v="8.27"/>
    <n v="0"/>
    <n v="0"/>
    <s v="No Support Contact"/>
    <s v="No"/>
    <s v="No Support Contact"/>
    <s v="Not Applicable"/>
    <m/>
    <s v="No drop-off"/>
    <n v="3"/>
    <n v="32"/>
    <n v="46"/>
    <x v="1"/>
    <n v="0"/>
    <n v="1"/>
    <n v="0"/>
    <n v="1"/>
  </r>
  <r>
    <s v="NSF-000337"/>
    <s v="USR-00063"/>
    <s v="SES-2504-86648"/>
    <d v="2025-04-28T00:00:00"/>
    <s v="Wales"/>
    <s v="Cardiff"/>
    <x v="3"/>
    <s v="35-44"/>
    <s v="Male"/>
    <s v="Ios"/>
    <s v="Iphone"/>
    <s v="3-6 months"/>
    <s v="Premium"/>
    <s v="Direct"/>
    <x v="8"/>
    <s v="Repeat Use"/>
    <s v="No Experiment"/>
    <s v="Control"/>
    <n v="5"/>
    <n v="5"/>
    <n v="105"/>
    <s v="No"/>
    <x v="0"/>
    <x v="1"/>
    <s v="No Error"/>
    <x v="0"/>
    <n v="72.760000000000005"/>
    <n v="0"/>
    <n v="0.37"/>
    <s v="Other"/>
    <s v="Yes"/>
    <s v="Other"/>
    <s v="Resolved"/>
    <n v="28"/>
    <s v="No drop-off"/>
    <n v="5"/>
    <n v="12"/>
    <s v="36 days"/>
    <x v="1"/>
    <n v="1"/>
    <n v="1"/>
    <n v="0"/>
    <n v="1"/>
  </r>
  <r>
    <s v="NSF-001318"/>
    <s v="USR-00307"/>
    <s v="SES-2604-43043"/>
    <d v="2026-04-19T00:00:00"/>
    <s v="East Midlands"/>
    <s v="Derby"/>
    <x v="3"/>
    <s v="25-34"/>
    <s v="Male"/>
    <s v="Ios"/>
    <s v="Iphone"/>
    <s v="&lt;3 months"/>
    <s v="Free"/>
    <s v="Affiliate"/>
    <x v="10"/>
    <s v="First Use"/>
    <s v="Fee Transparency Panel"/>
    <s v="Control"/>
    <n v="9"/>
    <n v="7"/>
    <n v="362"/>
    <s v="Yes"/>
    <x v="1"/>
    <x v="1"/>
    <s v="No Error"/>
    <x v="1"/>
    <n v="0"/>
    <n v="0"/>
    <n v="0"/>
    <s v="No Support Contact"/>
    <s v="No"/>
    <s v="No Support Contact"/>
    <s v="Not Applicable"/>
    <m/>
    <s v="Unexpected fee"/>
    <n v="2"/>
    <n v="-35"/>
    <n v="0"/>
    <x v="1"/>
    <n v="0"/>
    <n v="0"/>
    <n v="0"/>
    <n v="1"/>
  </r>
  <r>
    <s v="NSF-001241"/>
    <s v="USR-00404"/>
    <s v="SES-2603-66298"/>
    <d v="2026-03-10T00:00:00"/>
    <s v="London"/>
    <s v="Southwark"/>
    <x v="0"/>
    <s v="18-24"/>
    <s v="Female"/>
    <s v="Android"/>
    <s v="Android Phone"/>
    <s v="1-2 years"/>
    <s v="Free"/>
    <s v="Paid Search"/>
    <x v="3"/>
    <s v="Reactivated"/>
    <s v="Contextual Help"/>
    <s v="Treatment"/>
    <n v="6"/>
    <n v="6"/>
    <n v="162"/>
    <s v="No"/>
    <x v="1"/>
    <x v="1"/>
    <s v="No Error"/>
    <x v="0"/>
    <n v="32.64"/>
    <n v="0.1"/>
    <n v="0"/>
    <s v="No Support Contact"/>
    <s v="No"/>
    <s v="No Support Contact"/>
    <s v="Not Applicable"/>
    <m/>
    <s v="No drop-off"/>
    <n v="4"/>
    <n v="7"/>
    <n v="44"/>
    <x v="1"/>
    <n v="0"/>
    <n v="1"/>
    <n v="0"/>
    <n v="1"/>
  </r>
  <r>
    <s v="NSF-001078"/>
    <s v="USR-00229"/>
    <s v="SES-2601-93197"/>
    <d v="2026-01-16T00:00:00"/>
    <s v="Wales"/>
    <s v="Newport"/>
    <x v="2"/>
    <s v="25-34"/>
    <s v="Female"/>
    <s v="Ios"/>
    <s v="Iphone"/>
    <s v="1-2 years"/>
    <s v="Free"/>
    <s v="Organic Search"/>
    <x v="8"/>
    <s v="Repeat Use"/>
    <s v="No Experiment"/>
    <s v="Control"/>
    <n v="5"/>
    <n v="5"/>
    <n v="127"/>
    <s v="No"/>
    <x v="0"/>
    <x v="1"/>
    <s v="No Error"/>
    <x v="0"/>
    <n v="70.27"/>
    <n v="0"/>
    <n v="0"/>
    <s v="No Support Contact"/>
    <s v="No"/>
    <s v="No Support Contact"/>
    <s v="Not Applicable"/>
    <m/>
    <s v="No drop-off"/>
    <n v="5"/>
    <n v="15"/>
    <n v="33"/>
    <x v="1"/>
    <n v="1"/>
    <n v="1"/>
    <n v="0"/>
    <n v="1"/>
  </r>
  <r>
    <s v="NSF-000069"/>
    <s v="USR-00558"/>
    <s v="SES-2501-98284"/>
    <d v="2025-01-30T00:00:00"/>
    <s v="North East"/>
    <s v="Durham"/>
    <x v="5"/>
    <s v="45-54"/>
    <s v="Female"/>
    <s v="Ios"/>
    <s v="Iphone"/>
    <s v="2+ years"/>
    <s v="Premium"/>
    <s v="Affiliate"/>
    <x v="0"/>
    <s v="First Use"/>
    <s v="No Experiment"/>
    <s v="Control"/>
    <n v="7"/>
    <n v="4"/>
    <n v="221"/>
    <s v="Yes"/>
    <x v="0"/>
    <x v="1"/>
    <s v="No Error"/>
    <x v="0"/>
    <n v="0"/>
    <n v="0"/>
    <n v="0.37"/>
    <s v="No Support Contact"/>
    <s v="No"/>
    <s v="No Support Contact"/>
    <s v="Not Applicable"/>
    <m/>
    <s v="No drop-off"/>
    <n v="2"/>
    <n v="5"/>
    <n v="0"/>
    <x v="0"/>
    <n v="1"/>
    <n v="1"/>
    <n v="0"/>
    <n v="0"/>
  </r>
  <r>
    <s v="NSF-000479"/>
    <s v="USR-00186"/>
    <s v="SES-2505-18110"/>
    <d v="2025-05-22T00:00:00"/>
    <s v="West Midlands"/>
    <s v="Solihull"/>
    <x v="0"/>
    <s v="18-24"/>
    <s v="Female"/>
    <s v="Web"/>
    <s v="Desktop"/>
    <s v="1-2 years"/>
    <s v="Free"/>
    <s v="Paid Search"/>
    <x v="0"/>
    <s v="First Use"/>
    <s v="Progress Indicator"/>
    <s v="Treatment"/>
    <s v="7 steps"/>
    <n v="7"/>
    <n v="187"/>
    <s v="No"/>
    <x v="0"/>
    <x v="1"/>
    <s v="No Error"/>
    <x v="0"/>
    <n v="31.48"/>
    <n v="0"/>
    <n v="0"/>
    <s v="No Support Contact"/>
    <s v="No"/>
    <s v="No Support Contact"/>
    <s v="Not Applicable"/>
    <m/>
    <s v="No drop-off"/>
    <n v="4"/>
    <n v="16"/>
    <n v="0"/>
    <x v="1"/>
    <n v="1"/>
    <n v="1"/>
    <n v="0"/>
    <n v="1"/>
  </r>
  <r>
    <s v="NSF-000987"/>
    <s v="USR-00605"/>
    <s v="SES-2511-29809"/>
    <d v="2025-11-04T00:00:00"/>
    <s v="Yorkshire &amp; Humber"/>
    <s v="York"/>
    <x v="1"/>
    <s v="18-24"/>
    <s v="Female"/>
    <s v="Ios"/>
    <s v="Iphone"/>
    <s v="&lt;3 months"/>
    <s v="Free"/>
    <s v="App Store"/>
    <x v="3"/>
    <s v="Repeat Use"/>
    <s v="No Experiment"/>
    <s v="Control"/>
    <n v="6"/>
    <n v="6"/>
    <n v="120"/>
    <s v="No"/>
    <x v="0"/>
    <x v="1"/>
    <s v="No Error"/>
    <x v="1"/>
    <n v="0"/>
    <n v="0"/>
    <n v="0"/>
    <s v="Other"/>
    <s v="Yes"/>
    <s v="Other"/>
    <s v="Resolved"/>
    <n v="30"/>
    <s v="No drop-off"/>
    <n v="4"/>
    <n v="17"/>
    <n v="29"/>
    <x v="0"/>
    <n v="1"/>
    <n v="0"/>
    <n v="0"/>
    <n v="0"/>
  </r>
  <r>
    <s v="NSF-001218"/>
    <s v="USR-00271"/>
    <s v="SES-2603-81255"/>
    <d v="2026-03-12T00:00:00"/>
    <s v="Scotland"/>
    <s v="Glasgow"/>
    <x v="0"/>
    <s v="45-54"/>
    <s v="Female"/>
    <s v="Ios"/>
    <s v="Iphone"/>
    <s v="2+ years"/>
    <s v="Free"/>
    <s v="Referral"/>
    <x v="3"/>
    <s v="Repeat Use"/>
    <s v="No Experiment"/>
    <s v="Control"/>
    <n v="6"/>
    <n v="6"/>
    <n v="182"/>
    <s v="No"/>
    <x v="1"/>
    <x v="0"/>
    <s v="Friend Not Found"/>
    <x v="1"/>
    <n v="0"/>
    <n v="0"/>
    <n v="0"/>
    <s v="No Support Contact"/>
    <s v="No"/>
    <s v="No Support Contact"/>
    <s v="Not Applicable"/>
    <m/>
    <s v="No drop-off"/>
    <n v="3"/>
    <n v="-5"/>
    <s v="51 days"/>
    <x v="1"/>
    <n v="0"/>
    <n v="0"/>
    <n v="1"/>
    <n v="1"/>
  </r>
  <r>
    <s v="NSF-001105"/>
    <s v="USR-00649"/>
    <s v="SES-2601-48290"/>
    <d v="2026-01-02T00:00:00"/>
    <s v="Scotland"/>
    <s v="Glasgow"/>
    <x v="3"/>
    <s v="25-34"/>
    <s v="Male"/>
    <s v="Ios"/>
    <s v="Iphone"/>
    <s v="7-12 months"/>
    <s v="Premium"/>
    <s v="App Store"/>
    <x v="7"/>
    <s v="Repeat Use"/>
    <s v="Simplified Onboarding"/>
    <s v="Treatment"/>
    <n v="4"/>
    <n v="2"/>
    <n v="204"/>
    <s v="Yes"/>
    <x v="1"/>
    <x v="1"/>
    <s v="No Error"/>
    <x v="0"/>
    <n v="100.54"/>
    <n v="0.48"/>
    <n v="0.37"/>
    <s v="No Support Contact"/>
    <s v="No"/>
    <s v="No Support Contact"/>
    <s v="Not Applicable"/>
    <m/>
    <s v="Instructions unclear"/>
    <n v="2"/>
    <n v="6"/>
    <n v="61"/>
    <x v="0"/>
    <n v="0"/>
    <n v="1"/>
    <n v="0"/>
    <n v="0"/>
  </r>
  <r>
    <s v="NSF-000019"/>
    <s v="USR-00399"/>
    <s v="SES-2501-43951"/>
    <d v="2025-01-09T00:00:00"/>
    <s v="South East"/>
    <s v="Guildford"/>
    <x v="0"/>
    <s v="25-34"/>
    <s v="Female"/>
    <s v="Ios"/>
    <s v="Iphone"/>
    <s v="&lt;3 months"/>
    <s v="Free"/>
    <s v="Referral"/>
    <x v="0"/>
    <s v="Trial/Exploration"/>
    <s v="No Experiment"/>
    <s v="Control"/>
    <n v="7"/>
    <n v="7"/>
    <n v="130"/>
    <s v="No"/>
    <x v="0"/>
    <x v="1"/>
    <s v="No Error"/>
    <x v="0"/>
    <n v="0"/>
    <n v="0"/>
    <n v="0"/>
    <s v="No Support Contact"/>
    <s v="No"/>
    <s v="No Support Contact"/>
    <s v="Not Applicable"/>
    <m/>
    <s v="No drop-off"/>
    <n v="3"/>
    <n v="41"/>
    <n v="1"/>
    <x v="1"/>
    <n v="1"/>
    <n v="1"/>
    <n v="0"/>
    <n v="1"/>
  </r>
  <r>
    <s v="NSF-000153"/>
    <s v="USR-00743"/>
    <s v="SES-2502-70391"/>
    <d v="2025-02-24T00:00:00"/>
    <s v="North East"/>
    <s v="Sunderland"/>
    <x v="0"/>
    <s v="45-54"/>
    <s v="Male"/>
    <s v="Ios"/>
    <s v="Iphone"/>
    <s v="3-6 months"/>
    <s v="Free"/>
    <s v="Affiliate"/>
    <x v="5"/>
    <s v="First Use"/>
    <s v="Fee Transparency Panel"/>
    <s v="Control"/>
    <n v="8"/>
    <n v="8"/>
    <n v="182"/>
    <s v="No"/>
    <x v="1"/>
    <x v="1"/>
    <s v="No Error"/>
    <x v="0"/>
    <n v="316.73"/>
    <n v="2.4300000000000002"/>
    <n v="0"/>
    <s v="No Support Contact"/>
    <s v="No"/>
    <s v="No Support Contact"/>
    <s v="Not Applicable"/>
    <m/>
    <s v="No drop-off"/>
    <n v="3"/>
    <n v="-32"/>
    <n v="0"/>
    <x v="0"/>
    <n v="0"/>
    <n v="1"/>
    <n v="0"/>
    <n v="0"/>
  </r>
  <r>
    <s v="NSF-000303"/>
    <s v="USR-00437"/>
    <s v="SES-2504-65753"/>
    <d v="2025-04-23T00:00:00"/>
    <s v="West Midlands"/>
    <s v="Birmingham"/>
    <x v="0"/>
    <s v="18-24"/>
    <s v="Male"/>
    <s v="Ios"/>
    <s v="Iphone"/>
    <s v="&lt;3 months"/>
    <s v="Plus"/>
    <s v="Paid Search"/>
    <x v="2"/>
    <s v="Repeat Use"/>
    <s v="Fee Transparency Panel"/>
    <s v="Treatment"/>
    <n v="5"/>
    <n v="4"/>
    <n v="145"/>
    <s v="Yes"/>
    <x v="0"/>
    <x v="1"/>
    <s v="No Error"/>
    <x v="0"/>
    <n v="57.68"/>
    <n v="0"/>
    <n v="0.17"/>
    <s v="No Support Contact"/>
    <s v="No"/>
    <s v="No Support Contact"/>
    <s v="Not Applicable"/>
    <m/>
    <s v="No drop-off"/>
    <n v="5"/>
    <n v="50"/>
    <n v="3"/>
    <x v="1"/>
    <n v="1"/>
    <n v="1"/>
    <n v="0"/>
    <n v="1"/>
  </r>
  <r>
    <s v="NSF-000145"/>
    <s v="USR-00162"/>
    <s v="SES-2502-92203"/>
    <d v="2025-02-12T00:00:00"/>
    <s v="Scotland"/>
    <s v="Aberdeen"/>
    <x v="5"/>
    <s v="55-64"/>
    <s v="Male"/>
    <s v="Web"/>
    <s v="Mobile Browser"/>
    <s v="&lt;3 months"/>
    <s v="Free"/>
    <s v="App Store"/>
    <x v="2"/>
    <s v="First Use"/>
    <s v="No Experiment"/>
    <s v="Control"/>
    <n v="5"/>
    <n v="3"/>
    <n v="170"/>
    <s v="Yes"/>
    <x v="0"/>
    <x v="1"/>
    <s v="No Error"/>
    <x v="0"/>
    <n v="104.05"/>
    <n v="0"/>
    <n v="0"/>
    <s v="No Support Contact"/>
    <s v="No"/>
    <s v="No Support Contact"/>
    <s v="Not Applicable"/>
    <m/>
    <s v="No drop-off"/>
    <n v="3"/>
    <n v="27"/>
    <n v="0"/>
    <x v="1"/>
    <n v="1"/>
    <n v="1"/>
    <n v="0"/>
    <n v="1"/>
  </r>
  <r>
    <s v="NSF-000405"/>
    <s v="USR-00007"/>
    <s v="SES-2505-38225"/>
    <d v="2025-05-29T00:00:00"/>
    <s v="North West"/>
    <s v="Preston"/>
    <x v="0"/>
    <s v="25-34"/>
    <s v="Male"/>
    <s v="Ios"/>
    <s v="Iphone"/>
    <s v="&lt;3 months"/>
    <s v="Free"/>
    <s v="Referral"/>
    <x v="5"/>
    <s v="Repeat Use"/>
    <s v="New Cta Copy"/>
    <s v="Treatment"/>
    <n v="8"/>
    <n v="8"/>
    <n v="229"/>
    <s v="No"/>
    <x v="0"/>
    <x v="1"/>
    <s v="No Error"/>
    <x v="0"/>
    <n v="427.27"/>
    <n v="2.72"/>
    <n v="0"/>
    <s v="No Support Contact"/>
    <s v="No"/>
    <s v="No Support Contact"/>
    <s v="Not Applicable"/>
    <m/>
    <s v="No drop-off"/>
    <n v="4"/>
    <n v="55"/>
    <n v="28"/>
    <x v="1"/>
    <n v="1"/>
    <n v="1"/>
    <n v="0"/>
    <n v="1"/>
  </r>
  <r>
    <s v="NSF-001047"/>
    <s v="USR-00593"/>
    <s v="SES-2512-84895"/>
    <d v="2025-12-24T00:00:00"/>
    <s v="Wales"/>
    <s v="Swansea"/>
    <x v="5"/>
    <s v="18-24"/>
    <s v="Male"/>
    <s v="Ios"/>
    <s v="Iphone"/>
    <s v="3-6 months"/>
    <s v="Free"/>
    <s v="Direct"/>
    <x v="9"/>
    <s v="Repeat Use"/>
    <s v="Simplified Onboarding"/>
    <s v="Treatment"/>
    <n v="5"/>
    <n v="5"/>
    <n v="184"/>
    <s v="No"/>
    <x v="0"/>
    <x v="0"/>
    <s v="Mandate Not Found"/>
    <x v="1"/>
    <n v="0"/>
    <n v="0"/>
    <n v="0"/>
    <s v="Fees And Pricing"/>
    <s v="Yes"/>
    <s v="Fees And Pricing"/>
    <s v="Resolved"/>
    <n v="50"/>
    <s v="No drop-off"/>
    <n v="4"/>
    <n v="-14"/>
    <n v="60"/>
    <x v="1"/>
    <n v="1"/>
    <n v="0"/>
    <n v="1"/>
    <n v="1"/>
  </r>
  <r>
    <s v="NSF-000127"/>
    <s v="USR-00538"/>
    <s v="SES-2502-91406"/>
    <d v="2025-02-25T00:00:00"/>
    <s v="East England"/>
    <s v="Norwich"/>
    <x v="3"/>
    <s v="55-64"/>
    <s v="Male"/>
    <s v="Web"/>
    <s v="Mobile Browser"/>
    <s v="3-6 months"/>
    <s v="Free"/>
    <s v="Organic Search"/>
    <x v="1"/>
    <s v="First Use"/>
    <s v="No Experiment"/>
    <s v="Control"/>
    <n v="4"/>
    <n v="4"/>
    <n v="114"/>
    <s v="No"/>
    <x v="0"/>
    <x v="1"/>
    <s v="No Error"/>
    <x v="0"/>
    <n v="159.13999999999999"/>
    <n v="0.19"/>
    <n v="0"/>
    <s v="No Support Contact"/>
    <s v="No"/>
    <s v="No Support Contact"/>
    <s v="Not Applicable"/>
    <m/>
    <s v="No drop-off"/>
    <n v="5"/>
    <n v="-8"/>
    <n v="0"/>
    <x v="1"/>
    <n v="1"/>
    <n v="1"/>
    <n v="0"/>
    <n v="1"/>
  </r>
  <r>
    <s v="NSF-001041"/>
    <s v="USR-00252"/>
    <s v="SES-2512-72029"/>
    <d v="2025-12-20T00:00:00"/>
    <s v="East Midlands"/>
    <s v="Lincoln"/>
    <x v="2"/>
    <s v="35-44"/>
    <s v="Male"/>
    <s v="Android"/>
    <s v="Android Phone"/>
    <s v="3-6 months"/>
    <s v="Free"/>
    <s v="Referral"/>
    <x v="1"/>
    <s v="First Use"/>
    <s v="No Experiment"/>
    <s v="Control"/>
    <n v="4"/>
    <n v="4"/>
    <n v="107"/>
    <s v="No"/>
    <x v="0"/>
    <x v="0"/>
    <s v="Recipient Validation Error"/>
    <x v="1"/>
    <n v="0"/>
    <n v="0"/>
    <n v="0"/>
    <s v="No Support Contact"/>
    <s v="No"/>
    <s v="No Support Contact"/>
    <s v="Not Applicable"/>
    <m/>
    <s v="No drop-off"/>
    <n v="3"/>
    <n v="-14"/>
    <n v="0"/>
    <x v="1"/>
    <n v="1"/>
    <n v="0"/>
    <n v="1"/>
    <n v="1"/>
  </r>
  <r>
    <s v="NSF-001312"/>
    <s v="USR-00196"/>
    <s v="SES-2604-18608"/>
    <d v="2026-04-02T00:00:00"/>
    <s v="North East"/>
    <s v="Sunderland"/>
    <x v="3"/>
    <s v="25-34"/>
    <s v="Female"/>
    <s v="Ios"/>
    <s v="Iphone"/>
    <s v="&lt;3 months"/>
    <s v="Plus"/>
    <s v="Referral"/>
    <x v="8"/>
    <s v="Repeat Use"/>
    <s v="No Experiment"/>
    <s v="Control"/>
    <n v="5"/>
    <n v="3"/>
    <n v="218"/>
    <s v="Yes"/>
    <x v="1"/>
    <x v="1"/>
    <s v="No Error"/>
    <x v="1"/>
    <n v="0"/>
    <n v="0"/>
    <n v="0"/>
    <s v="Feature Navigation"/>
    <s v="Yes"/>
    <s v="Feature Navigation"/>
    <s v="Resolved"/>
    <n v="21"/>
    <s v="Too many steps"/>
    <n v="3"/>
    <n v="3"/>
    <n v="32"/>
    <x v="0"/>
    <n v="0"/>
    <n v="0"/>
    <n v="0"/>
    <n v="0"/>
  </r>
  <r>
    <s v="NSF-001413"/>
    <s v="USR-00724"/>
    <s v="SES-2605-80206"/>
    <d v="2026-05-25T00:00:00"/>
    <s v="Scotland"/>
    <s v="Glasgow"/>
    <x v="3"/>
    <s v="45-54"/>
    <s v="Male"/>
    <s v="Android"/>
    <s v="Android Phone"/>
    <s v="7-12 months"/>
    <s v="Plus"/>
    <s v="Paid Social"/>
    <x v="0"/>
    <s v="Repeat Use"/>
    <s v="Simplified Onboarding"/>
    <s v="Treatment"/>
    <n v="7"/>
    <n v="7"/>
    <n v="174"/>
    <s v="No"/>
    <x v="1"/>
    <x v="0"/>
    <s v="Bank Feed Mismatch"/>
    <x v="1"/>
    <n v="0"/>
    <n v="0"/>
    <n v="0"/>
    <s v="Transaction Failure"/>
    <s v="Yes"/>
    <s v="Transaction Failure"/>
    <s v="Resolved"/>
    <n v="28"/>
    <s v="No drop-off"/>
    <n v="3"/>
    <n v="-21"/>
    <n v="14"/>
    <x v="0"/>
    <n v="0"/>
    <n v="0"/>
    <n v="1"/>
    <n v="0"/>
  </r>
  <r>
    <s v="NSF-001353"/>
    <s v="USR-00342"/>
    <s v="SES-2604-80907"/>
    <d v="2026-04-25T00:00:00"/>
    <s v="East Midlands"/>
    <s v="Leicester"/>
    <x v="2"/>
    <s v="18-24"/>
    <s v="Female"/>
    <s v="Ios"/>
    <s v="Iphone"/>
    <s v="&lt;3 months"/>
    <s v="Plus"/>
    <s v="Organic Search"/>
    <x v="0"/>
    <s v="Repeat Use"/>
    <s v="Contextual Help"/>
    <s v="Treatment"/>
    <n v="7"/>
    <n v="7"/>
    <n v="220"/>
    <s v="No"/>
    <x v="0"/>
    <x v="1"/>
    <s v="No Error"/>
    <x v="0"/>
    <n v="0"/>
    <n v="0"/>
    <n v="0.17"/>
    <s v="No Support Contact"/>
    <s v="No"/>
    <s v="No Support Contact"/>
    <s v="Not Applicable"/>
    <m/>
    <s v="No drop-off"/>
    <n v="4"/>
    <n v="8"/>
    <n v="35"/>
    <x v="1"/>
    <n v="1"/>
    <n v="1"/>
    <n v="0"/>
    <n v="1"/>
  </r>
  <r>
    <s v="NSF-000343"/>
    <s v="USR-00028"/>
    <s v="SES-2504-40355"/>
    <d v="2025-04-10T00:00:00"/>
    <s v="Yorkshire &amp; Humber"/>
    <s v="Leeds"/>
    <x v="5"/>
    <s v="25-34"/>
    <s v="Female"/>
    <s v="Ios"/>
    <s v="Iphone"/>
    <s v="3-6 months"/>
    <s v="Plus"/>
    <s v="Affiliate"/>
    <x v="2"/>
    <s v="Repeat Use"/>
    <s v="No Experiment"/>
    <s v="Control"/>
    <n v="5"/>
    <n v="5"/>
    <n v="160"/>
    <s v="No"/>
    <x v="0"/>
    <x v="0"/>
    <s v="Goal Setup Confusion"/>
    <x v="1"/>
    <n v="0"/>
    <n v="0"/>
    <n v="0"/>
    <s v="No Support Contact"/>
    <s v="No"/>
    <s v="No Support Contact"/>
    <s v="Not Applicable"/>
    <m/>
    <s v="No drop-off"/>
    <n v="2"/>
    <n v="39"/>
    <n v="29"/>
    <x v="1"/>
    <n v="1"/>
    <n v="0"/>
    <n v="1"/>
    <n v="1"/>
  </r>
  <r>
    <s v="NSF-001044"/>
    <s v="USR-00859"/>
    <s v="SES-2512-32518"/>
    <d v="2025-12-31T00:00:00"/>
    <s v="London"/>
    <s v="Hammersmith"/>
    <x v="3"/>
    <s v="45-54"/>
    <s v="Male"/>
    <s v="Web"/>
    <s v="Desktop"/>
    <s v="7-12 months"/>
    <s v="Plus"/>
    <s v="App Store"/>
    <x v="5"/>
    <s v="Reactivated"/>
    <s v="New Cta Copy"/>
    <s v="Treatment"/>
    <n v="8"/>
    <n v="8"/>
    <n v="171"/>
    <s v="No"/>
    <x v="0"/>
    <x v="1"/>
    <s v="No Error"/>
    <x v="1"/>
    <n v="0"/>
    <n v="0"/>
    <n v="0"/>
    <s v="Other"/>
    <s v="Yes"/>
    <s v="Other"/>
    <s v="Resolved"/>
    <n v="17"/>
    <s v="No drop-off"/>
    <n v="4"/>
    <n v="43"/>
    <n v="44"/>
    <x v="1"/>
    <n v="1"/>
    <n v="0"/>
    <n v="0"/>
    <n v="1"/>
  </r>
  <r>
    <s v="NSF-000688"/>
    <s v="USR-00227"/>
    <s v="SES-2508-84467"/>
    <d v="2025-08-16T00:00:00"/>
    <s v="North West"/>
    <s v="Liverpool"/>
    <x v="1"/>
    <s v="25-34"/>
    <s v="Male"/>
    <s v="Ios"/>
    <s v="Iphone"/>
    <s v="2+ years"/>
    <s v="Free"/>
    <s v="Paid Search"/>
    <x v="7"/>
    <s v="Reactivated"/>
    <s v="Simplified Onboarding"/>
    <s v="Control"/>
    <n v="4"/>
    <n v="2"/>
    <n v="164"/>
    <s v="Yes"/>
    <x v="0"/>
    <x v="1"/>
    <s v="No Error"/>
    <x v="1"/>
    <n v="0"/>
    <n v="0"/>
    <n v="0"/>
    <s v="No Support Contact"/>
    <s v="No"/>
    <s v="No Support Contact"/>
    <s v="Not Applicable"/>
    <m/>
    <s v="No drop-off"/>
    <n v="4"/>
    <n v="4"/>
    <n v="24"/>
    <x v="0"/>
    <n v="1"/>
    <n v="0"/>
    <n v="0"/>
    <n v="0"/>
  </r>
  <r>
    <s v="NSF-001340"/>
    <s v="USR-00620"/>
    <s v="SES-2604-72128"/>
    <d v="2026-04-18T00:00:00"/>
    <s v="West Midlands"/>
    <s v="Coventry"/>
    <x v="7"/>
    <s v="25-34"/>
    <s v="Female"/>
    <s v="Ios"/>
    <s v="Iphone"/>
    <s v="3-6 months"/>
    <s v="Plus"/>
    <s v="Affiliate"/>
    <x v="1"/>
    <s v="Trial/Exploration"/>
    <s v="New Cta Copy"/>
    <s v="Treatment"/>
    <n v="4"/>
    <n v="4"/>
    <n v="86"/>
    <s v="No"/>
    <x v="1"/>
    <x v="1"/>
    <s v="No Error"/>
    <x v="0"/>
    <n v="86.88"/>
    <n v="0.2"/>
    <n v="0.17"/>
    <s v="No Support Contact"/>
    <s v="No"/>
    <s v="No Support Contact"/>
    <s v="Not Applicable"/>
    <m/>
    <s v="No drop-off"/>
    <n v="4"/>
    <n v="41"/>
    <n v="40"/>
    <x v="1"/>
    <n v="0"/>
    <n v="1"/>
    <n v="0"/>
    <n v="1"/>
  </r>
  <r>
    <s v="NSF-000707"/>
    <s v="USR-00107"/>
    <s v="SES-2508-57937"/>
    <d v="2025-08-19T00:00:00"/>
    <s v="West Midlands"/>
    <s v="Wolverhampton"/>
    <x v="2"/>
    <s v="55-64"/>
    <s v="Female"/>
    <s v="Android"/>
    <s v="Android Phone"/>
    <s v="&lt;3 months"/>
    <s v="Unknown"/>
    <s v="Organic Search"/>
    <x v="10"/>
    <s v="Repeat Use"/>
    <s v="Progress Indicator"/>
    <s v="Control"/>
    <n v="9"/>
    <n v="9"/>
    <n v="263"/>
    <s v="No"/>
    <x v="0"/>
    <x v="0"/>
    <s v="Eligibility Unclear"/>
    <x v="1"/>
    <n v="0"/>
    <n v="0"/>
    <n v="0"/>
    <s v="No Support Contact"/>
    <s v="No"/>
    <s v="No Support Contact"/>
    <s v="Not Applicable"/>
    <m/>
    <s v="No drop-off"/>
    <n v="1"/>
    <n v="-13"/>
    <n v="65"/>
    <x v="1"/>
    <n v="1"/>
    <n v="0"/>
    <n v="1"/>
    <n v="1"/>
  </r>
  <r>
    <s v="NSF-001263"/>
    <s v="usr-00134"/>
    <s v="SES-2603-36799"/>
    <d v="2026-03-26T00:00:00"/>
    <s v="Yorkshire &amp; Humber"/>
    <s v="Leeds"/>
    <x v="3"/>
    <s v="35-44"/>
    <s v="Male"/>
    <s v="Ios"/>
    <s v="Iphone"/>
    <s v="&lt;3 months"/>
    <s v="Plus"/>
    <s v="Referral"/>
    <x v="8"/>
    <s v="Trial/Exploration"/>
    <s v="No Experiment"/>
    <s v="Control"/>
    <n v="5"/>
    <n v="5"/>
    <n v="102"/>
    <s v="No"/>
    <x v="0"/>
    <x v="1"/>
    <s v="No Error"/>
    <x v="0"/>
    <n v="125.8"/>
    <n v="0"/>
    <n v="0.17"/>
    <s v="No Support Contact"/>
    <s v="No"/>
    <s v="No Support Contact"/>
    <s v="Not Applicable"/>
    <m/>
    <s v="No drop-off"/>
    <n v="5"/>
    <n v="-52"/>
    <n v="31"/>
    <x v="1"/>
    <n v="1"/>
    <n v="1"/>
    <n v="0"/>
    <n v="1"/>
  </r>
  <r>
    <s v="NSF-000998"/>
    <s v="USR-00458"/>
    <s v="SES-2512-65489"/>
    <d v="2025-12-16T00:00:00"/>
    <s v="London"/>
    <s v="Croydon"/>
    <x v="2"/>
    <s v="25-34"/>
    <s v="Female"/>
    <s v="Ios"/>
    <s v="Iphone"/>
    <s v="7-12 months"/>
    <s v="Free"/>
    <s v="Referral"/>
    <x v="2"/>
    <s v="Reactivated"/>
    <s v="No Experiment"/>
    <s v="Control"/>
    <n v="5"/>
    <s v="5 steps"/>
    <n v="97"/>
    <s v="No"/>
    <x v="0"/>
    <x v="1"/>
    <s v="No Error"/>
    <x v="0"/>
    <n v="116.05"/>
    <n v="0"/>
    <n v="0"/>
    <s v="No Support Contact"/>
    <s v="No"/>
    <s v="No Support Contact"/>
    <s v="Not Applicable"/>
    <m/>
    <s v="No drop-off"/>
    <n v="4"/>
    <n v="63"/>
    <n v="40"/>
    <x v="1"/>
    <n v="1"/>
    <n v="1"/>
    <n v="0"/>
    <n v="1"/>
  </r>
  <r>
    <s v="NSF-000401"/>
    <s v="USR-00610"/>
    <s v="SES-2505-42992"/>
    <d v="2025-05-30T00:00:00"/>
    <s v="Northern Ireland"/>
    <s v="Lisburn"/>
    <x v="5"/>
    <s v="25-34"/>
    <s v="Female"/>
    <s v="Android"/>
    <s v="Android Tablet"/>
    <s v="2+ years"/>
    <s v="Free"/>
    <s v="Affiliate"/>
    <x v="8"/>
    <s v="Repeat Use"/>
    <s v="No Experiment"/>
    <s v="Control"/>
    <n v="5"/>
    <n v="5"/>
    <n v="97"/>
    <s v="No"/>
    <x v="1"/>
    <x v="1"/>
    <s v="No Error"/>
    <x v="0"/>
    <n v="105.45"/>
    <n v="0"/>
    <n v="0"/>
    <s v="No Support Contact"/>
    <s v="No"/>
    <s v="No Support Contact"/>
    <s v="Not Applicable"/>
    <m/>
    <s v="No drop-off"/>
    <n v="4"/>
    <n v="9"/>
    <n v="33"/>
    <x v="1"/>
    <n v="0"/>
    <n v="1"/>
    <n v="0"/>
    <n v="1"/>
  </r>
  <r>
    <s v="NSF-001127"/>
    <s v="USR-00197"/>
    <s v="SES-2601-54957"/>
    <d v="2026-01-29T00:00:00"/>
    <s v="West Midlands"/>
    <s v="Coventry"/>
    <x v="0"/>
    <s v="55-64"/>
    <s v="Female"/>
    <s v="Android"/>
    <s v="Android Phone"/>
    <s v="3-6 months"/>
    <s v="Plus"/>
    <s v="App Store"/>
    <x v="7"/>
    <s v="Reactivated"/>
    <s v="No Experiment"/>
    <s v="Control"/>
    <n v="4"/>
    <n v="3"/>
    <n v="152"/>
    <s v="Yes"/>
    <x v="0"/>
    <x v="1"/>
    <s v="No Error"/>
    <x v="0"/>
    <n v="121.02"/>
    <n v="0.45"/>
    <n v="0.17"/>
    <s v="No Support Contact"/>
    <s v="No"/>
    <s v="No Support Contact"/>
    <s v="Not Applicable"/>
    <m/>
    <s v="No drop-off"/>
    <n v="3"/>
    <n v="23"/>
    <n v="4"/>
    <x v="1"/>
    <n v="1"/>
    <n v="1"/>
    <n v="0"/>
    <n v="1"/>
  </r>
  <r>
    <s v="NSF-001251"/>
    <s v="USR-00119"/>
    <s v="SES-2606-00006"/>
    <d v="2026-03-05T00:00:00"/>
    <s v="Northern Ireland"/>
    <s v="Lisburn"/>
    <x v="0"/>
    <s v="35-44"/>
    <s v="Female"/>
    <s v="Android"/>
    <s v="Android Phone"/>
    <s v="2+ years"/>
    <s v="Plus"/>
    <s v="Organic Search"/>
    <x v="3"/>
    <s v="Repeat Use"/>
    <s v="Simplified Onboarding"/>
    <s v="Treatment"/>
    <n v="6"/>
    <n v="6"/>
    <n v="171"/>
    <s v="No"/>
    <x v="0"/>
    <x v="1"/>
    <s v="No Error"/>
    <x v="0"/>
    <n v="0.51"/>
    <n v="0.11"/>
    <n v="0.17"/>
    <s v="No Support Contact"/>
    <s v="No"/>
    <s v="No Support Contact"/>
    <s v="Not Applicable"/>
    <m/>
    <s v="No drop-off"/>
    <n v="5"/>
    <n v="23"/>
    <s v="68 days"/>
    <x v="1"/>
    <n v="1"/>
    <n v="1"/>
    <n v="0"/>
    <n v="1"/>
  </r>
  <r>
    <s v="NSF-000850"/>
    <s v="USR-00800"/>
    <s v="SES-2510-39844"/>
    <d v="2025-10-14T00:00:00"/>
    <s v="West Midlands"/>
    <s v="Coventry"/>
    <x v="0"/>
    <s v="25-34"/>
    <s v="Female"/>
    <s v="Android"/>
    <s v="Android Phone"/>
    <s v="3-6 months"/>
    <s v="Free"/>
    <s v="Paid Search"/>
    <x v="7"/>
    <s v="Repeat Use"/>
    <s v="Progress Indicator"/>
    <s v="Control"/>
    <n v="4"/>
    <n v="4"/>
    <n v="74"/>
    <s v="No"/>
    <x v="0"/>
    <x v="1"/>
    <s v="No Error"/>
    <x v="0"/>
    <n v="84.18"/>
    <n v="0.44"/>
    <n v="0"/>
    <s v="No Support Contact"/>
    <s v="No"/>
    <s v="No Support Contact"/>
    <s v="Not Applicable"/>
    <m/>
    <s v="No drop-off"/>
    <n v="4"/>
    <n v="36"/>
    <n v="38"/>
    <x v="0"/>
    <n v="1"/>
    <n v="1"/>
    <n v="0"/>
    <n v="0"/>
  </r>
  <r>
    <s v="NSF-000106"/>
    <s v="USR-00038"/>
    <s v="SES-2502-92333"/>
    <d v="2025-02-13T00:00:00"/>
    <s v="London"/>
    <s v="Croydon"/>
    <x v="0"/>
    <s v="25-34"/>
    <s v="Female"/>
    <s v="Ios"/>
    <s v="Iphone"/>
    <s v="3-6 months"/>
    <s v="Premium"/>
    <s v="Employer Partnership"/>
    <x v="7"/>
    <s v="First Use"/>
    <s v="Simplified Onboarding"/>
    <s v="Control"/>
    <n v="4"/>
    <n v="4"/>
    <n v="115"/>
    <s v="No"/>
    <x v="0"/>
    <x v="1"/>
    <s v="No Error"/>
    <x v="0"/>
    <n v="151.69999999999999"/>
    <n v="0.52"/>
    <n v="0.37"/>
    <s v="No Support Contact"/>
    <s v="No"/>
    <s v="No Support Contact"/>
    <s v="Not Applicable"/>
    <m/>
    <s v="No drop-off"/>
    <n v="4"/>
    <n v="61"/>
    <n v="0"/>
    <x v="1"/>
    <n v="1"/>
    <n v="1"/>
    <n v="0"/>
    <n v="1"/>
  </r>
  <r>
    <s v="NSF-000374"/>
    <s v="USR-00023"/>
    <s v="SES-2504-41129"/>
    <d v="2025-04-26T00:00:00"/>
    <s v="East Midlands"/>
    <s v="Lincoln"/>
    <x v="0"/>
    <s v="18-24"/>
    <s v="Female"/>
    <s v="Ios"/>
    <s v="Iphone"/>
    <s v="2+ years"/>
    <s v="Free"/>
    <s v="Paid Search"/>
    <x v="1"/>
    <s v="Reactivated"/>
    <s v="No Experiment"/>
    <s v="Control"/>
    <n v="4"/>
    <s v="many"/>
    <n v="93"/>
    <s v="No"/>
    <x v="0"/>
    <x v="1"/>
    <s v="No Error"/>
    <x v="0"/>
    <n v="199.68"/>
    <n v="0.18"/>
    <n v="0"/>
    <s v="No Support Contact"/>
    <s v="No"/>
    <s v="No Support Contact"/>
    <s v="Not Applicable"/>
    <m/>
    <s v="No drop-off"/>
    <n v="5"/>
    <n v="-2"/>
    <n v="46"/>
    <x v="1"/>
    <n v="1"/>
    <n v="1"/>
    <n v="0"/>
    <n v="1"/>
  </r>
  <r>
    <s v="NSF-000413"/>
    <s v="USR-00103"/>
    <s v="SES-2505-90323"/>
    <d v="2025-05-22T00:00:00"/>
    <s v="North East"/>
    <s v="Middlesbrough"/>
    <x v="5"/>
    <s v="45-54"/>
    <s v="Male"/>
    <s v="Android"/>
    <s v="Android Phone"/>
    <s v="&lt;3 months"/>
    <s v="Free"/>
    <s v="Organic Search"/>
    <x v="4"/>
    <s v="Reactivated"/>
    <s v="Simplified Onboarding"/>
    <s v="Control"/>
    <n v="6"/>
    <n v="6"/>
    <n v="0"/>
    <s v="No"/>
    <x v="0"/>
    <x v="1"/>
    <s v="No Error"/>
    <x v="0"/>
    <n v="1.01"/>
    <n v="0"/>
    <n v="0"/>
    <s v="No Support Contact"/>
    <s v="No"/>
    <s v="No Support Contact"/>
    <s v="Not Applicable"/>
    <m/>
    <s v="No drop-off"/>
    <n v="4"/>
    <n v="-23"/>
    <n v="28"/>
    <x v="0"/>
    <n v="1"/>
    <n v="1"/>
    <n v="0"/>
    <n v="0"/>
  </r>
  <r>
    <s v="NSF-000519"/>
    <s v="USR-00164"/>
    <s v="SES-2506-68857"/>
    <d v="2025-06-19T00:00:00"/>
    <s v="Yorkshire &amp; Humber"/>
    <s v="York"/>
    <x v="0"/>
    <s v="25-34"/>
    <s v="Male"/>
    <s v="Ios"/>
    <s v="Iphone"/>
    <s v="3-6 months"/>
    <s v="Plus"/>
    <s v="Paid Social"/>
    <x v="4"/>
    <s v="Repeat Use"/>
    <s v="New Cta Copy"/>
    <s v="Treatment"/>
    <n v="6"/>
    <n v="6"/>
    <n v="109"/>
    <s v="No"/>
    <x v="0"/>
    <x v="1"/>
    <s v="No Error"/>
    <x v="0"/>
    <n v="0"/>
    <n v="0"/>
    <n v="0.17"/>
    <s v="No Support Contact"/>
    <s v="No"/>
    <s v="No Support Contact"/>
    <s v="Not Applicable"/>
    <m/>
    <s v="No drop-off"/>
    <n v="5"/>
    <n v="66"/>
    <n v="40"/>
    <x v="1"/>
    <n v="1"/>
    <n v="1"/>
    <n v="0"/>
    <n v="1"/>
  </r>
  <r>
    <s v="NSF-001397"/>
    <s v="USR-00434"/>
    <s v="SES-2605-47396"/>
    <d v="2026-05-24T00:00:00"/>
    <s v="West Midlands"/>
    <s v="Wolverhampton"/>
    <x v="0"/>
    <s v="55-64"/>
    <s v="Female"/>
    <s v="Ios"/>
    <s v="Iphone"/>
    <s v="1-2 years"/>
    <s v="Free"/>
    <s v="Organic Search"/>
    <x v="2"/>
    <s v="Repeat Use"/>
    <s v="No Experiment"/>
    <s v="Control"/>
    <n v="5"/>
    <n v="5"/>
    <n v="105"/>
    <s v="No"/>
    <x v="0"/>
    <x v="1"/>
    <s v="No Error"/>
    <x v="0"/>
    <n v="104.07"/>
    <n v="0"/>
    <n v="0"/>
    <s v="No Support Contact"/>
    <s v="No"/>
    <s v="No Support Contact"/>
    <s v="Not Applicable"/>
    <m/>
    <s v="No drop-off"/>
    <n v="5"/>
    <n v="39"/>
    <n v="82"/>
    <x v="1"/>
    <n v="1"/>
    <n v="1"/>
    <n v="0"/>
    <n v="1"/>
  </r>
  <r>
    <s v="NSF-000222"/>
    <s v="USR-00544"/>
    <s v="SES-2503-48080"/>
    <d v="2025-03-26T00:00:00"/>
    <s v="Wales"/>
    <s v="Wrexham"/>
    <x v="4"/>
    <s v="25-34"/>
    <s v="Male"/>
    <s v="Ios"/>
    <s v="Iphone"/>
    <s v="2+ years"/>
    <s v="Free"/>
    <s v="Paid Social"/>
    <x v="3"/>
    <s v="Repeat Use"/>
    <s v="No Experiment"/>
    <s v="Control"/>
    <n v="6"/>
    <s v="6 steps"/>
    <n v="-30"/>
    <s v="No"/>
    <x v="1"/>
    <x v="1"/>
    <s v="No Error"/>
    <x v="1"/>
    <n v="0"/>
    <n v="0"/>
    <n v="0"/>
    <s v="Feature Navigation"/>
    <s v="Yes"/>
    <s v="Feature Navigation"/>
    <s v="Resolved"/>
    <n v="-5"/>
    <s v="No drop-off"/>
    <n v="3"/>
    <n v="9"/>
    <n v="21"/>
    <x v="0"/>
    <n v="0"/>
    <n v="0"/>
    <n v="0"/>
    <n v="0"/>
  </r>
  <r>
    <s v="NSF-001049"/>
    <s v="USR-00626"/>
    <s v="SES-2512-67706"/>
    <d v="2025-12-01T00:00:00"/>
    <s v="South East"/>
    <s v="Canterbury"/>
    <x v="2"/>
    <s v="25-34"/>
    <s v="Male"/>
    <s v="Ios"/>
    <s v="Iphone"/>
    <s v="3-6 months"/>
    <s v="Plus"/>
    <s v="Employer Partnership"/>
    <x v="9"/>
    <s v="Repeat Use"/>
    <s v="Fee Transparency Panel"/>
    <s v="Control"/>
    <n v="5"/>
    <n v="4"/>
    <n v="187"/>
    <s v="Yes"/>
    <x v="1"/>
    <x v="1"/>
    <s v="No Error"/>
    <x v="0"/>
    <n v="0.16"/>
    <n v="0"/>
    <n v="0.17"/>
    <s v="No Support Contact"/>
    <s v="No"/>
    <s v="No Support Contact"/>
    <s v="Not Applicable"/>
    <m/>
    <s v="No drop-off"/>
    <n v="4"/>
    <n v="-5"/>
    <s v="48 days"/>
    <x v="0"/>
    <n v="0"/>
    <n v="1"/>
    <n v="0"/>
    <n v="0"/>
  </r>
  <r>
    <s v="NSF-001306"/>
    <s v="USR-00092"/>
    <s v="SES-2604-37272"/>
    <d v="2026-04-16T00:00:00"/>
    <s v="West Midlands"/>
    <s v="Wolverhampton"/>
    <x v="2"/>
    <s v="35-44"/>
    <s v="Female"/>
    <s v="Android"/>
    <s v="Android Phone"/>
    <s v="&lt;3 months"/>
    <s v="Free"/>
    <s v="Organic Search"/>
    <x v="7"/>
    <s v="Repeat Use"/>
    <s v="Unknown"/>
    <s v="Control"/>
    <n v="4"/>
    <n v="4"/>
    <n v="116"/>
    <s v="No"/>
    <x v="1"/>
    <x v="0"/>
    <s v="Card Activation Failed"/>
    <x v="1"/>
    <n v="0"/>
    <n v="0"/>
    <n v="0"/>
    <s v="No Support Contact"/>
    <s v="No"/>
    <s v="No Support Contact"/>
    <s v="Not Applicable"/>
    <m/>
    <s v="Technical error"/>
    <n v="2"/>
    <n v="43"/>
    <n v="66"/>
    <x v="0"/>
    <n v="0"/>
    <n v="0"/>
    <n v="1"/>
    <n v="0"/>
  </r>
  <r>
    <s v="NSF-000612"/>
    <s v="USR-00853"/>
    <s v="SES-2507-92003"/>
    <d v="2025-07-19T00:00:00"/>
    <s v="London"/>
    <s v="Camden"/>
    <x v="2"/>
    <s v="25-34"/>
    <s v="Female"/>
    <s v="Android"/>
    <s v="Android Phone"/>
    <s v="1-2 years"/>
    <s v="Free"/>
    <s v="Affiliate"/>
    <x v="5"/>
    <s v="Reactivated"/>
    <s v="Unknown"/>
    <s v="Treatment"/>
    <n v="8"/>
    <n v="4"/>
    <n v="424"/>
    <s v="Yes"/>
    <x v="1"/>
    <x v="0"/>
    <s v="Recipient Details Rejected"/>
    <x v="1"/>
    <n v="0"/>
    <n v="0"/>
    <n v="0"/>
    <s v="No Support Contact"/>
    <s v="No"/>
    <s v="No Support Contact"/>
    <s v="Not Applicable"/>
    <m/>
    <s v="Technical error"/>
    <n v="2"/>
    <n v="-12"/>
    <n v="19"/>
    <x v="0"/>
    <n v="0"/>
    <n v="0"/>
    <n v="1"/>
    <n v="0"/>
  </r>
  <r>
    <s v="NSF-000402"/>
    <s v="USR-00832"/>
    <s v="SES-2505-34771"/>
    <d v="2025-05-03T00:00:00"/>
    <s v="East England"/>
    <s v="Luton"/>
    <x v="2"/>
    <s v="25-34"/>
    <s v="Female"/>
    <s v="Web"/>
    <s v="Desktop"/>
    <s v="2+ years"/>
    <s v="Free"/>
    <s v="Paid Social"/>
    <x v="1"/>
    <s v="First Use"/>
    <s v="No Experiment"/>
    <s v="Control"/>
    <n v="4"/>
    <n v="4"/>
    <n v="95"/>
    <s v="No"/>
    <x v="1"/>
    <x v="1"/>
    <s v="No Error"/>
    <x v="0"/>
    <n v="86.89"/>
    <n v="0.22"/>
    <n v="0"/>
    <s v="No Support Contact"/>
    <s v="No"/>
    <s v="No Support Contact"/>
    <s v="Not Applicable"/>
    <m/>
    <s v="No drop-off"/>
    <n v="4"/>
    <n v="99"/>
    <n v="0"/>
    <x v="0"/>
    <n v="0"/>
    <n v="1"/>
    <n v="0"/>
    <n v="0"/>
  </r>
  <r>
    <s v="NSF-000307"/>
    <s v="USR-00541"/>
    <s v="SES-2504-60292"/>
    <d v="2025-04-21T00:00:00"/>
    <s v="South West"/>
    <s v="Exeter"/>
    <x v="0"/>
    <s v="25-34"/>
    <s v="Female"/>
    <s v="Android"/>
    <s v="Android Phone"/>
    <s v="7-12 months"/>
    <s v="Free"/>
    <s v="Referral"/>
    <x v="10"/>
    <s v="First Use"/>
    <s v="No Experiment"/>
    <s v="Control"/>
    <n v="9"/>
    <n v="9"/>
    <n v="162"/>
    <s v="No"/>
    <x v="1"/>
    <x v="1"/>
    <s v="No Error"/>
    <x v="1"/>
    <n v="0"/>
    <n v="0"/>
    <n v="0"/>
    <s v="No Support Contact"/>
    <s v="Unknown"/>
    <s v="No Support Contact"/>
    <s v="Not Applicable"/>
    <m/>
    <s v="No drop-off"/>
    <n v="3"/>
    <n v="-7"/>
    <n v="0"/>
    <x v="0"/>
    <n v="0"/>
    <n v="0"/>
    <n v="0"/>
    <n v="0"/>
  </r>
  <r>
    <s v="NSF-001398"/>
    <s v="USR-00156"/>
    <s v="SES-2605-54761"/>
    <d v="2026-05-26T00:00:00"/>
    <s v="South East"/>
    <s v="Oxford"/>
    <x v="2"/>
    <s v="25-34"/>
    <s v="Female"/>
    <s v="Android"/>
    <s v="Android Phone"/>
    <s v="3-6 months"/>
    <s v="Free"/>
    <s v="Paid Search"/>
    <x v="1"/>
    <s v="Repeat Use"/>
    <s v="No Experiment"/>
    <s v="Control"/>
    <n v="4"/>
    <n v="4"/>
    <n v="103"/>
    <s v="No"/>
    <x v="0"/>
    <x v="1"/>
    <s v="No Error"/>
    <x v="0"/>
    <n v="122.83"/>
    <n v="0.22"/>
    <n v="0"/>
    <s v="No Support Contact"/>
    <s v="No"/>
    <s v="No Support Contact"/>
    <s v="Not Applicable"/>
    <m/>
    <s v="No drop-off"/>
    <n v="4"/>
    <n v="150"/>
    <n v="37"/>
    <x v="1"/>
    <n v="1"/>
    <n v="1"/>
    <n v="0"/>
    <n v="1"/>
  </r>
  <r>
    <s v="NSF-000253"/>
    <s v="USR-00501"/>
    <s v="SES-2503-76441"/>
    <d v="2025-03-05T00:00:00"/>
    <s v="North East"/>
    <s v="Durham"/>
    <x v="2"/>
    <s v="35-44"/>
    <s v="Male"/>
    <s v="Android"/>
    <s v="Android Phone"/>
    <s v="3-6 months"/>
    <s v="Free"/>
    <s v="Direct"/>
    <x v="1"/>
    <s v="Reactivated"/>
    <s v="Simplified Onboarding"/>
    <s v="Control"/>
    <n v="4"/>
    <n v="4"/>
    <n v="105"/>
    <s v="No"/>
    <x v="0"/>
    <x v="1"/>
    <s v="No Error"/>
    <x v="0"/>
    <n v="142.22"/>
    <n v="0.2"/>
    <n v="0"/>
    <s v="Transaction Failure"/>
    <s v="Yes"/>
    <s v="Transaction Failure"/>
    <s v="Resolved"/>
    <n v="37"/>
    <s v="No drop-off"/>
    <n v="5"/>
    <n v="41"/>
    <s v="37 days"/>
    <x v="1"/>
    <n v="1"/>
    <n v="1"/>
    <n v="0"/>
    <n v="1"/>
  </r>
  <r>
    <s v="NSF-000669"/>
    <s v="USR-00145"/>
    <s v="SES-2508-11389"/>
    <d v="2025-08-24T00:00:00"/>
    <s v="South East"/>
    <s v="Reading"/>
    <x v="0"/>
    <s v="25-34"/>
    <s v="Female"/>
    <s v="Ios"/>
    <s v="Ipad"/>
    <s v="7-12 months"/>
    <s v="Free"/>
    <s v="App Store"/>
    <x v="2"/>
    <s v="Repeat Use"/>
    <s v="No Experiment"/>
    <s v="Control"/>
    <s v="5 steps"/>
    <n v="5"/>
    <n v="133"/>
    <s v="No"/>
    <x v="0"/>
    <x v="1"/>
    <s v="No Error"/>
    <x v="0"/>
    <n v="55.93"/>
    <n v="0"/>
    <n v="0"/>
    <s v="No Support Contact"/>
    <s v="No"/>
    <s v="No Support Contact"/>
    <s v="Not Applicable"/>
    <m/>
    <s v="No drop-off"/>
    <n v="3"/>
    <n v="4"/>
    <n v="36"/>
    <x v="0"/>
    <n v="1"/>
    <n v="1"/>
    <n v="0"/>
    <n v="0"/>
  </r>
  <r>
    <s v="NSF-000771"/>
    <s v="USR-00796"/>
    <s v="SES-2509-54581"/>
    <d v="2025-09-17T00:00:00"/>
    <s v="Yorkshire &amp; Humber"/>
    <s v="Hull"/>
    <x v="4"/>
    <s v="45-54"/>
    <s v="Female"/>
    <s v="Ios"/>
    <s v="Iphone"/>
    <s v="&lt;3 months"/>
    <s v="Free"/>
    <s v="Direct"/>
    <x v="7"/>
    <s v="Trial/Exploration"/>
    <s v="New Cta Copy"/>
    <s v="Control"/>
    <n v="4"/>
    <n v="4"/>
    <n v="88"/>
    <s v="No"/>
    <x v="0"/>
    <x v="1"/>
    <s v="No Error"/>
    <x v="1"/>
    <n v="0"/>
    <n v="0"/>
    <n v="0"/>
    <s v="No Support Contact"/>
    <s v="No"/>
    <s v="No Support Contact"/>
    <s v="Not Applicable"/>
    <m/>
    <s v="No drop-off"/>
    <n v="5"/>
    <n v="37"/>
    <n v="13"/>
    <x v="1"/>
    <n v="1"/>
    <n v="0"/>
    <n v="0"/>
    <n v="1"/>
  </r>
  <r>
    <s v="NSF-000187"/>
    <s v="USR-00330"/>
    <s v="SES-2502-59375"/>
    <d v="2025-02-21T00:00:00"/>
    <s v="Northern Ireland"/>
    <s v="Lisburn"/>
    <x v="1"/>
    <s v="25-34"/>
    <s v="Female"/>
    <s v="Web"/>
    <s v="Desktop"/>
    <s v="&lt;3 months"/>
    <s v="Plus"/>
    <s v="Paid Search"/>
    <x v="9"/>
    <s v="Repeat Use"/>
    <s v="No Experiment"/>
    <s v="Control"/>
    <n v="5"/>
    <n v="5"/>
    <n v="144"/>
    <s v="No"/>
    <x v="0"/>
    <x v="1"/>
    <s v="No Error"/>
    <x v="0"/>
    <n v="150.9"/>
    <n v="0"/>
    <n v="0.17"/>
    <s v="No Support Contact"/>
    <s v="No"/>
    <s v="No Support Contact"/>
    <s v="Not Applicable"/>
    <m/>
    <s v="No drop-off"/>
    <n v="4"/>
    <n v="14"/>
    <s v="16 days"/>
    <x v="1"/>
    <n v="1"/>
    <n v="1"/>
    <n v="0"/>
    <n v="1"/>
  </r>
  <r>
    <s v="NSF-000863"/>
    <s v="USR-00106"/>
    <s v="SES-2510-49375"/>
    <d v="2025-10-26T00:00:00"/>
    <s v="West Midlands"/>
    <s v="Solihull"/>
    <x v="0"/>
    <s v="18-24"/>
    <s v="Male"/>
    <s v="Android"/>
    <s v="Android Phone"/>
    <s v="2+ years"/>
    <s v="Premium"/>
    <s v="Direct"/>
    <x v="1"/>
    <s v="Reactivated"/>
    <s v="No Experiment"/>
    <s v="Control"/>
    <n v="4"/>
    <n v="4"/>
    <n v="100"/>
    <s v="No"/>
    <x v="0"/>
    <x v="1"/>
    <s v="No Error"/>
    <x v="0"/>
    <n v="114.18"/>
    <n v="0.23"/>
    <n v="0.37"/>
    <s v="No Support Contact"/>
    <s v="No"/>
    <s v="No Support Contact"/>
    <s v="Not Applicable"/>
    <m/>
    <s v="No drop-off"/>
    <n v="3"/>
    <n v="34"/>
    <n v="13"/>
    <x v="0"/>
    <n v="1"/>
    <n v="1"/>
    <n v="0"/>
    <n v="0"/>
  </r>
  <r>
    <s v="NSF-001091"/>
    <s v="USR-00313"/>
    <s v="SES-2601-48820"/>
    <d v="2026-01-24T00:00:00"/>
    <s v="London"/>
    <s v="Camden"/>
    <x v="3"/>
    <s v="25-34"/>
    <s v="Male"/>
    <s v="Ios"/>
    <s v="Iphone"/>
    <s v="3-6 months"/>
    <s v="Free"/>
    <s v="Paid Search"/>
    <x v="4"/>
    <s v="Repeat Use"/>
    <s v="No Experiment"/>
    <s v="Control"/>
    <n v="6"/>
    <n v="3"/>
    <n v="241"/>
    <s v="Yes"/>
    <x v="1"/>
    <x v="1"/>
    <s v="No Error"/>
    <x v="1"/>
    <n v="0"/>
    <n v="0"/>
    <n v="0"/>
    <s v="Fees And Pricing"/>
    <s v="Yes"/>
    <s v="Fees And Pricing"/>
    <s v="Resolved"/>
    <n v="52"/>
    <s v="Unexpected fee"/>
    <n v="3"/>
    <n v="2"/>
    <n v="28"/>
    <x v="0"/>
    <n v="0"/>
    <n v="0"/>
    <n v="0"/>
    <n v="0"/>
  </r>
  <r>
    <s v="NSF-001189"/>
    <s v="USR-00708"/>
    <s v="SES-2602-24034"/>
    <d v="2026-02-13T00:00:00"/>
    <s v="South East"/>
    <s v="Reading"/>
    <x v="7"/>
    <s v="25-34"/>
    <s v="Male"/>
    <s v="Web"/>
    <s v="Desktop"/>
    <s v="3-6 months"/>
    <s v="Free"/>
    <s v="Paid Search"/>
    <x v="1"/>
    <s v="Repeat Use"/>
    <s v="No Experiment"/>
    <s v="Control"/>
    <n v="4"/>
    <n v="3"/>
    <n v="190"/>
    <s v="Yes"/>
    <x v="1"/>
    <x v="1"/>
    <s v="No Error"/>
    <x v="1"/>
    <n v="0"/>
    <n v="0"/>
    <n v="0"/>
    <s v="No Support Contact"/>
    <s v="No"/>
    <s v="No Support Contact"/>
    <s v="Not Applicable"/>
    <m/>
    <s v="Too many steps"/>
    <n v="3"/>
    <n v="3"/>
    <n v="51"/>
    <x v="0"/>
    <n v="0"/>
    <n v="0"/>
    <n v="0"/>
    <n v="0"/>
  </r>
  <r>
    <s v="NSF-000843"/>
    <s v="USR-00698"/>
    <s v="SES-2510-30007"/>
    <d v="2025-10-07T00:00:00"/>
    <s v="Wales"/>
    <s v="Swansea"/>
    <x v="4"/>
    <s v="25-34"/>
    <s v="Male"/>
    <s v="Ios"/>
    <s v="Iphone"/>
    <s v="7-12 months"/>
    <s v="Plus"/>
    <s v="Affiliate"/>
    <x v="7"/>
    <s v="Trial/Exploration"/>
    <s v="No Experiment"/>
    <s v="Control"/>
    <n v="4"/>
    <n v="4"/>
    <n v="118"/>
    <s v="No"/>
    <x v="0"/>
    <x v="1"/>
    <s v="No Error"/>
    <x v="0"/>
    <n v="60.06"/>
    <n v="0.52"/>
    <n v="0.17"/>
    <s v="Transaction Failure"/>
    <s v="Yes"/>
    <s v="Transaction Failure"/>
    <s v="Resolved"/>
    <n v="38"/>
    <s v="No drop-off"/>
    <n v="5"/>
    <n v="28"/>
    <n v="36"/>
    <x v="1"/>
    <n v="1"/>
    <n v="1"/>
    <n v="0"/>
    <n v="1"/>
  </r>
  <r>
    <s v="NSF-001311"/>
    <s v="USR-00310"/>
    <s v="SES-2604-46120"/>
    <d v="2026-04-07T00:00:00"/>
    <s v="South East"/>
    <s v="Oxford"/>
    <x v="5"/>
    <s v="18-24"/>
    <s v="Female"/>
    <s v="Ios"/>
    <s v="Iphone"/>
    <s v="&lt;3 months"/>
    <s v="Free"/>
    <s v="Paid Social"/>
    <x v="0"/>
    <s v="First Use"/>
    <s v="No Experiment"/>
    <s v="Control"/>
    <n v="7"/>
    <n v="6"/>
    <n v="238"/>
    <s v="Yes"/>
    <x v="0"/>
    <x v="1"/>
    <s v="No Error"/>
    <x v="0"/>
    <n v="44.21"/>
    <n v="0"/>
    <n v="0"/>
    <s v="Transaction Failure"/>
    <s v="Yes"/>
    <s v="Transaction Failure"/>
    <s v="Resolved"/>
    <n v="23"/>
    <s v="No drop-off"/>
    <n v="2"/>
    <n v="-14"/>
    <n v="0"/>
    <x v="0"/>
    <n v="1"/>
    <n v="1"/>
    <n v="0"/>
    <n v="0"/>
  </r>
  <r>
    <s v="NSF-000822"/>
    <s v="USR-00704"/>
    <s v="SES-2509-47124"/>
    <d v="2025-09-28T00:00:00"/>
    <s v="London"/>
    <s v="Hammersmith"/>
    <x v="0"/>
    <s v="18-24"/>
    <s v="Non-Binary"/>
    <s v="Ios"/>
    <s v="Iphone"/>
    <s v="2+ years"/>
    <s v="Free"/>
    <s v="Direct"/>
    <x v="0"/>
    <s v="First Use"/>
    <s v="No Experiment"/>
    <s v="Control"/>
    <n v="7"/>
    <n v="5"/>
    <n v="215"/>
    <s v="Yes"/>
    <x v="0"/>
    <x v="1"/>
    <s v="No Error"/>
    <x v="0"/>
    <n v="141.28"/>
    <n v="0"/>
    <n v="0"/>
    <s v="No Support Contact"/>
    <s v="No"/>
    <s v="No Support Contact"/>
    <s v="Not Applicable"/>
    <m/>
    <s v="No drop-off"/>
    <n v="3"/>
    <n v="15"/>
    <n v="0"/>
    <x v="2"/>
    <n v="1"/>
    <n v="1"/>
    <n v="0"/>
    <n v="0"/>
  </r>
  <r>
    <s v="NSF-000056"/>
    <s v="USR-00151"/>
    <s v="SES-2501-56562"/>
    <d v="2025-01-24T00:00:00"/>
    <s v="East England"/>
    <s v="Luton"/>
    <x v="0"/>
    <s v="25-34"/>
    <s v="Male"/>
    <s v="Android"/>
    <s v="Android Tablet"/>
    <s v="3-6 months"/>
    <s v="Free"/>
    <s v="Referral"/>
    <x v="4"/>
    <s v="Repeat Use"/>
    <s v="No Experiment"/>
    <s v="Control"/>
    <n v="6"/>
    <n v="6"/>
    <n v="177"/>
    <s v="No"/>
    <x v="0"/>
    <x v="1"/>
    <s v="No Error"/>
    <x v="0"/>
    <n v="37.82"/>
    <n v="0"/>
    <n v="0"/>
    <s v="No Support Contact"/>
    <s v="No"/>
    <s v="No Support Contact"/>
    <s v="Not Applicable"/>
    <m/>
    <s v="No drop-off"/>
    <n v="8"/>
    <n v="8"/>
    <n v="59"/>
    <x v="0"/>
    <n v="1"/>
    <n v="1"/>
    <n v="0"/>
    <n v="0"/>
  </r>
  <r>
    <s v="NSF-000382"/>
    <s v="USR-00099"/>
    <s v="SES-2504-24534"/>
    <d v="2025-04-13T00:00:00"/>
    <s v="North East"/>
    <s v="Newcastle"/>
    <x v="1"/>
    <s v="25-34"/>
    <s v="Female"/>
    <s v="Android"/>
    <s v="Android Phone"/>
    <s v="7-12 months"/>
    <s v="Plus"/>
    <s v="Organic Search"/>
    <x v="2"/>
    <s v="Repeat Use"/>
    <s v="No Experiment"/>
    <s v="Control"/>
    <s v="5 steps"/>
    <s v="5 steps"/>
    <n v="133"/>
    <s v="No"/>
    <x v="0"/>
    <x v="1"/>
    <s v="No Error"/>
    <x v="0"/>
    <n v="127.48"/>
    <n v="0"/>
    <n v="0.17"/>
    <s v="No Support Contact"/>
    <s v="No"/>
    <s v="No Support Contact"/>
    <s v="Not Applicable"/>
    <m/>
    <s v="No drop-off"/>
    <n v="5"/>
    <n v="-8"/>
    <n v="20"/>
    <x v="0"/>
    <n v="1"/>
    <n v="1"/>
    <n v="0"/>
    <n v="0"/>
  </r>
  <r>
    <s v="NSF-001448"/>
    <s v="USR-00651"/>
    <s v="SES-2606-41612"/>
    <d v="2026-06-01T00:00:00"/>
    <s v="South East"/>
    <s v="Reading"/>
    <x v="4"/>
    <s v="55-64"/>
    <s v="Male"/>
    <s v="Web"/>
    <s v="Mobile Browser"/>
    <s v="1-2 years"/>
    <s v="Premium"/>
    <s v="Referral"/>
    <x v="3"/>
    <s v="First Use"/>
    <s v="No Experiment"/>
    <s v="Control"/>
    <n v="6"/>
    <n v="6"/>
    <n v="160"/>
    <s v="No"/>
    <x v="1"/>
    <x v="1"/>
    <s v="No Error"/>
    <x v="1"/>
    <n v="0"/>
    <n v="0"/>
    <n v="0"/>
    <s v="No Support Contact"/>
    <s v="Unknown"/>
    <s v="No Support Contact"/>
    <s v="Not Applicable"/>
    <m/>
    <s v="No drop-off"/>
    <n v="3"/>
    <n v="14"/>
    <n v="0"/>
    <x v="2"/>
    <n v="0"/>
    <n v="0"/>
    <n v="0"/>
    <n v="0"/>
  </r>
  <r>
    <s v="NSF-000525"/>
    <s v="USR-00610"/>
    <s v="SES-2506-31234"/>
    <d v="2025-06-10T00:00:00"/>
    <s v="North West"/>
    <s v="Liverpool"/>
    <x v="7"/>
    <s v="25-34"/>
    <s v="Female"/>
    <s v="Android"/>
    <s v="Android Phone"/>
    <s v="3-6 months"/>
    <s v="Free"/>
    <s v="Referral"/>
    <x v="2"/>
    <s v="First Use"/>
    <s v="No Experiment"/>
    <s v="Control"/>
    <n v="5"/>
    <n v="5"/>
    <n v="112"/>
    <s v="No"/>
    <x v="0"/>
    <x v="1"/>
    <s v="No Error"/>
    <x v="0"/>
    <n v="94.53"/>
    <n v="0"/>
    <n v="0"/>
    <s v="No Support Contact"/>
    <s v="No"/>
    <s v="No Support Contact"/>
    <s v="Not Applicable"/>
    <m/>
    <s v="No drop-off"/>
    <n v="4"/>
    <n v="76"/>
    <n v="0"/>
    <x v="1"/>
    <n v="1"/>
    <n v="1"/>
    <n v="0"/>
    <n v="1"/>
  </r>
  <r>
    <s v="NSF-000419"/>
    <s v="USR-00058"/>
    <s v="SES-2505-81063"/>
    <d v="2025-05-12T00:00:00"/>
    <s v="Scotland"/>
    <s v="Edinburgh"/>
    <x v="2"/>
    <s v="18-24"/>
    <s v="Male"/>
    <s v="Web"/>
    <s v="Mobile Browser"/>
    <s v="&lt;3 months"/>
    <s v="Free"/>
    <s v="Direct"/>
    <x v="0"/>
    <s v="First Use"/>
    <s v="Progress Indicator"/>
    <s v="Treatment"/>
    <n v="7"/>
    <n v="7"/>
    <n v="162"/>
    <s v="No"/>
    <x v="1"/>
    <x v="1"/>
    <s v="No Error"/>
    <x v="1"/>
    <n v="0"/>
    <n v="0"/>
    <n v="0"/>
    <s v="No Support Contact"/>
    <s v="No"/>
    <s v="No Support Contact"/>
    <s v="Not Applicable"/>
    <m/>
    <s v="No drop-off"/>
    <n v="4"/>
    <n v="7"/>
    <n v="0"/>
    <x v="1"/>
    <n v="0"/>
    <n v="0"/>
    <n v="0"/>
    <n v="1"/>
  </r>
  <r>
    <s v="NSF-000236"/>
    <s v="USR-00337"/>
    <s v="SES-2503-40345"/>
    <d v="2025-03-13T00:00:00"/>
    <s v="London"/>
    <s v="Croydon"/>
    <x v="7"/>
    <s v="18-24"/>
    <s v="Female"/>
    <s v="Ios"/>
    <s v="Iphone"/>
    <s v="1-2 years"/>
    <s v="Free"/>
    <s v="Employer Partnership"/>
    <x v="7"/>
    <s v="Repeat Use"/>
    <s v="No Experiment"/>
    <s v="Control"/>
    <n v="4"/>
    <n v="4"/>
    <n v="74"/>
    <s v="No"/>
    <x v="0"/>
    <x v="1"/>
    <s v="No Error"/>
    <x v="0"/>
    <n v="139.68"/>
    <n v="0.55000000000000004"/>
    <n v="0"/>
    <s v="No Support Contact"/>
    <s v="No"/>
    <s v="No Support Contact"/>
    <s v="Not Applicable"/>
    <m/>
    <s v="No drop-off"/>
    <n v="4"/>
    <n v="-9"/>
    <n v="21"/>
    <x v="1"/>
    <n v="1"/>
    <n v="1"/>
    <n v="0"/>
    <n v="1"/>
  </r>
  <r>
    <s v="NSF-000448"/>
    <s v="USR-00779"/>
    <s v="SES-2505-94256"/>
    <d v="2025-05-14T00:00:00"/>
    <s v="Northern Ireland"/>
    <s v="Belfast"/>
    <x v="1"/>
    <s v="35-44"/>
    <s v="Male"/>
    <s v="Android"/>
    <s v="Android Phone"/>
    <s v="1-2 years"/>
    <s v="Premium"/>
    <s v="Paid Search"/>
    <x v="1"/>
    <s v="Repeat Use"/>
    <s v="No Experiment"/>
    <s v="Control"/>
    <n v="4"/>
    <n v="4"/>
    <n v="76"/>
    <s v="No"/>
    <x v="0"/>
    <x v="1"/>
    <s v="No Error"/>
    <x v="0"/>
    <n v="198.29"/>
    <n v="0.21"/>
    <n v="0.37"/>
    <s v="Feature Navigation"/>
    <s v="Yes"/>
    <s v="Feature Navigation"/>
    <s v="Resolved"/>
    <n v="34"/>
    <s v="No drop-off"/>
    <n v="5"/>
    <n v="25"/>
    <n v="67"/>
    <x v="1"/>
    <n v="1"/>
    <n v="1"/>
    <n v="0"/>
    <n v="1"/>
  </r>
  <r>
    <s v="NSF-000891"/>
    <s v="USR-00701"/>
    <s v="SES-2510-29036"/>
    <d v="2025-10-23T00:00:00"/>
    <s v="West Midlands"/>
    <s v="Solihull"/>
    <x v="0"/>
    <s v="18-24"/>
    <s v="Female"/>
    <s v="Ios"/>
    <s v="Iphone"/>
    <s v="1-2 years"/>
    <s v="Free"/>
    <s v="Affiliate"/>
    <x v="8"/>
    <s v="First Use"/>
    <s v="No Experiment"/>
    <s v="Control"/>
    <n v="5"/>
    <n v="5"/>
    <n v="153"/>
    <s v="No"/>
    <x v="0"/>
    <x v="1"/>
    <s v="No Error"/>
    <x v="1"/>
    <n v="0"/>
    <n v="0"/>
    <n v="0"/>
    <s v="No Support Contact"/>
    <s v="No"/>
    <s v="No Support Contact"/>
    <s v="Not Applicable"/>
    <m/>
    <s v="No drop-off"/>
    <n v="4"/>
    <n v="27"/>
    <n v="0"/>
    <x v="1"/>
    <n v="1"/>
    <n v="0"/>
    <n v="0"/>
    <n v="1"/>
  </r>
  <r>
    <s v="NSF-000136"/>
    <s v="USR-00547"/>
    <s v="SES-2502-67337"/>
    <d v="2025-02-21T00:00:00"/>
    <s v="North West"/>
    <s v="Chester"/>
    <x v="7"/>
    <s v="65+"/>
    <s v="Male"/>
    <s v="Web"/>
    <s v="Mobile Browser"/>
    <s v="3-6 months"/>
    <s v="Free"/>
    <s v="App Store"/>
    <x v="8"/>
    <s v="Repeat Use"/>
    <s v="Simplified Onboarding"/>
    <s v="Control"/>
    <n v="5"/>
    <n v="5"/>
    <n v="96"/>
    <s v="No"/>
    <x v="1"/>
    <x v="1"/>
    <s v="No Error"/>
    <x v="1"/>
    <n v="0"/>
    <n v="0"/>
    <n v="0"/>
    <s v="No Support Contact"/>
    <s v="No"/>
    <s v="No Support Contact"/>
    <s v="Not Applicable"/>
    <m/>
    <s v="Verification took too long"/>
    <n v="4"/>
    <n v="34"/>
    <n v="1"/>
    <x v="0"/>
    <n v="0"/>
    <n v="0"/>
    <n v="0"/>
    <n v="0"/>
  </r>
  <r>
    <s v="NSF-000376"/>
    <s v="USR-00216"/>
    <s v="SES-2504-82545"/>
    <d v="2025-04-14T00:00:00"/>
    <s v="East England"/>
    <s v="Cambridge"/>
    <x v="3"/>
    <s v="25-34"/>
    <s v="Female"/>
    <s v="Android"/>
    <s v="Android Phone"/>
    <s v="7-12 months"/>
    <s v="Plus"/>
    <s v="Paid Social"/>
    <x v="7"/>
    <s v="First Use"/>
    <s v="Progress Indicator"/>
    <s v="Control"/>
    <n v="4"/>
    <n v="4"/>
    <n v="99"/>
    <s v="No"/>
    <x v="0"/>
    <x v="1"/>
    <s v="No Error"/>
    <x v="0"/>
    <n v="46.76"/>
    <n v="0.46"/>
    <n v="0.17"/>
    <s v="No Support Contact"/>
    <s v="No"/>
    <s v="No Support Contact"/>
    <s v="Not Applicable"/>
    <m/>
    <s v="No drop-off"/>
    <n v="4"/>
    <n v="54"/>
    <n v="0"/>
    <x v="1"/>
    <n v="1"/>
    <n v="1"/>
    <n v="0"/>
    <n v="1"/>
  </r>
  <r>
    <s v="NSF-000297"/>
    <s v="USR-00634"/>
    <s v="SES-2504-57182"/>
    <d v="2025-04-17T00:00:00"/>
    <s v="Yorkshire &amp; Humber"/>
    <s v="York"/>
    <x v="7"/>
    <s v="35-44"/>
    <s v="Male"/>
    <s v="Android"/>
    <s v="Android Phone"/>
    <s v="3-6 months"/>
    <s v="Plus"/>
    <s v="App Store"/>
    <x v="10"/>
    <s v="Repeat Use"/>
    <s v="Simplified Onboarding"/>
    <s v="Treatment"/>
    <n v="9"/>
    <n v="9"/>
    <n v="218"/>
    <s v="No"/>
    <x v="0"/>
    <x v="1"/>
    <s v="No Error"/>
    <x v="0"/>
    <n v="98.17"/>
    <n v="2.71"/>
    <n v="0.17"/>
    <s v="No Support Contact"/>
    <s v="No"/>
    <s v="No Support Contact"/>
    <s v="Not Applicable"/>
    <m/>
    <s v="No drop-off"/>
    <n v="4"/>
    <n v="17"/>
    <n v="19"/>
    <x v="1"/>
    <n v="1"/>
    <n v="1"/>
    <n v="0"/>
    <n v="1"/>
  </r>
  <r>
    <s v="NSF-000885"/>
    <s v="USR-00243"/>
    <s v="SES-2510-71645"/>
    <d v="2025-10-24T00:00:00"/>
    <s v="Scotland"/>
    <s v="Edinburgh"/>
    <x v="5"/>
    <s v="55-64"/>
    <s v="Male"/>
    <s v="Ios"/>
    <s v="Iphone"/>
    <s v="&lt;3 months"/>
    <s v="Plus"/>
    <s v="Paid Search"/>
    <x v="1"/>
    <s v="Repeat Use"/>
    <s v="No Experiment"/>
    <s v="Control"/>
    <s v="4 steps"/>
    <n v="4"/>
    <n v="81"/>
    <s v="No"/>
    <x v="0"/>
    <x v="1"/>
    <s v="No Error"/>
    <x v="0"/>
    <n v="139.04"/>
    <n v="0.18"/>
    <n v="0.17"/>
    <s v="No Support Contact"/>
    <s v="No"/>
    <s v="No Support Contact"/>
    <s v="Not Applicable"/>
    <m/>
    <s v="No drop-off"/>
    <n v="5"/>
    <n v="70"/>
    <n v="21"/>
    <x v="0"/>
    <n v="1"/>
    <n v="1"/>
    <n v="0"/>
    <n v="0"/>
  </r>
  <r>
    <s v="NSF-000469"/>
    <s v="USR-00515"/>
    <s v="SES-2505-29714"/>
    <d v="2025-05-29T00:00:00"/>
    <s v="East Midlands"/>
    <s v="Lincoln"/>
    <x v="0"/>
    <s v="25-34"/>
    <s v="Male"/>
    <s v="Ios"/>
    <s v="Iphone"/>
    <s v="2+ years"/>
    <s v="Free"/>
    <s v="Paid Social"/>
    <x v="7"/>
    <s v="Reactivated"/>
    <s v="Fee Transparency Panel"/>
    <s v="Treatment"/>
    <n v="4"/>
    <n v="4"/>
    <n v="125"/>
    <s v="No"/>
    <x v="0"/>
    <x v="1"/>
    <s v="No Error"/>
    <x v="0"/>
    <n v="125.41"/>
    <n v="0.44"/>
    <n v="0"/>
    <s v="No Support Contact"/>
    <s v="No"/>
    <s v="No Support Contact"/>
    <s v="Not Applicable"/>
    <m/>
    <s v="No drop-off"/>
    <n v="4"/>
    <n v="47"/>
    <n v="11"/>
    <x v="1"/>
    <n v="1"/>
    <n v="1"/>
    <n v="0"/>
    <n v="1"/>
  </r>
  <r>
    <s v="NSF-001054"/>
    <s v="USR-00289"/>
    <s v="SES-2512-22525"/>
    <d v="2025-12-23T00:00:00"/>
    <s v="South West"/>
    <s v="Bristol"/>
    <x v="3"/>
    <s v="25-34"/>
    <s v="Male"/>
    <s v="Web"/>
    <s v="Mobile Browser"/>
    <s v="7-12 months"/>
    <s v="Free"/>
    <s v="Paid Search"/>
    <x v="0"/>
    <s v="Repeat Use"/>
    <s v="New Cta Copy"/>
    <s v="Treatment"/>
    <n v="7"/>
    <n v="7"/>
    <n v="195"/>
    <s v="No"/>
    <x v="1"/>
    <x v="1"/>
    <s v="No Error"/>
    <x v="1"/>
    <n v="0"/>
    <n v="0"/>
    <n v="0"/>
    <s v="Transaction Failure"/>
    <s v="Yes"/>
    <s v="Transaction Failure"/>
    <s v="Resolved"/>
    <n v="40"/>
    <s v="Too many steps"/>
    <n v="3"/>
    <n v="20"/>
    <n v="36"/>
    <x v="1"/>
    <n v="0"/>
    <n v="0"/>
    <n v="0"/>
    <n v="1"/>
  </r>
  <r>
    <s v="NSF-001212"/>
    <s v="USR-00823"/>
    <s v="SES-2602-29776"/>
    <d v="2026-02-26T00:00:00"/>
    <s v="East England"/>
    <s v="Norwich"/>
    <x v="5"/>
    <s v="25-34"/>
    <s v="Male"/>
    <s v="Android"/>
    <s v="Android Phone"/>
    <s v="&lt;3 months"/>
    <s v="Free"/>
    <s v="Paid Social"/>
    <x v="7"/>
    <s v="Reactivated"/>
    <s v="New Cta Copy"/>
    <s v="Control"/>
    <n v="4"/>
    <n v="4"/>
    <n v="185"/>
    <s v="No"/>
    <x v="0"/>
    <x v="0"/>
    <s v="Card Activation Failed"/>
    <x v="0"/>
    <n v="20.010000000000002"/>
    <n v="0.53"/>
    <n v="0"/>
    <s v="No Support Contact"/>
    <s v="No"/>
    <s v="No Support Contact"/>
    <s v="Not Applicable"/>
    <m/>
    <s v="No drop-off"/>
    <n v="5"/>
    <n v="14"/>
    <n v="35"/>
    <x v="1"/>
    <n v="1"/>
    <n v="1"/>
    <n v="1"/>
    <n v="1"/>
  </r>
  <r>
    <s v="NSF-001043"/>
    <s v="USR-00303"/>
    <s v="SES-2512-13429"/>
    <d v="2025-12-26T00:00:00"/>
    <s v="Northern Ireland"/>
    <s v="Lisburn"/>
    <x v="0"/>
    <s v="35-44"/>
    <s v="Male"/>
    <s v="Ios"/>
    <s v="Iphone"/>
    <s v="2+ years"/>
    <s v="Free"/>
    <s v="Paid Social"/>
    <x v="2"/>
    <s v="Trial/Exploration"/>
    <s v="No Experiment"/>
    <s v="Control"/>
    <n v="5"/>
    <n v="5"/>
    <n v="148"/>
    <s v="No"/>
    <x v="0"/>
    <x v="1"/>
    <s v="No Error"/>
    <x v="0"/>
    <n v="50.99"/>
    <n v="0"/>
    <n v="0"/>
    <s v="No Support Contact"/>
    <s v="No"/>
    <s v="No Support Contact"/>
    <s v="Not Applicable"/>
    <m/>
    <s v="No drop-off"/>
    <n v="4"/>
    <n v="0"/>
    <n v="58"/>
    <x v="1"/>
    <n v="1"/>
    <n v="1"/>
    <n v="0"/>
    <n v="1"/>
  </r>
  <r>
    <s v="NSF-000722"/>
    <s v="USR-00842"/>
    <s v="SES-2508-40398"/>
    <d v="2025-08-06T00:00:00"/>
    <s v="West Midlands"/>
    <s v="Birmingham"/>
    <x v="5"/>
    <s v="45-54"/>
    <s v="Male"/>
    <s v="Ios"/>
    <s v="Iphone"/>
    <s v="2+ years"/>
    <s v="Free"/>
    <s v="Employer Partnership"/>
    <x v="7"/>
    <s v="Repeat Use"/>
    <s v="No Experiment"/>
    <s v="Control"/>
    <n v="4"/>
    <n v="4"/>
    <n v="88"/>
    <s v="No"/>
    <x v="1"/>
    <x v="1"/>
    <s v="No Error"/>
    <x v="1"/>
    <n v="0"/>
    <n v="0"/>
    <n v="0"/>
    <s v="No Support Contact"/>
    <s v="No"/>
    <s v="No Support Contact"/>
    <s v="Not Applicable"/>
    <m/>
    <s v="Verification took too long"/>
    <n v="4"/>
    <n v="100"/>
    <n v="39"/>
    <x v="2"/>
    <n v="0"/>
    <n v="0"/>
    <n v="0"/>
    <n v="0"/>
  </r>
  <r>
    <s v="NSF-000114"/>
    <s v="USR-00253"/>
    <s v="SES-2502-13125"/>
    <d v="2025-02-19T00:00:00"/>
    <s v="West Midlands"/>
    <s v="Solihull"/>
    <x v="7"/>
    <s v="25-34"/>
    <s v="Female"/>
    <s v="Ios"/>
    <s v="Iphone"/>
    <s v="3-6 months"/>
    <s v="Premium"/>
    <s v="Paid Search"/>
    <x v="4"/>
    <s v="Repeat Use"/>
    <s v="No Experiment"/>
    <s v="Control"/>
    <n v="6"/>
    <n v="6"/>
    <n v="183"/>
    <s v="No"/>
    <x v="1"/>
    <x v="1"/>
    <s v="No Error"/>
    <x v="1"/>
    <n v="0"/>
    <n v="0"/>
    <n v="0"/>
    <s v="No Support Contact"/>
    <s v="No"/>
    <s v="No Support Contact"/>
    <s v="Not Applicable"/>
    <m/>
    <s v="Too many steps"/>
    <n v="3"/>
    <n v="40"/>
    <n v="25"/>
    <x v="1"/>
    <n v="0"/>
    <n v="0"/>
    <n v="0"/>
    <n v="1"/>
  </r>
  <r>
    <s v="NSF-000774"/>
    <s v="USR-00681"/>
    <s v="SES-2509-17583"/>
    <d v="2025-09-07T00:00:00"/>
    <s v="East England"/>
    <s v="Ipswich"/>
    <x v="1"/>
    <s v="25-34"/>
    <s v="Male"/>
    <s v="Web"/>
    <s v="Desktop"/>
    <s v="2+ years"/>
    <s v="Free"/>
    <s v="Organic Search"/>
    <x v="1"/>
    <s v="First Use"/>
    <s v="Progress Indicator"/>
    <s v="Treatment"/>
    <n v="4"/>
    <n v="4"/>
    <n v="75"/>
    <s v="No"/>
    <x v="0"/>
    <x v="1"/>
    <s v="No Error"/>
    <x v="0"/>
    <n v="133.49"/>
    <n v="0.18"/>
    <n v="0"/>
    <s v="Feature Navigation"/>
    <s v="Yes"/>
    <s v="Feature Navigation"/>
    <s v="Unresolved"/>
    <n v="6"/>
    <s v="No drop-off"/>
    <n v="4"/>
    <n v="22"/>
    <n v="0"/>
    <x v="1"/>
    <n v="1"/>
    <n v="1"/>
    <n v="0"/>
    <n v="1"/>
  </r>
  <r>
    <s v="NSF-000456"/>
    <s v="USR-00759"/>
    <s v="SES-2505-62624"/>
    <d v="2025-05-29T00:00:00"/>
    <s v="South West"/>
    <s v="Exeter"/>
    <x v="5"/>
    <s v="35-44"/>
    <s v="Male"/>
    <s v="Android"/>
    <s v="Android Phone"/>
    <s v="1-2 years"/>
    <s v="Free"/>
    <s v="Paid Social"/>
    <x v="8"/>
    <s v="Repeat Use"/>
    <s v="No Experiment"/>
    <s v="Control"/>
    <n v="5"/>
    <n v="5"/>
    <n v="133"/>
    <s v="No"/>
    <x v="0"/>
    <x v="1"/>
    <s v="No Error"/>
    <x v="0"/>
    <n v="95.43"/>
    <n v="0"/>
    <n v="0"/>
    <s v="No Support Contact"/>
    <s v="No"/>
    <s v="No Support Contact"/>
    <s v="Not Applicable"/>
    <m/>
    <s v="No drop-off"/>
    <n v="5"/>
    <n v="14"/>
    <n v="1"/>
    <x v="1"/>
    <n v="1"/>
    <n v="1"/>
    <n v="0"/>
    <n v="1"/>
  </r>
  <r>
    <s v="NSF-000829"/>
    <s v="USR-00318"/>
    <s v="SES-2509-64965"/>
    <d v="2025-09-10T00:00:00"/>
    <s v="East Midlands"/>
    <s v="Nottingham"/>
    <x v="0"/>
    <s v="45-54"/>
    <s v="Male"/>
    <s v="Android"/>
    <s v="Android Phone"/>
    <s v="2+ years"/>
    <s v="Plus"/>
    <s v="App Store"/>
    <x v="2"/>
    <s v="Repeat Use"/>
    <s v="Progress Indicator"/>
    <s v="Treatment"/>
    <s v="many"/>
    <n v="5"/>
    <n v="116"/>
    <s v="No"/>
    <x v="0"/>
    <x v="1"/>
    <s v="No Error"/>
    <x v="0"/>
    <n v="104.7"/>
    <n v="0"/>
    <n v="0.17"/>
    <s v="No Support Contact"/>
    <s v="No"/>
    <s v="No Support Contact"/>
    <s v="Not Applicable"/>
    <m/>
    <s v="No drop-off"/>
    <n v="5"/>
    <n v="19"/>
    <n v="26"/>
    <x v="0"/>
    <n v="1"/>
    <n v="1"/>
    <n v="0"/>
    <n v="0"/>
  </r>
  <r>
    <s v="NSF-000795"/>
    <s v="USR-00252"/>
    <s v="SES-2509-62165"/>
    <d v="2025-09-18T00:00:00"/>
    <s v="Northern Ireland"/>
    <s v="Belfast"/>
    <x v="2"/>
    <s v="18-24"/>
    <s v="Male"/>
    <s v="Ios"/>
    <s v="Ipad"/>
    <s v="2+ years"/>
    <s v="Free"/>
    <s v="Paid Social"/>
    <x v="3"/>
    <s v="Repeat Use"/>
    <s v="No Experiment"/>
    <s v="Control"/>
    <n v="6"/>
    <s v="6 steps"/>
    <n v="122"/>
    <s v="No"/>
    <x v="0"/>
    <x v="1"/>
    <s v="No Error"/>
    <x v="1"/>
    <n v="0"/>
    <n v="0"/>
    <n v="0"/>
    <s v="No Support Contact"/>
    <s v="No"/>
    <s v="No Support Contact"/>
    <s v="Not Applicable"/>
    <m/>
    <s v="No drop-off"/>
    <n v="3"/>
    <n v="20"/>
    <n v="28"/>
    <x v="1"/>
    <n v="1"/>
    <n v="0"/>
    <n v="0"/>
    <n v="1"/>
  </r>
  <r>
    <s v="NSF-000536"/>
    <s v="USR-00834"/>
    <s v="SES-2506-54036"/>
    <d v="2025-06-06T00:00:00"/>
    <s v="North West"/>
    <s v="Chester"/>
    <x v="3"/>
    <s v="45-54"/>
    <s v="Male"/>
    <s v="Android"/>
    <s v="Android Phone"/>
    <s v="1-2 years"/>
    <s v="Plus"/>
    <s v="Paid Search"/>
    <x v="7"/>
    <s v="Repeat Use"/>
    <s v="Fee Transparency Panel"/>
    <s v="Control"/>
    <n v="4"/>
    <n v="2"/>
    <n v="134"/>
    <s v="Yes"/>
    <x v="0"/>
    <x v="1"/>
    <s v="No Error"/>
    <x v="0"/>
    <n v="26.7"/>
    <n v="0.54"/>
    <n v="0.17"/>
    <s v="No Support Contact"/>
    <s v="No"/>
    <s v="No Support Contact"/>
    <s v="Not Applicable"/>
    <m/>
    <s v="No drop-off"/>
    <n v="3"/>
    <n v="-42"/>
    <n v="37"/>
    <x v="1"/>
    <n v="1"/>
    <n v="1"/>
    <n v="0"/>
    <n v="1"/>
  </r>
  <r>
    <s v="NSF-000837"/>
    <s v="USR-00196"/>
    <s v="SES-2510-41787"/>
    <d v="2025-10-01T00:00:00"/>
    <s v="Scotland"/>
    <s v="Dundee"/>
    <x v="0"/>
    <s v="25-34"/>
    <s v="Female"/>
    <s v="Ios"/>
    <s v="Iphone"/>
    <s v="&lt;3 months"/>
    <s v="Free"/>
    <s v="App Store"/>
    <x v="1"/>
    <s v="Repeat Use"/>
    <s v="No Experiment"/>
    <s v="Control"/>
    <n v="4"/>
    <s v="4 steps"/>
    <n v="83"/>
    <s v="No"/>
    <x v="0"/>
    <x v="1"/>
    <s v="No Error"/>
    <x v="0"/>
    <n v="167.88"/>
    <n v="0.19"/>
    <n v="0"/>
    <s v="No Support Contact"/>
    <s v="No"/>
    <s v="No Support Contact"/>
    <s v="Not Applicable"/>
    <m/>
    <s v="No drop-off"/>
    <n v="5"/>
    <n v="28"/>
    <n v="55"/>
    <x v="1"/>
    <n v="1"/>
    <n v="1"/>
    <n v="0"/>
    <n v="1"/>
  </r>
  <r>
    <s v="NSF-000608"/>
    <s v="USR-00408"/>
    <s v="SES-2507-92400"/>
    <d v="2025-07-24T00:00:00"/>
    <s v="North West"/>
    <s v="Preston"/>
    <x v="0"/>
    <s v="45-54"/>
    <s v="Female"/>
    <s v="Ios"/>
    <s v="Iphone"/>
    <s v="1-2 years"/>
    <s v="Free"/>
    <s v="Paid Search"/>
    <x v="7"/>
    <s v="First Use"/>
    <s v="Progress Indicator"/>
    <s v="Control"/>
    <n v="4"/>
    <n v="4"/>
    <n v="123"/>
    <s v="No"/>
    <x v="0"/>
    <x v="1"/>
    <s v="No Error"/>
    <x v="0"/>
    <n v="138.33000000000001"/>
    <n v="0.48"/>
    <n v="0"/>
    <s v="No Support Contact"/>
    <s v="No"/>
    <s v="No Support Contact"/>
    <s v="Not Applicable"/>
    <m/>
    <s v="No drop-off"/>
    <n v="4"/>
    <n v="-4"/>
    <n v="0"/>
    <x v="1"/>
    <n v="1"/>
    <n v="1"/>
    <n v="0"/>
    <n v="1"/>
  </r>
  <r>
    <s v="NSF-001374"/>
    <s v="USR-00339"/>
    <s v="SES-2605-81431"/>
    <d v="2026-05-06T00:00:00"/>
    <s v="North East"/>
    <s v="Newcastle"/>
    <x v="5"/>
    <s v="18-24"/>
    <s v="Male"/>
    <s v="Web"/>
    <s v="Mobile Browser"/>
    <s v="&lt;3 months"/>
    <s v="Free"/>
    <s v="Affiliate"/>
    <x v="3"/>
    <s v="Repeat Use"/>
    <s v="Progress Indicator"/>
    <s v="Treatment"/>
    <n v="6"/>
    <n v="6"/>
    <n v="155"/>
    <s v="No"/>
    <x v="1"/>
    <x v="0"/>
    <s v="Split Amount Confusing"/>
    <x v="1"/>
    <n v="0"/>
    <n v="0"/>
    <n v="0"/>
    <s v="Fees And Pricing"/>
    <s v="Yes"/>
    <s v="Fees And Pricing"/>
    <s v="Resolved"/>
    <n v="5"/>
    <s v="Technical error"/>
    <n v="3"/>
    <n v="38"/>
    <n v="39"/>
    <x v="0"/>
    <n v="0"/>
    <n v="0"/>
    <n v="1"/>
    <n v="0"/>
  </r>
  <r>
    <s v="NSF-000715"/>
    <s v="USR-00146"/>
    <s v="SES-2508-83522"/>
    <d v="2025-08-11T00:00:00"/>
    <s v="East Midlands"/>
    <s v="Leicester"/>
    <x v="0"/>
    <s v="18-24"/>
    <s v="Female"/>
    <s v="Ios"/>
    <s v="Iphone"/>
    <s v="7-12 months"/>
    <s v="Plus"/>
    <s v="Paid Social"/>
    <x v="2"/>
    <s v="Repeat Use"/>
    <s v="New Cta Copy"/>
    <s v="Control"/>
    <n v="5"/>
    <n v="5"/>
    <n v="144"/>
    <s v="No"/>
    <x v="0"/>
    <x v="1"/>
    <s v="No Error"/>
    <x v="0"/>
    <n v="104.86"/>
    <n v="0"/>
    <n v="0.17"/>
    <s v="No Support Contact"/>
    <s v="No"/>
    <s v="No Support Contact"/>
    <s v="Not Applicable"/>
    <m/>
    <s v="No drop-off"/>
    <n v="5"/>
    <n v="38"/>
    <n v="28"/>
    <x v="0"/>
    <n v="1"/>
    <n v="1"/>
    <n v="0"/>
    <n v="0"/>
  </r>
  <r>
    <s v="NSF-001275"/>
    <s v="USR-00548"/>
    <s v="SES-2603-80699"/>
    <d v="2026-03-21T00:00:00"/>
    <s v="Scotland"/>
    <s v="Edinburgh"/>
    <x v="4"/>
    <s v="25-34"/>
    <s v="Female"/>
    <s v="Ios"/>
    <s v="Iphone"/>
    <s v="2+ years"/>
    <s v="Free"/>
    <s v="Referral"/>
    <x v="9"/>
    <s v="Repeat Use"/>
    <s v="Fee Transparency Panel"/>
    <s v="Treatment"/>
    <n v="5"/>
    <n v="5"/>
    <n v="118"/>
    <s v="No"/>
    <x v="0"/>
    <x v="1"/>
    <s v="No Error"/>
    <x v="0"/>
    <n v="125.08"/>
    <n v="0"/>
    <n v="0"/>
    <s v="Account Verification"/>
    <s v="Yes"/>
    <s v="Account Verification"/>
    <s v="Resolved"/>
    <n v="36"/>
    <s v="No drop-off"/>
    <n v="5"/>
    <n v="63"/>
    <n v="50"/>
    <x v="1"/>
    <n v="1"/>
    <n v="1"/>
    <n v="0"/>
    <n v="1"/>
  </r>
  <r>
    <s v="NSF-000623"/>
    <s v="USR-00027"/>
    <s v="SES-2507-36784"/>
    <d v="2025-07-23T00:00:00"/>
    <s v="West Midlands"/>
    <s v="Coventry"/>
    <x v="2"/>
    <s v="45-54"/>
    <s v="Non-Binary"/>
    <s v="Web"/>
    <s v="Mobile Browser"/>
    <s v="7-12 months"/>
    <s v="Premium"/>
    <s v="Affiliate"/>
    <x v="2"/>
    <s v="First Use"/>
    <s v="No Experiment"/>
    <s v="Control"/>
    <n v="5"/>
    <n v="5"/>
    <n v="177"/>
    <s v="No"/>
    <x v="0"/>
    <x v="0"/>
    <s v="Round-Up Not Activated"/>
    <x v="0"/>
    <n v="28.43"/>
    <n v="0"/>
    <n v="0.37"/>
    <s v="No Support Contact"/>
    <s v="No"/>
    <s v="No Support Contact"/>
    <s v="Not Applicable"/>
    <m/>
    <s v="No drop-off"/>
    <n v="3"/>
    <n v="18"/>
    <s v="0 days"/>
    <x v="1"/>
    <n v="1"/>
    <n v="1"/>
    <n v="1"/>
    <n v="1"/>
  </r>
  <r>
    <s v="NSF-000795"/>
    <s v="usr-00252"/>
    <s v="SES-2509-62165"/>
    <d v="2025-09-18T00:00:00"/>
    <s v="Northern Ireland"/>
    <s v="Belfast"/>
    <x v="2"/>
    <s v="18-24"/>
    <s v="Male"/>
    <s v="Ios"/>
    <s v="Ipad"/>
    <s v="2+ years"/>
    <s v="Free"/>
    <s v="Paid Social"/>
    <x v="3"/>
    <s v="Repeat Use"/>
    <s v="No Experiment"/>
    <s v="Control"/>
    <n v="6"/>
    <n v="6"/>
    <n v="122"/>
    <s v="No"/>
    <x v="0"/>
    <x v="1"/>
    <s v="No Error"/>
    <x v="1"/>
    <n v="0"/>
    <n v="0"/>
    <n v="0"/>
    <s v="No Support Contact"/>
    <s v="No"/>
    <s v="No Support Contact"/>
    <s v="Not Applicable"/>
    <m/>
    <s v="No drop-off"/>
    <n v="3"/>
    <n v="20"/>
    <s v="28 days"/>
    <x v="1"/>
    <n v="1"/>
    <n v="0"/>
    <n v="0"/>
    <n v="1"/>
  </r>
  <r>
    <s v="NSF-000345"/>
    <s v="USR-00410"/>
    <s v="SES-2504-18506"/>
    <d v="2025-03-04T00:00:00"/>
    <s v="Yorkshire &amp; Humber"/>
    <s v="York"/>
    <x v="3"/>
    <s v="45-54"/>
    <s v="Male"/>
    <s v="Android"/>
    <s v="Android Phone"/>
    <s v="1-2 years"/>
    <s v="Free"/>
    <s v="Referral"/>
    <x v="8"/>
    <s v="First Use"/>
    <s v="No Experiment"/>
    <s v="Control"/>
    <n v="5"/>
    <n v="5"/>
    <n v="164"/>
    <s v="No"/>
    <x v="1"/>
    <x v="0"/>
    <s v="Reward Not Tracked"/>
    <x v="1"/>
    <n v="0"/>
    <n v="0"/>
    <n v="0"/>
    <s v="No Support Contact"/>
    <s v="No"/>
    <s v="No Support Contact"/>
    <s v="Not Applicable"/>
    <m/>
    <s v="Technical error"/>
    <n v="3"/>
    <n v="-18"/>
    <n v="0"/>
    <x v="0"/>
    <n v="0"/>
    <n v="0"/>
    <n v="1"/>
    <n v="0"/>
  </r>
  <r>
    <s v="NSF-000926"/>
    <s v="USR-00127"/>
    <s v="SES-2511-83770"/>
    <d v="2025-09-04T00:00:00"/>
    <s v="Scotland"/>
    <s v="Edinburgh"/>
    <x v="3"/>
    <s v="25-34"/>
    <s v="Male"/>
    <s v="Ios"/>
    <s v="Iphone"/>
    <s v="1-2 years"/>
    <s v="Basic"/>
    <s v="Employer Partnership"/>
    <x v="0"/>
    <s v="First Use"/>
    <s v="No Experiment"/>
    <s v="Control"/>
    <n v="7"/>
    <n v="7"/>
    <n v="173"/>
    <s v="No"/>
    <x v="1"/>
    <x v="1"/>
    <s v="No Error"/>
    <x v="1"/>
    <n v="0"/>
    <n v="0"/>
    <n v="0"/>
    <s v="No Support Contact"/>
    <s v="No"/>
    <s v="No Support Contact"/>
    <s v="Not Applicable"/>
    <m/>
    <s v="Verification took too long"/>
    <n v="3"/>
    <n v="1"/>
    <n v="0"/>
    <x v="0"/>
    <n v="0"/>
    <n v="0"/>
    <n v="0"/>
    <n v="0"/>
  </r>
  <r>
    <s v="NSF-001449"/>
    <s v="USR-00409"/>
    <s v="SES-2606-88421"/>
    <d v="2026-06-05T00:00:00"/>
    <s v="North East"/>
    <s v="Newcastle"/>
    <x v="0"/>
    <s v="35-44"/>
    <s v="Female"/>
    <s v="Ios"/>
    <s v="Iphone"/>
    <s v="1-2 years"/>
    <s v="Free"/>
    <s v="Organic Search"/>
    <x v="3"/>
    <s v="Repeat Use"/>
    <s v="New Cta Copy"/>
    <s v="Control"/>
    <n v="6"/>
    <n v="3"/>
    <n v="238"/>
    <s v="Yes"/>
    <x v="1"/>
    <x v="1"/>
    <s v="No Error"/>
    <x v="1"/>
    <n v="0"/>
    <n v="0"/>
    <n v="0"/>
    <s v="No Support Contact"/>
    <s v="No"/>
    <s v="No Support Contact"/>
    <s v="Not Applicable"/>
    <m/>
    <s v="Too many steps"/>
    <n v="3"/>
    <n v="-2"/>
    <n v="40"/>
    <x v="0"/>
    <n v="0"/>
    <n v="0"/>
    <n v="0"/>
    <n v="0"/>
  </r>
  <r>
    <s v="NSF-001145"/>
    <s v="USR-00137"/>
    <s v="SES-2601-18703"/>
    <d v="2026-01-18T00:00:00"/>
    <s v="Yorkshire &amp; Humber"/>
    <s v="Leeds"/>
    <x v="1"/>
    <s v="18-24"/>
    <s v="Female"/>
    <s v="Ios"/>
    <s v="Iphone"/>
    <s v="3-6 months"/>
    <s v="Plus"/>
    <s v="Paid Search"/>
    <x v="3"/>
    <s v="Unknown"/>
    <s v="Progress Indicator"/>
    <s v="Treatment"/>
    <n v="6"/>
    <n v="5"/>
    <n v="198"/>
    <s v="Yes"/>
    <x v="1"/>
    <x v="0"/>
    <s v="Friend Not Found"/>
    <x v="1"/>
    <n v="0"/>
    <n v="0"/>
    <n v="0"/>
    <s v="No Support Contact"/>
    <s v="No"/>
    <s v="No Support Contact"/>
    <s v="Not Applicable"/>
    <m/>
    <s v="Technical error"/>
    <n v="2"/>
    <n v="150"/>
    <s v="32 days"/>
    <x v="1"/>
    <n v="0"/>
    <n v="0"/>
    <n v="1"/>
    <n v="1"/>
  </r>
  <r>
    <s v="NSF-000162"/>
    <s v="USR-00315"/>
    <s v="SES-2502-54877"/>
    <d v="2025-02-16T00:00:00"/>
    <s v="Northern Ireland"/>
    <s v="Lisburn"/>
    <x v="3"/>
    <s v="65+"/>
    <s v="Male"/>
    <s v="Android"/>
    <s v="Android Phone"/>
    <s v="1-2 years"/>
    <s v="Free"/>
    <s v="Referral"/>
    <x v="3"/>
    <s v="Repeat Use"/>
    <s v="New Cta Copy"/>
    <s v="Treatment"/>
    <n v="6"/>
    <n v="6"/>
    <n v="208"/>
    <s v="No"/>
    <x v="1"/>
    <x v="0"/>
    <s v="Contact Permission Denied"/>
    <x v="1"/>
    <n v="0"/>
    <n v="0"/>
    <n v="0"/>
    <s v="Transaction Failure"/>
    <s v="Yes"/>
    <s v="Transaction Failure"/>
    <s v="Resolved"/>
    <n v="36"/>
    <s v="No drop-off"/>
    <n v="2"/>
    <n v="-27"/>
    <n v="44"/>
    <x v="0"/>
    <n v="0"/>
    <n v="0"/>
    <n v="1"/>
    <n v="0"/>
  </r>
  <r>
    <s v="NSF-001323"/>
    <s v="USR-00186"/>
    <s v="SES-2604-82304"/>
    <d v="2026-04-17T00:00:00"/>
    <s v="Wales"/>
    <s v="Wrexham"/>
    <x v="1"/>
    <s v="18-24"/>
    <s v="Male"/>
    <s v="Android"/>
    <s v="Android Phone"/>
    <s v="7-12 months"/>
    <s v="Free"/>
    <s v="Organic Search"/>
    <x v="4"/>
    <s v="First Use"/>
    <s v="No Experiment"/>
    <s v="Control"/>
    <n v="6"/>
    <n v="6"/>
    <n v="239"/>
    <s v="No"/>
    <x v="1"/>
    <x v="0"/>
    <s v="Insight Unclear"/>
    <x v="1"/>
    <n v="0"/>
    <n v="0"/>
    <n v="0"/>
    <s v="No Support Contact"/>
    <s v="No"/>
    <s v="No Support Contact"/>
    <s v="Not Applicable"/>
    <m/>
    <s v="Technical error"/>
    <n v="3"/>
    <n v="-31"/>
    <n v="0"/>
    <x v="0"/>
    <n v="0"/>
    <n v="0"/>
    <n v="1"/>
    <n v="0"/>
  </r>
  <r>
    <s v="NSF-001042"/>
    <s v="USR-00345"/>
    <s v="SES-2512-48531"/>
    <d v="2025-06-12T00:00:00"/>
    <s v="East England"/>
    <s v="Cambridge"/>
    <x v="0"/>
    <s v="25-34"/>
    <s v="Male"/>
    <s v="Android"/>
    <s v="Android Phone"/>
    <s v="1-2 years"/>
    <s v="Free"/>
    <s v="App Store"/>
    <x v="3"/>
    <s v="First Use"/>
    <s v="No Experiment"/>
    <s v="Control"/>
    <n v="6"/>
    <s v="6 steps"/>
    <n v="151"/>
    <s v="No"/>
    <x v="0"/>
    <x v="1"/>
    <s v="No Error"/>
    <x v="1"/>
    <n v="0"/>
    <n v="0"/>
    <n v="0"/>
    <s v="No Support Contact"/>
    <s v="No"/>
    <s v="No Support Contact"/>
    <s v="Not Applicable"/>
    <m/>
    <s v="No drop-off"/>
    <n v="4"/>
    <n v="54"/>
    <n v="0"/>
    <x v="1"/>
    <n v="1"/>
    <n v="0"/>
    <n v="0"/>
    <n v="1"/>
  </r>
  <r>
    <s v="NSF-001284"/>
    <s v="USR-00531"/>
    <s v="SES-2603-20195"/>
    <d v="2026-03-05T00:00:00"/>
    <s v="North East"/>
    <s v="Durham"/>
    <x v="0"/>
    <s v="45-54"/>
    <s v="Female"/>
    <s v="Android"/>
    <s v="Android Phone"/>
    <s v="&lt;3 months"/>
    <s v="Free"/>
    <s v="Organic Search"/>
    <x v="9"/>
    <s v="Repeat Use"/>
    <s v="No Experiment"/>
    <s v="Control"/>
    <n v="5"/>
    <n v="5"/>
    <n v="0"/>
    <s v="No"/>
    <x v="0"/>
    <x v="1"/>
    <s v="No Error"/>
    <x v="0"/>
    <n v="24.79"/>
    <n v="0"/>
    <n v="0"/>
    <s v="No Support Contact"/>
    <s v="No"/>
    <s v="No Support Contact"/>
    <s v="Not Applicable"/>
    <m/>
    <s v="No drop-off"/>
    <n v="4"/>
    <n v="60"/>
    <n v="17"/>
    <x v="1"/>
    <n v="1"/>
    <n v="1"/>
    <n v="0"/>
    <n v="1"/>
  </r>
  <r>
    <s v="NSF-000257"/>
    <s v="USR-00490"/>
    <s v="SES-2503-48699"/>
    <d v="2025-03-04T00:00:00"/>
    <s v="Scotland"/>
    <s v="Aberdeen"/>
    <x v="1"/>
    <s v="25-34"/>
    <s v="Male"/>
    <s v="Ios"/>
    <s v="Iphone"/>
    <s v="1-2 years"/>
    <s v="Premium"/>
    <s v="Referral"/>
    <x v="0"/>
    <s v="Repeat Use"/>
    <s v="New Cta Copy"/>
    <s v="Control"/>
    <n v="7"/>
    <n v="7"/>
    <n v="137"/>
    <s v="No"/>
    <x v="1"/>
    <x v="1"/>
    <s v="No Error"/>
    <x v="0"/>
    <n v="0"/>
    <n v="0"/>
    <n v="0.37"/>
    <s v="No Support Contact"/>
    <s v="No"/>
    <s v="No Support Contact"/>
    <s v="Not Applicable"/>
    <m/>
    <s v="No drop-off"/>
    <n v="3"/>
    <n v="24"/>
    <n v="24"/>
    <x v="0"/>
    <n v="0"/>
    <n v="1"/>
    <n v="0"/>
    <n v="0"/>
  </r>
  <r>
    <s v="NSF-000741"/>
    <s v="USR-00191"/>
    <s v="SES-2508-65404"/>
    <d v="2025-08-04T00:00:00"/>
    <s v="North East"/>
    <s v="Middlesbrough"/>
    <x v="0"/>
    <s v="45-54"/>
    <s v="Male"/>
    <s v="Android"/>
    <s v="Android Phone"/>
    <s v="1-2 years"/>
    <s v="Free"/>
    <s v="Paid Social"/>
    <x v="4"/>
    <s v="First Use"/>
    <s v="No Experiment"/>
    <s v="Control"/>
    <n v="6"/>
    <n v="6"/>
    <n v="188"/>
    <s v="No"/>
    <x v="0"/>
    <x v="1"/>
    <s v="No Error"/>
    <x v="0"/>
    <n v="0"/>
    <n v="0"/>
    <n v="0"/>
    <s v="No Support Contact"/>
    <s v="No"/>
    <s v="No Support Contact"/>
    <s v="Not Applicable"/>
    <m/>
    <s v="No drop-off"/>
    <n v="2"/>
    <n v="-2"/>
    <s v="0 days"/>
    <x v="0"/>
    <n v="1"/>
    <n v="1"/>
    <n v="0"/>
    <n v="0"/>
  </r>
  <r>
    <s v="NSF-001195"/>
    <s v="USR-00053"/>
    <s v="SES-2602-77639"/>
    <d v="2026-02-01T00:00:00"/>
    <s v="Northern Ireland"/>
    <s v="Belfast"/>
    <x v="3"/>
    <s v="25-34"/>
    <s v="Male"/>
    <s v="Android"/>
    <s v="Android Phone"/>
    <s v="1-2 years"/>
    <s v="Pro"/>
    <s v="Employer Partnership"/>
    <x v="8"/>
    <s v="Repeat Use"/>
    <s v="Simplified Onboarding"/>
    <s v="Treatment"/>
    <n v="5"/>
    <n v="5"/>
    <n v="109"/>
    <s v="No"/>
    <x v="0"/>
    <x v="1"/>
    <s v="No Error"/>
    <x v="0"/>
    <n v="57.92"/>
    <n v="0"/>
    <n v="0.37"/>
    <s v="No Support Contact"/>
    <s v="No"/>
    <s v="No Support Contact"/>
    <s v="Not Applicable"/>
    <m/>
    <s v="No drop-off"/>
    <n v="5"/>
    <n v="13"/>
    <n v="54"/>
    <x v="1"/>
    <n v="1"/>
    <n v="1"/>
    <n v="0"/>
    <n v="1"/>
  </r>
  <r>
    <s v="NSF-000684"/>
    <s v="USR-00093"/>
    <s v="SES-2508-93668"/>
    <d v="2025-08-14T00:00:00"/>
    <s v="North East"/>
    <s v="Durham"/>
    <x v="2"/>
    <s v="35-44"/>
    <s v="Female"/>
    <s v="Ios"/>
    <s v="Iphone"/>
    <s v="7-12 months"/>
    <s v="Free"/>
    <s v="Paid Search"/>
    <x v="3"/>
    <s v="Repeat Use"/>
    <s v="No Experiment"/>
    <s v="Control"/>
    <n v="6"/>
    <n v="3"/>
    <n v="295"/>
    <s v="Yes"/>
    <x v="1"/>
    <x v="0"/>
    <s v="Friend Not Found"/>
    <x v="1"/>
    <n v="0"/>
    <n v="0"/>
    <n v="0"/>
    <s v="No Support Contact"/>
    <s v="No"/>
    <s v="No Support Contact"/>
    <s v="Not Applicable"/>
    <m/>
    <s v="Instructions unclear"/>
    <n v="3"/>
    <n v="-29"/>
    <n v="17"/>
    <x v="0"/>
    <n v="0"/>
    <n v="0"/>
    <n v="1"/>
    <n v="0"/>
  </r>
  <r>
    <s v="NSF-001489"/>
    <s v="USR-00056"/>
    <s v="SES-2506-74436"/>
    <d v="2025-06-11T00:00:00"/>
    <s v="Scotland"/>
    <s v="Glasgow"/>
    <x v="5"/>
    <s v="25-34"/>
    <s v="Female"/>
    <s v="Android"/>
    <s v="Android Phone"/>
    <s v="&lt;3 months"/>
    <s v="Plus"/>
    <s v="Affiliate"/>
    <x v="5"/>
    <s v="Repeat Use"/>
    <s v="No Experiment"/>
    <s v="Control"/>
    <s v="8 steps"/>
    <n v="8"/>
    <n v="146"/>
    <s v="No"/>
    <x v="1"/>
    <x v="1"/>
    <s v="No Error"/>
    <x v="1"/>
    <n v="0"/>
    <n v="0"/>
    <n v="0"/>
    <s v="No Support Contact"/>
    <s v="No"/>
    <s v="No Support Contact"/>
    <s v="Not Applicable"/>
    <m/>
    <s v="Privacy concern"/>
    <n v="3"/>
    <n v="31"/>
    <n v="-5"/>
    <x v="0"/>
    <n v="0"/>
    <n v="0"/>
    <n v="0"/>
    <n v="0"/>
  </r>
  <r>
    <s v="NSF-001194"/>
    <s v="USR-00255"/>
    <s v="SES-2602-61018"/>
    <d v="2026-02-27T00:00:00"/>
    <s v="North West"/>
    <s v="Preston"/>
    <x v="2"/>
    <s v="25-34"/>
    <s v="Female"/>
    <s v="Ios"/>
    <s v="Iphone"/>
    <s v="7-12 months"/>
    <s v="Free"/>
    <s v="Paid Social"/>
    <x v="2"/>
    <s v="Reactivated"/>
    <s v="New Cta Copy"/>
    <s v="Treatment"/>
    <n v="5"/>
    <n v="5"/>
    <n v="96"/>
    <s v="No"/>
    <x v="0"/>
    <x v="1"/>
    <s v="No Error"/>
    <x v="0"/>
    <n v="17.86"/>
    <n v="0"/>
    <n v="0"/>
    <s v="N/A"/>
    <s v="No"/>
    <s v="N/A"/>
    <s v="Not Applicable"/>
    <m/>
    <s v="No drop-off"/>
    <n v="5"/>
    <n v="44"/>
    <n v="20"/>
    <x v="0"/>
    <n v="1"/>
    <n v="1"/>
    <n v="0"/>
    <n v="0"/>
  </r>
  <r>
    <s v="NSF-000054"/>
    <s v="USR-00298"/>
    <s v="SES-2501-35065"/>
    <d v="2025-01-31T00:00:00"/>
    <s v="London"/>
    <s v="Croydon"/>
    <x v="0"/>
    <s v="35-44"/>
    <s v="Male"/>
    <s v="Ios"/>
    <s v="Iphone"/>
    <s v="1-2 years"/>
    <s v="Plus"/>
    <s v="Direct"/>
    <x v="4"/>
    <s v="Repeat Use"/>
    <s v="Simplified Onboarding"/>
    <s v="Control"/>
    <n v="6"/>
    <n v="6"/>
    <n v="190"/>
    <s v="No"/>
    <x v="1"/>
    <x v="1"/>
    <s v="No Error"/>
    <x v="0"/>
    <n v="0"/>
    <n v="0"/>
    <n v="0.17"/>
    <s v="No Support Contact"/>
    <s v="No"/>
    <s v="No Support Contact"/>
    <s v="Not Applicable"/>
    <m/>
    <s v="No drop-off"/>
    <n v="4"/>
    <n v="33"/>
    <n v="25"/>
    <x v="0"/>
    <n v="0"/>
    <n v="1"/>
    <n v="0"/>
    <n v="0"/>
  </r>
  <r>
    <s v="NSF-000629"/>
    <s v="USR-00418"/>
    <s v="SES-2507-82831"/>
    <d v="2025-07-24T00:00:00"/>
    <s v="North West"/>
    <s v="Manchester"/>
    <x v="0"/>
    <s v="25-34"/>
    <s v="Female"/>
    <s v="Web"/>
    <s v="Tablet Browser"/>
    <s v="3-6 months"/>
    <s v="Free"/>
    <s v="Affiliate"/>
    <x v="1"/>
    <s v="Reactivated"/>
    <s v="Simplified Onboarding"/>
    <s v="Control"/>
    <n v="4"/>
    <s v="2 steps"/>
    <n v="126"/>
    <s v="Yes"/>
    <x v="0"/>
    <x v="1"/>
    <s v="No Error"/>
    <x v="0"/>
    <n v="120.53"/>
    <n v="0.23"/>
    <n v="0"/>
    <s v="No Support Contact"/>
    <s v="No"/>
    <s v="No Support Contact"/>
    <s v="Not Applicable"/>
    <m/>
    <s v="No drop-off"/>
    <n v="3"/>
    <n v="-37"/>
    <n v="34"/>
    <x v="0"/>
    <n v="1"/>
    <n v="1"/>
    <n v="0"/>
    <n v="0"/>
  </r>
  <r>
    <s v="NSF-000275"/>
    <s v="USR-00618"/>
    <s v="SES-2503-99619"/>
    <d v="2025-03-13T00:00:00"/>
    <s v="North West"/>
    <s v="Liverpool"/>
    <x v="3"/>
    <s v="18-24"/>
    <s v="Male"/>
    <s v="Ios"/>
    <s v="Ipad"/>
    <s v="1-2 years"/>
    <s v="Free"/>
    <s v="Paid Search"/>
    <x v="3"/>
    <s v="Repeat Use"/>
    <s v="Simplified Onboarding"/>
    <s v="Control"/>
    <n v="6"/>
    <n v="6"/>
    <n v="127"/>
    <s v="No"/>
    <x v="1"/>
    <x v="1"/>
    <s v="No Error"/>
    <x v="1"/>
    <n v="0"/>
    <n v="0"/>
    <n v="0"/>
    <s v="No Support Contact"/>
    <s v="No"/>
    <s v="No Support Contact"/>
    <s v="Not Applicable"/>
    <m/>
    <s v="Technical error"/>
    <n v="3"/>
    <n v="27"/>
    <n v="8"/>
    <x v="0"/>
    <n v="0"/>
    <n v="0"/>
    <n v="0"/>
    <n v="0"/>
  </r>
  <r>
    <s v="NSF-000451"/>
    <s v="USR-00706"/>
    <s v="SES-2505-24326"/>
    <d v="2025-05-01T00:00:00"/>
    <s v="North East"/>
    <s v="Durham"/>
    <x v="0"/>
    <s v="18-24"/>
    <s v="Male"/>
    <s v="Web"/>
    <s v="Mobile Browser"/>
    <s v="3-6 months"/>
    <s v="Free"/>
    <s v="Organic Search"/>
    <x v="7"/>
    <s v="First Use"/>
    <s v="No Experiment"/>
    <s v="Control"/>
    <n v="4"/>
    <n v="4"/>
    <n v="103"/>
    <s v="No"/>
    <x v="0"/>
    <x v="1"/>
    <s v="No Error"/>
    <x v="0"/>
    <n v="63.58"/>
    <n v="0.5"/>
    <n v="0"/>
    <s v="No Support Contact"/>
    <s v="No"/>
    <s v="No Support Contact"/>
    <s v="Not Applicable"/>
    <m/>
    <s v="No drop-off"/>
    <n v="5"/>
    <n v="-7"/>
    <n v="0"/>
    <x v="1"/>
    <n v="1"/>
    <n v="1"/>
    <n v="0"/>
    <n v="1"/>
  </r>
  <r>
    <s v="NSF-001178"/>
    <s v="USR-00209"/>
    <s v="SES-2602-38308"/>
    <d v="2026-02-01T00:00:00"/>
    <s v="South East"/>
    <s v="Brighton"/>
    <x v="5"/>
    <s v="35-44"/>
    <s v="Male"/>
    <s v="Android"/>
    <s v="Android Phone"/>
    <s v="3-6 months"/>
    <s v="Free"/>
    <s v="Employer Partnership"/>
    <x v="4"/>
    <s v="First Use"/>
    <s v="Progress Indicator"/>
    <s v="Control"/>
    <n v="6"/>
    <n v="6"/>
    <n v="191"/>
    <s v="No"/>
    <x v="1"/>
    <x v="1"/>
    <s v="No Error"/>
    <x v="1"/>
    <n v="0"/>
    <n v="0"/>
    <n v="0"/>
    <s v="No Support Contact"/>
    <s v="No"/>
    <s v="No Support Contact"/>
    <s v="Not Applicable"/>
    <m/>
    <s v="No drop-off"/>
    <n v="3"/>
    <n v="18"/>
    <n v="0"/>
    <x v="0"/>
    <n v="0"/>
    <n v="0"/>
    <n v="0"/>
    <n v="0"/>
  </r>
  <r>
    <s v="NSF-000085"/>
    <s v="USR-00801"/>
    <s v="SES-2501-59555"/>
    <d v="2025-01-25T00:00:00"/>
    <s v="London"/>
    <s v="Hammersmith"/>
    <x v="1"/>
    <s v="65+"/>
    <s v="Female"/>
    <s v="Android"/>
    <s v="Android Phone"/>
    <s v="3-6 months"/>
    <s v="Free"/>
    <s v="Employer Partnership"/>
    <x v="2"/>
    <s v="Repeat Use"/>
    <s v="No Experiment"/>
    <s v="Control"/>
    <n v="5"/>
    <n v="4"/>
    <n v="277"/>
    <s v="Yes"/>
    <x v="0"/>
    <x v="0"/>
    <s v="Round-Up Not Activated"/>
    <x v="0"/>
    <n v="5.69"/>
    <n v="0"/>
    <n v="0"/>
    <s v="No Support Contact"/>
    <s v="No"/>
    <s v="No Support Contact"/>
    <s v="Not Applicable"/>
    <m/>
    <s v="No drop-off"/>
    <n v="3"/>
    <n v="-25"/>
    <n v="14"/>
    <x v="0"/>
    <n v="1"/>
    <n v="1"/>
    <n v="1"/>
    <n v="0"/>
  </r>
  <r>
    <s v="NSF-000955"/>
    <s v="USR-00327"/>
    <s v="SES-2511-94474"/>
    <d v="2025-11-24T00:00:00"/>
    <s v="Scotland"/>
    <s v="Glasgow"/>
    <x v="4"/>
    <s v="45-54"/>
    <s v="Male"/>
    <s v="Web"/>
    <s v="Mobile Browser"/>
    <s v="&lt;3 months"/>
    <s v="Free"/>
    <s v="Referral"/>
    <x v="1"/>
    <s v="Repeat Use"/>
    <s v="No Experiment"/>
    <s v="Control"/>
    <n v="4"/>
    <n v="4"/>
    <n v="99"/>
    <s v="No"/>
    <x v="0"/>
    <x v="1"/>
    <s v="No Error"/>
    <x v="1"/>
    <n v="-10"/>
    <n v="0"/>
    <n v="0"/>
    <s v="Fees And Pricing"/>
    <s v="Yes"/>
    <s v="Fees And Pricing"/>
    <s v="Resolved"/>
    <n v="5"/>
    <s v="No drop-off"/>
    <n v="4"/>
    <n v="0"/>
    <n v="24"/>
    <x v="1"/>
    <n v="1"/>
    <n v="0"/>
    <n v="0"/>
    <n v="1"/>
  </r>
  <r>
    <s v="NSF-000312"/>
    <s v="USR-00524"/>
    <s v="SES-2504-52177"/>
    <d v="2025-04-18T00:00:00"/>
    <s v="Yorkshire &amp; Humber"/>
    <s v="Sheffield"/>
    <x v="7"/>
    <s v="18-24"/>
    <s v="Female"/>
    <s v="Android"/>
    <s v="Android Phone"/>
    <s v="2+ years"/>
    <s v="Free"/>
    <s v="Affiliate"/>
    <x v="2"/>
    <s v="First Use"/>
    <s v="No Experiment"/>
    <s v="Control"/>
    <s v="5 steps"/>
    <n v="5"/>
    <n v="103"/>
    <s v="No"/>
    <x v="1"/>
    <x v="1"/>
    <s v="No Error"/>
    <x v="1"/>
    <n v="0"/>
    <n v="0"/>
    <n v="0"/>
    <s v="No Support Contact"/>
    <s v="No"/>
    <s v="No Support Contact"/>
    <s v="Not Applicable"/>
    <m/>
    <s v="Instructions unclear"/>
    <n v="4"/>
    <n v="48"/>
    <n v="0"/>
    <x v="0"/>
    <n v="0"/>
    <n v="0"/>
    <n v="0"/>
    <n v="0"/>
  </r>
  <r>
    <s v="NSF-001083"/>
    <s v="USR-00472"/>
    <s v="SES-2601-67404"/>
    <d v="2026-01-20T00:00:00"/>
    <s v="North West"/>
    <s v="Manchester"/>
    <x v="0"/>
    <s v="35-44"/>
    <s v="Male"/>
    <s v="Ios"/>
    <s v="Iphone"/>
    <s v="1-2 years"/>
    <s v="Plus"/>
    <s v="Organic Search"/>
    <x v="1"/>
    <s v="Repeat Use"/>
    <s v="New Cta Copy"/>
    <s v="Control"/>
    <n v="4"/>
    <n v="3"/>
    <n v="167"/>
    <s v="Yes"/>
    <x v="0"/>
    <x v="1"/>
    <s v="No Error"/>
    <x v="0"/>
    <n v="109.5"/>
    <n v="0.2"/>
    <n v="0.17"/>
    <s v="Fees And Pricing"/>
    <s v="Yes"/>
    <s v="Fees And Pricing"/>
    <s v="Resolved"/>
    <n v="36"/>
    <s v="No drop-off"/>
    <n v="3"/>
    <n v="2"/>
    <n v="20"/>
    <x v="0"/>
    <n v="1"/>
    <n v="1"/>
    <n v="0"/>
    <n v="0"/>
  </r>
  <r>
    <s v="NSF-001019"/>
    <s v="USR-00791"/>
    <s v="SES-2512-51402"/>
    <d v="2025-12-14T00:00:00"/>
    <s v="North East"/>
    <s v="Middlesbrough"/>
    <x v="0"/>
    <s v="18-24"/>
    <s v="Female"/>
    <s v="Android"/>
    <s v="Android Phone"/>
    <s v="&lt;3 months"/>
    <s v="Free"/>
    <s v="App Store"/>
    <x v="7"/>
    <s v="Reactivated"/>
    <s v="No Experiment"/>
    <s v="Control"/>
    <n v="4"/>
    <n v="4"/>
    <n v="108"/>
    <s v="No"/>
    <x v="0"/>
    <x v="1"/>
    <s v="No Error"/>
    <x v="0"/>
    <n v="85.73"/>
    <n v="0.56999999999999995"/>
    <n v="0"/>
    <s v="Feature Navigation"/>
    <s v="Yes"/>
    <s v="Feature Navigation"/>
    <s v="Resolved"/>
    <n v="54"/>
    <s v="No drop-off"/>
    <n v="4"/>
    <n v="35"/>
    <n v="36"/>
    <x v="1"/>
    <n v="1"/>
    <n v="1"/>
    <n v="0"/>
    <n v="1"/>
  </r>
  <r>
    <s v="NSF-000457"/>
    <s v="USR-00226"/>
    <s v="SES-2505-47305"/>
    <d v="2025-05-04T00:00:00"/>
    <s v="South East"/>
    <s v="Canterbury"/>
    <x v="7"/>
    <s v="45-54"/>
    <s v="Female"/>
    <s v="Android"/>
    <s v="Android Phone"/>
    <s v="1-2 years"/>
    <s v="Free"/>
    <s v="Direct"/>
    <x v="7"/>
    <s v="Trial/Exploration"/>
    <s v="No Experiment"/>
    <s v="Control"/>
    <n v="4"/>
    <n v="4"/>
    <n v="127"/>
    <s v="No"/>
    <x v="0"/>
    <x v="1"/>
    <s v="No Error"/>
    <x v="0"/>
    <n v="27.82"/>
    <n v="0.46"/>
    <n v="0"/>
    <s v="Feature Navigation"/>
    <s v="Yes"/>
    <s v="Feature Navigation"/>
    <s v="Resolved"/>
    <n v="17"/>
    <s v="No drop-off"/>
    <n v="5"/>
    <n v="78"/>
    <s v="3 days"/>
    <x v="1"/>
    <n v="1"/>
    <n v="1"/>
    <n v="0"/>
    <n v="1"/>
  </r>
  <r>
    <s v="NSF-000282"/>
    <s v="USR-00092"/>
    <s v="SES-2503-19444"/>
    <d v="2025-03-02T00:00:00"/>
    <s v="South West"/>
    <s v="Bath"/>
    <x v="0"/>
    <s v="25-34"/>
    <s v="Non-Binary"/>
    <s v="Android"/>
    <s v="Android Phone"/>
    <s v="1-2 years"/>
    <s v="Free"/>
    <s v="Direct"/>
    <x v="2"/>
    <s v="First Use"/>
    <s v="No Experiment"/>
    <s v="Control"/>
    <n v="5"/>
    <n v="5"/>
    <n v="135"/>
    <s v="No"/>
    <x v="0"/>
    <x v="1"/>
    <s v="No Error"/>
    <x v="0"/>
    <n v="73.16"/>
    <n v="0"/>
    <n v="0"/>
    <s v="No Support Contact"/>
    <s v="No"/>
    <s v="No Support Contact"/>
    <s v="Not Applicable"/>
    <m/>
    <s v="No drop-off"/>
    <n v="4"/>
    <n v="-4"/>
    <n v="0"/>
    <x v="1"/>
    <n v="1"/>
    <n v="1"/>
    <n v="0"/>
    <n v="1"/>
  </r>
  <r>
    <s v="NSF-001404"/>
    <s v="USR-00401"/>
    <s v="SES-2605-28972"/>
    <d v="2026-05-04T00:00:00"/>
    <s v="North West"/>
    <s v="Liverpool"/>
    <x v="2"/>
    <s v="35-44"/>
    <s v="Female"/>
    <s v="Ios"/>
    <s v="Iphone"/>
    <s v="2+ years"/>
    <s v="Pro"/>
    <s v="Organic Search"/>
    <x v="1"/>
    <s v="Repeat Use"/>
    <s v="No Experiment"/>
    <s v="Control"/>
    <n v="4"/>
    <n v="4"/>
    <n v="93"/>
    <s v="No"/>
    <x v="1"/>
    <x v="1"/>
    <s v="No Error"/>
    <x v="0"/>
    <n v="41.67"/>
    <n v="0.2"/>
    <n v="0.37"/>
    <s v="Fees And Pricing"/>
    <s v="Yes"/>
    <s v="Fees And Pricing"/>
    <s v="Resolved"/>
    <n v="28"/>
    <s v="Unexpected fee"/>
    <n v="5"/>
    <n v="0"/>
    <n v="15"/>
    <x v="0"/>
    <n v="0"/>
    <n v="1"/>
    <n v="0"/>
    <n v="0"/>
  </r>
  <r>
    <s v="NSF-000747"/>
    <s v="USR-00724"/>
    <s v="SES-2508-40007"/>
    <d v="2025-08-05T00:00:00"/>
    <s v="North West"/>
    <s v="Chester"/>
    <x v="0"/>
    <s v="25-34"/>
    <s v="Male"/>
    <s v="Android"/>
    <s v="Android Phone"/>
    <s v="3-6 months"/>
    <s v="Plus"/>
    <s v="App Store"/>
    <x v="3"/>
    <s v="Repeat Use"/>
    <s v="Simplified Onboarding"/>
    <s v="Control"/>
    <s v="6 steps"/>
    <n v="4"/>
    <n v="283"/>
    <s v="Yes"/>
    <x v="0"/>
    <x v="1"/>
    <s v="No Error"/>
    <x v="0"/>
    <n v="126.55"/>
    <n v="0.09"/>
    <n v="0.17"/>
    <s v="No Support Contact"/>
    <s v="No"/>
    <s v="No Support Contact"/>
    <s v="Not Applicable"/>
    <m/>
    <s v="No drop-off"/>
    <n v="4"/>
    <n v="-1"/>
    <n v="44"/>
    <x v="1"/>
    <n v="1"/>
    <n v="1"/>
    <n v="0"/>
    <n v="1"/>
  </r>
  <r>
    <s v="NSF-001012"/>
    <s v="USR-00337"/>
    <s v="SES-2512-79168"/>
    <d v="2025-12-27T00:00:00"/>
    <s v="Yorkshire &amp; Humber"/>
    <s v="York"/>
    <x v="4"/>
    <s v="55-64"/>
    <s v="Male"/>
    <s v="Android"/>
    <s v="Android Phone"/>
    <s v="2+ years"/>
    <s v="Free"/>
    <s v="App Store"/>
    <x v="9"/>
    <s v="First Use"/>
    <s v="No Experiment"/>
    <s v="Control"/>
    <n v="5"/>
    <n v="3"/>
    <n v="196"/>
    <s v="Yes"/>
    <x v="0"/>
    <x v="1"/>
    <s v="No Error"/>
    <x v="0"/>
    <n v="91.76"/>
    <n v="0"/>
    <n v="0"/>
    <s v="No Support Contact"/>
    <s v="No"/>
    <s v="No Support Contact"/>
    <s v="Not Applicable"/>
    <m/>
    <s v="No drop-off"/>
    <n v="3"/>
    <n v="-10"/>
    <n v="0"/>
    <x v="0"/>
    <n v="1"/>
    <n v="1"/>
    <n v="0"/>
    <n v="0"/>
  </r>
  <r>
    <s v="NSF-000591"/>
    <s v="USR-00515"/>
    <s v="SES-2507-26752"/>
    <d v="2025-07-15T00:00:00"/>
    <s v="Scotland"/>
    <s v="DUNDEE"/>
    <x v="1"/>
    <s v="35-44"/>
    <s v="Female"/>
    <s v="Android"/>
    <s v="Android Phone"/>
    <s v="3-6 months"/>
    <s v="Plus"/>
    <s v="Affiliate"/>
    <x v="10"/>
    <s v="Reactivated"/>
    <s v="No Experiment"/>
    <s v="Control"/>
    <s v="9 steps"/>
    <n v="9"/>
    <n v="254"/>
    <s v="No"/>
    <x v="1"/>
    <x v="1"/>
    <s v="No Error"/>
    <x v="1"/>
    <n v="0"/>
    <n v="0"/>
    <n v="0"/>
    <s v="No Support Contact"/>
    <s v="No"/>
    <s v="No Support Contact"/>
    <s v="Not Applicable"/>
    <m/>
    <s v="No drop-off"/>
    <n v="3"/>
    <n v="1"/>
    <n v="25"/>
    <x v="0"/>
    <n v="0"/>
    <n v="0"/>
    <n v="0"/>
    <n v="0"/>
  </r>
  <r>
    <s v="NSF-000583"/>
    <s v="USR-00828"/>
    <s v="SES-2507-95188"/>
    <d v="2025-07-28T00:00:00"/>
    <s v="East England"/>
    <s v="Luton"/>
    <x v="0"/>
    <s v="55-64"/>
    <s v="Male"/>
    <s v="Ios"/>
    <s v="Iphone"/>
    <s v="7-12 months"/>
    <s v="Free"/>
    <s v="Referral"/>
    <x v="2"/>
    <s v="Repeat Use"/>
    <s v="No Experiment"/>
    <s v="Control"/>
    <n v="5"/>
    <n v="5"/>
    <n v="154"/>
    <s v="No"/>
    <x v="0"/>
    <x v="1"/>
    <s v="No Error"/>
    <x v="0"/>
    <n v="88.52"/>
    <n v="0"/>
    <n v="0"/>
    <s v="No Support Contact"/>
    <s v="No"/>
    <s v="No Support Contact"/>
    <s v="Not Applicable"/>
    <m/>
    <s v="No drop-off"/>
    <n v="5"/>
    <n v="16"/>
    <n v="42"/>
    <x v="0"/>
    <n v="1"/>
    <n v="1"/>
    <n v="0"/>
    <n v="0"/>
  </r>
  <r>
    <s v="NSF-000572"/>
    <s v="USR-00061"/>
    <s v="SES-2506-51938"/>
    <d v="2025-06-13T00:00:00"/>
    <s v="Scotland"/>
    <s v="Edinburgh"/>
    <x v="5"/>
    <s v="35-44"/>
    <s v="Female"/>
    <s v="Ios"/>
    <s v="Iphone"/>
    <s v="7-12 months"/>
    <s v="Premium"/>
    <s v="Affiliate"/>
    <x v="9"/>
    <s v="Repeat Use"/>
    <s v="No Experiment"/>
    <s v="Control"/>
    <n v="5"/>
    <n v="5"/>
    <n v="157"/>
    <s v="No"/>
    <x v="0"/>
    <x v="1"/>
    <s v="No Error"/>
    <x v="0"/>
    <n v="53.59"/>
    <n v="0"/>
    <n v="0.37"/>
    <s v="No Support Contact"/>
    <s v="No"/>
    <s v="No Support Contact"/>
    <s v="Not Applicable"/>
    <m/>
    <s v="No drop-off"/>
    <n v="5"/>
    <n v="-13"/>
    <n v="30"/>
    <x v="1"/>
    <n v="1"/>
    <n v="1"/>
    <n v="0"/>
    <n v="1"/>
  </r>
  <r>
    <s v="NSF-000698"/>
    <s v="USR-00622"/>
    <s v="SES-2508-93581"/>
    <d v="2025-08-25T00:00:00"/>
    <s v="Northern Ireland"/>
    <s v="Derry"/>
    <x v="3"/>
    <s v="45-54"/>
    <s v="Male"/>
    <s v="Ios"/>
    <s v="Iphone"/>
    <s v="2+ years"/>
    <s v="Free"/>
    <s v="App Store"/>
    <x v="9"/>
    <s v="Repeat Use"/>
    <s v="New Cta Copy"/>
    <s v="Treatment"/>
    <n v="5"/>
    <n v="4"/>
    <n v="155"/>
    <s v="Yes"/>
    <x v="0"/>
    <x v="1"/>
    <s v="No Error"/>
    <x v="0"/>
    <n v="40.81"/>
    <n v="0"/>
    <n v="0"/>
    <s v="No Support Contact"/>
    <s v="No"/>
    <s v="No Support Contact"/>
    <s v="Not Applicable"/>
    <m/>
    <s v="No drop-off"/>
    <n v="3"/>
    <n v="1"/>
    <s v="22 days"/>
    <x v="1"/>
    <n v="1"/>
    <n v="1"/>
    <n v="0"/>
    <n v="1"/>
  </r>
  <r>
    <s v="NSF-001329"/>
    <s v="USR-00395"/>
    <s v="SES-2604-13608"/>
    <d v="2026-04-11T00:00:00"/>
    <s v="West Midlands"/>
    <s v="Coventry"/>
    <x v="3"/>
    <s v="25-34"/>
    <s v="Male"/>
    <s v="Android"/>
    <s v="Android Phone"/>
    <s v="&lt;3 months"/>
    <s v="Plus"/>
    <s v="Employer Partnership"/>
    <x v="7"/>
    <s v="Repeat Use"/>
    <s v="No Experiment"/>
    <s v="Control"/>
    <n v="4"/>
    <n v="4"/>
    <n v="123"/>
    <s v="No"/>
    <x v="1"/>
    <x v="0"/>
    <s v="Merchant Declined Card"/>
    <x v="1"/>
    <n v="0"/>
    <n v="0"/>
    <n v="0"/>
    <s v="No Support Contact"/>
    <s v="No"/>
    <s v="No Support Contact"/>
    <s v="Not Applicable"/>
    <m/>
    <s v="Verification took too long"/>
    <n v="3"/>
    <n v="-18"/>
    <n v="54"/>
    <x v="1"/>
    <n v="0"/>
    <n v="0"/>
    <n v="1"/>
    <n v="1"/>
  </r>
  <r>
    <s v="NSF-001490"/>
    <s v="USR-00002"/>
    <s v="SES-2504-13484"/>
    <d v="2025-04-22T00:00:00"/>
    <s v="East Midlands"/>
    <s v="Derby"/>
    <x v="2"/>
    <s v="18-24"/>
    <s v="Female"/>
    <s v="Android"/>
    <s v="Android Phone"/>
    <s v="3-6 months"/>
    <s v="Plus"/>
    <s v="App Store"/>
    <x v="0"/>
    <s v="Reactivated"/>
    <s v="New Cta Copy"/>
    <s v="Treatment"/>
    <n v="-1"/>
    <n v="7"/>
    <n v="219"/>
    <s v="No"/>
    <x v="0"/>
    <x v="1"/>
    <s v="No Error"/>
    <x v="0"/>
    <n v="0"/>
    <n v="0"/>
    <n v="0.17"/>
    <s v="No Support Contact"/>
    <s v="No"/>
    <s v="No Support Contact"/>
    <s v="Not Applicable"/>
    <m/>
    <s v="No drop-off"/>
    <n v="4"/>
    <n v="20"/>
    <n v="2"/>
    <x v="1"/>
    <n v="1"/>
    <n v="1"/>
    <n v="0"/>
    <n v="1"/>
  </r>
  <r>
    <s v="NSF-000710"/>
    <s v="USR-00730"/>
    <s v="SES-2508-93141"/>
    <d v="2025-08-16T00:00:00"/>
    <s v="Northern Ireland"/>
    <s v="Lisburn"/>
    <x v="0"/>
    <s v="18-24"/>
    <s v="Male"/>
    <s v="Android"/>
    <s v="Android Phone"/>
    <s v="7-12 months"/>
    <s v="Free"/>
    <s v="App Store"/>
    <x v="1"/>
    <s v="Repeat Use"/>
    <s v="No Experiment"/>
    <s v="Control"/>
    <s v="4 steps"/>
    <n v="2"/>
    <n v="114"/>
    <s v="Yes"/>
    <x v="0"/>
    <x v="1"/>
    <s v="No Error"/>
    <x v="0"/>
    <n v="223.24"/>
    <n v="0.18"/>
    <n v="0"/>
    <s v="No Support Contact"/>
    <s v="No"/>
    <s v="No Support Contact"/>
    <s v="Not Applicable"/>
    <m/>
    <s v="No drop-off"/>
    <n v="3"/>
    <n v="54"/>
    <n v="26"/>
    <x v="1"/>
    <n v="1"/>
    <n v="1"/>
    <n v="0"/>
    <n v="1"/>
  </r>
  <r>
    <s v="NSF-000488"/>
    <s v="USR-00723"/>
    <s v="SES-2506-36639"/>
    <d v="2025-06-21T00:00:00"/>
    <s v="North East"/>
    <s v="Middlesbrough"/>
    <x v="3"/>
    <s v="18-24"/>
    <s v="Female"/>
    <s v="Ios"/>
    <s v="Iphone"/>
    <s v="1-2 years"/>
    <s v="Free"/>
    <s v="Paid Social"/>
    <x v="5"/>
    <s v="Trial/Exploration"/>
    <s v="No Experiment"/>
    <s v="Control"/>
    <n v="8"/>
    <n v="5"/>
    <n v="307"/>
    <s v="Yes"/>
    <x v="0"/>
    <x v="1"/>
    <s v="No Error"/>
    <x v="0"/>
    <n v="389.44"/>
    <n v="2.44"/>
    <n v="0"/>
    <s v="No Support Contact"/>
    <s v="No"/>
    <s v="No Support Contact"/>
    <s v="Not Applicable"/>
    <m/>
    <s v="No drop-off"/>
    <n v="3"/>
    <n v="-13"/>
    <n v="35"/>
    <x v="1"/>
    <n v="1"/>
    <n v="1"/>
    <n v="0"/>
    <n v="1"/>
  </r>
  <r>
    <s v="NSF-000084"/>
    <s v="USR-00424"/>
    <s v="SES-2501-67096"/>
    <d v="2025-01-01T00:00:00"/>
    <s v="South East"/>
    <s v="Oxford"/>
    <x v="0"/>
    <s v="35-44"/>
    <s v="Female"/>
    <s v="Ios"/>
    <s v="Iphone"/>
    <s v="3-6 months"/>
    <s v="Free"/>
    <s v="Organic Search"/>
    <x v="7"/>
    <s v="Repeat Use"/>
    <s v="Simplified Onboarding"/>
    <s v="Control"/>
    <n v="4"/>
    <n v="4"/>
    <n v="90"/>
    <s v="No"/>
    <x v="0"/>
    <x v="1"/>
    <s v="No Error"/>
    <x v="0"/>
    <n v="62.74"/>
    <n v="0.47"/>
    <n v="0"/>
    <s v="No Support Contact"/>
    <s v="No"/>
    <s v="No Support Contact"/>
    <s v="Not Applicable"/>
    <m/>
    <s v="No drop-off"/>
    <n v="5"/>
    <n v="37"/>
    <n v="8"/>
    <x v="1"/>
    <n v="1"/>
    <n v="1"/>
    <n v="0"/>
    <n v="1"/>
  </r>
  <r>
    <s v="NSF-000480"/>
    <s v="USR-00075"/>
    <s v="SES-2505-82369"/>
    <d v="2025-05-01T00:00:00"/>
    <s v="North West"/>
    <s v="Manchester"/>
    <x v="1"/>
    <s v="45-54"/>
    <s v="Male"/>
    <s v="Android"/>
    <s v="Android Phone"/>
    <s v="&lt;3 months"/>
    <s v="Free"/>
    <s v="Employer Partnership"/>
    <x v="2"/>
    <s v="Reactivated"/>
    <s v="Simplified Onboarding"/>
    <s v="Treatment"/>
    <s v="many"/>
    <n v="5"/>
    <n v="107"/>
    <s v="No"/>
    <x v="0"/>
    <x v="1"/>
    <s v="No Error"/>
    <x v="0"/>
    <n v="77.61"/>
    <n v="0"/>
    <n v="0"/>
    <s v="No Support Contact"/>
    <s v="No"/>
    <s v="No Support Contact"/>
    <s v="Not Applicable"/>
    <m/>
    <s v="No drop-off"/>
    <n v="5"/>
    <n v="78"/>
    <n v="14"/>
    <x v="1"/>
    <n v="1"/>
    <n v="1"/>
    <n v="0"/>
    <n v="1"/>
  </r>
  <r>
    <s v="NSF-000879"/>
    <s v="USR-00461"/>
    <s v="SES-2510-84135"/>
    <d v="2025-10-17T00:00:00"/>
    <s v="South West"/>
    <s v="Bath"/>
    <x v="2"/>
    <s v="18-24"/>
    <s v="Female"/>
    <s v="Android"/>
    <s v="Android Phone"/>
    <s v="2+ years"/>
    <s v="Free"/>
    <s v="Employer Partnership"/>
    <x v="7"/>
    <s v="Repeat Use"/>
    <s v="Progress Indicator"/>
    <s v="Control"/>
    <n v="4"/>
    <n v="4"/>
    <n v="94"/>
    <s v="No"/>
    <x v="1"/>
    <x v="1"/>
    <s v="No Error"/>
    <x v="0"/>
    <n v="86.67"/>
    <n v="0.55000000000000004"/>
    <n v="0"/>
    <s v="No Support Contact"/>
    <s v="No"/>
    <s v="No Support Contact"/>
    <s v="Not Applicable"/>
    <m/>
    <s v="No drop-off"/>
    <n v="3"/>
    <n v="21"/>
    <n v="63"/>
    <x v="1"/>
    <n v="0"/>
    <n v="1"/>
    <n v="0"/>
    <n v="1"/>
  </r>
  <r>
    <s v="NSF-001376"/>
    <s v="USR-00781"/>
    <s v="SES-2605-35483"/>
    <d v="2026-05-09T00:00:00"/>
    <s v="North West"/>
    <s v="Chester"/>
    <x v="0"/>
    <s v="65+"/>
    <s v="Male"/>
    <s v="Ios"/>
    <s v="Iphone"/>
    <s v="3-6 months"/>
    <s v="Premium"/>
    <s v="Organic Search"/>
    <x v="0"/>
    <s v="Repeat Use"/>
    <s v="Fee Transparency Panel"/>
    <s v="Treatment"/>
    <n v="7"/>
    <n v="7"/>
    <n v="182"/>
    <s v="No"/>
    <x v="0"/>
    <x v="1"/>
    <s v="No Error"/>
    <x v="1"/>
    <n v="0"/>
    <n v="0"/>
    <n v="0"/>
    <s v="Account Verification"/>
    <s v="Yes"/>
    <s v="Account Verification"/>
    <s v="Unresolved"/>
    <n v="21"/>
    <s v="No drop-off"/>
    <n v="5"/>
    <n v="-17"/>
    <n v="12"/>
    <x v="0"/>
    <n v="1"/>
    <n v="0"/>
    <n v="0"/>
    <n v="0"/>
  </r>
  <r>
    <s v="NSF-000035"/>
    <s v="USR-00319"/>
    <s v="SES-2501-42880"/>
    <d v="2025-01-16T00:00:00"/>
    <s v="South East"/>
    <s v="Reading"/>
    <x v="3"/>
    <s v="45-54"/>
    <s v="Male"/>
    <s v="Android"/>
    <s v="Android Phone"/>
    <s v="2+ years"/>
    <s v="Free"/>
    <s v="Referral"/>
    <x v="10"/>
    <s v="Repeat Use"/>
    <s v="Progress Indicator"/>
    <s v="Treatment"/>
    <n v="9"/>
    <n v="8"/>
    <n v="338"/>
    <s v="Yes"/>
    <x v="0"/>
    <x v="1"/>
    <s v="No Error"/>
    <x v="1"/>
    <n v="0"/>
    <n v="0"/>
    <n v="0"/>
    <s v="No Support Contact"/>
    <s v="No"/>
    <s v="No Support Contact"/>
    <s v="Not Applicable"/>
    <m/>
    <s v="No drop-off"/>
    <n v="2"/>
    <n v="-35"/>
    <n v="1"/>
    <x v="1"/>
    <n v="1"/>
    <n v="0"/>
    <n v="0"/>
    <n v="1"/>
  </r>
  <r>
    <s v="NSF-000796"/>
    <s v="USR-00082"/>
    <s v="SES-2509-86160"/>
    <d v="2025-07-09T00:00:00"/>
    <s v="South West"/>
    <s v="Gloucester"/>
    <x v="1"/>
    <s v="18-24"/>
    <s v="Female"/>
    <s v="Android"/>
    <s v="Android Phone"/>
    <s v="7-12 months"/>
    <s v="Plus"/>
    <s v="Organic Search"/>
    <x v="8"/>
    <s v="First Use"/>
    <s v="No Experiment"/>
    <s v="Control"/>
    <n v="5"/>
    <n v="4"/>
    <n v="179"/>
    <s v="Yes"/>
    <x v="0"/>
    <x v="1"/>
    <s v="No Error"/>
    <x v="0"/>
    <n v="47.77"/>
    <n v="0"/>
    <n v="0.17"/>
    <s v="No Support Contact"/>
    <s v="No"/>
    <s v="No Support Contact"/>
    <s v="Not Applicable"/>
    <m/>
    <s v="No drop-off"/>
    <n v="4"/>
    <n v="2"/>
    <n v="0"/>
    <x v="1"/>
    <n v="1"/>
    <n v="1"/>
    <n v="0"/>
    <n v="1"/>
  </r>
  <r>
    <s v="NSF-000982"/>
    <s v="USR-00021"/>
    <s v="SES-2511-59651"/>
    <d v="2025-11-29T00:00:00"/>
    <s v="South East"/>
    <s v="Canterbury"/>
    <x v="1"/>
    <s v="25-34"/>
    <s v="Male"/>
    <s v="Ios"/>
    <s v="Iphone"/>
    <s v="3-6 months"/>
    <s v="Plus"/>
    <s v="Direct"/>
    <x v="1"/>
    <s v="Trial/Exploration"/>
    <s v="Fee Transparency Panel"/>
    <s v="Treatment"/>
    <n v="4"/>
    <n v="4"/>
    <n v="184"/>
    <s v="No"/>
    <x v="0"/>
    <x v="0"/>
    <s v="Recipient Validation Error"/>
    <x v="1"/>
    <n v="0"/>
    <n v="0"/>
    <n v="0"/>
    <s v="No Support Contact"/>
    <s v="No"/>
    <s v="No Support Contact"/>
    <s v="Not Applicable"/>
    <m/>
    <s v="No drop-off"/>
    <n v="5"/>
    <n v="42"/>
    <n v="35"/>
    <x v="0"/>
    <n v="1"/>
    <n v="0"/>
    <n v="1"/>
    <n v="0"/>
  </r>
  <r>
    <s v="NSF-000452"/>
    <s v="USR-00128"/>
    <s v="SES-2505-18003"/>
    <d v="2025-05-14T00:00:00"/>
    <s v="South East"/>
    <s v="Brighton"/>
    <x v="2"/>
    <s v="65+"/>
    <s v="Female"/>
    <s v="Android"/>
    <s v="Android Phone"/>
    <s v="1-2 years"/>
    <s v="Free"/>
    <s v="Paid Search"/>
    <x v="4"/>
    <s v="Reactivated"/>
    <s v="No Experiment"/>
    <s v="Control"/>
    <n v="6"/>
    <s v="6 steps"/>
    <n v="150"/>
    <s v="No"/>
    <x v="0"/>
    <x v="1"/>
    <s v="No Error"/>
    <x v="0"/>
    <n v="6.69"/>
    <n v="0"/>
    <n v="0"/>
    <s v="No Support Contact"/>
    <s v="No"/>
    <s v="No Support Contact"/>
    <s v="Not Applicable"/>
    <m/>
    <s v="No drop-off"/>
    <n v="4"/>
    <n v="68"/>
    <n v="8"/>
    <x v="1"/>
    <n v="1"/>
    <n v="1"/>
    <n v="0"/>
    <n v="1"/>
  </r>
  <r>
    <s v="NSF-001294"/>
    <s v="USR-00592"/>
    <s v="SES-2604-95487"/>
    <d v="2026-04-28T00:00:00"/>
    <s v="West Midlands"/>
    <s v="Birmingham"/>
    <x v="3"/>
    <s v="25-34"/>
    <s v="Female"/>
    <s v="Android"/>
    <s v="Android Phone"/>
    <s v="3-6 months"/>
    <s v="Free"/>
    <s v="Referral"/>
    <x v="7"/>
    <s v="Repeat Use"/>
    <s v="Contextual Help"/>
    <s v="Treatment"/>
    <n v="4"/>
    <n v="4"/>
    <n v="104"/>
    <s v="No"/>
    <x v="0"/>
    <x v="1"/>
    <s v="No Error"/>
    <x v="0"/>
    <n v="42.41"/>
    <n v="0"/>
    <n v="0"/>
    <s v="No Support Contact"/>
    <s v="No"/>
    <s v="No Support Contact"/>
    <s v="Not Applicable"/>
    <m/>
    <s v="No drop-off"/>
    <n v="5"/>
    <n v="55"/>
    <n v="68"/>
    <x v="0"/>
    <n v="1"/>
    <n v="1"/>
    <n v="0"/>
    <n v="0"/>
  </r>
  <r>
    <s v="NSF-000676"/>
    <s v="USR-00443"/>
    <s v="SES-2508-28886"/>
    <d v="2025-08-29T00:00:00"/>
    <s v="South West"/>
    <s v="Gloucester"/>
    <x v="1"/>
    <s v="45-54"/>
    <s v="Male"/>
    <s v="Android"/>
    <s v="Android Phone"/>
    <s v="3-6 months"/>
    <s v="Plus"/>
    <s v="Referral"/>
    <x v="1"/>
    <s v="First Use"/>
    <s v="No Experiment"/>
    <s v="Control"/>
    <n v="4"/>
    <n v="4"/>
    <n v="89"/>
    <s v="No"/>
    <x v="0"/>
    <x v="1"/>
    <s v="No Error"/>
    <x v="0"/>
    <n v="205.96"/>
    <n v="0.19"/>
    <n v="0.17"/>
    <s v="Feature Navigation"/>
    <s v="Yes"/>
    <s v="Feature Navigation"/>
    <s v="Resolved"/>
    <n v="26"/>
    <s v="No drop-off"/>
    <n v="3"/>
    <n v="16"/>
    <n v="0"/>
    <x v="1"/>
    <n v="1"/>
    <n v="1"/>
    <n v="0"/>
    <n v="1"/>
  </r>
  <r>
    <s v="NSF-000298"/>
    <s v="USR-00272"/>
    <s v="SES-2504-98447"/>
    <d v="2025-04-23T00:00:00"/>
    <s v="North West"/>
    <s v="Chester"/>
    <x v="0"/>
    <s v="25-34"/>
    <s v="Female"/>
    <s v="Ios"/>
    <s v="Iphone"/>
    <s v="&lt;3 months"/>
    <s v="Free"/>
    <s v="Referral"/>
    <x v="10"/>
    <s v="Reactivated"/>
    <s v="Simplified Onboarding"/>
    <s v="Treatment"/>
    <n v="9"/>
    <n v="9"/>
    <n v="229"/>
    <s v="No"/>
    <x v="1"/>
    <x v="1"/>
    <s v="No Error"/>
    <x v="0"/>
    <n v="108.04"/>
    <n v="3.11"/>
    <n v="0"/>
    <s v="No Support Contact"/>
    <s v="No"/>
    <s v="No Support Contact"/>
    <s v="Not Applicable"/>
    <m/>
    <s v="Instructions unclear"/>
    <n v="3"/>
    <n v="24"/>
    <n v="10"/>
    <x v="0"/>
    <n v="0"/>
    <n v="1"/>
    <n v="0"/>
    <n v="0"/>
  </r>
  <r>
    <s v="NSF-000352"/>
    <s v="USR-00587"/>
    <s v="SES-2504-87230"/>
    <d v="2025-04-23T00:00:00"/>
    <s v="South West"/>
    <s v="Plymouth"/>
    <x v="0"/>
    <s v="45-54"/>
    <s v="Male"/>
    <s v="Ios"/>
    <s v="Iphone"/>
    <s v="&lt;3 months"/>
    <s v="Free"/>
    <s v="Organic Search"/>
    <x v="0"/>
    <s v="Repeat Use"/>
    <s v="No Experiment"/>
    <s v="Control"/>
    <n v="7"/>
    <n v="7"/>
    <n v="194"/>
    <s v="No"/>
    <x v="0"/>
    <x v="1"/>
    <s v="No Error"/>
    <x v="1"/>
    <n v="0"/>
    <n v="0"/>
    <n v="0"/>
    <s v="No Support Contact"/>
    <s v="No"/>
    <s v="No Support Contact"/>
    <s v="Not Applicable"/>
    <m/>
    <s v="No drop-off"/>
    <n v="3"/>
    <n v="-34"/>
    <n v="26"/>
    <x v="1"/>
    <n v="1"/>
    <n v="0"/>
    <n v="0"/>
    <n v="1"/>
  </r>
  <r>
    <s v="NSF-000269"/>
    <s v="USR-00389"/>
    <s v="SES-2503-23945"/>
    <d v="2025-03-18T00:00:00"/>
    <s v="South West"/>
    <s v="Bath"/>
    <x v="1"/>
    <s v="25-34"/>
    <s v="Male"/>
    <s v="Ios"/>
    <s v="Iphone"/>
    <s v="1-2 years"/>
    <s v="Free"/>
    <s v="Paid Search"/>
    <x v="1"/>
    <s v="First Use"/>
    <s v="No Experiment"/>
    <s v="Control"/>
    <s v="4 steps"/>
    <n v="3"/>
    <n v="162"/>
    <s v="Yes"/>
    <x v="1"/>
    <x v="1"/>
    <s v="No Error"/>
    <x v="0"/>
    <n v="120.75"/>
    <n v="0.21"/>
    <n v="0"/>
    <s v="No Support Contact"/>
    <s v="No"/>
    <s v="No Support Contact"/>
    <s v="Not Applicable"/>
    <m/>
    <s v="Too many steps"/>
    <n v="3"/>
    <n v="-18"/>
    <n v="0"/>
    <x v="0"/>
    <n v="0"/>
    <n v="1"/>
    <n v="0"/>
    <n v="0"/>
  </r>
  <r>
    <s v="NSF-000986"/>
    <s v="USR-00763"/>
    <s v="SES-2511-54116"/>
    <d v="2025-11-05T00:00:00"/>
    <s v="East Midlands"/>
    <s v="Nottingham"/>
    <x v="3"/>
    <s v="45-54"/>
    <s v="Female"/>
    <s v="Ios"/>
    <s v="Iphone"/>
    <s v="7-12 months"/>
    <s v="Plus"/>
    <s v="Referral"/>
    <x v="5"/>
    <s v="Repeat Use"/>
    <s v="No Experiment"/>
    <s v="Control"/>
    <n v="8"/>
    <n v="8"/>
    <n v="203"/>
    <s v="No"/>
    <x v="1"/>
    <x v="0"/>
    <s v="Compliance Review Delay"/>
    <x v="1"/>
    <n v="0"/>
    <n v="0"/>
    <n v="0"/>
    <s v="No Support Contact"/>
    <s v="No"/>
    <s v="No Support Contact"/>
    <s v="Not Applicable"/>
    <m/>
    <s v="No drop-off"/>
    <n v="4"/>
    <n v="-43"/>
    <n v="7"/>
    <x v="1"/>
    <n v="0"/>
    <n v="0"/>
    <n v="1"/>
    <n v="1"/>
  </r>
  <r>
    <s v="NSF-000107"/>
    <s v="USR-00524"/>
    <s v="SES-2502-47624"/>
    <d v="2025-02-14T00:00:00"/>
    <s v="Northern Ireland"/>
    <s v="Lisburn"/>
    <x v="3"/>
    <s v="45-54"/>
    <s v="Female"/>
    <s v="Ios"/>
    <s v="Iphone"/>
    <s v="&lt;3 months"/>
    <s v="Premium"/>
    <s v="Organic Search"/>
    <x v="0"/>
    <s v="Repeat Use"/>
    <s v="No Experiment"/>
    <s v="Control"/>
    <s v="7 steps"/>
    <n v="7"/>
    <n v="171"/>
    <s v="No"/>
    <x v="0"/>
    <x v="1"/>
    <s v="No Error"/>
    <x v="1"/>
    <n v="0"/>
    <n v="0"/>
    <n v="0"/>
    <s v="No Support Contact"/>
    <s v="No"/>
    <s v="No Support Contact"/>
    <s v="Not Applicable"/>
    <m/>
    <s v="No drop-off"/>
    <n v="4"/>
    <n v="-5"/>
    <n v="35"/>
    <x v="1"/>
    <n v="1"/>
    <n v="0"/>
    <n v="0"/>
    <n v="1"/>
  </r>
  <r>
    <s v="NSF-000134"/>
    <s v="USR-00715"/>
    <s v="SES-2502-71710"/>
    <d v="2025-02-12T00:00:00"/>
    <s v="North West"/>
    <s v="Chester"/>
    <x v="3"/>
    <s v="55-64"/>
    <s v="Male"/>
    <s v="Android"/>
    <s v="Android Phone"/>
    <s v="3-6 months"/>
    <s v="Plus"/>
    <s v="Paid Social"/>
    <x v="3"/>
    <s v="Repeat Use"/>
    <s v="No Experiment"/>
    <s v="Control"/>
    <n v="6"/>
    <n v="6"/>
    <n v="110"/>
    <s v="No"/>
    <x v="0"/>
    <x v="1"/>
    <s v="No Error"/>
    <x v="1"/>
    <n v="0"/>
    <n v="0"/>
    <n v="0"/>
    <s v="No Support Contact"/>
    <s v="No"/>
    <s v="No Support Contact"/>
    <s v="Not Applicable"/>
    <m/>
    <s v="No drop-off"/>
    <n v="5"/>
    <n v="-42"/>
    <n v="12"/>
    <x v="1"/>
    <n v="1"/>
    <n v="0"/>
    <n v="0"/>
    <n v="1"/>
  </r>
  <r>
    <s v="NSF-000232"/>
    <s v="USR-00291"/>
    <s v="SES-2503-14428"/>
    <d v="2025-03-30T00:00:00"/>
    <s v="South West"/>
    <s v="Plymouth"/>
    <x v="2"/>
    <s v="25-34"/>
    <s v="Male"/>
    <s v="Android"/>
    <s v="Android Phone"/>
    <s v="7-12 months"/>
    <s v="Free"/>
    <s v="Paid Search"/>
    <x v="5"/>
    <s v="Repeat Use"/>
    <s v="Simplified Onboarding"/>
    <s v="Control"/>
    <n v="8"/>
    <s v="N/A"/>
    <n v="309"/>
    <s v="No"/>
    <x v="1"/>
    <x v="0"/>
    <s v="Recipient Details Rejected"/>
    <x v="1"/>
    <n v="0"/>
    <n v="0"/>
    <n v="0"/>
    <s v="No Support Contact"/>
    <s v="No"/>
    <s v="No Support Contact"/>
    <s v="Not Applicable"/>
    <m/>
    <s v="Technical error"/>
    <n v="2"/>
    <n v="-19"/>
    <n v="34"/>
    <x v="0"/>
    <n v="0"/>
    <n v="0"/>
    <n v="1"/>
    <n v="0"/>
  </r>
  <r>
    <s v="NSF-000695"/>
    <s v="USR-00164"/>
    <s v="SES-2508-15844"/>
    <d v="2025-08-30T00:00:00"/>
    <s v="Yorkshire &amp; Humber"/>
    <s v="Sheffield"/>
    <x v="0"/>
    <s v="35-44"/>
    <s v="Female"/>
    <s v="Web"/>
    <s v="Desktop"/>
    <s v="2+ years"/>
    <s v="Free"/>
    <s v="Organic Search"/>
    <x v="10"/>
    <s v="Repeat Use"/>
    <s v="No Experiment"/>
    <s v="Control"/>
    <n v="9"/>
    <n v="5"/>
    <n v="417"/>
    <s v="Yes"/>
    <x v="0"/>
    <x v="0"/>
    <s v="Eligibility Unclear"/>
    <x v="1"/>
    <n v="0"/>
    <n v="0"/>
    <n v="0"/>
    <s v="No Support Contact"/>
    <s v="No"/>
    <s v="No Support Contact"/>
    <s v="Not Applicable"/>
    <m/>
    <s v="No drop-off"/>
    <n v="3"/>
    <n v="-69"/>
    <n v="25"/>
    <x v="0"/>
    <n v="1"/>
    <n v="0"/>
    <n v="1"/>
    <n v="0"/>
  </r>
  <r>
    <s v="NSF-001074"/>
    <s v="USR-00698"/>
    <s v="SES-2601-20970"/>
    <d v="2026-01-01T00:00:00"/>
    <s v="London"/>
    <s v="Hackney"/>
    <x v="3"/>
    <s v="35-44"/>
    <s v="Male"/>
    <s v="Ios"/>
    <s v="Iphone"/>
    <s v="2+ years"/>
    <s v="Plus"/>
    <s v="Paid Social"/>
    <x v="5"/>
    <s v="First Use"/>
    <s v="Simplified Onboarding"/>
    <s v="Treatment"/>
    <n v="8"/>
    <n v="5"/>
    <n v="235"/>
    <s v="Yes"/>
    <x v="1"/>
    <x v="1"/>
    <s v="No Error"/>
    <x v="1"/>
    <n v="0"/>
    <n v="0"/>
    <n v="0"/>
    <s v="No Support Contact"/>
    <s v="No"/>
    <s v="No Support Contact"/>
    <s v="Not Applicable"/>
    <m/>
    <s v="Instructions unclear"/>
    <n v="1"/>
    <n v="-19"/>
    <s v="0 days"/>
    <x v="0"/>
    <n v="0"/>
    <n v="0"/>
    <n v="0"/>
    <n v="0"/>
  </r>
  <r>
    <s v="NSF-000663"/>
    <s v="USR-00654"/>
    <s v="SES-2508-70981"/>
    <d v="2025-08-01T00:00:00"/>
    <s v="London"/>
    <s v="Camden"/>
    <x v="5"/>
    <s v="35-44"/>
    <s v="Female"/>
    <s v="Ios"/>
    <s v="Iphone"/>
    <s v="3-6 months"/>
    <s v="Free"/>
    <s v="Paid Search"/>
    <x v="8"/>
    <s v="Repeat Use"/>
    <s v="Fee Transparency Panel"/>
    <s v="Treatment"/>
    <n v="5"/>
    <n v="5"/>
    <n v="113"/>
    <s v="No"/>
    <x v="0"/>
    <x v="1"/>
    <s v="No Error"/>
    <x v="0"/>
    <n v="0"/>
    <n v="0"/>
    <n v="0"/>
    <s v="No Support Contact"/>
    <s v="No"/>
    <s v="No Support Contact"/>
    <s v="Not Applicable"/>
    <m/>
    <s v="No drop-off"/>
    <n v="4"/>
    <n v="52"/>
    <n v="18"/>
    <x v="1"/>
    <n v="1"/>
    <n v="1"/>
    <n v="0"/>
    <n v="1"/>
  </r>
  <r>
    <s v="NSF-000835"/>
    <s v="USR-00148"/>
    <s v="SES-2510-92289"/>
    <d v="2025-10-26T00:00:00"/>
    <s v="East England"/>
    <s v="Cambridge"/>
    <x v="0"/>
    <s v="25-34"/>
    <s v="Female"/>
    <s v="Android"/>
    <s v="Android Phone"/>
    <s v="7-12 months"/>
    <s v="Premium"/>
    <s v="Organic Search"/>
    <x v="2"/>
    <s v="Repeat Use"/>
    <s v="Progress Indicator"/>
    <s v="Control"/>
    <n v="5"/>
    <n v="5"/>
    <n v="162"/>
    <s v="No"/>
    <x v="1"/>
    <x v="0"/>
    <s v="Funding Source Unclear"/>
    <x v="1"/>
    <n v="0"/>
    <n v="0"/>
    <n v="0"/>
    <s v="Account Verification"/>
    <s v="Yes"/>
    <s v="Account Verification"/>
    <s v="Unresolved"/>
    <n v="24"/>
    <s v="No drop-off"/>
    <n v="2"/>
    <n v="39"/>
    <n v="25"/>
    <x v="0"/>
    <n v="0"/>
    <n v="0"/>
    <n v="1"/>
    <n v="0"/>
  </r>
  <r>
    <s v="NSF-001237"/>
    <s v="USR-00070"/>
    <s v="SES-2603-75099"/>
    <d v="2026-03-17T00:00:00"/>
    <s v="North East"/>
    <s v="Sunderland"/>
    <x v="0"/>
    <s v="65+"/>
    <s v="Male"/>
    <s v="Web"/>
    <s v="Tablet Browser"/>
    <s v="&lt;3 months"/>
    <s v="Free"/>
    <s v="Paid Search"/>
    <x v="7"/>
    <s v="First Use"/>
    <s v="No Experiment"/>
    <s v="Control"/>
    <n v="4"/>
    <n v="4"/>
    <n v="126"/>
    <s v="No"/>
    <x v="0"/>
    <x v="1"/>
    <s v="No Error"/>
    <x v="0"/>
    <n v="99.81"/>
    <n v="0.52"/>
    <n v="0"/>
    <s v="Transaction Failure"/>
    <s v="Yes"/>
    <s v="Transaction Failure"/>
    <s v="Unresolved"/>
    <n v="40"/>
    <s v="No drop-off"/>
    <n v="4"/>
    <n v="29"/>
    <n v="0"/>
    <x v="1"/>
    <n v="1"/>
    <n v="1"/>
    <n v="0"/>
    <n v="1"/>
  </r>
  <r>
    <s v="NSF-000160"/>
    <s v="USR-00329"/>
    <s v="SES-2502-84827"/>
    <d v="2025-02-01T00:00:00"/>
    <s v="East England"/>
    <s v="Ipswich"/>
    <x v="5"/>
    <s v="35-44"/>
    <s v="Female"/>
    <s v="Web"/>
    <s v="Desktop"/>
    <s v="2+ years"/>
    <s v="Free"/>
    <s v="Referral"/>
    <x v="1"/>
    <s v="Repeat Use"/>
    <s v="Progress Indicator"/>
    <s v="Treatment"/>
    <n v="4"/>
    <n v="4"/>
    <n v="106"/>
    <s v="No"/>
    <x v="0"/>
    <x v="1"/>
    <s v="No Error"/>
    <x v="0"/>
    <n v="173.97"/>
    <n v="0.19"/>
    <n v="0"/>
    <s v="No Support Contact"/>
    <s v="No"/>
    <s v="No Support Contact"/>
    <s v="Not Applicable"/>
    <m/>
    <s v="No drop-off"/>
    <n v="5"/>
    <n v="94"/>
    <n v="33"/>
    <x v="1"/>
    <n v="1"/>
    <n v="1"/>
    <n v="0"/>
    <n v="1"/>
  </r>
  <r>
    <s v="NSF-000529"/>
    <s v="USR-00277"/>
    <s v="SES-2506-75008"/>
    <d v="2025-06-22T00:00:00"/>
    <s v="South East"/>
    <s v="Brighton"/>
    <x v="5"/>
    <s v="35-44"/>
    <s v="Female"/>
    <s v="Android"/>
    <s v="Android Phone"/>
    <s v="2+ years"/>
    <s v="Plus"/>
    <s v="Organic Search"/>
    <x v="9"/>
    <s v="Repeat Use"/>
    <s v="No Experiment"/>
    <s v="Control"/>
    <s v="5 steps"/>
    <n v="5"/>
    <n v="144"/>
    <s v="No"/>
    <x v="0"/>
    <x v="1"/>
    <s v="No Error"/>
    <x v="0"/>
    <n v="58.65"/>
    <n v="0"/>
    <n v="0.17"/>
    <s v="No Support Contact"/>
    <s v="No"/>
    <s v="No Support Contact"/>
    <s v="Not Applicable"/>
    <m/>
    <s v="No drop-off"/>
    <n v="5"/>
    <n v="13"/>
    <n v="20"/>
    <x v="0"/>
    <n v="1"/>
    <n v="1"/>
    <n v="0"/>
    <n v="0"/>
  </r>
  <r>
    <s v="NSF-000186"/>
    <s v="USR-00434"/>
    <s v="SES-2502-44435"/>
    <d v="2025-12-02T00:00:00"/>
    <s v="West Midlands"/>
    <s v="Coventry"/>
    <x v="1"/>
    <s v="25-34"/>
    <s v="Female"/>
    <s v="Android"/>
    <s v="Android Phone"/>
    <s v="1-2 years"/>
    <s v="Free"/>
    <s v="Employer Partnership"/>
    <x v="0"/>
    <s v="First Use"/>
    <s v="No Experiment"/>
    <s v="Control"/>
    <n v="7"/>
    <n v="7"/>
    <n v="200"/>
    <s v="No"/>
    <x v="0"/>
    <x v="0"/>
    <s v="Bank Feed Mismatch"/>
    <x v="1"/>
    <n v="0"/>
    <n v="0"/>
    <n v="0"/>
    <s v="No Support Contact"/>
    <s v="No"/>
    <s v="No Support Contact"/>
    <s v="Not Applicable"/>
    <m/>
    <s v="No drop-off"/>
    <n v="2"/>
    <n v="3"/>
    <s v="0 days"/>
    <x v="1"/>
    <n v="1"/>
    <n v="0"/>
    <n v="1"/>
    <n v="1"/>
  </r>
  <r>
    <s v="NSF-000476"/>
    <s v="USR-00061"/>
    <s v="SES-2505-23963"/>
    <d v="2025-05-13T00:00:00"/>
    <s v="West Midlands"/>
    <s v="Coventry"/>
    <x v="4"/>
    <s v="45-54"/>
    <s v="Male"/>
    <s v="Android"/>
    <s v="Android Phone"/>
    <s v="3-6 months"/>
    <s v="Free"/>
    <s v="Paid Search"/>
    <x v="6"/>
    <s v="Trial/Exploration"/>
    <s v="Simplified Onboarding"/>
    <s v="Treatment"/>
    <n v="8"/>
    <n v="6"/>
    <n v="250"/>
    <s v="Yes"/>
    <x v="1"/>
    <x v="1"/>
    <s v="No Error"/>
    <x v="1"/>
    <n v="0"/>
    <n v="0"/>
    <n v="0"/>
    <s v="No Support Contact"/>
    <s v="No"/>
    <s v="No Support Contact"/>
    <s v="Not Applicable"/>
    <m/>
    <s v="Instructions unclear"/>
    <n v="3"/>
    <n v="1"/>
    <n v="21"/>
    <x v="0"/>
    <n v="0"/>
    <n v="0"/>
    <n v="0"/>
    <n v="0"/>
  </r>
  <r>
    <s v="NSF-000834"/>
    <s v="USR-00567"/>
    <s v="SES-2510-72720"/>
    <d v="2025-10-25T00:00:00"/>
    <s v="Scotland"/>
    <s v="Edinburgh"/>
    <x v="5"/>
    <s v="55-64"/>
    <s v="Male"/>
    <s v="Android"/>
    <s v="Android Phone"/>
    <s v="&lt;3 months"/>
    <s v="Free"/>
    <s v="Referral"/>
    <x v="5"/>
    <s v="Repeat Use"/>
    <s v="No Experiment"/>
    <s v="Control"/>
    <n v="8"/>
    <n v="8"/>
    <n v="183"/>
    <s v="No"/>
    <x v="0"/>
    <x v="1"/>
    <s v="No Error"/>
    <x v="1"/>
    <n v="0"/>
    <n v="0"/>
    <n v="0"/>
    <s v="No Support Contact"/>
    <s v="No"/>
    <s v="No Support Contact"/>
    <s v="Not Applicable"/>
    <m/>
    <s v="No drop-off"/>
    <n v="4"/>
    <n v="9"/>
    <n v="14"/>
    <x v="1"/>
    <n v="1"/>
    <n v="0"/>
    <n v="0"/>
    <n v="1"/>
  </r>
  <r>
    <s v="NSF-000364"/>
    <s v="USR-00714"/>
    <s v="SES-2504-39601"/>
    <d v="2025-04-07T00:00:00"/>
    <s v="West Midlands"/>
    <s v="Wolverhampton"/>
    <x v="3"/>
    <s v="18-24"/>
    <s v="Male"/>
    <s v="Ios"/>
    <s v="Iphone"/>
    <s v="7-12 months"/>
    <s v="Free"/>
    <s v="Unknown"/>
    <x v="9"/>
    <s v="Repeat Use"/>
    <s v="New Cta Copy"/>
    <s v="Treatment"/>
    <n v="5"/>
    <n v="5"/>
    <n v="118"/>
    <s v="No"/>
    <x v="1"/>
    <x v="1"/>
    <s v="No Error"/>
    <x v="0"/>
    <n v="134.71"/>
    <n v="0"/>
    <n v="0"/>
    <s v="No Support Contact"/>
    <s v="No"/>
    <s v="No Support Contact"/>
    <s v="Not Applicable"/>
    <m/>
    <s v="Too many steps"/>
    <n v="4"/>
    <n v="54"/>
    <n v="45"/>
    <x v="0"/>
    <n v="0"/>
    <n v="1"/>
    <n v="0"/>
    <n v="0"/>
  </r>
  <r>
    <s v="NSF-000287"/>
    <s v="USR-00854"/>
    <s v="SES-2503-88583"/>
    <d v="2025-03-21T00:00:00"/>
    <s v="North West"/>
    <s v="Manchester"/>
    <x v="5"/>
    <s v="45-54"/>
    <s v="Male"/>
    <s v="Android"/>
    <s v="Android Phone"/>
    <s v="7-12 months"/>
    <s v="Basic"/>
    <s v="Referral"/>
    <x v="1"/>
    <s v="Repeat Use"/>
    <s v="Simplified Onboarding"/>
    <s v="Treatment"/>
    <n v="4"/>
    <n v="4"/>
    <n v="147"/>
    <s v="No"/>
    <x v="0"/>
    <x v="0"/>
    <s v="Bank Connection Failed"/>
    <x v="1"/>
    <n v="0"/>
    <n v="0"/>
    <n v="0"/>
    <s v="No Support Contact"/>
    <s v="No"/>
    <s v="No Support Contact"/>
    <s v="Not Applicable"/>
    <m/>
    <s v="No drop-off"/>
    <n v="5"/>
    <n v="11"/>
    <s v="1 days"/>
    <x v="0"/>
    <n v="1"/>
    <n v="0"/>
    <n v="1"/>
    <n v="0"/>
  </r>
  <r>
    <s v="NSF-001436"/>
    <s v="USR-00839"/>
    <s v="SES-2606-24734"/>
    <d v="2026-06-14T00:00:00"/>
    <s v="South West"/>
    <s v="Gloucester"/>
    <x v="3"/>
    <s v="18-24"/>
    <s v="Female"/>
    <s v="Android"/>
    <s v="Android Phone"/>
    <s v="7-12 months"/>
    <s v="Plus"/>
    <s v="Affiliate"/>
    <x v="4"/>
    <s v="Repeat Use"/>
    <s v="No Experiment"/>
    <s v="Control"/>
    <n v="6"/>
    <n v="3"/>
    <n v="0"/>
    <s v="Yes"/>
    <x v="1"/>
    <x v="1"/>
    <s v="No Error"/>
    <x v="1"/>
    <n v="0"/>
    <n v="0"/>
    <n v="0"/>
    <s v="Account Verification"/>
    <s v="Yes"/>
    <s v="Account Verification"/>
    <s v="Unresolved"/>
    <n v="22"/>
    <s v="Instructions unclear"/>
    <n v="3"/>
    <n v="-35"/>
    <n v="49"/>
    <x v="0"/>
    <n v="0"/>
    <n v="0"/>
    <n v="0"/>
    <n v="0"/>
  </r>
  <r>
    <s v="NSF-000564"/>
    <s v="USR-00631"/>
    <s v="SES-2506-19565"/>
    <d v="2025-06-18T00:00:00"/>
    <s v="North East"/>
    <s v="Durham"/>
    <x v="1"/>
    <s v="55-64"/>
    <s v="Male"/>
    <s v="Android"/>
    <s v="Android Phone"/>
    <s v="1-2 years"/>
    <s v="Free"/>
    <s v="Organic Search"/>
    <x v="10"/>
    <s v="Repeat Use"/>
    <s v="Simplified Onboarding"/>
    <s v="Treatment"/>
    <n v="9"/>
    <n v="9"/>
    <n v="192"/>
    <s v="No"/>
    <x v="0"/>
    <x v="1"/>
    <s v="No Error"/>
    <x v="0"/>
    <n v="222.81"/>
    <n v="2.58"/>
    <n v="0"/>
    <s v="No Support Contact"/>
    <s v="No"/>
    <s v="No Support Contact"/>
    <s v="Not Applicable"/>
    <m/>
    <s v="No drop-off"/>
    <n v="5"/>
    <n v="24"/>
    <n v="28"/>
    <x v="1"/>
    <n v="1"/>
    <n v="1"/>
    <n v="0"/>
    <n v="1"/>
  </r>
  <r>
    <s v="NSF-000332"/>
    <s v="USR-00545"/>
    <s v="SES-2504-45782"/>
    <d v="2025-04-03T00:00:00"/>
    <s v="East Midlands"/>
    <s v="Lincoln"/>
    <x v="5"/>
    <s v="25-34"/>
    <s v="Female"/>
    <s v="Ios"/>
    <s v="Iphone"/>
    <s v="2+ years"/>
    <s v="Free"/>
    <s v="Organic Search"/>
    <x v="5"/>
    <s v="Repeat Use"/>
    <s v="New Cta Copy"/>
    <s v="Control"/>
    <n v="8"/>
    <n v="4"/>
    <n v="338"/>
    <s v="Yes"/>
    <x v="1"/>
    <x v="1"/>
    <s v="No Error"/>
    <x v="0"/>
    <n v="355.45"/>
    <n v="2.61"/>
    <n v="0"/>
    <s v="No Support Contact"/>
    <s v="No"/>
    <s v="No Support Contact"/>
    <s v="Not Applicable"/>
    <m/>
    <s v="Too many steps"/>
    <n v="2"/>
    <n v="-9"/>
    <n v="33"/>
    <x v="1"/>
    <n v="0"/>
    <n v="1"/>
    <n v="0"/>
    <n v="1"/>
  </r>
  <r>
    <s v="NSF-000509"/>
    <s v="USR-00603"/>
    <s v="SES-2506-42600"/>
    <d v="2025-06-12T00:00:00"/>
    <s v="West Midlands"/>
    <s v="Wolverhampton"/>
    <x v="7"/>
    <s v="35-44"/>
    <s v="Female"/>
    <s v="Android"/>
    <s v="Android Phone"/>
    <s v="2+ years"/>
    <s v="Plus"/>
    <s v="Employer Partnership"/>
    <x v="2"/>
    <s v="First Use"/>
    <s v="Progress Indicator"/>
    <s v="Treatment"/>
    <n v="5"/>
    <n v="5"/>
    <n v="189"/>
    <s v="No"/>
    <x v="0"/>
    <x v="0"/>
    <s v="Funding Source Unclear"/>
    <x v="1"/>
    <n v="0"/>
    <n v="0"/>
    <n v="0"/>
    <s v="Fees And Pricing"/>
    <s v="Yes"/>
    <s v="Fees And Pricing"/>
    <s v="Resolved"/>
    <n v="17"/>
    <s v="No drop-off"/>
    <n v="5"/>
    <n v="4"/>
    <n v="0"/>
    <x v="0"/>
    <n v="1"/>
    <n v="0"/>
    <n v="1"/>
    <n v="0"/>
  </r>
  <r>
    <s v="NSF-000765"/>
    <s v="USR-00748"/>
    <s v="SES-2509-42799"/>
    <d v="2025-09-16T00:00:00"/>
    <s v="London"/>
    <s v="Croydon"/>
    <x v="2"/>
    <s v="18-24"/>
    <s v="Male"/>
    <s v="Android"/>
    <s v="Android Phone"/>
    <s v="7-12 months"/>
    <s v="Free"/>
    <s v="Paid Search"/>
    <x v="1"/>
    <s v="Repeat Use"/>
    <s v="No Experiment"/>
    <s v="Control"/>
    <n v="4"/>
    <n v="4"/>
    <n v="123"/>
    <s v="No"/>
    <x v="0"/>
    <x v="0"/>
    <s v="Bank Connection Failed"/>
    <x v="0"/>
    <n v="198.41"/>
    <n v="0.2"/>
    <n v="0"/>
    <s v="No Support Contact"/>
    <s v="No"/>
    <s v="No Support Contact"/>
    <s v="Not Applicable"/>
    <m/>
    <s v="No drop-off"/>
    <n v="4"/>
    <n v="-20"/>
    <n v="10"/>
    <x v="1"/>
    <n v="1"/>
    <n v="1"/>
    <n v="1"/>
    <n v="1"/>
  </r>
  <r>
    <s v="NSF-001435"/>
    <s v="USR-00265"/>
    <s v="SES-2606-57265"/>
    <d v="2026-06-26T00:00:00"/>
    <s v="North West"/>
    <s v="Manchester"/>
    <x v="2"/>
    <s v="35-44"/>
    <s v="Male"/>
    <s v="Android"/>
    <s v="Android Phone"/>
    <s v="&lt;3 months"/>
    <s v="Free"/>
    <s v="Direct"/>
    <x v="1"/>
    <s v="Repeat Use"/>
    <s v="No Experiment"/>
    <s v="Control"/>
    <n v="4"/>
    <n v="2"/>
    <n v="177"/>
    <s v="Yes"/>
    <x v="0"/>
    <x v="1"/>
    <s v="No Error"/>
    <x v="0"/>
    <n v="77.27"/>
    <n v="0.22"/>
    <n v="0"/>
    <s v="No Support Contact"/>
    <s v="No"/>
    <s v="No Support Contact"/>
    <s v="Not Applicable"/>
    <m/>
    <s v="No drop-off"/>
    <n v="3"/>
    <n v="8"/>
    <s v="15 days"/>
    <x v="1"/>
    <n v="1"/>
    <n v="1"/>
    <n v="0"/>
    <n v="1"/>
  </r>
  <r>
    <s v="NSF-000871"/>
    <s v="USR-00289"/>
    <s v="SES-2510-22426"/>
    <d v="2025-10-19T00:00:00"/>
    <s v="East Midlands"/>
    <s v="Leicester"/>
    <x v="0"/>
    <s v="25-34"/>
    <s v="Male"/>
    <s v="Ios"/>
    <s v="Iphone"/>
    <s v="&lt;3 months"/>
    <s v="Free"/>
    <s v="App Store"/>
    <x v="1"/>
    <s v="First Use"/>
    <s v="Simplified Onboarding"/>
    <s v="Control"/>
    <n v="4"/>
    <n v="4"/>
    <n v="122"/>
    <s v="No"/>
    <x v="1"/>
    <x v="1"/>
    <s v="No Error"/>
    <x v="1"/>
    <n v="0"/>
    <n v="0"/>
    <n v="0"/>
    <s v="No Support Contact"/>
    <s v="No"/>
    <s v="No Support Contact"/>
    <s v="Not Applicable"/>
    <m/>
    <s v="No drop-off"/>
    <n v="4"/>
    <n v="27"/>
    <n v="0"/>
    <x v="1"/>
    <n v="0"/>
    <n v="0"/>
    <n v="0"/>
    <n v="1"/>
  </r>
  <r>
    <s v="NSF-001246"/>
    <s v="USR-00857"/>
    <s v="SES-2603-47198"/>
    <d v="2026-03-06T00:00:00"/>
    <s v="Yorkshire &amp; Humber"/>
    <s v="York"/>
    <x v="4"/>
    <s v="18-24"/>
    <s v="Male"/>
    <s v="Web"/>
    <s v="Desktop"/>
    <s v="1-2 years"/>
    <s v="Free"/>
    <s v="Referral"/>
    <x v="7"/>
    <s v="First Use"/>
    <s v="No Experiment"/>
    <s v="Control"/>
    <n v="4"/>
    <n v="4"/>
    <n v="121"/>
    <s v="No"/>
    <x v="1"/>
    <x v="1"/>
    <s v="No Error"/>
    <x v="1"/>
    <n v="0"/>
    <n v="0"/>
    <n v="0"/>
    <s v="No Support Contact"/>
    <s v="No"/>
    <s v="No Support Contact"/>
    <s v="Not Applicable"/>
    <m/>
    <s v="Instructions unclear"/>
    <n v="4"/>
    <n v="54"/>
    <n v="0"/>
    <x v="1"/>
    <n v="0"/>
    <n v="0"/>
    <n v="0"/>
    <n v="1"/>
  </r>
  <r>
    <s v="NSF-001411"/>
    <s v="usr-00579"/>
    <s v="SES-2605-84849"/>
    <d v="2026-05-21T00:00:00"/>
    <s v="South West"/>
    <s v="Exeter"/>
    <x v="4"/>
    <s v="55-64"/>
    <s v="Male"/>
    <s v="Web"/>
    <s v="Mobile Browser"/>
    <s v="7-12 months"/>
    <s v="Free"/>
    <s v="Paid Search"/>
    <x v="2"/>
    <s v="Trial/Exploration"/>
    <s v="New Cta Copy"/>
    <s v="Control"/>
    <n v="5"/>
    <n v="5"/>
    <n v="180"/>
    <s v="No"/>
    <x v="1"/>
    <x v="0"/>
    <s v="Funding Source Unclear"/>
    <x v="0"/>
    <n v="21.3"/>
    <n v="0"/>
    <n v="0"/>
    <s v="No Support Contact"/>
    <s v="No"/>
    <s v="No Support Contact"/>
    <s v="Not Applicable"/>
    <m/>
    <s v="Technical error"/>
    <n v="4"/>
    <n v="7"/>
    <n v="1"/>
    <x v="1"/>
    <n v="0"/>
    <n v="1"/>
    <n v="1"/>
    <n v="1"/>
  </r>
  <r>
    <s v="NSF-000832"/>
    <s v="USR-00077"/>
    <s v="SES-2510-47597"/>
    <d v="2025-10-21T00:00:00"/>
    <s v="Yorkshire &amp; Humber"/>
    <s v="Hull"/>
    <x v="1"/>
    <s v="55-64"/>
    <s v="Male"/>
    <s v="Web"/>
    <s v="Desktop"/>
    <s v="3-6 months"/>
    <s v="Free"/>
    <s v="Direct"/>
    <x v="4"/>
    <s v="Repeat Use"/>
    <s v="Fee Transparency Panel"/>
    <s v="Treatment"/>
    <s v="6 steps"/>
    <s v="4 steps"/>
    <n v="239"/>
    <s v="Yes"/>
    <x v="1"/>
    <x v="1"/>
    <s v="No Error"/>
    <x v="0"/>
    <n v="7.91"/>
    <n v="0"/>
    <n v="0"/>
    <s v="No Support Contact"/>
    <s v="No"/>
    <s v="No Support Contact"/>
    <s v="Not Applicable"/>
    <m/>
    <s v="Too many steps"/>
    <n v="3"/>
    <n v="0"/>
    <n v="36"/>
    <x v="0"/>
    <n v="0"/>
    <n v="1"/>
    <n v="0"/>
    <n v="0"/>
  </r>
  <r>
    <s v="NSF-000386"/>
    <s v="USR-00013"/>
    <s v="SES-2504-80903"/>
    <d v="2025-04-04T00:00:00"/>
    <s v="East England"/>
    <s v="Cambridge"/>
    <x v="0"/>
    <s v="18-24"/>
    <s v="Male"/>
    <s v="Ios"/>
    <s v="Iphone"/>
    <s v="3-6 months"/>
    <s v="Basic"/>
    <s v="Paid Search"/>
    <x v="2"/>
    <s v="First Use"/>
    <s v="New Cta Copy"/>
    <s v="Treatment"/>
    <n v="5"/>
    <s v="5 steps"/>
    <n v="209"/>
    <s v="No"/>
    <x v="1"/>
    <x v="0"/>
    <s v="Round-Up Not Activated"/>
    <x v="1"/>
    <n v="0"/>
    <n v="0"/>
    <n v="0"/>
    <s v="No Support Contact"/>
    <s v="No"/>
    <s v="No Support Contact"/>
    <s v="Not Applicable"/>
    <m/>
    <s v="Technical error"/>
    <n v="2"/>
    <n v="4"/>
    <n v="0"/>
    <x v="1"/>
    <n v="0"/>
    <n v="0"/>
    <n v="1"/>
    <n v="1"/>
  </r>
  <r>
    <s v="NSF-000059"/>
    <s v="USR-00099"/>
    <s v="SES-2501-67468"/>
    <d v="2025-01-07T00:00:00"/>
    <s v="East Midlands"/>
    <s v="Lincoln"/>
    <x v="4"/>
    <s v="35-44"/>
    <s v="Female"/>
    <s v="Web"/>
    <s v="Mobile Browser"/>
    <s v="3-6 months"/>
    <s v="Free"/>
    <s v="Referral"/>
    <x v="3"/>
    <s v="Repeat Use"/>
    <s v="No Experiment"/>
    <s v="Control"/>
    <n v="6"/>
    <n v="6"/>
    <n v="180"/>
    <s v="No"/>
    <x v="0"/>
    <x v="1"/>
    <s v="No Error"/>
    <x v="0"/>
    <n v="33.69"/>
    <n v="0.11"/>
    <n v="0"/>
    <s v="No Support Contact"/>
    <s v="No"/>
    <s v="No Support Contact"/>
    <s v="Not Applicable"/>
    <m/>
    <s v="No drop-off"/>
    <n v="3"/>
    <n v="13"/>
    <n v="33"/>
    <x v="1"/>
    <n v="1"/>
    <n v="1"/>
    <n v="0"/>
    <n v="1"/>
  </r>
  <r>
    <s v="NSF-000739"/>
    <s v="USR-00554"/>
    <s v="SES-2508-16710"/>
    <d v="2025-08-19T00:00:00"/>
    <s v="South East"/>
    <s v="Guildford"/>
    <x v="3"/>
    <s v="45-54"/>
    <s v="Male"/>
    <s v="Ios"/>
    <s v="Iphone"/>
    <s v="2+ years"/>
    <s v="Free"/>
    <s v="Organic Search"/>
    <x v="0"/>
    <s v="Repeat Use"/>
    <s v="No Experiment"/>
    <s v="Control"/>
    <n v="7"/>
    <n v="7"/>
    <n v="162"/>
    <s v="No"/>
    <x v="0"/>
    <x v="1"/>
    <s v="No Error"/>
    <x v="0"/>
    <n v="9.39"/>
    <n v="0"/>
    <n v="0"/>
    <s v="No Support Contact"/>
    <s v="No"/>
    <s v="No Support Contact"/>
    <s v="Not Applicable"/>
    <m/>
    <s v="No drop-off"/>
    <n v="4"/>
    <n v="35"/>
    <n v="7"/>
    <x v="0"/>
    <n v="1"/>
    <n v="1"/>
    <n v="0"/>
    <n v="0"/>
  </r>
  <r>
    <s v="NSF-000231"/>
    <s v="USR-00665"/>
    <s v="SES-2503-54801"/>
    <d v="2025-03-30T00:00:00"/>
    <s v="Wales"/>
    <s v="Newport"/>
    <x v="3"/>
    <s v="25-34"/>
    <s v="Female"/>
    <s v="Ios"/>
    <s v="Iphone"/>
    <s v="3-6 months"/>
    <s v="Free"/>
    <s v="Paid Search"/>
    <x v="1"/>
    <s v="First Use"/>
    <s v="Fee Transparency Panel"/>
    <s v="Treatment"/>
    <n v="4"/>
    <n v="4"/>
    <n v="112"/>
    <s v="No"/>
    <x v="0"/>
    <x v="1"/>
    <s v="No Error"/>
    <x v="0"/>
    <n v="175.52"/>
    <n v="0.19"/>
    <n v="0"/>
    <s v="No Support Contact"/>
    <s v="No"/>
    <s v="No Support Contact"/>
    <s v="Not Applicable"/>
    <m/>
    <s v="No drop-off"/>
    <n v="4"/>
    <n v="63"/>
    <n v="0"/>
    <x v="1"/>
    <n v="1"/>
    <n v="1"/>
    <n v="0"/>
    <n v="1"/>
  </r>
  <r>
    <s v="NSF-000370"/>
    <s v="USR-00644"/>
    <s v="SES-2504-95900"/>
    <d v="2025-04-11T00:00:00"/>
    <s v="Wales"/>
    <s v="Newport"/>
    <x v="6"/>
    <s v="25-34"/>
    <s v="Female"/>
    <s v="Ios"/>
    <s v="Iphone"/>
    <s v="2+ years"/>
    <s v="Free"/>
    <s v="Paid Social"/>
    <x v="0"/>
    <s v="Repeat Use"/>
    <s v="Progress Indicator"/>
    <s v="Control"/>
    <n v="7"/>
    <n v="4"/>
    <n v="303"/>
    <s v="Yes"/>
    <x v="1"/>
    <x v="1"/>
    <s v="No Error"/>
    <x v="0"/>
    <n v="28.4"/>
    <n v="0"/>
    <n v="0"/>
    <s v="No Support Contact"/>
    <s v="No"/>
    <s v="No Support Contact"/>
    <s v="Not Applicable"/>
    <m/>
    <s v="Too many steps"/>
    <n v="2"/>
    <n v="-22"/>
    <n v="37"/>
    <x v="0"/>
    <n v="0"/>
    <n v="1"/>
    <n v="0"/>
    <n v="0"/>
  </r>
  <r>
    <s v="NSF-000680"/>
    <s v="USR-00445"/>
    <s v="SES-2508-27670"/>
    <d v="2025-08-18T00:00:00"/>
    <s v="South West"/>
    <s v="Bristol"/>
    <x v="2"/>
    <s v="25-34"/>
    <s v="Male"/>
    <s v="Ios"/>
    <s v="Iphone"/>
    <s v="7-12 months"/>
    <s v="Free"/>
    <s v="Organic Search"/>
    <x v="9"/>
    <s v="Repeat Use"/>
    <s v="Simplified Onboarding"/>
    <s v="Treatment"/>
    <n v="5"/>
    <n v="5"/>
    <n v="135"/>
    <s v="No"/>
    <x v="0"/>
    <x v="1"/>
    <s v="No Error"/>
    <x v="1"/>
    <n v="0"/>
    <n v="0"/>
    <n v="0"/>
    <s v="No Support Contact"/>
    <s v="No"/>
    <s v="No Support Contact"/>
    <s v="Not Applicable"/>
    <m/>
    <s v="No drop-off"/>
    <n v="5"/>
    <n v="43"/>
    <n v="22"/>
    <x v="1"/>
    <n v="1"/>
    <n v="0"/>
    <n v="0"/>
    <n v="1"/>
  </r>
  <r>
    <s v="NSF-001086"/>
    <s v="USR-00842"/>
    <s v="SES-2601-12261"/>
    <d v="2026-01-18T00:00:00"/>
    <s v="Scotland"/>
    <s v="Glasgow"/>
    <x v="3"/>
    <s v="18-24"/>
    <s v="Female"/>
    <s v="Android"/>
    <s v="Android Phone"/>
    <s v="&lt;3 months"/>
    <s v="Free"/>
    <s v="Paid Social"/>
    <x v="10"/>
    <s v="Reactivated"/>
    <s v="New Cta Copy"/>
    <s v="Treatment"/>
    <n v="9"/>
    <n v="9"/>
    <n v="277"/>
    <s v="No"/>
    <x v="1"/>
    <x v="1"/>
    <s v="No Error"/>
    <x v="1"/>
    <n v="0"/>
    <n v="0"/>
    <n v="0"/>
    <s v="No Support Contact"/>
    <s v="No"/>
    <s v="No Support Contact"/>
    <s v="Not Applicable"/>
    <m/>
    <s v="No drop-off"/>
    <n v="3"/>
    <n v="31"/>
    <n v="16"/>
    <x v="1"/>
    <n v="0"/>
    <n v="0"/>
    <n v="0"/>
    <n v="1"/>
  </r>
  <r>
    <s v="NSF-001183"/>
    <s v="USR-00833"/>
    <s v="SES-2602-55111"/>
    <d v="2026-02-15T00:00:00"/>
    <s v="North West"/>
    <s v="Liverpool"/>
    <x v="7"/>
    <s v="35-44"/>
    <s v="Male"/>
    <s v="Web"/>
    <s v="Desktop"/>
    <s v="&lt;3 months"/>
    <s v="Free"/>
    <s v="Paid Search"/>
    <x v="2"/>
    <s v="Repeat Use"/>
    <s v="No Experiment"/>
    <s v="Control"/>
    <n v="5"/>
    <n v="5"/>
    <n v="111"/>
    <s v="No"/>
    <x v="0"/>
    <x v="1"/>
    <s v="No Error"/>
    <x v="0"/>
    <n v="85.22"/>
    <n v="0"/>
    <n v="0"/>
    <s v="No Support Contact"/>
    <s v="No"/>
    <s v="No Support Contact"/>
    <s v="Not Applicable"/>
    <m/>
    <s v="No drop-off"/>
    <n v="4"/>
    <n v="25"/>
    <n v="12"/>
    <x v="1"/>
    <n v="1"/>
    <n v="1"/>
    <n v="0"/>
    <n v="1"/>
  </r>
  <r>
    <s v="NSF-000037"/>
    <s v="USR-00055"/>
    <s v="SES-2501-22532"/>
    <d v="2025-01-30T00:00:00"/>
    <s v="Wales"/>
    <s v="Wrexham"/>
    <x v="1"/>
    <s v="25-34"/>
    <s v="Female"/>
    <s v="Ios"/>
    <s v="Iphone"/>
    <s v="1-2 years"/>
    <s v="Free"/>
    <s v="Referral"/>
    <x v="1"/>
    <s v="First Use"/>
    <s v="Progress Indicator"/>
    <s v="Control"/>
    <n v="4"/>
    <n v="4"/>
    <n v="119"/>
    <s v="No"/>
    <x v="0"/>
    <x v="1"/>
    <s v="No Error"/>
    <x v="0"/>
    <n v="185.66"/>
    <n v="0.22"/>
    <n v="0"/>
    <s v="No Support Contact"/>
    <s v="No"/>
    <s v="No Support Contact"/>
    <s v="Not Applicable"/>
    <m/>
    <s v="No drop-off"/>
    <n v="4"/>
    <n v="18"/>
    <n v="0"/>
    <x v="1"/>
    <n v="1"/>
    <n v="1"/>
    <n v="0"/>
    <n v="1"/>
  </r>
  <r>
    <s v="NSF-001365"/>
    <s v="USR-00780"/>
    <s v="SES-2605-51101"/>
    <d v="2026-05-29T00:00:00"/>
    <s v="South East"/>
    <s v="Brighton"/>
    <x v="0"/>
    <s v="45-54"/>
    <s v="Male"/>
    <s v="Android"/>
    <s v="Android Phone"/>
    <s v="7-12 months"/>
    <s v="Free"/>
    <s v="Affiliate"/>
    <x v="0"/>
    <s v="First Use"/>
    <s v="Contextual Help"/>
    <s v="Control"/>
    <n v="7"/>
    <n v="6"/>
    <n v="209"/>
    <s v="Yes"/>
    <x v="0"/>
    <x v="1"/>
    <s v="No Error"/>
    <x v="1"/>
    <n v="0"/>
    <n v="0"/>
    <n v="0"/>
    <s v="Fees And Pricing"/>
    <s v="Yes"/>
    <s v="Fees And Pricing"/>
    <s v="Unresolved"/>
    <n v="62"/>
    <s v="No drop-off"/>
    <n v="3"/>
    <n v="-9"/>
    <n v="0"/>
    <x v="0"/>
    <n v="1"/>
    <n v="0"/>
    <n v="0"/>
    <n v="0"/>
  </r>
  <r>
    <s v="NSF-000144"/>
    <s v="USR-00657"/>
    <s v="SES-2502-18712"/>
    <d v="2025-02-07T00:00:00"/>
    <s v="London"/>
    <s v="Croydon"/>
    <x v="3"/>
    <s v="25-34"/>
    <s v="Male"/>
    <s v="Ios"/>
    <s v="Iphone"/>
    <s v="3-6 months"/>
    <s v="Free"/>
    <s v="Referral"/>
    <x v="0"/>
    <s v="Repeat Use"/>
    <s v="Fee Transparency Panel"/>
    <s v="Treatment"/>
    <n v="7"/>
    <n v="7"/>
    <n v="186"/>
    <s v="No"/>
    <x v="1"/>
    <x v="0"/>
    <s v="Category Setup Confuson"/>
    <x v="1"/>
    <n v="0"/>
    <n v="0"/>
    <n v="0"/>
    <s v="No Support Contact"/>
    <s v="No"/>
    <s v="No Support Contact"/>
    <s v="Not Applicable"/>
    <n v="-5"/>
    <s v="Technical error"/>
    <n v="4"/>
    <n v="13"/>
    <n v="36"/>
    <x v="0"/>
    <n v="0"/>
    <n v="0"/>
    <n v="1"/>
    <n v="0"/>
  </r>
  <r>
    <s v="NSF-001168"/>
    <s v="USR-00808"/>
    <s v="SES-2602-95822"/>
    <d v="2026-02-13T00:00:00"/>
    <s v="East Midlands"/>
    <s v="Nottingham"/>
    <x v="1"/>
    <s v="18-24"/>
    <s v="Female"/>
    <s v="Android"/>
    <s v="Android Phone"/>
    <s v="3-6 months"/>
    <s v="Plus"/>
    <s v="Direct"/>
    <x v="10"/>
    <s v="Repeat Use"/>
    <s v="No Experiment"/>
    <s v="Control"/>
    <n v="9"/>
    <n v="9"/>
    <n v="217"/>
    <s v="No"/>
    <x v="0"/>
    <x v="1"/>
    <s v="No Error"/>
    <x v="0"/>
    <n v="174.01"/>
    <n v="3.35"/>
    <n v="0.17"/>
    <s v="No Support Contact"/>
    <s v="No"/>
    <s v="No Support Contact"/>
    <s v="Not Applicable"/>
    <m/>
    <s v="No drop-off"/>
    <n v="4"/>
    <n v="-30"/>
    <n v="34"/>
    <x v="0"/>
    <n v="1"/>
    <n v="1"/>
    <n v="0"/>
    <n v="0"/>
  </r>
  <r>
    <s v="NSF-000221"/>
    <s v="USR-00024"/>
    <s v="SES-2503-52077"/>
    <d v="2025-03-23T00:00:00"/>
    <s v="West Midlands"/>
    <s v="Solihull"/>
    <x v="5"/>
    <s v="35-44"/>
    <s v="Female"/>
    <s v="Ios"/>
    <s v="Iphone"/>
    <s v="1-2 years"/>
    <s v="Free"/>
    <s v="App Store"/>
    <x v="4"/>
    <s v="Repeat Use"/>
    <s v="Fee Transparency Panel"/>
    <s v="Treatment"/>
    <n v="6"/>
    <n v="6"/>
    <n v="150"/>
    <s v="No"/>
    <x v="0"/>
    <x v="1"/>
    <s v="No Error"/>
    <x v="0"/>
    <n v="0"/>
    <n v="0"/>
    <n v="0"/>
    <s v="No Support Contact"/>
    <s v="No"/>
    <s v="No Support Contact"/>
    <s v="Not Applicable"/>
    <m/>
    <s v="No drop-off"/>
    <n v="5"/>
    <n v="30"/>
    <n v="27"/>
    <x v="1"/>
    <n v="1"/>
    <n v="1"/>
    <n v="0"/>
    <n v="1"/>
  </r>
  <r>
    <s v="NSF-001296"/>
    <s v="USR-00528"/>
    <s v="SES-2604-39069"/>
    <d v="2026-04-25T00:00:00"/>
    <s v="East Midlands"/>
    <s v="Lincoln"/>
    <x v="0"/>
    <s v="25-34"/>
    <s v="Non-Binary"/>
    <s v="Ios"/>
    <s v="Iphone"/>
    <s v="2+ years"/>
    <s v="Free"/>
    <s v="Paid Search"/>
    <x v="0"/>
    <s v="Repeat Use"/>
    <s v="No Experiment"/>
    <s v="Control"/>
    <n v="7"/>
    <n v="7"/>
    <n v="285"/>
    <s v="No"/>
    <x v="1"/>
    <x v="0"/>
    <s v="Category Setup Confusion"/>
    <x v="1"/>
    <n v="0"/>
    <n v="0"/>
    <n v="0"/>
    <s v="Feature Navigation"/>
    <s v="Yes"/>
    <s v="Feature Navigation"/>
    <s v="Resolved"/>
    <n v="44"/>
    <s v="Technical error"/>
    <n v="3"/>
    <n v="-2"/>
    <n v="34"/>
    <x v="1"/>
    <n v="0"/>
    <n v="0"/>
    <n v="1"/>
    <n v="1"/>
  </r>
  <r>
    <s v="NSF-000579"/>
    <s v="USR-00379"/>
    <s v="SES-2507-53221"/>
    <d v="2025-07-07T00:00:00"/>
    <s v="North East"/>
    <s v="Sunderland"/>
    <x v="2"/>
    <s v="35-44"/>
    <s v="Female"/>
    <s v="Android"/>
    <s v="Android Phone"/>
    <s v="2+ years"/>
    <s v="Premium"/>
    <s v="Organic Search"/>
    <x v="1"/>
    <s v="Repeat Use"/>
    <s v="Contextual Help"/>
    <s v="Control"/>
    <n v="4"/>
    <n v="4"/>
    <n v="151"/>
    <s v="No"/>
    <x v="0"/>
    <x v="2"/>
    <s v="Recipient Validation Error"/>
    <x v="0"/>
    <n v="147.96"/>
    <n v="0.19"/>
    <n v="0.37"/>
    <s v="Other"/>
    <s v="Yes"/>
    <s v="Other"/>
    <s v="Resolved"/>
    <n v="23"/>
    <s v="No drop-off"/>
    <n v="3"/>
    <n v="-6"/>
    <n v="37"/>
    <x v="1"/>
    <n v="1"/>
    <n v="1"/>
    <n v="0"/>
    <n v="1"/>
  </r>
  <r>
    <s v="NSF-000287"/>
    <s v="USR-00854"/>
    <s v="SES-2503-88583"/>
    <d v="2025-03-21T00:00:00"/>
    <s v="North West"/>
    <s v="Manchester"/>
    <x v="5"/>
    <s v="45-54"/>
    <s v="Male"/>
    <s v="Android"/>
    <s v="Android Phone"/>
    <s v="7-12 months"/>
    <s v="Free"/>
    <s v="Referral"/>
    <x v="1"/>
    <s v="Repeat Use"/>
    <s v="Simplified Onboarding"/>
    <s v="Treatment"/>
    <n v="4"/>
    <n v="4"/>
    <n v="147"/>
    <s v="No"/>
    <x v="0"/>
    <x v="0"/>
    <s v="Bank Connection Failed"/>
    <x v="1"/>
    <n v="0"/>
    <n v="0"/>
    <n v="0"/>
    <s v="No Support Contact"/>
    <s v="No"/>
    <s v="No Support Contact"/>
    <s v="Not Applicable"/>
    <m/>
    <s v="No drop-off"/>
    <n v="5"/>
    <n v="11"/>
    <n v="1"/>
    <x v="0"/>
    <n v="1"/>
    <n v="0"/>
    <n v="1"/>
    <n v="0"/>
  </r>
  <r>
    <s v="NSF-000155"/>
    <s v="USR-00139"/>
    <s v="SES-2606-00007"/>
    <d v="2025-02-12T00:00:00"/>
    <s v="Scotland"/>
    <s v="Aberdeen"/>
    <x v="7"/>
    <s v="25-34"/>
    <s v="Male"/>
    <s v="Ios"/>
    <s v="Iphone"/>
    <s v="1-2 years"/>
    <s v="Free"/>
    <s v="Organic Search"/>
    <x v="4"/>
    <s v="First Use"/>
    <s v="No Experiment"/>
    <s v="Control"/>
    <n v="6"/>
    <n v="6"/>
    <n v="148"/>
    <s v="No"/>
    <x v="0"/>
    <x v="1"/>
    <s v="No Error"/>
    <x v="0"/>
    <n v="0"/>
    <n v="0"/>
    <n v="0"/>
    <s v="No Support Contact"/>
    <s v="No"/>
    <s v="No Support Contact"/>
    <s v="Not Applicable"/>
    <m/>
    <s v="No drop-off"/>
    <n v="5"/>
    <n v="7"/>
    <n v="0"/>
    <x v="1"/>
    <n v="1"/>
    <n v="1"/>
    <n v="0"/>
    <n v="1"/>
  </r>
  <r>
    <s v="NSF-000978"/>
    <s v="USR-00503"/>
    <s v="SES-2511-56731"/>
    <d v="2025-11-01T00:00:00"/>
    <s v="Scotland"/>
    <s v="Edinburgh"/>
    <x v="3"/>
    <s v="35-44"/>
    <s v="Female"/>
    <s v="Android"/>
    <s v="Android Phone"/>
    <s v="1-2 years"/>
    <s v="Plus"/>
    <s v="Affiliate"/>
    <x v="9"/>
    <s v="First Use"/>
    <s v="No Experiment"/>
    <s v="Control"/>
    <n v="5"/>
    <n v="3"/>
    <n v="166"/>
    <s v="Yes"/>
    <x v="1"/>
    <x v="1"/>
    <s v="No Error"/>
    <x v="1"/>
    <n v="0"/>
    <n v="0"/>
    <n v="0"/>
    <s v="No Support Contact"/>
    <s v="No"/>
    <s v="No Support Contact"/>
    <s v="Not Applicable"/>
    <m/>
    <s v="Instructions unclear"/>
    <n v="4"/>
    <n v="9"/>
    <s v="0 days"/>
    <x v="2"/>
    <n v="0"/>
    <n v="0"/>
    <n v="0"/>
    <n v="0"/>
  </r>
  <r>
    <s v="NSF-000485"/>
    <s v="USR-00647"/>
    <s v="SES-2506-39681"/>
    <d v="2025-06-08T00:00:00"/>
    <s v="West Midlands"/>
    <s v="Coventry"/>
    <x v="1"/>
    <s v="25-34"/>
    <s v="Female"/>
    <s v="Android"/>
    <s v="Android Phone"/>
    <s v="&lt;3 months"/>
    <s v="Free"/>
    <s v="Paid Social"/>
    <x v="1"/>
    <s v="Repeat Use"/>
    <s v="No Experiment"/>
    <s v="Control"/>
    <n v="4"/>
    <n v="4"/>
    <n v="72"/>
    <s v="No"/>
    <x v="0"/>
    <x v="1"/>
    <s v="No Error"/>
    <x v="1"/>
    <n v="0"/>
    <n v="0"/>
    <n v="0"/>
    <s v="Transaction Failure"/>
    <s v="Yes"/>
    <s v="Transaction Failure"/>
    <s v="Resolved"/>
    <n v="14"/>
    <s v="No drop-off"/>
    <n v="5"/>
    <n v="-22"/>
    <n v="55"/>
    <x v="1"/>
    <n v="1"/>
    <n v="0"/>
    <n v="0"/>
    <n v="1"/>
  </r>
  <r>
    <s v="NSF-000196"/>
    <s v="USR-00507"/>
    <s v="SES-2502-38225"/>
    <d v="2025-02-19T00:00:00"/>
    <s v="East England"/>
    <s v="Norwich"/>
    <x v="0"/>
    <s v="45-54"/>
    <s v="Female"/>
    <s v="Web"/>
    <s v="Mobile Browser"/>
    <s v="7-12 months"/>
    <s v="Free"/>
    <s v="App Store"/>
    <x v="3"/>
    <s v="Repeat Use"/>
    <s v="Simplified Onboarding"/>
    <s v="Control"/>
    <n v="6"/>
    <n v="6"/>
    <n v="150"/>
    <s v="No"/>
    <x v="0"/>
    <x v="1"/>
    <s v="No Error"/>
    <x v="0"/>
    <n v="22.58"/>
    <n v="0.09"/>
    <n v="0"/>
    <s v="No Support Contact"/>
    <s v="No"/>
    <s v="No Support Contact"/>
    <s v="Not Applicable"/>
    <m/>
    <s v="No drop-off"/>
    <n v="4"/>
    <n v="12"/>
    <n v="11"/>
    <x v="0"/>
    <n v="1"/>
    <n v="1"/>
    <n v="0"/>
    <n v="0"/>
  </r>
  <r>
    <s v="NSF-000506"/>
    <s v="USR-00347"/>
    <s v="SES-2506-78550"/>
    <d v="2025-06-21T00:00:00"/>
    <s v="South West"/>
    <s v="Bristol"/>
    <x v="0"/>
    <s v="55-64"/>
    <s v="Male"/>
    <s v="Web"/>
    <s v="Desktop"/>
    <s v="1-2 years"/>
    <s v="Free"/>
    <s v="Direct"/>
    <x v="2"/>
    <s v="Repeat Use"/>
    <s v="No Experiment"/>
    <s v="Control"/>
    <n v="5"/>
    <n v="3"/>
    <n v="151"/>
    <s v="Yes"/>
    <x v="0"/>
    <x v="1"/>
    <s v="No Error"/>
    <x v="0"/>
    <n v="26.49"/>
    <n v="0"/>
    <n v="0"/>
    <s v="No Support Contact"/>
    <s v="No"/>
    <s v="No Support Contact"/>
    <s v="Not Applicable"/>
    <m/>
    <s v="No drop-off"/>
    <n v="3"/>
    <n v="2"/>
    <n v="37"/>
    <x v="1"/>
    <n v="1"/>
    <n v="1"/>
    <n v="0"/>
    <n v="1"/>
  </r>
  <r>
    <s v="NSF-000601"/>
    <s v="USR-00308"/>
    <s v="SES-2507-11751"/>
    <d v="2025-07-09T00:00:00"/>
    <s v="East Midlands"/>
    <s v="Nottingham"/>
    <x v="4"/>
    <s v="35-44"/>
    <s v="Female"/>
    <s v="Ios"/>
    <s v="Iphone"/>
    <s v="7-12 months"/>
    <s v="Free"/>
    <s v="App Store"/>
    <x v="7"/>
    <s v="First Use"/>
    <s v="Simplified Onboarding"/>
    <s v="Treatment"/>
    <n v="4"/>
    <s v="4 steps"/>
    <n v="92"/>
    <s v="No"/>
    <x v="0"/>
    <x v="1"/>
    <s v="No Error"/>
    <x v="0"/>
    <n v="49.34"/>
    <n v="0.52"/>
    <n v="0"/>
    <s v="No Support Contact"/>
    <s v="No"/>
    <s v="No Support Contact"/>
    <s v="Not Applicable"/>
    <m/>
    <s v="No drop-off"/>
    <n v="5"/>
    <n v="43"/>
    <n v="0"/>
    <x v="1"/>
    <n v="1"/>
    <n v="1"/>
    <n v="0"/>
    <n v="1"/>
  </r>
  <r>
    <s v="NSF-001249"/>
    <s v="USR-00244"/>
    <s v="SES-2603-79651"/>
    <d v="2026-03-31T00:00:00"/>
    <s v="East England"/>
    <s v="Ipswich"/>
    <x v="7"/>
    <s v="25-34"/>
    <s v="Male"/>
    <s v="Web"/>
    <s v="Desktop"/>
    <s v="3-6 months"/>
    <s v="Free"/>
    <s v="Paid Search"/>
    <x v="4"/>
    <s v="Repeat Use"/>
    <s v="Unknown"/>
    <s v="Treatment"/>
    <n v="6"/>
    <n v="6"/>
    <n v="204"/>
    <s v="No"/>
    <x v="1"/>
    <x v="0"/>
    <s v="Transaction Classification Wrong"/>
    <x v="1"/>
    <n v="0"/>
    <n v="0"/>
    <n v="0"/>
    <s v="No Support Contact"/>
    <s v="No"/>
    <s v="No Support Contact"/>
    <s v="Not Applicable"/>
    <m/>
    <s v="Instructions unclear"/>
    <n v="3"/>
    <n v="-8"/>
    <n v="69"/>
    <x v="0"/>
    <n v="0"/>
    <n v="0"/>
    <n v="1"/>
    <n v="0"/>
  </r>
  <r>
    <s v="NSF-001266"/>
    <s v="USR-00570"/>
    <s v="SES-2603-26099"/>
    <d v="2026-03-01T00:00:00"/>
    <s v="South East"/>
    <s v="Reading"/>
    <x v="0"/>
    <s v="55-64"/>
    <s v="Female"/>
    <s v="Ios"/>
    <s v="Iphone"/>
    <s v="1-2 years"/>
    <s v="Plus"/>
    <s v="Paid Social"/>
    <x v="9"/>
    <s v="Repeat Use"/>
    <s v="No Experiment"/>
    <s v="Control"/>
    <n v="5"/>
    <n v="5"/>
    <n v="135"/>
    <s v="No"/>
    <x v="0"/>
    <x v="1"/>
    <s v="No Error"/>
    <x v="1"/>
    <n v="0"/>
    <n v="0"/>
    <n v="0"/>
    <s v="No Support Contact"/>
    <s v="No"/>
    <s v="No Support Contact"/>
    <s v="Not Applicable"/>
    <m/>
    <s v="No drop-off"/>
    <n v="4"/>
    <n v="39"/>
    <n v="35"/>
    <x v="1"/>
    <n v="1"/>
    <n v="0"/>
    <n v="0"/>
    <n v="1"/>
  </r>
  <r>
    <s v="NSF-000896"/>
    <s v="usr-00531"/>
    <s v="SES-2510-37061"/>
    <d v="2025-12-10T00:00:00"/>
    <s v="Northern Ireland"/>
    <s v="Belfast"/>
    <x v="3"/>
    <s v="55-64"/>
    <s v="Female"/>
    <s v="Ios"/>
    <s v="Iphone"/>
    <s v="2+ years"/>
    <s v="Free"/>
    <s v="Referral"/>
    <x v="9"/>
    <s v="Repeat Use"/>
    <s v="Contextual Help"/>
    <s v="Control"/>
    <n v="5"/>
    <n v="5"/>
    <n v="139"/>
    <s v="No"/>
    <x v="0"/>
    <x v="1"/>
    <s v="No Error"/>
    <x v="0"/>
    <n v="121.39"/>
    <n v="0"/>
    <n v="0"/>
    <s v="No Support Contact"/>
    <s v="No"/>
    <s v="No Support Contact"/>
    <s v="Not Applicable"/>
    <m/>
    <s v="No drop-off"/>
    <n v="4"/>
    <n v="21"/>
    <n v="44"/>
    <x v="1"/>
    <n v="1"/>
    <n v="1"/>
    <n v="0"/>
    <n v="1"/>
  </r>
  <r>
    <s v="NSF-000427"/>
    <s v="USR-00611"/>
    <s v="SES-2505-84940"/>
    <d v="2025-05-04T00:00:00"/>
    <s v="South West"/>
    <s v="Gloucester"/>
    <x v="2"/>
    <s v="35-44"/>
    <s v="Male"/>
    <s v="Ios"/>
    <s v="Iphone"/>
    <s v="&lt;3 months"/>
    <s v="Basic"/>
    <s v="App Store"/>
    <x v="1"/>
    <s v="Trial/Exploration"/>
    <s v="No Experiment"/>
    <s v="Control"/>
    <n v="4"/>
    <n v="4"/>
    <n v="96"/>
    <s v="No"/>
    <x v="0"/>
    <x v="1"/>
    <s v="No Error"/>
    <x v="0"/>
    <n v="131.51"/>
    <n v="0.18"/>
    <n v="0"/>
    <s v="No Support Contact"/>
    <s v="No"/>
    <s v="No Support Contact"/>
    <s v="Not Applicable"/>
    <m/>
    <s v="No drop-off"/>
    <n v="5"/>
    <n v="60"/>
    <n v="49"/>
    <x v="0"/>
    <n v="1"/>
    <n v="1"/>
    <n v="0"/>
    <n v="0"/>
  </r>
  <r>
    <s v="NSF-000557"/>
    <s v="USR-00852"/>
    <s v="SES-2506-42514"/>
    <d v="2025-06-12T00:00:00"/>
    <s v="Yorkshire &amp; Humber"/>
    <s v="Leeds"/>
    <x v="2"/>
    <s v="25-34"/>
    <s v="Female"/>
    <s v="Ios"/>
    <s v="Iphone"/>
    <s v="&lt;3 months"/>
    <s v="Premium"/>
    <s v="Paid Search"/>
    <x v="7"/>
    <s v="Reactivated"/>
    <s v="No Experiment"/>
    <s v="Control"/>
    <s v="4 steps"/>
    <n v="4"/>
    <n v="101"/>
    <s v="No"/>
    <x v="0"/>
    <x v="1"/>
    <s v="No Error"/>
    <x v="0"/>
    <n v="96.26"/>
    <n v="0.48"/>
    <n v="0.37"/>
    <s v="No Support Contact"/>
    <s v="No"/>
    <s v="No Support Contact"/>
    <s v="Not Applicable"/>
    <m/>
    <s v="No drop-off"/>
    <n v="4"/>
    <n v="60"/>
    <n v="27"/>
    <x v="1"/>
    <n v="1"/>
    <n v="1"/>
    <n v="0"/>
    <n v="1"/>
  </r>
  <r>
    <s v="NSF-000590"/>
    <s v="USR-00725"/>
    <s v="SES-2507-99736"/>
    <d v="2025-07-16T00:00:00"/>
    <s v="South East"/>
    <s v="Reading"/>
    <x v="2"/>
    <s v="25-34"/>
    <s v="Male"/>
    <s v="Android"/>
    <s v="Android Phone"/>
    <s v="1-2 years"/>
    <s v="Free"/>
    <s v="Referral"/>
    <x v="4"/>
    <s v="Repeat Use"/>
    <s v="Simplified Onboarding"/>
    <s v="Control"/>
    <n v="6"/>
    <n v="6"/>
    <n v="184"/>
    <s v="No"/>
    <x v="1"/>
    <x v="0"/>
    <s v="Transaction Classification Wrong"/>
    <x v="1"/>
    <n v="0"/>
    <n v="0"/>
    <n v="0"/>
    <s v="No Support Contact"/>
    <s v="No"/>
    <s v="No Support Contact"/>
    <s v="Not Applicable"/>
    <m/>
    <s v="No drop-off"/>
    <n v="2"/>
    <n v="-2"/>
    <n v="11"/>
    <x v="0"/>
    <n v="0"/>
    <n v="0"/>
    <n v="1"/>
    <n v="0"/>
  </r>
  <r>
    <s v="NSF-000660"/>
    <s v="USR-00288"/>
    <s v="SES-2507-33932"/>
    <d v="2025-07-19T00:00:00"/>
    <s v="East Midlands"/>
    <s v="Nottingham"/>
    <x v="5"/>
    <s v="35-44"/>
    <s v="Female"/>
    <s v="Ios"/>
    <s v="Iphone"/>
    <s v="3-6 months"/>
    <s v="Free"/>
    <s v="Paid Social"/>
    <x v="0"/>
    <s v="Trial/Exploration"/>
    <s v="New Cta Copy"/>
    <s v="Treatment"/>
    <n v="7"/>
    <n v="7"/>
    <n v="132"/>
    <s v="No"/>
    <x v="0"/>
    <x v="1"/>
    <s v="No Error"/>
    <x v="0"/>
    <n v="0"/>
    <n v="0"/>
    <n v="0"/>
    <s v="No Support Contact"/>
    <s v="No"/>
    <s v="No Support Contact"/>
    <s v="Not Applicable"/>
    <m/>
    <s v="No drop-off"/>
    <n v="3"/>
    <n v="21"/>
    <n v="24"/>
    <x v="1"/>
    <n v="1"/>
    <n v="1"/>
    <n v="0"/>
    <n v="1"/>
  </r>
  <r>
    <s v="NSF-001053"/>
    <s v="USR-00782"/>
    <s v="SES-2512-11148"/>
    <d v="2025-12-22T00:00:00"/>
    <s v="North East"/>
    <s v="Durham"/>
    <x v="3"/>
    <s v="65+"/>
    <s v="Male"/>
    <s v="Android"/>
    <s v="Android Phone"/>
    <s v="7-12 months"/>
    <s v="Premium"/>
    <s v="Paid Social"/>
    <x v="0"/>
    <s v="Repeat Use"/>
    <s v="New Cta Copy"/>
    <s v="Treatment"/>
    <n v="7"/>
    <n v="7"/>
    <n v="223"/>
    <s v="No"/>
    <x v="0"/>
    <x v="1"/>
    <s v="No Error"/>
    <x v="0"/>
    <n v="0"/>
    <n v="0"/>
    <n v="0.37"/>
    <s v="No Support Contact"/>
    <s v="No"/>
    <s v="No Support Contact"/>
    <s v="Not Applicable"/>
    <m/>
    <s v="No drop-off"/>
    <n v="4"/>
    <n v="29"/>
    <n v="25"/>
    <x v="1"/>
    <n v="1"/>
    <n v="1"/>
    <n v="0"/>
    <n v="1"/>
  </r>
  <r>
    <s v="NSF-000927"/>
    <s v="USR-00284"/>
    <s v="SES-2511-67355"/>
    <d v="2025-11-07T00:00:00"/>
    <s v="South East"/>
    <s v="Oxford"/>
    <x v="1"/>
    <s v="35-44"/>
    <s v="Male"/>
    <s v="Android"/>
    <s v="Android Phone"/>
    <s v="2+ years"/>
    <s v="Free"/>
    <s v="App Store"/>
    <x v="9"/>
    <s v="Repeat Use"/>
    <s v="Progress Indicator"/>
    <s v="Control"/>
    <n v="5"/>
    <s v="5 steps"/>
    <n v="124"/>
    <s v="No"/>
    <x v="0"/>
    <x v="1"/>
    <s v="No Error"/>
    <x v="1"/>
    <n v="0"/>
    <n v="0"/>
    <n v="0"/>
    <s v="No Support Contact"/>
    <s v="No"/>
    <s v="No Support Contact"/>
    <s v="Not Applicable"/>
    <m/>
    <s v="No drop-off"/>
    <n v="4"/>
    <n v="8"/>
    <n v="56"/>
    <x v="1"/>
    <n v="1"/>
    <n v="0"/>
    <n v="0"/>
    <n v="1"/>
  </r>
  <r>
    <s v="NSF-000115"/>
    <s v="USR-00308"/>
    <s v="SES-2502-68073"/>
    <d v="2025-02-04T00:00:00"/>
    <s v="East Midlands"/>
    <s v="Derby"/>
    <x v="3"/>
    <s v="25-34"/>
    <s v="Female"/>
    <s v="Android"/>
    <s v="Android Phone"/>
    <s v="7-12 months"/>
    <s v="Basic"/>
    <s v="App Store"/>
    <x v="7"/>
    <s v="Repeat Use"/>
    <s v="New Cta Copy"/>
    <s v="Control"/>
    <s v="4 steps"/>
    <n v="4"/>
    <n v="89"/>
    <s v="No"/>
    <x v="0"/>
    <x v="1"/>
    <s v="No Error"/>
    <x v="0"/>
    <n v="88.19"/>
    <n v="0.51"/>
    <n v="0"/>
    <s v="No Support Contact"/>
    <s v="No"/>
    <s v="No Support Contact"/>
    <s v="Not Applicable"/>
    <m/>
    <s v="No drop-off"/>
    <n v="5"/>
    <n v="11"/>
    <n v="27"/>
    <x v="1"/>
    <n v="1"/>
    <n v="1"/>
    <n v="0"/>
    <n v="1"/>
  </r>
  <r>
    <s v="NSF-001297"/>
    <s v="USR-00110"/>
    <s v="SES-2604-25066"/>
    <d v="2026-04-05T00:00:00"/>
    <s v="South East"/>
    <s v="Oxford"/>
    <x v="1"/>
    <s v="35-44"/>
    <s v="Female"/>
    <s v="Ios"/>
    <s v="Iphone"/>
    <s v="3-6 months"/>
    <s v="Premium"/>
    <s v="Organic Search"/>
    <x v="0"/>
    <s v="Repeat Use"/>
    <s v="No Experiment"/>
    <s v="Control"/>
    <n v="7"/>
    <n v="7"/>
    <n v="298"/>
    <s v="No"/>
    <x v="1"/>
    <x v="0"/>
    <s v="Too Many Steps"/>
    <x v="0"/>
    <n v="62.19"/>
    <n v="0"/>
    <n v="0.37"/>
    <s v="No Support Contact"/>
    <s v="No"/>
    <s v="No Support Contact"/>
    <s v="Not Applicable"/>
    <m/>
    <s v="Technical error"/>
    <n v="2"/>
    <n v="-49"/>
    <n v="22"/>
    <x v="0"/>
    <n v="0"/>
    <n v="1"/>
    <n v="1"/>
    <n v="0"/>
  </r>
  <r>
    <s v="NSF-000418"/>
    <s v="USR-00017"/>
    <s v="SES-2505-43370"/>
    <d v="2025-05-12T00:00:00"/>
    <s v="Wales"/>
    <s v="Wrexham"/>
    <x v="0"/>
    <s v="55-64"/>
    <s v="Male"/>
    <s v="Web"/>
    <s v="Desktop"/>
    <s v="1-2 years"/>
    <s v="Plus"/>
    <s v="Direct"/>
    <x v="5"/>
    <s v="Trial/Exploration"/>
    <s v="No Experiment"/>
    <s v="Control"/>
    <n v="8"/>
    <n v="8"/>
    <n v="237"/>
    <s v="No"/>
    <x v="0"/>
    <x v="1"/>
    <s v="No Error"/>
    <x v="0"/>
    <n v="433.96"/>
    <n v="2.16"/>
    <n v="0.17"/>
    <s v="No Support Contact"/>
    <s v="No"/>
    <s v="No Support Contact"/>
    <s v="Not Applicable"/>
    <m/>
    <s v="No drop-off"/>
    <n v="5"/>
    <n v="-15"/>
    <n v="19"/>
    <x v="0"/>
    <n v="1"/>
    <n v="1"/>
    <n v="0"/>
    <n v="0"/>
  </r>
  <r>
    <s v="NSF-000486"/>
    <s v="USR-00647"/>
    <s v="SES-2506-93046"/>
    <d v="2025-06-09T00:00:00"/>
    <s v="East England"/>
    <s v="Cambridge"/>
    <x v="2"/>
    <s v="45-54"/>
    <s v="Female"/>
    <s v="Ios"/>
    <s v="Iphone"/>
    <s v="7-12 months"/>
    <s v="Free"/>
    <s v="Paid Search"/>
    <x v="7"/>
    <s v="First Use"/>
    <s v="Simplified Onboarding"/>
    <s v="Unknown"/>
    <n v="4"/>
    <n v="4"/>
    <n v="75"/>
    <s v="No"/>
    <x v="0"/>
    <x v="1"/>
    <s v="No Error"/>
    <x v="0"/>
    <n v="36.090000000000003"/>
    <n v="0.53"/>
    <n v="0"/>
    <s v="No Support Contact"/>
    <s v="No"/>
    <s v="No Support Contact"/>
    <s v="Not Applicable"/>
    <m/>
    <s v="No drop-off"/>
    <n v="5"/>
    <n v="77"/>
    <n v="0"/>
    <x v="1"/>
    <n v="1"/>
    <n v="1"/>
    <n v="0"/>
    <n v="1"/>
  </r>
  <r>
    <s v="NSF-000229"/>
    <s v="USR-00431"/>
    <s v="SES-2503-32765"/>
    <d v="2025-03-07T00:00:00"/>
    <s v="Wales"/>
    <s v="Newport"/>
    <x v="3"/>
    <s v="25-34"/>
    <s v="Female"/>
    <s v="Android"/>
    <s v="Android Phone"/>
    <s v="7-12 months"/>
    <s v="Plus"/>
    <s v="Employer Partnership"/>
    <x v="2"/>
    <s v="Reactivated"/>
    <s v="Simplified Onboarding"/>
    <s v="Treatment"/>
    <n v="5"/>
    <n v="5"/>
    <n v="146"/>
    <s v="No"/>
    <x v="0"/>
    <x v="0"/>
    <s v="Round-Up Not Activated"/>
    <x v="1"/>
    <n v="0"/>
    <n v="0"/>
    <n v="0"/>
    <s v="No Support Contact"/>
    <s v="No"/>
    <s v="No Support Contact"/>
    <s v="Not Applicable"/>
    <m/>
    <s v="No drop-off"/>
    <n v="3"/>
    <n v="13"/>
    <n v="59"/>
    <x v="1"/>
    <n v="1"/>
    <n v="0"/>
    <n v="1"/>
    <n v="1"/>
  </r>
  <r>
    <s v="NSF-001360"/>
    <s v="USR-00147"/>
    <s v="SES-2605-39179"/>
    <d v="2026-05-01T00:00:00"/>
    <s v="West Midlands"/>
    <s v="Wolverhampton"/>
    <x v="2"/>
    <s v="25-34"/>
    <s v="Female"/>
    <s v="Web"/>
    <s v="Mobile Browser"/>
    <s v="7-12 months"/>
    <s v="Free"/>
    <s v="Direct"/>
    <x v="2"/>
    <s v="First Use"/>
    <s v="Fee Transparency Panel"/>
    <s v="Control"/>
    <s v="5 steps"/>
    <n v="5"/>
    <n v="115"/>
    <s v="No"/>
    <x v="0"/>
    <x v="1"/>
    <s v="No Error"/>
    <x v="0"/>
    <n v="109.13"/>
    <n v="0"/>
    <n v="0"/>
    <s v="Fees And Pricing"/>
    <s v="Yes"/>
    <s v="Fees And Pricing"/>
    <s v="Unresolved"/>
    <n v="34"/>
    <s v="No drop-off"/>
    <n v="4"/>
    <n v="56"/>
    <n v="0"/>
    <x v="1"/>
    <n v="1"/>
    <n v="1"/>
    <n v="0"/>
    <n v="1"/>
  </r>
  <r>
    <s v="NSF-000363"/>
    <s v="USR-00241"/>
    <s v="SES-2504-84792"/>
    <d v="2025-04-07T00:00:00"/>
    <s v="London"/>
    <s v="Southwark"/>
    <x v="2"/>
    <s v="35-44"/>
    <s v="Male"/>
    <s v="Android"/>
    <s v="Android Phone"/>
    <s v="&lt;3 months"/>
    <s v="Free"/>
    <s v="Direct"/>
    <x v="1"/>
    <s v="Reactivated"/>
    <s v="No Experiment"/>
    <s v="Control"/>
    <n v="4"/>
    <s v="4 steps"/>
    <n v="82"/>
    <s v="No"/>
    <x v="0"/>
    <x v="1"/>
    <s v="No Error"/>
    <x v="0"/>
    <n v="125.7"/>
    <n v="0.21"/>
    <n v="0"/>
    <s v="No Support Contact"/>
    <s v="No"/>
    <s v="No Support Contact"/>
    <s v="Not Applicable"/>
    <m/>
    <s v="No drop-off"/>
    <n v="4"/>
    <n v="30"/>
    <n v="28"/>
    <x v="1"/>
    <n v="1"/>
    <n v="1"/>
    <n v="0"/>
    <n v="1"/>
  </r>
  <r>
    <s v="NSF-001081"/>
    <s v="USR-00354"/>
    <s v="SES-2601-31207"/>
    <d v="2026-01-09T00:00:00"/>
    <s v="South West"/>
    <s v="Plymouth"/>
    <x v="2"/>
    <s v="45-54"/>
    <s v="Male"/>
    <s v="Android"/>
    <s v="Android Phone"/>
    <s v="&lt;3 months"/>
    <s v="Free"/>
    <s v="Direct"/>
    <x v="3"/>
    <s v="Repeat Use"/>
    <s v="Progress Indicator"/>
    <s v="Control"/>
    <n v="6"/>
    <n v="6"/>
    <n v="133"/>
    <s v="No"/>
    <x v="0"/>
    <x v="0"/>
    <s v="Split Amount Confusing"/>
    <x v="0"/>
    <n v="110.38"/>
    <n v="0.11"/>
    <n v="0"/>
    <s v="No Support Contact"/>
    <s v="No"/>
    <s v="No Support Contact"/>
    <s v="Not Applicable"/>
    <m/>
    <s v="No drop-off"/>
    <n v="3"/>
    <n v="8"/>
    <n v="14"/>
    <x v="0"/>
    <n v="1"/>
    <n v="1"/>
    <n v="1"/>
    <n v="0"/>
  </r>
  <r>
    <s v="NSF-000638"/>
    <s v="USR-00780"/>
    <s v="SES-2507-47095"/>
    <d v="2025-07-24T00:00:00"/>
    <s v="Yorkshire &amp; Humber"/>
    <s v="Hull"/>
    <x v="5"/>
    <s v="35-44"/>
    <s v="Male"/>
    <s v="Web"/>
    <s v="Desktop"/>
    <s v="&lt;3 months"/>
    <s v="Plus"/>
    <s v="Affiliate"/>
    <x v="1"/>
    <s v="Reactivated"/>
    <s v="Simplified Onboarding"/>
    <s v="Control"/>
    <n v="4"/>
    <n v="2"/>
    <n v="152"/>
    <s v="Yes"/>
    <x v="0"/>
    <x v="1"/>
    <s v="No Error"/>
    <x v="0"/>
    <n v="78.12"/>
    <n v="0.23"/>
    <n v="0.17"/>
    <s v="No Support Contact"/>
    <s v="No"/>
    <s v="No Support Contact"/>
    <s v="Not Applicable"/>
    <m/>
    <s v="No drop-off"/>
    <n v="2"/>
    <n v="-2"/>
    <n v="19"/>
    <x v="0"/>
    <n v="1"/>
    <n v="1"/>
    <n v="0"/>
    <n v="0"/>
  </r>
  <r>
    <s v="NSF-000812"/>
    <s v="USR-00787"/>
    <s v="SES-2509-30273"/>
    <d v="2025-09-19T00:00:00"/>
    <s v="East England"/>
    <s v="Ipswich"/>
    <x v="0"/>
    <s v="25-34"/>
    <s v="Male"/>
    <s v="Ios"/>
    <s v="Iphone"/>
    <s v="3-6 months"/>
    <s v="Plus"/>
    <s v="Affiliate"/>
    <x v="0"/>
    <s v="Trial/Exploration"/>
    <s v="Contextual Help"/>
    <s v="Treatment"/>
    <n v="7"/>
    <n v="4"/>
    <n v="332"/>
    <s v="Yes"/>
    <x v="1"/>
    <x v="1"/>
    <s v="No Error"/>
    <x v="0"/>
    <n v="0"/>
    <n v="0"/>
    <n v="0.17"/>
    <s v="No Support Contact"/>
    <s v="No"/>
    <s v="No Support Contact"/>
    <s v="Not Applicable"/>
    <m/>
    <s v="Too many steps"/>
    <n v="3"/>
    <n v="19"/>
    <n v="27"/>
    <x v="1"/>
    <n v="0"/>
    <n v="1"/>
    <n v="0"/>
    <n v="1"/>
  </r>
  <r>
    <s v="NSF-000883"/>
    <s v="USR-00202"/>
    <s v="SES-2510-36946"/>
    <d v="2025-10-11T00:00:00"/>
    <s v="East Midlands"/>
    <s v="Lincoln"/>
    <x v="0"/>
    <s v="25-34"/>
    <s v="Female"/>
    <s v="Android"/>
    <s v="Android Phone"/>
    <s v="1-2 years"/>
    <s v="Plus"/>
    <s v="Paid Search"/>
    <x v="2"/>
    <s v="Repeat Use"/>
    <s v="Simplified Onboarding"/>
    <s v="Control"/>
    <n v="5"/>
    <n v="5"/>
    <n v="97"/>
    <s v="No"/>
    <x v="0"/>
    <x v="1"/>
    <s v="No Error"/>
    <x v="0"/>
    <n v="121.04"/>
    <n v="0"/>
    <n v="0.17"/>
    <s v="No Support Contact"/>
    <s v="No"/>
    <s v="No Support Contact"/>
    <s v="Not Applicable"/>
    <m/>
    <s v="No drop-off"/>
    <n v="5"/>
    <n v="16"/>
    <n v="45"/>
    <x v="1"/>
    <n v="1"/>
    <n v="1"/>
    <n v="0"/>
    <n v="1"/>
  </r>
  <r>
    <s v="NSF-000760"/>
    <s v="USR-00440"/>
    <s v="SES-2509-95162"/>
    <d v="2025-09-03T00:00:00"/>
    <s v="South East"/>
    <s v="Guildford"/>
    <x v="5"/>
    <s v="55-64"/>
    <s v="Female"/>
    <s v="Android"/>
    <s v="Android Phone"/>
    <s v="7-12 months"/>
    <s v="Free"/>
    <s v="Organic Search"/>
    <x v="7"/>
    <s v="First Use"/>
    <s v="New Cta Copy"/>
    <s v="Treatment"/>
    <n v="4"/>
    <n v="4"/>
    <n v="74"/>
    <s v="No"/>
    <x v="0"/>
    <x v="1"/>
    <s v="No Error"/>
    <x v="0"/>
    <n v="0"/>
    <n v="0.46"/>
    <n v="0"/>
    <s v="Feature Navigation"/>
    <s v="Yes"/>
    <s v="Feature Navigation"/>
    <s v="Resolved"/>
    <n v="35"/>
    <s v="No drop-off"/>
    <n v="5"/>
    <n v="19"/>
    <n v="0"/>
    <x v="1"/>
    <n v="1"/>
    <n v="1"/>
    <n v="0"/>
    <n v="1"/>
  </r>
  <r>
    <s v="NSF-000894"/>
    <s v="USR-00602"/>
    <s v="SES-2510-47318"/>
    <d v="2025-10-20T00:00:00"/>
    <s v="West Midlands"/>
    <s v="Solihull"/>
    <x v="1"/>
    <s v="25-34"/>
    <s v="Female"/>
    <s v="Ios"/>
    <s v="Iphone"/>
    <s v="3-6 months"/>
    <s v="Free"/>
    <s v="Organic Search"/>
    <x v="9"/>
    <s v="Repeat Use"/>
    <s v="New Cta Copy"/>
    <s v="Treatment"/>
    <n v="5"/>
    <n v="5"/>
    <n v="116"/>
    <s v="No"/>
    <x v="0"/>
    <x v="1"/>
    <s v="No Error"/>
    <x v="0"/>
    <n v="141.11000000000001"/>
    <n v="0"/>
    <n v="0"/>
    <s v="No Support Contact"/>
    <s v="No"/>
    <s v="No Support Contact"/>
    <s v="Not Applicable"/>
    <m/>
    <s v="No drop-off"/>
    <n v="5"/>
    <n v="33"/>
    <n v="62"/>
    <x v="1"/>
    <n v="1"/>
    <n v="1"/>
    <n v="0"/>
    <n v="1"/>
  </r>
  <r>
    <s v="NSF-000118"/>
    <s v="USR-00337"/>
    <s v="SES-2502-73852"/>
    <d v="2025-02-01T00:00:00"/>
    <s v="London"/>
    <s v="Southwark"/>
    <x v="6"/>
    <s v="25-34"/>
    <s v="Female"/>
    <s v="Android"/>
    <s v="Android Phone"/>
    <s v="3-6 months"/>
    <s v="Free"/>
    <s v="Organic Search"/>
    <x v="9"/>
    <s v="Repeat Use"/>
    <s v="No Experiment"/>
    <s v="Control"/>
    <n v="5"/>
    <n v="5"/>
    <n v="135"/>
    <s v="No"/>
    <x v="1"/>
    <x v="1"/>
    <s v="No Error"/>
    <x v="1"/>
    <n v="0"/>
    <n v="0"/>
    <n v="0"/>
    <s v="Transaction Failure"/>
    <s v="Yes"/>
    <s v="Transaction Failure"/>
    <s v="Resolved"/>
    <n v="36"/>
    <s v="No drop-off"/>
    <n v="3"/>
    <n v="39"/>
    <n v="35"/>
    <x v="0"/>
    <n v="0"/>
    <n v="0"/>
    <n v="0"/>
    <n v="0"/>
  </r>
  <r>
    <s v="NSF-000426"/>
    <s v="USR-00525"/>
    <s v="SES-2505-72888"/>
    <d v="2025-05-27T00:00:00"/>
    <s v="West Midlands"/>
    <s v="Birmingham"/>
    <x v="3"/>
    <s v="25-34"/>
    <s v="Male"/>
    <s v="Android"/>
    <s v="Android Phone"/>
    <s v="7-12 months"/>
    <s v="Plus"/>
    <s v="Paid Social"/>
    <x v="0"/>
    <s v="Repeat Use"/>
    <s v="No Experiment"/>
    <s v="Control"/>
    <s v="7 steps"/>
    <s v="7 steps"/>
    <n v="174"/>
    <s v="No"/>
    <x v="1"/>
    <x v="1"/>
    <s v="No Error"/>
    <x v="1"/>
    <n v="0"/>
    <n v="0"/>
    <n v="0"/>
    <s v="No Support Contact"/>
    <s v="No"/>
    <s v="No Support Contact"/>
    <s v="Not Applicable"/>
    <m/>
    <s v="Too many steps"/>
    <n v="3"/>
    <n v="10"/>
    <n v="13"/>
    <x v="0"/>
    <n v="0"/>
    <n v="0"/>
    <n v="0"/>
    <n v="0"/>
  </r>
  <r>
    <s v="NSF-000517"/>
    <s v="USR-00758"/>
    <s v="SES-2506-33169"/>
    <d v="2025-06-03T00:00:00"/>
    <s v="Northern Ireland"/>
    <s v="Lisburn"/>
    <x v="0"/>
    <s v="65+"/>
    <s v="Female"/>
    <s v="Web"/>
    <s v="Desktop"/>
    <s v="1-2 years"/>
    <s v="Free"/>
    <s v="Affiliate"/>
    <x v="2"/>
    <s v="Reactivated"/>
    <s v="Simplified Onboarding"/>
    <s v="Treatment"/>
    <n v="5"/>
    <n v="5"/>
    <n v="144"/>
    <s v="No"/>
    <x v="0"/>
    <x v="1"/>
    <s v="No Error"/>
    <x v="0"/>
    <n v="79.209999999999994"/>
    <n v="0"/>
    <n v="0"/>
    <s v="No Support Contact"/>
    <s v="No"/>
    <s v="No Support Contact"/>
    <s v="Not Applicable"/>
    <m/>
    <s v="No drop-off"/>
    <n v="5"/>
    <n v="18"/>
    <n v="15"/>
    <x v="1"/>
    <n v="1"/>
    <n v="1"/>
    <n v="0"/>
    <n v="1"/>
  </r>
  <r>
    <s v="NSF-000100"/>
    <s v="USR-00226"/>
    <s v="SES-2502-32198"/>
    <d v="2025-02-14T00:00:00"/>
    <s v="Wales"/>
    <s v="Cardiff"/>
    <x v="2"/>
    <s v="35-44"/>
    <s v="Male"/>
    <s v="Ios"/>
    <s v="Iphone"/>
    <s v="7-12 months"/>
    <s v="Free"/>
    <s v="Affiliate"/>
    <x v="10"/>
    <s v="Repeat Use"/>
    <s v="New Cta Copy"/>
    <s v="Treatment"/>
    <s v="9 steps"/>
    <n v="9"/>
    <n v="216"/>
    <s v="No"/>
    <x v="0"/>
    <x v="0"/>
    <s v="Income Verification Failed"/>
    <x v="0"/>
    <n v="214.94"/>
    <n v="2.72"/>
    <n v="0"/>
    <s v="Transaction Failure"/>
    <s v="Yes"/>
    <s v="Transaction Failure"/>
    <s v="Resolved"/>
    <n v="2"/>
    <s v="No drop-off"/>
    <n v="5"/>
    <n v="15"/>
    <n v="6"/>
    <x v="1"/>
    <n v="1"/>
    <n v="1"/>
    <n v="1"/>
    <n v="1"/>
  </r>
  <r>
    <s v="NSF-000439"/>
    <s v="USR-00641"/>
    <s v="SES-2505-10749"/>
    <d v="2025-05-11T00:00:00"/>
    <s v="East England"/>
    <s v="Luton"/>
    <x v="0"/>
    <s v="25-34"/>
    <s v="Male"/>
    <s v="Ios"/>
    <s v="Iphone"/>
    <s v="1-2 years"/>
    <s v="Free"/>
    <s v="Employer Partnership"/>
    <x v="0"/>
    <s v="First Use"/>
    <s v="No Experiment"/>
    <s v="Control"/>
    <n v="7"/>
    <n v="7"/>
    <n v="314"/>
    <s v="No"/>
    <x v="1"/>
    <x v="0"/>
    <s v="Category Setup Confusion"/>
    <x v="1"/>
    <n v="0"/>
    <n v="0"/>
    <n v="0"/>
    <s v="Other"/>
    <s v="Yes"/>
    <s v="Other"/>
    <s v="Unresolved"/>
    <n v="15"/>
    <s v="Technical error"/>
    <n v="2"/>
    <n v="-66"/>
    <n v="0"/>
    <x v="1"/>
    <n v="0"/>
    <n v="0"/>
    <n v="1"/>
    <n v="1"/>
  </r>
  <r>
    <s v="NSF-001190"/>
    <s v="USR-00589"/>
    <s v="SES-2602-89784"/>
    <d v="2026-02-12T00:00:00"/>
    <s v="East England"/>
    <s v="Norwich"/>
    <x v="5"/>
    <s v="45-54"/>
    <s v="Male"/>
    <s v="Ios"/>
    <s v="Iphone"/>
    <s v="7-12 months"/>
    <s v="Free"/>
    <s v="Referral"/>
    <x v="2"/>
    <s v="Repeat Use"/>
    <s v="No Experiment"/>
    <s v="Control"/>
    <n v="5"/>
    <n v="3"/>
    <n v="257"/>
    <s v="Yes"/>
    <x v="1"/>
    <x v="1"/>
    <s v="No Error"/>
    <x v="1"/>
    <n v="0"/>
    <n v="0"/>
    <n v="0"/>
    <s v="No Support Contact"/>
    <s v="No"/>
    <s v="No Support Contact"/>
    <s v="Not Applicable"/>
    <m/>
    <s v="Privacy concern"/>
    <n v="2"/>
    <n v="19"/>
    <n v="1"/>
    <x v="1"/>
    <n v="0"/>
    <n v="0"/>
    <n v="0"/>
    <n v="1"/>
  </r>
  <r>
    <s v="NSF-000252"/>
    <s v="USR-00521"/>
    <s v="SES-2503-30092"/>
    <d v="2025-03-02T00:00:00"/>
    <s v="South West"/>
    <s v="Exeter"/>
    <x v="2"/>
    <s v="25-34"/>
    <s v="Female"/>
    <s v="Ios"/>
    <s v="Ipad"/>
    <s v="1-2 years"/>
    <s v="Free"/>
    <s v="Affiliate"/>
    <x v="10"/>
    <s v="Reactivated"/>
    <s v="No Experiment"/>
    <s v="Control"/>
    <n v="9"/>
    <n v="9"/>
    <n v="166"/>
    <s v="No"/>
    <x v="1"/>
    <x v="1"/>
    <s v="No Error"/>
    <x v="0"/>
    <n v="149.49"/>
    <n v="2.81"/>
    <n v="0"/>
    <s v="No Support Contact"/>
    <s v="No"/>
    <s v="No Support Contact"/>
    <s v="Not Applicable"/>
    <m/>
    <s v="No drop-off"/>
    <n v="3"/>
    <n v="37"/>
    <n v="21"/>
    <x v="0"/>
    <n v="0"/>
    <n v="1"/>
    <n v="0"/>
    <n v="0"/>
  </r>
  <r>
    <s v="NSF-001423"/>
    <s v="USR-00192"/>
    <s v="SES-2606-10292"/>
    <d v="2026-06-13T00:00:00"/>
    <s v="West Midlands"/>
    <s v="Coventry"/>
    <x v="2"/>
    <s v="35-44"/>
    <s v="Female"/>
    <s v="Android"/>
    <s v="Android Phone"/>
    <s v="3-6 months"/>
    <s v="Free"/>
    <s v="Organic Search"/>
    <x v="4"/>
    <s v="Reactivated"/>
    <s v="No Experiment"/>
    <s v="Control"/>
    <n v="6"/>
    <n v="3"/>
    <n v="260"/>
    <s v="Yes"/>
    <x v="0"/>
    <x v="1"/>
    <s v="No Error"/>
    <x v="0"/>
    <n v="0"/>
    <n v="0"/>
    <n v="0"/>
    <s v="No Support Contact"/>
    <s v="No"/>
    <s v="No Support Contact"/>
    <s v="Not Applicable"/>
    <m/>
    <s v="No drop-off"/>
    <n v="3"/>
    <n v="-15"/>
    <n v="36"/>
    <x v="1"/>
    <n v="1"/>
    <n v="1"/>
    <n v="0"/>
    <n v="1"/>
  </r>
  <r>
    <s v="NSF-001451"/>
    <s v="USR-00454"/>
    <s v="SES-2606-13869"/>
    <d v="2026-06-10T00:00:00"/>
    <s v="Yorkshire &amp; Humber"/>
    <s v="York"/>
    <x v="0"/>
    <s v="35-44"/>
    <s v="Female"/>
    <s v="Web"/>
    <s v="Desktop"/>
    <s v="1-2 years"/>
    <s v="Plus"/>
    <s v="Paid Social"/>
    <x v="3"/>
    <s v="Reactivated"/>
    <s v="No Experiment"/>
    <s v="Control"/>
    <n v="6"/>
    <n v="3"/>
    <n v="271"/>
    <s v="Yes"/>
    <x v="1"/>
    <x v="0"/>
    <s v="Friend Not Found"/>
    <x v="1"/>
    <n v="0"/>
    <n v="0"/>
    <n v="0"/>
    <s v="No Support Contact"/>
    <s v="No"/>
    <s v="No Support Contact"/>
    <s v="Not Applicable"/>
    <m/>
    <s v="Technical error"/>
    <n v="3"/>
    <n v="0"/>
    <n v="79"/>
    <x v="1"/>
    <n v="0"/>
    <n v="0"/>
    <n v="1"/>
    <n v="1"/>
  </r>
  <r>
    <s v="NSF-001452"/>
    <s v="USR-00378"/>
    <s v="SES-2606-88051"/>
    <d v="2026-06-02T00:00:00"/>
    <s v="South East"/>
    <s v="Brighton"/>
    <x v="5"/>
    <s v="35-44"/>
    <s v="Female"/>
    <s v="Android"/>
    <s v="Android Phone"/>
    <s v="2+ years"/>
    <s v="Plus"/>
    <s v="Organic Search"/>
    <x v="9"/>
    <s v="Repeat Use"/>
    <s v="No Experiment"/>
    <s v="Control"/>
    <n v="5"/>
    <n v="5"/>
    <n v="188"/>
    <s v="No"/>
    <x v="0"/>
    <x v="1"/>
    <s v="No Error"/>
    <x v="0"/>
    <n v="58.65"/>
    <n v="0"/>
    <n v="0.17"/>
    <s v="No Support Contact"/>
    <s v="No"/>
    <s v="No Support Contact"/>
    <s v="Not Applicable"/>
    <m/>
    <s v="No drop-off"/>
    <n v="4"/>
    <n v="11"/>
    <n v="24"/>
    <x v="0"/>
    <n v="1"/>
    <n v="1"/>
    <n v="0"/>
    <n v="0"/>
  </r>
  <r>
    <s v="NSF-001453"/>
    <s v="USR-00377"/>
    <s v="SES-2606-24114"/>
    <d v="2026-06-06T00:00:00"/>
    <s v="East England"/>
    <s v="Ipswich"/>
    <x v="0"/>
    <s v="45-54"/>
    <s v="Male"/>
    <s v="Ios"/>
    <s v="Iphone"/>
    <s v="3-6 months"/>
    <s v="Free"/>
    <s v="Organic Search"/>
    <x v="3"/>
    <s v="Reactivated"/>
    <s v="Progress Indicator"/>
    <s v="Control"/>
    <n v="6"/>
    <s v="6 steps"/>
    <n v="138"/>
    <s v="Yes"/>
    <x v="1"/>
    <x v="1"/>
    <s v="No Error"/>
    <x v="1"/>
    <n v="0"/>
    <n v="0"/>
    <n v="0"/>
    <s v="No Support Contact"/>
    <s v="No"/>
    <s v="No Support Contact"/>
    <s v="Not Applicable"/>
    <m/>
    <s v="Unexpected fee"/>
    <n v="3"/>
    <n v="21"/>
    <s v="24 days"/>
    <x v="1"/>
    <n v="0"/>
    <n v="0"/>
    <n v="0"/>
    <n v="1"/>
  </r>
  <r>
    <s v="NSF-001454"/>
    <s v="USR-00018"/>
    <s v="SES-2606-83344"/>
    <d v="2026-06-20T00:00:00"/>
    <s v="East Midlands"/>
    <s v="Leicester"/>
    <x v="0"/>
    <s v="18-24"/>
    <s v="Female"/>
    <s v="Ios"/>
    <s v="Iphone"/>
    <s v="7-12 months"/>
    <s v="Plus"/>
    <s v="Paid Social"/>
    <x v="2"/>
    <s v="Repeat Use"/>
    <s v="New Cta Copy"/>
    <s v="Control"/>
    <n v="5"/>
    <n v="5"/>
    <n v="163"/>
    <s v="No"/>
    <x v="0"/>
    <x v="0"/>
    <s v="Goal Setup Confusion"/>
    <x v="0"/>
    <n v="104.86"/>
    <n v="0"/>
    <n v="0.17"/>
    <s v="No Support Contact"/>
    <s v="No"/>
    <s v="No Support Contact"/>
    <s v="Not Applicable"/>
    <m/>
    <s v="No drop-off"/>
    <n v="4"/>
    <n v="31"/>
    <n v="29"/>
    <x v="0"/>
    <n v="1"/>
    <n v="1"/>
    <n v="1"/>
    <n v="0"/>
  </r>
  <r>
    <s v="NSF-001455"/>
    <s v="USR-00446"/>
    <s v="SES-2606-41409"/>
    <d v="2026-06-14T00:00:00"/>
    <s v="East England"/>
    <s v="Luton"/>
    <x v="2"/>
    <s v="18-24"/>
    <s v="Female"/>
    <s v="Android"/>
    <s v="Android Phone"/>
    <s v="1-2 years"/>
    <s v="Free"/>
    <s v="Paid Search"/>
    <x v="10"/>
    <s v="Repeat Use"/>
    <s v="Simplified Onboarding"/>
    <s v="Treatment"/>
    <n v="9"/>
    <n v="9"/>
    <n v="353"/>
    <s v="No"/>
    <x v="1"/>
    <x v="0"/>
    <s v="Income Verification Failed"/>
    <x v="1"/>
    <n v="0"/>
    <n v="0"/>
    <n v="0"/>
    <s v="No Support Contact"/>
    <s v="No"/>
    <s v="No Support Contact"/>
    <s v="Not Applicable"/>
    <m/>
    <s v="Privacy concern"/>
    <n v="3"/>
    <n v="-48"/>
    <n v="20"/>
    <x v="1"/>
    <n v="0"/>
    <n v="0"/>
    <n v="1"/>
    <n v="1"/>
  </r>
  <r>
    <s v="NSF-001456"/>
    <s v="USR-00562"/>
    <s v="SES-2606-30105"/>
    <d v="2026-06-29T00:00:00"/>
    <s v="South East"/>
    <s v="Brighton"/>
    <x v="0"/>
    <s v="45-54"/>
    <s v="Male"/>
    <s v="Android"/>
    <s v="Android Phone"/>
    <s v="7-12 months"/>
    <s v="Free"/>
    <s v="Affiliate"/>
    <x v="0"/>
    <s v="First Use"/>
    <s v="Contextual Help"/>
    <s v="Control"/>
    <n v="7"/>
    <n v="6"/>
    <n v="226"/>
    <s v="Yes"/>
    <x v="0"/>
    <x v="1"/>
    <s v="No Error"/>
    <x v="1"/>
    <n v="0"/>
    <n v="0"/>
    <n v="0"/>
    <s v="Fees And Pricing"/>
    <s v="Yes"/>
    <s v="Fees And Pricing"/>
    <s v="Unresolved"/>
    <n v="62"/>
    <s v="No drop-off"/>
    <n v="2"/>
    <n v="-9"/>
    <n v="2"/>
    <x v="0"/>
    <n v="1"/>
    <n v="0"/>
    <n v="0"/>
    <n v="0"/>
  </r>
  <r>
    <s v="NSF-001457"/>
    <s v="USR-00724"/>
    <s v="SES-2606-40618"/>
    <d v="2026-06-04T00:00:00"/>
    <s v="London"/>
    <s v="Camden"/>
    <x v="1"/>
    <s v="25-34"/>
    <s v="Male"/>
    <s v="Android"/>
    <s v="Android Phone"/>
    <s v="7-12 months"/>
    <s v="Free"/>
    <s v="Organic Search"/>
    <x v="5"/>
    <s v="First Use"/>
    <s v="Fee Transparency Panel"/>
    <s v="Treatment"/>
    <n v="8"/>
    <n v="8"/>
    <n v="265"/>
    <s v="Yes"/>
    <x v="0"/>
    <x v="1"/>
    <s v="No Error"/>
    <x v="1"/>
    <n v="0"/>
    <n v="0"/>
    <n v="0"/>
    <s v="No Support Contact"/>
    <s v="No"/>
    <s v="No Support Contact"/>
    <s v="Not Applicable"/>
    <m/>
    <s v="No drop-off"/>
    <n v="5"/>
    <n v="4"/>
    <n v="5"/>
    <x v="1"/>
    <n v="1"/>
    <n v="0"/>
    <n v="0"/>
    <n v="1"/>
  </r>
  <r>
    <s v="NSF-001458"/>
    <s v="USR-00397"/>
    <s v="SES-2606-21027"/>
    <d v="2026-06-20T00:00:00"/>
    <s v="Wales"/>
    <s v="Swansea"/>
    <x v="2"/>
    <s v="45-54"/>
    <s v="Female"/>
    <s v="Web"/>
    <s v="Mobile Browser"/>
    <s v="7-12 months"/>
    <s v="Free"/>
    <s v="Organic Search"/>
    <x v="9"/>
    <s v="Reactivated"/>
    <s v="No Experiment"/>
    <s v="Control"/>
    <n v="5"/>
    <n v="5"/>
    <n v="106"/>
    <s v="Yes"/>
    <x v="0"/>
    <x v="1"/>
    <s v="No Error"/>
    <x v="1"/>
    <n v="0"/>
    <n v="0"/>
    <n v="0"/>
    <s v="No Support Contact"/>
    <s v="No"/>
    <s v="No Support Contact"/>
    <s v="Not Applicable"/>
    <m/>
    <s v="No drop-off"/>
    <n v="5"/>
    <n v="21"/>
    <n v="52"/>
    <x v="0"/>
    <n v="1"/>
    <n v="0"/>
    <n v="0"/>
    <n v="0"/>
  </r>
  <r>
    <s v="NSF-001459"/>
    <s v="USR-00408"/>
    <s v="SES-2606-49660"/>
    <d v="2026-06-09T00:00:00"/>
    <s v="South East"/>
    <s v="Reading"/>
    <x v="5"/>
    <s v="35-44"/>
    <s v="Female"/>
    <s v="Web"/>
    <s v="Desktop"/>
    <s v="3-6 months"/>
    <s v="Free"/>
    <s v="Paid Social"/>
    <x v="4"/>
    <s v="Repeat Use"/>
    <s v="Contextual Help"/>
    <s v="Treatment"/>
    <n v="6"/>
    <n v="6"/>
    <n v="105"/>
    <s v="Yes"/>
    <x v="1"/>
    <x v="1"/>
    <s v="No Error"/>
    <x v="1"/>
    <n v="0"/>
    <n v="0"/>
    <n v="0"/>
    <s v="No Support Contact"/>
    <s v="No"/>
    <s v="No Support Contact"/>
    <s v="Not Applicable"/>
    <m/>
    <s v="No drop-off"/>
    <n v="2"/>
    <n v="-1"/>
    <n v="46"/>
    <x v="1"/>
    <n v="0"/>
    <n v="0"/>
    <n v="0"/>
    <n v="1"/>
  </r>
  <r>
    <s v="NSF-001460"/>
    <s v="USR-00234"/>
    <s v="SES-2606-40945"/>
    <d v="2026-06-14T00:00:00"/>
    <s v="Wales"/>
    <s v="Wrexham"/>
    <x v="7"/>
    <s v="35-44"/>
    <s v="Female"/>
    <s v="Ios"/>
    <s v="Ipad"/>
    <s v="7-12 months"/>
    <s v="Premium"/>
    <s v="Employer Partnership"/>
    <x v="8"/>
    <s v="Repeat Use"/>
    <s v="Simplified Onboarding"/>
    <s v="Treatment"/>
    <n v="5"/>
    <n v="5"/>
    <n v="208"/>
    <s v="No"/>
    <x v="0"/>
    <x v="0"/>
    <s v="Reward Not Tracked"/>
    <x v="0"/>
    <n v="85.33"/>
    <n v="0"/>
    <n v="0.37"/>
    <s v="No Support Contact"/>
    <s v="No"/>
    <s v="No Support Contact"/>
    <s v="Not Applicable"/>
    <m/>
    <s v="No drop-off"/>
    <n v="5"/>
    <n v="65"/>
    <n v="41"/>
    <x v="1"/>
    <n v="1"/>
    <n v="1"/>
    <n v="1"/>
    <n v="1"/>
  </r>
  <r>
    <s v="NSF-001461"/>
    <s v="USR-00118"/>
    <s v="SES-2606-30677"/>
    <d v="2026-06-01T00:00:00"/>
    <s v="East Midlands"/>
    <s v="Lincoln"/>
    <x v="3"/>
    <s v="25-34"/>
    <s v="Male"/>
    <s v="Ios"/>
    <s v="Iphone"/>
    <s v="&lt;3 months"/>
    <s v="Free"/>
    <s v="App Store"/>
    <x v="5"/>
    <s v="Repeat Use"/>
    <s v="Simplified Onboarding"/>
    <s v="Control"/>
    <n v="8"/>
    <n v="7"/>
    <n v="248"/>
    <s v="Yes"/>
    <x v="0"/>
    <x v="0"/>
    <s v="Recipient Details Rejected"/>
    <x v="0"/>
    <n v="410.71"/>
    <n v="2.67"/>
    <n v="0"/>
    <s v="Feature Navigation"/>
    <s v="Yes"/>
    <s v="Feature Navigation"/>
    <s v="Resolved"/>
    <n v="41"/>
    <s v="No drop-off"/>
    <n v="3"/>
    <n v="27"/>
    <n v="5"/>
    <x v="0"/>
    <n v="1"/>
    <n v="1"/>
    <n v="1"/>
    <n v="0"/>
  </r>
  <r>
    <s v="NSF-001462"/>
    <s v="USR-00301"/>
    <s v="SES-2606-54547"/>
    <d v="2026-06-21T00:00:00"/>
    <s v="Northern Ireland"/>
    <s v="Newry"/>
    <x v="5"/>
    <s v="18-24"/>
    <s v="Female"/>
    <s v="Ios"/>
    <s v="Iphone"/>
    <s v="7-12 months"/>
    <s v="Free"/>
    <s v="Affiliate"/>
    <x v="3"/>
    <s v="Repeat Use"/>
    <s v="No Experiment"/>
    <s v="Control"/>
    <n v="6"/>
    <n v="6"/>
    <n v="203"/>
    <s v="Yes"/>
    <x v="0"/>
    <x v="0"/>
    <s v="Friend Not Found"/>
    <x v="0"/>
    <n v="0"/>
    <n v="0.11"/>
    <n v="0"/>
    <s v="No Support Contact"/>
    <s v="No"/>
    <s v="No Support Contact"/>
    <s v="Not Applicable"/>
    <m/>
    <s v="No drop-off"/>
    <n v="3"/>
    <n v="33"/>
    <n v="59"/>
    <x v="1"/>
    <n v="1"/>
    <n v="1"/>
    <n v="1"/>
    <n v="1"/>
  </r>
  <r>
    <s v="NSF-001463"/>
    <s v="USR-00450"/>
    <s v="SES-2606-93402"/>
    <d v="2026-06-16T00:00:00"/>
    <s v="London"/>
    <s v="Croydon"/>
    <x v="3"/>
    <s v="45-54"/>
    <s v="Non-Binary"/>
    <s v="Web"/>
    <s v="Desktop"/>
    <s v="1-2 years"/>
    <s v="Free"/>
    <s v="Paid Social"/>
    <x v="1"/>
    <s v="Repeat Use"/>
    <s v="No Experiment"/>
    <s v="Control"/>
    <n v="4"/>
    <n v="4"/>
    <n v="89"/>
    <s v="No"/>
    <x v="1"/>
    <x v="0"/>
    <s v="Transfer Pending"/>
    <x v="1"/>
    <n v="0"/>
    <n v="0"/>
    <n v="0"/>
    <s v="No Support Contact"/>
    <s v="No"/>
    <s v="No Support Contact"/>
    <s v="Not Applicable"/>
    <m/>
    <s v="Technical error"/>
    <n v="3"/>
    <n v="16"/>
    <n v="22"/>
    <x v="0"/>
    <n v="0"/>
    <n v="0"/>
    <n v="1"/>
    <n v="0"/>
  </r>
  <r>
    <s v="NSF-001464"/>
    <s v="USR-00209"/>
    <s v="SES-2606-83000"/>
    <d v="2026-06-20T00:00:00"/>
    <s v="Yorkshire &amp; Humber"/>
    <s v="York"/>
    <x v="7"/>
    <s v="25-34"/>
    <s v="Female"/>
    <s v="Ios"/>
    <s v="Iphone"/>
    <s v="1-2 years"/>
    <s v="Free"/>
    <s v="Paid Search"/>
    <x v="5"/>
    <s v="Reactivated"/>
    <s v="No Experiment"/>
    <s v="Control"/>
    <n v="8"/>
    <n v="8"/>
    <n v="222"/>
    <s v="No"/>
    <x v="0"/>
    <x v="1"/>
    <s v="No Error"/>
    <x v="0"/>
    <n v="440.34"/>
    <n v="2.4700000000000002"/>
    <n v="0"/>
    <s v="Feature Navigation"/>
    <s v="Yes"/>
    <s v="Feature Navigation"/>
    <s v="Unresolved"/>
    <n v="48"/>
    <s v="No drop-off"/>
    <n v="4"/>
    <n v="16"/>
    <n v="15"/>
    <x v="1"/>
    <n v="1"/>
    <n v="1"/>
    <n v="0"/>
    <n v="1"/>
  </r>
  <r>
    <s v="NSF-001465"/>
    <s v="USR-00782"/>
    <s v="SES-2606-23910"/>
    <d v="2026-06-06T00:00:00"/>
    <s v="Yorkshire &amp; Humber"/>
    <s v="Leeds"/>
    <x v="2"/>
    <s v="18-24"/>
    <s v="Male"/>
    <s v="Android"/>
    <s v="Android Phone"/>
    <s v="3-6 months"/>
    <s v="Free"/>
    <s v="Paid Search"/>
    <x v="8"/>
    <s v="Repeat Use"/>
    <s v="No Experiment"/>
    <s v="Control"/>
    <n v="5"/>
    <n v="5"/>
    <n v="182"/>
    <s v="No"/>
    <x v="1"/>
    <x v="1"/>
    <s v="No Error"/>
    <x v="1"/>
    <n v="0"/>
    <n v="0"/>
    <n v="0"/>
    <s v="No Support Contact"/>
    <s v="No"/>
    <s v="No Support Contact"/>
    <s v="Not Applicable"/>
    <m/>
    <s v="No drop-off"/>
    <n v="4"/>
    <n v="58"/>
    <n v="34"/>
    <x v="1"/>
    <n v="0"/>
    <n v="0"/>
    <n v="0"/>
    <n v="1"/>
  </r>
  <r>
    <s v="NSF-001466"/>
    <s v="USR-00345"/>
    <s v="SES-2606-64194"/>
    <d v="2026-06-04T00:00:00"/>
    <s v="Yorkshire &amp; Humber"/>
    <s v="Leeds"/>
    <x v="4"/>
    <s v="18-24"/>
    <s v="Male"/>
    <s v="Android"/>
    <s v="Android Phone"/>
    <s v="1-2 years"/>
    <s v="Free"/>
    <s v="Organic Search"/>
    <x v="8"/>
    <s v="Trial/Exploration"/>
    <s v="No Experiment"/>
    <s v="Control"/>
    <n v="5"/>
    <n v="4"/>
    <n v="230"/>
    <s v="Yes"/>
    <x v="1"/>
    <x v="1"/>
    <s v="No Error"/>
    <x v="0"/>
    <n v="59.68"/>
    <n v="0"/>
    <n v="0"/>
    <s v="No Support Contact"/>
    <s v="No"/>
    <s v="No Support Contact"/>
    <s v="Not Applicable"/>
    <m/>
    <s v="Unexpected fee"/>
    <n v="3"/>
    <n v="-8"/>
    <n v="32"/>
    <x v="1"/>
    <n v="0"/>
    <n v="1"/>
    <n v="0"/>
    <n v="1"/>
  </r>
  <r>
    <s v="NSF-001467"/>
    <s v="USR-00486"/>
    <s v="SES-2606-60663"/>
    <d v="2026-06-26T00:00:00"/>
    <s v="Yorkshire &amp; Humber"/>
    <s v="Sheffield"/>
    <x v="7"/>
    <s v="25-34"/>
    <s v="Female"/>
    <s v="Android"/>
    <s v="Android Phone"/>
    <s v="3-6 months"/>
    <s v="Plus"/>
    <s v="Organic Search"/>
    <x v="5"/>
    <s v="Reactivated"/>
    <s v="No Experiment"/>
    <s v="Control"/>
    <n v="8"/>
    <n v="8"/>
    <n v="193"/>
    <s v="No"/>
    <x v="1"/>
    <x v="1"/>
    <s v="No Error"/>
    <x v="0"/>
    <n v="373.34"/>
    <n v="2.31"/>
    <n v="0.17"/>
    <s v="No Support Contact"/>
    <s v="No"/>
    <s v="No Support Contact"/>
    <s v="Not Applicable"/>
    <m/>
    <s v="Technical error"/>
    <n v="4"/>
    <n v="33"/>
    <n v="56"/>
    <x v="1"/>
    <n v="0"/>
    <n v="1"/>
    <n v="0"/>
    <n v="1"/>
  </r>
  <r>
    <s v="NSF-001468"/>
    <s v="USR-00638"/>
    <s v="SES-2606-13905"/>
    <d v="2026-06-08T00:00:00"/>
    <s v="South West"/>
    <s v="Exeter"/>
    <x v="2"/>
    <s v="18-24"/>
    <s v="Female"/>
    <s v="Android"/>
    <s v="Android Phone"/>
    <s v="2+ years"/>
    <s v="Free"/>
    <s v="Employer Partnership"/>
    <x v="7"/>
    <s v="Reactivated"/>
    <s v="Simplified Onboarding"/>
    <s v="Control"/>
    <n v="4"/>
    <n v="4"/>
    <n v="86"/>
    <s v="Yes"/>
    <x v="1"/>
    <x v="1"/>
    <s v="No Error"/>
    <x v="0"/>
    <n v="62.92"/>
    <n v="0.47"/>
    <n v="0"/>
    <s v="No Support Contact"/>
    <s v="No"/>
    <s v="No Support Contact"/>
    <s v="Not Applicable"/>
    <m/>
    <s v="No drop-off"/>
    <n v="5"/>
    <n v="35"/>
    <n v="11"/>
    <x v="1"/>
    <n v="0"/>
    <n v="1"/>
    <n v="0"/>
    <n v="1"/>
  </r>
  <r>
    <s v="NSF-001469"/>
    <s v="USR-00478"/>
    <s v="SES-2606-35918"/>
    <d v="2026-06-23T00:00:00"/>
    <s v="North East"/>
    <s v="Middlesbrough"/>
    <x v="1"/>
    <s v="25-34"/>
    <s v="Male"/>
    <s v="Android"/>
    <s v="Android Phone"/>
    <s v="7-12 months"/>
    <s v="Plus"/>
    <s v="App Store"/>
    <x v="1"/>
    <s v="Repeat Use"/>
    <s v="No Experiment"/>
    <s v="Control"/>
    <n v="4"/>
    <n v="4"/>
    <n v="194"/>
    <s v="No"/>
    <x v="0"/>
    <x v="1"/>
    <s v="No Error"/>
    <x v="0"/>
    <n v="141.36000000000001"/>
    <n v="0.18"/>
    <n v="0.17"/>
    <s v="Feature Navigation"/>
    <s v="Yes"/>
    <s v="Feature Navigation"/>
    <s v="Resolved"/>
    <n v="26"/>
    <s v="No drop-off"/>
    <n v="4"/>
    <n v="-22"/>
    <n v="68"/>
    <x v="1"/>
    <n v="1"/>
    <n v="1"/>
    <n v="0"/>
    <n v="1"/>
  </r>
  <r>
    <s v="NSF-001470"/>
    <s v="USR-00268"/>
    <s v="SES-2606-77620"/>
    <d v="2026-06-27T00:00:00"/>
    <s v="North West"/>
    <s v="Chester"/>
    <x v="0"/>
    <s v="25-34"/>
    <s v="Female"/>
    <s v="Android"/>
    <s v="Android Phone"/>
    <s v="7-12 months"/>
    <s v="Premium"/>
    <s v="Referral"/>
    <x v="5"/>
    <s v="Repeat Use"/>
    <s v="Simplified Onboarding"/>
    <s v="Treatment"/>
    <n v="8"/>
    <s v="8 steps"/>
    <n v="140"/>
    <s v="No"/>
    <x v="1"/>
    <x v="1"/>
    <s v="No Error"/>
    <x v="0"/>
    <n v="418.99"/>
    <n v="2.66"/>
    <n v="0.37"/>
    <s v="No Support Contact"/>
    <s v="No"/>
    <s v="No Support Contact"/>
    <s v="Not Applicable"/>
    <m/>
    <s v="No drop-off"/>
    <n v="5"/>
    <n v="49"/>
    <n v="85"/>
    <x v="1"/>
    <n v="0"/>
    <n v="1"/>
    <n v="0"/>
    <n v="1"/>
  </r>
  <r>
    <s v="NSF-001471"/>
    <s v="USR-00474"/>
    <s v="SES-2606-50102"/>
    <d v="2026-06-20T00:00:00"/>
    <s v="East England"/>
    <s v="Cambridge"/>
    <x v="3"/>
    <s v="25-34"/>
    <s v="Female"/>
    <s v="Android"/>
    <s v="Android Phone"/>
    <s v="7-12 months"/>
    <s v="Plus"/>
    <s v="Paid Social"/>
    <x v="7"/>
    <s v="First Use"/>
    <s v="Progress Indicator"/>
    <s v="Control"/>
    <n v="4"/>
    <s v="4 steps"/>
    <n v="129"/>
    <s v="No"/>
    <x v="0"/>
    <x v="1"/>
    <s v="No Error"/>
    <x v="0"/>
    <n v="46.76"/>
    <n v="0.46"/>
    <n v="0.17"/>
    <s v="No Support Contact"/>
    <s v="No"/>
    <s v="No Support Contact"/>
    <s v="Not Applicable"/>
    <m/>
    <s v="No drop-off"/>
    <n v="4"/>
    <n v="52"/>
    <n v="11"/>
    <x v="1"/>
    <n v="1"/>
    <n v="1"/>
    <n v="0"/>
    <n v="1"/>
  </r>
  <r>
    <s v="NSF-001472"/>
    <s v="USR-00314"/>
    <s v="SES-2606-85990"/>
    <d v="2026-06-14T00:00:00"/>
    <s v="South West"/>
    <s v="Bath"/>
    <x v="0"/>
    <s v="25-34"/>
    <s v="Female"/>
    <s v="Android"/>
    <s v="Android Phone"/>
    <s v="1-2 years"/>
    <s v="Free"/>
    <s v="Paid Search"/>
    <x v="3"/>
    <s v="First Use"/>
    <s v="No Experiment"/>
    <s v="Control"/>
    <n v="6"/>
    <n v="3"/>
    <n v="276"/>
    <s v="Yes"/>
    <x v="1"/>
    <x v="1"/>
    <s v="No Error"/>
    <x v="0"/>
    <n v="112.89"/>
    <n v="0.1"/>
    <n v="0"/>
    <s v="No Support Contact"/>
    <s v="No"/>
    <s v="No Support Contact"/>
    <s v="Not Applicable"/>
    <m/>
    <s v="Too many steps"/>
    <n v="4"/>
    <n v="-12"/>
    <n v="20"/>
    <x v="0"/>
    <n v="0"/>
    <n v="1"/>
    <n v="0"/>
    <n v="0"/>
  </r>
  <r>
    <s v="NSF-001473"/>
    <s v="USR-00659"/>
    <s v="SES-2606-29856"/>
    <d v="2026-06-19T00:00:00"/>
    <s v="South East"/>
    <s v="Reading"/>
    <x v="5"/>
    <s v="35-44"/>
    <s v="Female"/>
    <s v="Ios"/>
    <s v="Iphone"/>
    <s v="7-12 months"/>
    <s v="Plus"/>
    <s v="Organic Search"/>
    <x v="9"/>
    <s v="First Use"/>
    <s v="Simplified Onboarding"/>
    <s v="Treatment"/>
    <n v="5"/>
    <n v="5"/>
    <n v="113"/>
    <s v="No"/>
    <x v="1"/>
    <x v="1"/>
    <s v="No Error"/>
    <x v="0"/>
    <n v="14.49"/>
    <n v="0"/>
    <n v="0.17"/>
    <s v="No Support Contact"/>
    <s v="No"/>
    <s v="No Support Contact"/>
    <s v="Not Applicable"/>
    <m/>
    <s v="No drop-off"/>
    <n v="4"/>
    <n v="22"/>
    <n v="10"/>
    <x v="1"/>
    <n v="0"/>
    <n v="1"/>
    <n v="0"/>
    <n v="1"/>
  </r>
  <r>
    <s v="NSF-001474"/>
    <s v="USR-00846"/>
    <s v="SES-2606-67573"/>
    <d v="2026-06-13T00:00:00"/>
    <s v="South East"/>
    <s v="Brighton"/>
    <x v="5"/>
    <s v="25-34"/>
    <s v="Female"/>
    <s v="Ios"/>
    <s v="Iphone"/>
    <s v="1-2 years"/>
    <s v="Plus"/>
    <s v="Organic Search"/>
    <x v="0"/>
    <s v="First Use"/>
    <s v="No Experiment"/>
    <s v="Control"/>
    <n v="7"/>
    <n v="6"/>
    <n v="227"/>
    <s v="Yes"/>
    <x v="1"/>
    <x v="1"/>
    <s v="No Error"/>
    <x v="1"/>
    <n v="0"/>
    <n v="0"/>
    <n v="0"/>
    <s v="No Support Contact"/>
    <s v="No"/>
    <s v="No Support Contact"/>
    <s v="Not Applicable"/>
    <m/>
    <s v="Too many steps"/>
    <n v="2"/>
    <n v="-10"/>
    <n v="3"/>
    <x v="0"/>
    <n v="0"/>
    <n v="0"/>
    <n v="0"/>
    <n v="0"/>
  </r>
  <r>
    <s v="NSF-001475"/>
    <s v="USR-00632"/>
    <s v="SES-2606-89664"/>
    <d v="2026-06-17T00:00:00"/>
    <s v="East England"/>
    <s v="Luton"/>
    <x v="0"/>
    <s v="25-34"/>
    <s v="Male"/>
    <s v="Android"/>
    <s v="Android Tablet"/>
    <s v="3-6 months"/>
    <s v="Free"/>
    <s v="Referral"/>
    <x v="4"/>
    <s v="Repeat Use"/>
    <s v="No Experiment"/>
    <s v="Control"/>
    <n v="6"/>
    <n v="6"/>
    <n v="195"/>
    <s v="No"/>
    <x v="1"/>
    <x v="0"/>
    <s v="Insight Unclear"/>
    <x v="0"/>
    <n v="37.82"/>
    <n v="0"/>
    <n v="0"/>
    <s v="No Support Contact"/>
    <s v="No"/>
    <s v="No Support Contact"/>
    <s v="Not Applicable"/>
    <m/>
    <s v="No drop-off"/>
    <n v="3"/>
    <n v="6"/>
    <s v="78 days"/>
    <x v="0"/>
    <n v="0"/>
    <n v="1"/>
    <n v="1"/>
    <n v="0"/>
  </r>
  <r>
    <s v="NSF-001476"/>
    <s v="USR-00268"/>
    <s v="SES-2606-84123"/>
    <d v="2026-06-28T00:00:00"/>
    <s v="West Midlands"/>
    <s v="Solihull"/>
    <x v="3"/>
    <s v="55-64"/>
    <s v="Male"/>
    <s v="Ios"/>
    <s v="Ipad"/>
    <s v="1-2 years"/>
    <s v="Free"/>
    <s v="Organic Search"/>
    <x v="1"/>
    <s v="First Use"/>
    <s v="No Experiment"/>
    <s v="Control"/>
    <n v="4"/>
    <n v="4"/>
    <n v="204"/>
    <s v="Yes"/>
    <x v="0"/>
    <x v="0"/>
    <s v="Recipient Validation Error"/>
    <x v="0"/>
    <n v="165.09"/>
    <n v="0.18"/>
    <n v="0"/>
    <s v="Transaction Failure"/>
    <s v="Yes"/>
    <s v="Transaction Failure"/>
    <s v="Resolved"/>
    <n v="37"/>
    <s v="No drop-off"/>
    <n v="3"/>
    <n v="27"/>
    <n v="2"/>
    <x v="1"/>
    <n v="1"/>
    <n v="1"/>
    <n v="1"/>
    <n v="1"/>
  </r>
  <r>
    <s v="NSF-001477"/>
    <s v="USR-00467"/>
    <s v="SES-2606-93529"/>
    <d v="2026-06-17T00:00:00"/>
    <s v="Scotland"/>
    <s v="Glasgow"/>
    <x v="2"/>
    <s v="35-44"/>
    <s v="Male"/>
    <s v="Ios"/>
    <s v="Iphone"/>
    <s v="&lt;3 months"/>
    <s v="Plus"/>
    <s v="Organic Search"/>
    <x v="3"/>
    <s v="Repeat Use"/>
    <s v="Fee Transparency Panel"/>
    <s v="Treatment"/>
    <n v="6"/>
    <n v="6"/>
    <n v="249"/>
    <s v="No"/>
    <x v="1"/>
    <x v="0"/>
    <s v="Split Amount Confusing"/>
    <x v="1"/>
    <n v="0"/>
    <n v="0"/>
    <n v="0"/>
    <s v="No Support Contact"/>
    <s v="No"/>
    <s v="No Support Contact"/>
    <s v="Not Applicable"/>
    <m/>
    <s v="No drop-off"/>
    <n v="3"/>
    <n v="14"/>
    <n v="15"/>
    <x v="1"/>
    <n v="0"/>
    <n v="0"/>
    <n v="1"/>
    <n v="1"/>
  </r>
  <r>
    <s v="NSF-001478"/>
    <s v="USR-00345"/>
    <s v="SES-2606-41199"/>
    <d v="2026-06-16T00:00:00"/>
    <s v="Scotland"/>
    <s v="Aberdeen"/>
    <x v="0"/>
    <s v="45-54"/>
    <s v="Male"/>
    <s v="Android"/>
    <s v="Android Phone"/>
    <s v="3-6 months"/>
    <s v="Free"/>
    <s v="App Store"/>
    <x v="5"/>
    <s v="Repeat Use"/>
    <s v="Simplified Onboarding"/>
    <s v="Treatment"/>
    <n v="8"/>
    <n v="8"/>
    <n v="245"/>
    <s v="No"/>
    <x v="0"/>
    <x v="1"/>
    <s v="No Error"/>
    <x v="1"/>
    <n v="0"/>
    <n v="0"/>
    <n v="0"/>
    <s v="Feature Navigation"/>
    <s v="Yes"/>
    <s v="Feature Navigation"/>
    <s v="Resolved"/>
    <n v="42"/>
    <s v="No drop-off"/>
    <n v="5"/>
    <n v="10"/>
    <n v="51"/>
    <x v="1"/>
    <n v="1"/>
    <n v="0"/>
    <n v="0"/>
    <n v="1"/>
  </r>
  <r>
    <s v="NSF-001479"/>
    <s v="USR-00169"/>
    <s v="SES-2606-56061"/>
    <d v="2026-06-27T00:00:00"/>
    <s v="North West"/>
    <s v="Preston"/>
    <x v="3"/>
    <s v="35-44"/>
    <s v="Female"/>
    <s v="Android"/>
    <s v="Android Phone"/>
    <s v="&lt;3 months"/>
    <s v="Premium"/>
    <s v="Paid Social"/>
    <x v="1"/>
    <s v="Trial/Exploration"/>
    <s v="Simplified Onboarding"/>
    <s v="Control"/>
    <n v="4"/>
    <n v="4"/>
    <n v="120"/>
    <s v="No"/>
    <x v="0"/>
    <x v="1"/>
    <s v="No Error"/>
    <x v="1"/>
    <n v="0"/>
    <n v="0"/>
    <n v="0"/>
    <s v="No Support Contact"/>
    <s v="No"/>
    <s v="No Support Contact"/>
    <s v="Not Applicable"/>
    <m/>
    <s v="No drop-off"/>
    <n v="5"/>
    <n v="52"/>
    <n v="58"/>
    <x v="1"/>
    <n v="1"/>
    <n v="0"/>
    <n v="0"/>
    <n v="1"/>
  </r>
  <r>
    <s v="NSF-001480"/>
    <s v="USR-00041"/>
    <s v="SES-2606-51991"/>
    <d v="2026-06-16T00:00:00"/>
    <s v="South East"/>
    <s v="Brighton"/>
    <x v="0"/>
    <s v="18-24"/>
    <s v="Male"/>
    <s v="Android"/>
    <s v="Android Phone"/>
    <s v="&lt;3 months"/>
    <s v="Free"/>
    <s v="Paid Social"/>
    <x v="0"/>
    <s v="Reactivated"/>
    <s v="No Experiment"/>
    <s v="Control"/>
    <n v="7"/>
    <n v="7"/>
    <n v="140"/>
    <s v="Yes"/>
    <x v="1"/>
    <x v="1"/>
    <s v="No Error"/>
    <x v="1"/>
    <n v="0"/>
    <n v="0"/>
    <n v="0"/>
    <s v="No Support Contact"/>
    <s v="No"/>
    <s v="No Support Contact"/>
    <s v="Not Applicable"/>
    <m/>
    <s v="Too many steps"/>
    <n v="3"/>
    <n v="35"/>
    <n v="8"/>
    <x v="0"/>
    <n v="0"/>
    <n v="0"/>
    <n v="0"/>
    <n v="0"/>
  </r>
  <r>
    <m/>
    <m/>
    <m/>
    <m/>
    <m/>
    <m/>
    <x v="8"/>
    <m/>
    <m/>
    <m/>
    <m/>
    <m/>
    <m/>
    <m/>
    <x v="11"/>
    <m/>
    <m/>
    <m/>
    <m/>
    <m/>
    <m/>
    <m/>
    <x v="2"/>
    <x v="3"/>
    <m/>
    <x v="3"/>
    <m/>
    <m/>
    <m/>
    <m/>
    <m/>
    <m/>
    <m/>
    <m/>
    <m/>
    <m/>
    <m/>
    <m/>
    <x v="3"/>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0">
  <r>
    <x v="0"/>
    <s v="USR-00026"/>
    <s v="SES-2601-94126"/>
    <x v="0"/>
    <s v="London"/>
    <s v="Camden"/>
    <x v="0"/>
    <x v="0"/>
    <x v="0"/>
    <s v="Ios"/>
    <s v="Iphone"/>
    <s v="7-12 months"/>
    <x v="0"/>
    <x v="0"/>
    <x v="0"/>
    <s v="Repeat Use"/>
    <s v="Simplified Onboarding"/>
    <s v="Control"/>
    <n v="7"/>
    <n v="7"/>
    <n v="191"/>
    <s v="No"/>
    <x v="0"/>
    <x v="0"/>
    <x v="0"/>
    <x v="0"/>
    <n v="4.13"/>
    <x v="0"/>
    <x v="0"/>
    <s v="No Support Contact"/>
    <s v="No"/>
    <s v="No Support Contact"/>
    <s v="Not Applicable"/>
    <m/>
    <s v="No drop-off"/>
    <n v="2"/>
    <n v="-41"/>
    <n v="36"/>
    <x v="0"/>
    <n v="1"/>
    <n v="1"/>
    <n v="1"/>
    <n v="0"/>
  </r>
  <r>
    <x v="1"/>
    <s v="USR-00050"/>
    <s v="SES-2504-41424"/>
    <x v="1"/>
    <s v="East Midlands"/>
    <s v="Leicester"/>
    <x v="1"/>
    <x v="0"/>
    <x v="1"/>
    <s v="Android"/>
    <s v="Android Phone"/>
    <s v="2+ years"/>
    <x v="0"/>
    <x v="1"/>
    <x v="1"/>
    <s v="First Use"/>
    <s v="No Experiment"/>
    <s v="Control"/>
    <n v="4"/>
    <n v="4"/>
    <n v="78"/>
    <s v="No"/>
    <x v="0"/>
    <x v="1"/>
    <x v="1"/>
    <x v="0"/>
    <n v="133.52000000000001"/>
    <x v="1"/>
    <x v="0"/>
    <s v="No Support Contact"/>
    <s v="No"/>
    <s v="No Support Contact"/>
    <s v="Not Applicable"/>
    <m/>
    <s v="No drop-off"/>
    <n v="4"/>
    <n v="38"/>
    <n v="0"/>
    <x v="1"/>
    <n v="1"/>
    <n v="1"/>
    <n v="0"/>
    <n v="1"/>
  </r>
  <r>
    <x v="2"/>
    <s v="USR-00025"/>
    <s v="SES-2512-25806"/>
    <x v="2"/>
    <s v="Scotland"/>
    <s v="Glasgow"/>
    <x v="2"/>
    <x v="0"/>
    <x v="0"/>
    <s v="Ios"/>
    <s v="Iphone"/>
    <s v="7-12 months"/>
    <x v="1"/>
    <x v="0"/>
    <x v="2"/>
    <s v="Trial/Exploration"/>
    <s v="No Experiment"/>
    <s v="Control"/>
    <n v="5"/>
    <n v="5"/>
    <n v="131"/>
    <s v="No"/>
    <x v="0"/>
    <x v="1"/>
    <x v="1"/>
    <x v="0"/>
    <n v="70.81"/>
    <x v="0"/>
    <x v="1"/>
    <s v="No Support Contact"/>
    <s v="No"/>
    <s v="No Support Contact"/>
    <s v="Not Applicable"/>
    <m/>
    <s v="No drop-off"/>
    <n v="5"/>
    <n v="1"/>
    <n v="22"/>
    <x v="1"/>
    <n v="1"/>
    <n v="1"/>
    <n v="0"/>
    <n v="1"/>
  </r>
  <r>
    <x v="3"/>
    <s v="USR-00309"/>
    <s v="SES-2507-20244"/>
    <x v="3"/>
    <s v="Wales"/>
    <s v="Wrexham"/>
    <x v="0"/>
    <x v="0"/>
    <x v="0"/>
    <s v="Android"/>
    <s v="Android Phone"/>
    <s v="2+ years"/>
    <x v="0"/>
    <x v="2"/>
    <x v="0"/>
    <s v="Repeat Use"/>
    <s v="No Experiment"/>
    <s v="Control"/>
    <n v="7"/>
    <n v="4"/>
    <n v="331"/>
    <s v="Yes"/>
    <x v="1"/>
    <x v="1"/>
    <x v="1"/>
    <x v="1"/>
    <n v="0"/>
    <x v="0"/>
    <x v="0"/>
    <s v="No Support Contact"/>
    <s v="No"/>
    <s v="No Support Contact"/>
    <s v="Not Applicable"/>
    <m/>
    <s v="Instructions unclear"/>
    <n v="2"/>
    <n v="6"/>
    <n v="46"/>
    <x v="0"/>
    <n v="0"/>
    <n v="0"/>
    <n v="0"/>
    <n v="0"/>
  </r>
  <r>
    <x v="4"/>
    <s v="USR-00309"/>
    <s v="SES-2503-31976"/>
    <x v="4"/>
    <s v="East England"/>
    <s v="Ipswich"/>
    <x v="2"/>
    <x v="1"/>
    <x v="0"/>
    <s v="Android"/>
    <s v="Android Phone"/>
    <s v="1-2 years"/>
    <x v="1"/>
    <x v="3"/>
    <x v="3"/>
    <s v="Repeat Use"/>
    <s v="Simplified Onboarding"/>
    <s v="Control"/>
    <n v="6"/>
    <n v="6"/>
    <n v="114"/>
    <s v="No"/>
    <x v="0"/>
    <x v="1"/>
    <x v="1"/>
    <x v="0"/>
    <n v="58.87"/>
    <x v="2"/>
    <x v="1"/>
    <s v="No Support Contact"/>
    <s v="No"/>
    <s v="No Support Contact"/>
    <s v="Not Applicable"/>
    <m/>
    <s v="No drop-off"/>
    <n v="3"/>
    <n v="26"/>
    <n v="19"/>
    <x v="1"/>
    <n v="1"/>
    <n v="1"/>
    <n v="0"/>
    <n v="1"/>
  </r>
  <r>
    <x v="5"/>
    <s v="USR-00398"/>
    <s v="SES-2508-41034"/>
    <x v="5"/>
    <s v="East Midlands"/>
    <s v="Derby"/>
    <x v="3"/>
    <x v="0"/>
    <x v="0"/>
    <s v="Ios"/>
    <s v="Iphone"/>
    <s v="1-2 years"/>
    <x v="0"/>
    <x v="4"/>
    <x v="4"/>
    <s v="First Use"/>
    <s v="Simplified Onboarding"/>
    <s v="Control"/>
    <n v="6"/>
    <n v="6"/>
    <n v="-30"/>
    <s v="No"/>
    <x v="0"/>
    <x v="1"/>
    <x v="1"/>
    <x v="0"/>
    <n v="31.53"/>
    <x v="0"/>
    <x v="0"/>
    <s v="No Support Contact"/>
    <s v="No"/>
    <s v="No Support Contact"/>
    <s v="Not Applicable"/>
    <m/>
    <s v="No drop-off"/>
    <n v="3"/>
    <n v="10"/>
    <n v="0"/>
    <x v="1"/>
    <n v="1"/>
    <n v="1"/>
    <n v="0"/>
    <n v="1"/>
  </r>
  <r>
    <x v="6"/>
    <s v="USR-00457"/>
    <s v="SES-2505-46371"/>
    <x v="6"/>
    <s v="East England"/>
    <s v="Ipswich"/>
    <x v="3"/>
    <x v="0"/>
    <x v="1"/>
    <s v="Android"/>
    <s v="Android Phone"/>
    <s v="3-6 months"/>
    <x v="0"/>
    <x v="5"/>
    <x v="3"/>
    <s v="First Use"/>
    <s v="No Experiment"/>
    <s v="Control"/>
    <n v="6"/>
    <n v="6"/>
    <n v="166"/>
    <s v="No"/>
    <x v="1"/>
    <x v="0"/>
    <x v="2"/>
    <x v="2"/>
    <n v="0"/>
    <x v="0"/>
    <x v="0"/>
    <s v="No Support Contact"/>
    <s v="No"/>
    <s v="No Support Contact"/>
    <s v="Not Applicable"/>
    <m/>
    <s v="Technical error"/>
    <n v="2"/>
    <n v="-16"/>
    <n v="0"/>
    <x v="1"/>
    <n v="0"/>
    <n v="0"/>
    <n v="1"/>
    <n v="1"/>
  </r>
  <r>
    <x v="7"/>
    <s v="USR-00424"/>
    <s v="SES-2605-51751"/>
    <x v="7"/>
    <s v="Yorkshire &amp; Humber"/>
    <s v="York"/>
    <x v="1"/>
    <x v="2"/>
    <x v="0"/>
    <s v="Android"/>
    <s v="Android Phone"/>
    <s v="1-2 years"/>
    <x v="1"/>
    <x v="5"/>
    <x v="4"/>
    <s v="Repeat Use"/>
    <s v="Fee Transparency Panel"/>
    <s v="Treatment"/>
    <s v="6 steps"/>
    <n v="6"/>
    <n v="163"/>
    <s v="No"/>
    <x v="0"/>
    <x v="1"/>
    <x v="1"/>
    <x v="1"/>
    <n v="0"/>
    <x v="0"/>
    <x v="0"/>
    <s v="No Support Contact"/>
    <s v="No"/>
    <s v="No Support Contact"/>
    <s v="Not Applicable"/>
    <m/>
    <s v="No drop-off"/>
    <n v="5"/>
    <n v="33"/>
    <n v="22"/>
    <x v="1"/>
    <n v="1"/>
    <n v="0"/>
    <n v="0"/>
    <n v="1"/>
  </r>
  <r>
    <x v="8"/>
    <s v="USR-00651"/>
    <s v="SES-2506-23794"/>
    <x v="8"/>
    <s v="East England"/>
    <s v="Luton"/>
    <x v="3"/>
    <x v="1"/>
    <x v="0"/>
    <s v="Android"/>
    <s v="Android Phone"/>
    <s v="&lt;3 months"/>
    <x v="0"/>
    <x v="4"/>
    <x v="3"/>
    <s v="First Use"/>
    <s v="No Experiment"/>
    <s v="Control"/>
    <n v="6"/>
    <s v="4 steps"/>
    <n v="222"/>
    <s v="Yes"/>
    <x v="0"/>
    <x v="1"/>
    <x v="1"/>
    <x v="0"/>
    <n v="37.78"/>
    <x v="2"/>
    <x v="0"/>
    <s v="Feature Navigation"/>
    <s v="Yes"/>
    <s v="Feature Navigation"/>
    <s v="Resolved"/>
    <n v="35"/>
    <s v="No drop-off"/>
    <n v="3"/>
    <n v="-21"/>
    <n v="0"/>
    <x v="0"/>
    <n v="1"/>
    <n v="1"/>
    <n v="0"/>
    <n v="0"/>
  </r>
  <r>
    <x v="9"/>
    <s v="USR-00811"/>
    <s v="SES-2502-90921"/>
    <x v="9"/>
    <s v="Wales"/>
    <s v="Wrexham"/>
    <x v="2"/>
    <x v="2"/>
    <x v="1"/>
    <s v="Android"/>
    <s v="Android Phone"/>
    <s v="&lt;3 months"/>
    <x v="0"/>
    <x v="0"/>
    <x v="5"/>
    <s v="First Use"/>
    <s v="No Experiment"/>
    <s v="Control"/>
    <n v="8"/>
    <n v="8"/>
    <n v="254"/>
    <s v="No"/>
    <x v="0"/>
    <x v="1"/>
    <x v="1"/>
    <x v="0"/>
    <n v="448.94"/>
    <x v="3"/>
    <x v="0"/>
    <s v="No Support Contact"/>
    <s v="No"/>
    <s v="No Support Contact"/>
    <s v="Not Applicable"/>
    <m/>
    <s v="No drop-off"/>
    <n v="5"/>
    <n v="7"/>
    <n v="0"/>
    <x v="1"/>
    <n v="1"/>
    <n v="1"/>
    <n v="0"/>
    <n v="1"/>
  </r>
  <r>
    <x v="10"/>
    <s v="USR-00463"/>
    <s v="SES-2503-60901"/>
    <x v="10"/>
    <s v="North East"/>
    <s v="Sunderland"/>
    <x v="3"/>
    <x v="1"/>
    <x v="1"/>
    <s v="Android"/>
    <s v="Android Phone"/>
    <s v="&lt;3 months"/>
    <x v="0"/>
    <x v="3"/>
    <x v="1"/>
    <s v="Repeat Use"/>
    <s v="Simplified Onboarding"/>
    <s v="Treatment"/>
    <n v="4"/>
    <n v="4"/>
    <n v="77"/>
    <s v="No"/>
    <x v="0"/>
    <x v="1"/>
    <x v="1"/>
    <x v="0"/>
    <n v="79.12"/>
    <x v="4"/>
    <x v="0"/>
    <s v="Fees And Pricing"/>
    <s v="Yes"/>
    <s v="Fees And Pricing"/>
    <s v="Resolved"/>
    <n v="26"/>
    <s v="No drop-off"/>
    <n v="5"/>
    <n v="79"/>
    <n v="37"/>
    <x v="1"/>
    <n v="1"/>
    <n v="1"/>
    <n v="0"/>
    <n v="1"/>
  </r>
  <r>
    <x v="11"/>
    <s v="USR-00162"/>
    <s v="SES-2505-23070"/>
    <x v="6"/>
    <s v="Wales"/>
    <s v="Newport"/>
    <x v="2"/>
    <x v="0"/>
    <x v="1"/>
    <s v="Android"/>
    <s v="Android Phone"/>
    <s v="&lt;3 months"/>
    <x v="1"/>
    <x v="1"/>
    <x v="1"/>
    <s v="Repeat Use"/>
    <s v="No Experiment"/>
    <s v="Control"/>
    <n v="4"/>
    <n v="4"/>
    <n v="80"/>
    <s v="No"/>
    <x v="0"/>
    <x v="1"/>
    <x v="1"/>
    <x v="1"/>
    <n v="0"/>
    <x v="0"/>
    <x v="0"/>
    <s v="Feature Navigation"/>
    <s v="Yes"/>
    <s v="Feature Navigation"/>
    <s v="Resolved"/>
    <n v="30"/>
    <s v="No drop-off"/>
    <n v="4"/>
    <n v="58"/>
    <n v="21"/>
    <x v="1"/>
    <n v="1"/>
    <n v="0"/>
    <n v="0"/>
    <n v="1"/>
  </r>
  <r>
    <x v="12"/>
    <s v="USR-00800"/>
    <s v="SES-2501-84378"/>
    <x v="11"/>
    <s v="Scotland"/>
    <s v="Edinburgh"/>
    <x v="1"/>
    <x v="3"/>
    <x v="0"/>
    <s v="Android"/>
    <s v="Android Phone"/>
    <s v="2+ years"/>
    <x v="2"/>
    <x v="1"/>
    <x v="5"/>
    <s v="Repeat Use"/>
    <s v="No Experiment"/>
    <s v="Control"/>
    <n v="8"/>
    <s v="8 steps"/>
    <n v="151"/>
    <s v="No"/>
    <x v="0"/>
    <x v="1"/>
    <x v="1"/>
    <x v="1"/>
    <n v="0"/>
    <x v="0"/>
    <x v="0"/>
    <s v="Feature Navigation"/>
    <s v="Yes"/>
    <s v="Feature Navigation"/>
    <s v="Unresolved"/>
    <n v="35"/>
    <s v="No drop-off"/>
    <n v="4"/>
    <n v="-18"/>
    <n v="12"/>
    <x v="0"/>
    <n v="1"/>
    <n v="0"/>
    <n v="0"/>
    <n v="0"/>
  </r>
  <r>
    <x v="13"/>
    <s v="USR-00627"/>
    <s v="SES-2512-71957"/>
    <x v="12"/>
    <s v="Wales"/>
    <s v="Newport"/>
    <x v="4"/>
    <x v="2"/>
    <x v="1"/>
    <s v="Ios"/>
    <s v="Iphone"/>
    <s v="1-2 years"/>
    <x v="0"/>
    <x v="2"/>
    <x v="6"/>
    <s v="Repeat Use"/>
    <s v="Contextual Help"/>
    <s v="Control"/>
    <n v="9"/>
    <n v="9"/>
    <n v="270"/>
    <s v="No"/>
    <x v="1"/>
    <x v="1"/>
    <x v="1"/>
    <x v="1"/>
    <n v="0"/>
    <x v="0"/>
    <x v="0"/>
    <s v="No Support Contact"/>
    <s v="No"/>
    <s v="No Support Contact"/>
    <s v="Not Applicable"/>
    <m/>
    <s v="No drop-off"/>
    <n v="3"/>
    <n v="-39"/>
    <n v="19"/>
    <x v="0"/>
    <n v="0"/>
    <n v="0"/>
    <n v="0"/>
    <n v="0"/>
  </r>
  <r>
    <x v="14"/>
    <s v="USR-00670"/>
    <s v="SES-2511-20251"/>
    <x v="13"/>
    <s v="South West"/>
    <s v="Exeter"/>
    <x v="3"/>
    <x v="1"/>
    <x v="0"/>
    <s v="Android"/>
    <s v="Android Phone"/>
    <s v="7-12 months"/>
    <x v="0"/>
    <x v="6"/>
    <x v="1"/>
    <s v="First Use"/>
    <s v="No Experiment"/>
    <s v="Control"/>
    <n v="4"/>
    <n v="3"/>
    <n v="165"/>
    <s v="Yes"/>
    <x v="1"/>
    <x v="1"/>
    <x v="1"/>
    <x v="1"/>
    <n v="0"/>
    <x v="0"/>
    <x v="0"/>
    <s v="No Support Contact"/>
    <s v="No"/>
    <s v="No Support Contact"/>
    <s v="Not Applicable"/>
    <m/>
    <s v="Too many steps"/>
    <n v="3"/>
    <n v="27"/>
    <n v="0"/>
    <x v="1"/>
    <n v="0"/>
    <n v="0"/>
    <n v="0"/>
    <n v="1"/>
  </r>
  <r>
    <x v="15"/>
    <s v="USR-00455"/>
    <s v="SES-2502-78203"/>
    <x v="14"/>
    <s v="London"/>
    <s v="Croydon"/>
    <x v="1"/>
    <x v="3"/>
    <x v="0"/>
    <s v="Android"/>
    <s v="Android Phone"/>
    <s v="&lt;3 months"/>
    <x v="0"/>
    <x v="6"/>
    <x v="3"/>
    <s v="Reactivated"/>
    <s v="Simplified Onboarding"/>
    <s v="Treatment"/>
    <n v="6"/>
    <n v="6"/>
    <n v="183"/>
    <s v="No"/>
    <x v="0"/>
    <x v="1"/>
    <x v="1"/>
    <x v="1"/>
    <n v="0"/>
    <x v="0"/>
    <x v="0"/>
    <s v="No Support Contact"/>
    <s v="No"/>
    <s v="No Support Contact"/>
    <s v="Not Applicable"/>
    <m/>
    <s v="No drop-off"/>
    <n v="4"/>
    <n v="23"/>
    <n v="9"/>
    <x v="1"/>
    <n v="1"/>
    <n v="0"/>
    <n v="0"/>
    <n v="1"/>
  </r>
  <r>
    <x v="16"/>
    <s v="USR-00164"/>
    <s v="SES-2603-47390"/>
    <x v="15"/>
    <s v="Wales"/>
    <s v="Cardiff"/>
    <x v="5"/>
    <x v="0"/>
    <x v="1"/>
    <s v="Ios"/>
    <s v="Iphone"/>
    <s v="1-2 years"/>
    <x v="1"/>
    <x v="0"/>
    <x v="5"/>
    <s v="First Use"/>
    <s v="No Experiment"/>
    <s v="Control"/>
    <n v="8"/>
    <n v="8"/>
    <n v="153"/>
    <s v="No"/>
    <x v="1"/>
    <x v="1"/>
    <x v="1"/>
    <x v="1"/>
    <n v="0"/>
    <x v="0"/>
    <x v="0"/>
    <s v="No Support Contact"/>
    <s v="No"/>
    <s v="No Support Contact"/>
    <s v="Not Applicable"/>
    <m/>
    <s v="No drop-off"/>
    <n v="4"/>
    <n v="3"/>
    <n v="0"/>
    <x v="0"/>
    <n v="0"/>
    <n v="0"/>
    <n v="0"/>
    <n v="0"/>
  </r>
  <r>
    <x v="17"/>
    <s v="USR-00498"/>
    <s v="SES-2602-98651"/>
    <x v="16"/>
    <s v="South East"/>
    <s v="Guildford"/>
    <x v="5"/>
    <x v="4"/>
    <x v="0"/>
    <s v="Ios"/>
    <s v="Iphone"/>
    <s v="&lt;3 months"/>
    <x v="0"/>
    <x v="0"/>
    <x v="0"/>
    <s v="Reactivated"/>
    <s v="No Experiment"/>
    <s v="Control"/>
    <n v="7"/>
    <n v="7"/>
    <n v="207"/>
    <s v="Unknown"/>
    <x v="0"/>
    <x v="1"/>
    <x v="1"/>
    <x v="0"/>
    <n v="36.770000000000003"/>
    <x v="0"/>
    <x v="0"/>
    <s v="Account Verification"/>
    <s v="Yes"/>
    <s v="Account Verification"/>
    <s v="Resolved"/>
    <n v="30"/>
    <s v="No drop-off"/>
    <n v="4"/>
    <n v="0"/>
    <n v="51"/>
    <x v="1"/>
    <n v="1"/>
    <n v="1"/>
    <n v="0"/>
    <n v="1"/>
  </r>
  <r>
    <x v="18"/>
    <s v="USR-00727"/>
    <s v="SES-2505-97952"/>
    <x v="17"/>
    <s v="South East"/>
    <s v="Oxford"/>
    <x v="6"/>
    <x v="0"/>
    <x v="0"/>
    <s v="Web"/>
    <s v="Desktop"/>
    <s v="&lt;3 months"/>
    <x v="1"/>
    <x v="6"/>
    <x v="0"/>
    <s v="First Use"/>
    <s v="No Experiment"/>
    <s v="Control"/>
    <n v="7"/>
    <n v="4"/>
    <n v="306"/>
    <s v="Yes"/>
    <x v="1"/>
    <x v="1"/>
    <x v="1"/>
    <x v="1"/>
    <n v="0"/>
    <x v="0"/>
    <x v="0"/>
    <s v="No Support Contact"/>
    <s v="No"/>
    <s v="No Support Contact"/>
    <s v="Not Applicable"/>
    <m/>
    <s v="Instructions unclear"/>
    <n v="3"/>
    <n v="15"/>
    <n v="0"/>
    <x v="0"/>
    <n v="0"/>
    <n v="0"/>
    <n v="0"/>
    <n v="0"/>
  </r>
  <r>
    <x v="19"/>
    <s v="USR-00213"/>
    <s v="SES-2507-72128"/>
    <x v="18"/>
    <s v="West Midlands"/>
    <s v="Birmingham"/>
    <x v="0"/>
    <x v="2"/>
    <x v="0"/>
    <s v="Ios"/>
    <s v="Iphone"/>
    <s v="2+ years"/>
    <x v="0"/>
    <x v="5"/>
    <x v="7"/>
    <s v="First Use"/>
    <s v="No Experiment"/>
    <s v="Control"/>
    <n v="4"/>
    <n v="2"/>
    <n v="120"/>
    <s v="Yes"/>
    <x v="1"/>
    <x v="1"/>
    <x v="1"/>
    <x v="1"/>
    <n v="0"/>
    <x v="0"/>
    <x v="0"/>
    <s v="No Support Contact"/>
    <s v="No"/>
    <s v="No Support Contact"/>
    <s v="Not Applicable"/>
    <m/>
    <s v="Unexpected fee"/>
    <n v="3"/>
    <n v="43"/>
    <n v="0"/>
    <x v="0"/>
    <n v="0"/>
    <n v="0"/>
    <n v="0"/>
    <n v="0"/>
  </r>
  <r>
    <x v="20"/>
    <s v="USR-00602"/>
    <s v="SES-2604-88010"/>
    <x v="19"/>
    <s v="Scotland"/>
    <s v="Aberdeen"/>
    <x v="2"/>
    <x v="0"/>
    <x v="0"/>
    <s v="Android"/>
    <s v="Android Phone"/>
    <s v="2+ years"/>
    <x v="2"/>
    <x v="4"/>
    <x v="2"/>
    <s v="Repeat Use"/>
    <s v="New Cta Copy"/>
    <s v="Control"/>
    <n v="5"/>
    <n v="5"/>
    <n v="125"/>
    <s v="No"/>
    <x v="0"/>
    <x v="1"/>
    <x v="1"/>
    <x v="0"/>
    <n v="19.309999999999999"/>
    <x v="0"/>
    <x v="2"/>
    <s v="No Support Contact"/>
    <s v="No"/>
    <s v="No Support Contact"/>
    <s v="Not Applicable"/>
    <m/>
    <s v="No drop-off"/>
    <n v="5"/>
    <n v="47"/>
    <n v="25"/>
    <x v="0"/>
    <n v="1"/>
    <n v="1"/>
    <n v="0"/>
    <n v="0"/>
  </r>
  <r>
    <x v="21"/>
    <s v="USR-00374"/>
    <s v="SES-2504-59569"/>
    <x v="20"/>
    <s v="Wales"/>
    <s v="Wrexham"/>
    <x v="2"/>
    <x v="3"/>
    <x v="1"/>
    <s v="Android"/>
    <s v="Android Phone"/>
    <s v="2+ years"/>
    <x v="0"/>
    <x v="0"/>
    <x v="3"/>
    <s v="Reactivated"/>
    <s v="No Experiment"/>
    <s v="Control"/>
    <n v="6"/>
    <n v="6"/>
    <n v="114"/>
    <s v="No"/>
    <x v="0"/>
    <x v="1"/>
    <x v="1"/>
    <x v="0"/>
    <n v="5.14"/>
    <x v="5"/>
    <x v="0"/>
    <s v="No Support Contact"/>
    <s v="No"/>
    <s v="No Support Contact"/>
    <s v="Not Applicable"/>
    <m/>
    <s v="No drop-off"/>
    <n v="4"/>
    <n v="36"/>
    <n v="47"/>
    <x v="1"/>
    <n v="1"/>
    <n v="1"/>
    <n v="0"/>
    <n v="1"/>
  </r>
  <r>
    <x v="22"/>
    <s v="USR-00620"/>
    <s v="SES-2505-26820"/>
    <x v="21"/>
    <s v="East England"/>
    <s v="Cambridge"/>
    <x v="0"/>
    <x v="1"/>
    <x v="0"/>
    <s v="Android"/>
    <s v="Android Phone"/>
    <s v="7-12 months"/>
    <x v="0"/>
    <x v="1"/>
    <x v="2"/>
    <s v="First Use"/>
    <s v="Contextual Help"/>
    <s v="Control"/>
    <n v="5"/>
    <n v="5"/>
    <n v="127"/>
    <s v="No"/>
    <x v="1"/>
    <x v="1"/>
    <x v="1"/>
    <x v="0"/>
    <n v="20.88"/>
    <x v="0"/>
    <x v="0"/>
    <s v="No Support Contact"/>
    <s v="No"/>
    <s v="No Support Contact"/>
    <s v="Not Applicable"/>
    <m/>
    <s v="Changed mind"/>
    <n v="4"/>
    <n v="23"/>
    <n v="0"/>
    <x v="1"/>
    <n v="0"/>
    <n v="1"/>
    <n v="0"/>
    <n v="1"/>
  </r>
  <r>
    <x v="23"/>
    <s v="USR-00373"/>
    <s v="SES-2512-11182"/>
    <x v="22"/>
    <s v="East England"/>
    <s v="Ipswich"/>
    <x v="5"/>
    <x v="3"/>
    <x v="1"/>
    <s v="Ios"/>
    <s v="Iphone"/>
    <s v="2+ years"/>
    <x v="1"/>
    <x v="0"/>
    <x v="4"/>
    <s v="First Use"/>
    <s v="New Cta Copy"/>
    <s v="Treatment"/>
    <n v="6"/>
    <n v="6"/>
    <n v="163"/>
    <s v="No"/>
    <x v="0"/>
    <x v="1"/>
    <x v="1"/>
    <x v="0"/>
    <n v="15.13"/>
    <x v="0"/>
    <x v="1"/>
    <s v="No Support Contact"/>
    <s v="No"/>
    <s v="No Support Contact"/>
    <s v="Not Applicable"/>
    <m/>
    <s v="No drop-off"/>
    <n v="4"/>
    <n v="10"/>
    <n v="0"/>
    <x v="1"/>
    <n v="1"/>
    <n v="1"/>
    <n v="0"/>
    <n v="1"/>
  </r>
  <r>
    <x v="24"/>
    <s v="USR-00174"/>
    <s v="SES-2503-78958"/>
    <x v="23"/>
    <s v="Wales"/>
    <s v="Cardiff"/>
    <x v="0"/>
    <x v="2"/>
    <x v="1"/>
    <s v="Android"/>
    <s v="Android Phone"/>
    <s v="1-2 years"/>
    <x v="0"/>
    <x v="7"/>
    <x v="1"/>
    <s v="Repeat Use"/>
    <s v="No Experiment"/>
    <s v="Control"/>
    <n v="4"/>
    <n v="4"/>
    <n v="105"/>
    <s v="No"/>
    <x v="0"/>
    <x v="1"/>
    <x v="1"/>
    <x v="0"/>
    <n v="204.65"/>
    <x v="6"/>
    <x v="0"/>
    <s v="No Support Contact"/>
    <s v="No"/>
    <s v="No Support Contact"/>
    <s v="Not Applicable"/>
    <m/>
    <s v="No drop-off"/>
    <n v="4"/>
    <n v="40"/>
    <n v="29"/>
    <x v="1"/>
    <n v="1"/>
    <n v="1"/>
    <n v="0"/>
    <n v="1"/>
  </r>
  <r>
    <x v="25"/>
    <s v="USR-00277"/>
    <s v="SES-2511-87095"/>
    <x v="24"/>
    <s v="South East"/>
    <s v="Canterbury"/>
    <x v="5"/>
    <x v="0"/>
    <x v="1"/>
    <s v="Web"/>
    <s v="Desktop"/>
    <s v="1-2 years"/>
    <x v="0"/>
    <x v="2"/>
    <x v="1"/>
    <s v="Repeat Use"/>
    <s v="Simplified Onboarding"/>
    <s v="Treatment"/>
    <n v="4"/>
    <n v="4"/>
    <n v="95"/>
    <s v="No"/>
    <x v="1"/>
    <x v="0"/>
    <x v="3"/>
    <x v="1"/>
    <n v="0"/>
    <x v="0"/>
    <x v="0"/>
    <s v="No Support Contact"/>
    <s v="No"/>
    <s v="No Support Contact"/>
    <s v="Not Applicable"/>
    <m/>
    <s v="Technical error"/>
    <n v="3"/>
    <n v="16"/>
    <n v="29"/>
    <x v="1"/>
    <n v="0"/>
    <n v="0"/>
    <n v="1"/>
    <n v="1"/>
  </r>
  <r>
    <x v="26"/>
    <s v="USR-00645"/>
    <s v="SES-2603-65630"/>
    <x v="25"/>
    <s v="East England"/>
    <s v="Ipswich"/>
    <x v="2"/>
    <x v="2"/>
    <x v="0"/>
    <s v="Android"/>
    <s v="Android Phone"/>
    <s v="1-2 years"/>
    <x v="0"/>
    <x v="1"/>
    <x v="1"/>
    <s v="First Use"/>
    <s v="No Experiment"/>
    <s v="Control"/>
    <n v="4"/>
    <n v="4"/>
    <n v="173"/>
    <s v="No"/>
    <x v="0"/>
    <x v="0"/>
    <x v="3"/>
    <x v="0"/>
    <n v="159.62"/>
    <x v="7"/>
    <x v="0"/>
    <s v="No Support Contact"/>
    <s v="No"/>
    <s v="No Support Contact"/>
    <s v="Not Applicable"/>
    <m/>
    <s v="No drop-off"/>
    <n v="3"/>
    <n v="10"/>
    <n v="0"/>
    <x v="0"/>
    <n v="1"/>
    <n v="1"/>
    <n v="1"/>
    <n v="0"/>
  </r>
  <r>
    <x v="27"/>
    <s v="USR-00507"/>
    <s v="SES-2505-67128"/>
    <x v="26"/>
    <s v="South East"/>
    <s v="Brighton"/>
    <x v="2"/>
    <x v="2"/>
    <x v="1"/>
    <s v="Android"/>
    <s v="Android Phone"/>
    <s v="2+ years"/>
    <x v="1"/>
    <x v="7"/>
    <x v="1"/>
    <s v="Repeat Use"/>
    <s v="Fee Transparency Panel"/>
    <s v="Treatment"/>
    <n v="4"/>
    <n v="4"/>
    <n v="75"/>
    <s v="No"/>
    <x v="1"/>
    <x v="1"/>
    <x v="1"/>
    <x v="0"/>
    <n v="189.89"/>
    <x v="8"/>
    <x v="1"/>
    <s v="No Support Contact"/>
    <s v="No"/>
    <s v="No Support Contact"/>
    <s v="Not Applicable"/>
    <m/>
    <s v="Instructions unclear"/>
    <n v="4"/>
    <n v="70"/>
    <n v="42"/>
    <x v="1"/>
    <n v="0"/>
    <n v="1"/>
    <n v="0"/>
    <n v="1"/>
  </r>
  <r>
    <x v="28"/>
    <s v="USR-00230"/>
    <s v="SES-2507-69094"/>
    <x v="27"/>
    <s v="South East"/>
    <s v="Reading"/>
    <x v="1"/>
    <x v="0"/>
    <x v="0"/>
    <s v="Android"/>
    <s v="Android Phone"/>
    <s v="2+ years"/>
    <x v="0"/>
    <x v="3"/>
    <x v="8"/>
    <s v="Repeat Use"/>
    <s v="New Cta Copy"/>
    <s v="Control"/>
    <n v="5"/>
    <n v="5"/>
    <n v="-30"/>
    <s v="No"/>
    <x v="1"/>
    <x v="0"/>
    <x v="4"/>
    <x v="1"/>
    <n v="0"/>
    <x v="0"/>
    <x v="0"/>
    <s v="Feature Navigation"/>
    <s v="Yes"/>
    <s v="Feature Navigation"/>
    <s v="Resolved"/>
    <n v="14"/>
    <s v="Technical error"/>
    <n v="3"/>
    <n v="-37"/>
    <n v="35"/>
    <x v="1"/>
    <n v="0"/>
    <n v="0"/>
    <n v="1"/>
    <n v="1"/>
  </r>
  <r>
    <x v="29"/>
    <s v="USR-00592"/>
    <s v="SES-2510-21908"/>
    <x v="28"/>
    <s v="East England"/>
    <s v="Norwich"/>
    <x v="6"/>
    <x v="0"/>
    <x v="0"/>
    <s v="Ios"/>
    <s v="Iphone"/>
    <s v="&lt;3 months"/>
    <x v="0"/>
    <x v="1"/>
    <x v="3"/>
    <s v="Repeat Use"/>
    <s v="No Experiment"/>
    <s v="Control"/>
    <n v="6"/>
    <n v="3"/>
    <n v="243"/>
    <s v="Yes"/>
    <x v="0"/>
    <x v="1"/>
    <x v="1"/>
    <x v="0"/>
    <n v="94.05"/>
    <x v="2"/>
    <x v="0"/>
    <s v="No Support Contact"/>
    <s v="No"/>
    <s v="No Support Contact"/>
    <s v="Not Applicable"/>
    <m/>
    <s v="No drop-off"/>
    <n v="2"/>
    <n v="-40"/>
    <n v="22"/>
    <x v="0"/>
    <n v="1"/>
    <n v="1"/>
    <n v="0"/>
    <n v="0"/>
  </r>
  <r>
    <x v="30"/>
    <s v="USR-00533"/>
    <s v="SES-2511-10761"/>
    <x v="29"/>
    <s v="Scotland"/>
    <s v="Edinburgh"/>
    <x v="0"/>
    <x v="2"/>
    <x v="1"/>
    <s v="Ios"/>
    <s v="Iphone"/>
    <s v="3-6 months"/>
    <x v="1"/>
    <x v="0"/>
    <x v="3"/>
    <s v="Repeat Use"/>
    <s v="No Experiment"/>
    <s v="Control"/>
    <n v="6"/>
    <n v="3"/>
    <n v="219"/>
    <s v="Unknown"/>
    <x v="0"/>
    <x v="1"/>
    <x v="1"/>
    <x v="0"/>
    <n v="59.54"/>
    <x v="5"/>
    <x v="1"/>
    <s v="Feature Navigation"/>
    <s v="Yes"/>
    <s v="Feature Navigation"/>
    <s v="Resolved"/>
    <n v="58"/>
    <s v="No drop-off"/>
    <n v="3"/>
    <n v="11"/>
    <n v="55"/>
    <x v="0"/>
    <n v="1"/>
    <n v="1"/>
    <n v="0"/>
    <n v="0"/>
  </r>
  <r>
    <x v="31"/>
    <s v="USR-00551"/>
    <s v="SES-2601-98624"/>
    <x v="30"/>
    <s v="North West"/>
    <s v="Chester"/>
    <x v="0"/>
    <x v="1"/>
    <x v="1"/>
    <s v="Web"/>
    <s v="Desktop"/>
    <s v="&lt;3 months"/>
    <x v="0"/>
    <x v="1"/>
    <x v="7"/>
    <s v="Repeat Use"/>
    <s v="Simplified Onboarding"/>
    <s v="Control"/>
    <n v="4"/>
    <n v="3"/>
    <n v="140"/>
    <s v="Yes"/>
    <x v="0"/>
    <x v="1"/>
    <x v="1"/>
    <x v="0"/>
    <n v="10.58"/>
    <x v="9"/>
    <x v="0"/>
    <s v="Feature Navigation"/>
    <s v="Yes"/>
    <s v="Feature Navigation"/>
    <s v="Resolved"/>
    <n v="25"/>
    <s v="No drop-off"/>
    <n v="3"/>
    <n v="31"/>
    <n v="39"/>
    <x v="1"/>
    <n v="1"/>
    <n v="1"/>
    <n v="0"/>
    <n v="1"/>
  </r>
  <r>
    <x v="32"/>
    <s v="USR-00337"/>
    <s v="SES-2512-24488"/>
    <x v="31"/>
    <s v="Wales"/>
    <s v="Swansea"/>
    <x v="3"/>
    <x v="1"/>
    <x v="1"/>
    <s v="Ios"/>
    <s v="Iphone"/>
    <s v="3-6 months"/>
    <x v="1"/>
    <x v="8"/>
    <x v="2"/>
    <s v="Repeat Use"/>
    <s v="Simplified Onboarding"/>
    <s v="Treatment"/>
    <n v="5"/>
    <n v="4"/>
    <n v="156"/>
    <s v="Yes"/>
    <x v="1"/>
    <x v="1"/>
    <x v="1"/>
    <x v="1"/>
    <n v="0"/>
    <x v="0"/>
    <x v="0"/>
    <s v="No Support Contact"/>
    <s v="No"/>
    <s v="No Support Contact"/>
    <s v="Not Applicable"/>
    <m/>
    <s v="Instructions unclear"/>
    <n v="4"/>
    <n v="15"/>
    <n v="35"/>
    <x v="0"/>
    <n v="0"/>
    <n v="0"/>
    <n v="0"/>
    <n v="0"/>
  </r>
  <r>
    <x v="33"/>
    <s v="USR-00387"/>
    <s v="SES-2511-39258"/>
    <x v="32"/>
    <s v="London"/>
    <s v="Camden"/>
    <x v="0"/>
    <x v="1"/>
    <x v="1"/>
    <s v="Ios"/>
    <s v="Iphone"/>
    <s v="1-2 years"/>
    <x v="2"/>
    <x v="3"/>
    <x v="2"/>
    <s v="Reactivated"/>
    <s v="No Experiment"/>
    <s v="Control"/>
    <n v="5"/>
    <n v="5"/>
    <n v="118"/>
    <s v="No"/>
    <x v="1"/>
    <x v="1"/>
    <x v="1"/>
    <x v="1"/>
    <n v="0"/>
    <x v="0"/>
    <x v="0"/>
    <s v="No Support Contact"/>
    <s v="No"/>
    <s v="No Support Contact"/>
    <s v="Not Applicable"/>
    <m/>
    <s v="No drop-off"/>
    <n v="2"/>
    <n v="44"/>
    <s v="22 days"/>
    <x v="0"/>
    <n v="0"/>
    <n v="0"/>
    <n v="0"/>
    <n v="0"/>
  </r>
  <r>
    <x v="34"/>
    <s v="USR-00755"/>
    <s v="SES-2504-59670"/>
    <x v="33"/>
    <s v="North East"/>
    <s v="Durham"/>
    <x v="2"/>
    <x v="0"/>
    <x v="1"/>
    <s v="Ios"/>
    <s v="Iphone"/>
    <s v="1-2 years"/>
    <x v="0"/>
    <x v="4"/>
    <x v="5"/>
    <s v="First Use"/>
    <s v="No Experiment"/>
    <s v="Control"/>
    <n v="8"/>
    <n v="5"/>
    <n v="267"/>
    <s v="Yes"/>
    <x v="1"/>
    <x v="1"/>
    <x v="1"/>
    <x v="1"/>
    <n v="0"/>
    <x v="0"/>
    <x v="0"/>
    <s v="No Support Contact"/>
    <s v="No"/>
    <s v="No Support Contact"/>
    <s v="Not Applicable"/>
    <m/>
    <s v="Instructions unclear"/>
    <n v="3"/>
    <n v="-54"/>
    <n v="0"/>
    <x v="0"/>
    <n v="0"/>
    <n v="0"/>
    <n v="0"/>
    <n v="0"/>
  </r>
  <r>
    <x v="35"/>
    <s v="usr-00288"/>
    <s v="SES-2511-76657"/>
    <x v="34"/>
    <s v="Scotland"/>
    <s v="Glasgow"/>
    <x v="1"/>
    <x v="1"/>
    <x v="0"/>
    <s v="Web"/>
    <s v="Mobile Browser"/>
    <s v="2+ years"/>
    <x v="1"/>
    <x v="7"/>
    <x v="0"/>
    <s v="Trial/Exploration"/>
    <s v="No Experiment"/>
    <s v="Control"/>
    <n v="7"/>
    <n v="7"/>
    <n v="203"/>
    <s v="No"/>
    <x v="1"/>
    <x v="1"/>
    <x v="1"/>
    <x v="1"/>
    <n v="0"/>
    <x v="0"/>
    <x v="0"/>
    <s v="No Support Contact"/>
    <s v="No"/>
    <s v="No Support Contact"/>
    <s v="Not Applicable"/>
    <m/>
    <s v="Instructions unclear"/>
    <n v="3"/>
    <n v="0"/>
    <n v="7"/>
    <x v="0"/>
    <n v="0"/>
    <n v="0"/>
    <n v="0"/>
    <n v="0"/>
  </r>
  <r>
    <x v="36"/>
    <s v="USR-00844"/>
    <s v="SES-2510-71416"/>
    <x v="35"/>
    <s v="Scotland"/>
    <s v="Aberdeen"/>
    <x v="0"/>
    <x v="0"/>
    <x v="0"/>
    <s v="Ios"/>
    <s v="Iphone"/>
    <s v="3-6 months"/>
    <x v="3"/>
    <x v="1"/>
    <x v="7"/>
    <s v="First Use"/>
    <s v="Simplified Onboarding"/>
    <s v="Control"/>
    <n v="4"/>
    <n v="4"/>
    <n v="114"/>
    <s v="No"/>
    <x v="1"/>
    <x v="1"/>
    <x v="1"/>
    <x v="0"/>
    <n v="0"/>
    <x v="10"/>
    <x v="0"/>
    <s v="No Support Contact"/>
    <s v="No"/>
    <s v="No Support Contact"/>
    <s v="Not Applicable"/>
    <m/>
    <s v="No drop-off"/>
    <n v="4"/>
    <n v="42"/>
    <n v="0"/>
    <x v="0"/>
    <n v="0"/>
    <n v="1"/>
    <n v="0"/>
    <n v="0"/>
  </r>
  <r>
    <x v="37"/>
    <s v="USR-00432"/>
    <s v="SES-2512-45088"/>
    <x v="36"/>
    <s v="Yorkshire &amp; Humber"/>
    <s v="York"/>
    <x v="0"/>
    <x v="4"/>
    <x v="0"/>
    <s v="Ios"/>
    <s v="Iphone"/>
    <s v="&lt;3 months"/>
    <x v="0"/>
    <x v="4"/>
    <x v="9"/>
    <s v="Reactivated"/>
    <s v="No Experiment"/>
    <s v="Control"/>
    <n v="99"/>
    <n v="5"/>
    <n v="100"/>
    <s v="No"/>
    <x v="1"/>
    <x v="1"/>
    <x v="1"/>
    <x v="1"/>
    <n v="0"/>
    <x v="0"/>
    <x v="0"/>
    <s v="No Support Contact"/>
    <s v="No"/>
    <s v="No Support Contact"/>
    <s v="Not Applicable"/>
    <m/>
    <s v="No drop-off"/>
    <n v="4"/>
    <n v="53"/>
    <n v="20"/>
    <x v="0"/>
    <n v="0"/>
    <n v="0"/>
    <n v="0"/>
    <n v="0"/>
  </r>
  <r>
    <x v="38"/>
    <s v="USR-00530"/>
    <s v="SES-2503-84877"/>
    <x v="37"/>
    <s v="Scotland"/>
    <s v="Glasgow"/>
    <x v="3"/>
    <x v="0"/>
    <x v="0"/>
    <s v="Ios"/>
    <s v="Iphone"/>
    <s v="3-6 months"/>
    <x v="1"/>
    <x v="0"/>
    <x v="10"/>
    <s v="First Use"/>
    <s v="Simplified Onboarding"/>
    <s v="Control"/>
    <n v="9"/>
    <s v="9 steps"/>
    <n v="226"/>
    <s v="No"/>
    <x v="0"/>
    <x v="1"/>
    <x v="1"/>
    <x v="1"/>
    <n v="0"/>
    <x v="0"/>
    <x v="0"/>
    <s v="No Support Contact"/>
    <s v="No"/>
    <s v="No Support Contact"/>
    <s v="Not Applicable"/>
    <m/>
    <s v="No drop-off"/>
    <n v="2"/>
    <n v="-30"/>
    <n v="0"/>
    <x v="0"/>
    <n v="1"/>
    <n v="0"/>
    <n v="0"/>
    <n v="0"/>
  </r>
  <r>
    <x v="39"/>
    <s v="USR-00614"/>
    <s v="SES-2602-67450"/>
    <x v="38"/>
    <s v="North West"/>
    <s v="Chester"/>
    <x v="1"/>
    <x v="5"/>
    <x v="0"/>
    <s v="Ios"/>
    <s v="Iphone"/>
    <s v="7-12 months"/>
    <x v="0"/>
    <x v="1"/>
    <x v="8"/>
    <s v="Repeat Use"/>
    <s v="Fee Transparency Panel"/>
    <s v="Treatment"/>
    <n v="5"/>
    <n v="5"/>
    <n v="98"/>
    <s v="No"/>
    <x v="0"/>
    <x v="1"/>
    <x v="1"/>
    <x v="0"/>
    <n v="0"/>
    <x v="0"/>
    <x v="0"/>
    <s v="No Support Contact"/>
    <s v="No"/>
    <s v="No Support Contact"/>
    <s v="Not Applicable"/>
    <m/>
    <s v="No drop-off"/>
    <n v="5"/>
    <n v="62"/>
    <n v="29"/>
    <x v="1"/>
    <n v="1"/>
    <n v="1"/>
    <n v="0"/>
    <n v="1"/>
  </r>
  <r>
    <x v="40"/>
    <s v="USR-00816"/>
    <s v="SES-2503-80483"/>
    <x v="39"/>
    <s v="Yorkshire &amp; Humber"/>
    <s v="York"/>
    <x v="1"/>
    <x v="2"/>
    <x v="1"/>
    <s v="Android"/>
    <s v="Android Phone"/>
    <s v="1-2 years"/>
    <x v="1"/>
    <x v="7"/>
    <x v="5"/>
    <s v="Repeat Use"/>
    <s v="No Experiment"/>
    <s v="Control"/>
    <n v="8"/>
    <s v="8 steps"/>
    <n v="255"/>
    <s v="No"/>
    <x v="1"/>
    <x v="1"/>
    <x v="1"/>
    <x v="0"/>
    <n v="455.16"/>
    <x v="11"/>
    <x v="1"/>
    <s v="No Support Contact"/>
    <s v="No"/>
    <s v="No Support Contact"/>
    <s v="Not Applicable"/>
    <m/>
    <s v="Unexpected fee"/>
    <n v="4"/>
    <n v="-7"/>
    <n v="1"/>
    <x v="0"/>
    <n v="0"/>
    <n v="1"/>
    <n v="0"/>
    <n v="0"/>
  </r>
  <r>
    <x v="41"/>
    <s v="USR-00277"/>
    <s v="SES-2601-43156"/>
    <x v="40"/>
    <s v="Northern Ireland"/>
    <s v="Derry"/>
    <x v="1"/>
    <x v="2"/>
    <x v="0"/>
    <s v="Android"/>
    <s v="Android Phone"/>
    <s v="1-2 years"/>
    <x v="1"/>
    <x v="5"/>
    <x v="4"/>
    <s v="Trial/Exploration"/>
    <s v="New Cta Copy"/>
    <s v="Treatment"/>
    <s v="6 steps"/>
    <n v="6"/>
    <n v="262"/>
    <s v="No"/>
    <x v="0"/>
    <x v="0"/>
    <x v="5"/>
    <x v="1"/>
    <n v="0"/>
    <x v="0"/>
    <x v="0"/>
    <s v="No Support Contact"/>
    <s v="No"/>
    <s v="No Support Contact"/>
    <s v="Not Applicable"/>
    <m/>
    <s v="No drop-off"/>
    <n v="3"/>
    <n v="-3"/>
    <n v="47"/>
    <x v="1"/>
    <n v="1"/>
    <n v="0"/>
    <n v="1"/>
    <n v="1"/>
  </r>
  <r>
    <x v="42"/>
    <s v="USR-00404"/>
    <s v="SES-2602-17959"/>
    <x v="41"/>
    <s v="Yorkshire &amp; Humber"/>
    <s v="Leeds"/>
    <x v="0"/>
    <x v="0"/>
    <x v="0"/>
    <s v="Ios"/>
    <s v="Iphone"/>
    <s v="2+ years"/>
    <x v="1"/>
    <x v="0"/>
    <x v="5"/>
    <s v="Reactivated"/>
    <s v="Simplified Onboarding"/>
    <s v="Treatment"/>
    <n v="8"/>
    <n v="5"/>
    <n v="299"/>
    <s v="Yes"/>
    <x v="0"/>
    <x v="1"/>
    <x v="1"/>
    <x v="0"/>
    <n v="377.61"/>
    <x v="12"/>
    <x v="1"/>
    <s v="Fees And Pricing"/>
    <s v="Yes"/>
    <s v="Fees And Pricing"/>
    <s v="Resolved"/>
    <n v="26"/>
    <s v="No drop-off"/>
    <n v="3"/>
    <n v="-19"/>
    <n v="44"/>
    <x v="0"/>
    <n v="1"/>
    <n v="1"/>
    <n v="0"/>
    <n v="0"/>
  </r>
  <r>
    <x v="43"/>
    <s v="USR-00110"/>
    <s v="SES-2508-22745"/>
    <x v="42"/>
    <s v="South West"/>
    <s v="Plymouth"/>
    <x v="0"/>
    <x v="1"/>
    <x v="1"/>
    <s v="Web"/>
    <s v="Desktop"/>
    <s v="&lt;3 months"/>
    <x v="0"/>
    <x v="5"/>
    <x v="0"/>
    <s v="Reactivated"/>
    <s v="No Experiment"/>
    <s v="Control"/>
    <n v="7"/>
    <n v="7"/>
    <n v="219"/>
    <s v="No"/>
    <x v="0"/>
    <x v="1"/>
    <x v="1"/>
    <x v="0"/>
    <n v="0"/>
    <x v="0"/>
    <x v="0"/>
    <s v="No Support Contact"/>
    <s v="No"/>
    <s v="No Support Contact"/>
    <s v="Not Applicable"/>
    <m/>
    <s v="No drop-off"/>
    <n v="4"/>
    <n v="11"/>
    <n v="39"/>
    <x v="1"/>
    <n v="1"/>
    <n v="1"/>
    <n v="0"/>
    <n v="1"/>
  </r>
  <r>
    <x v="44"/>
    <s v="USR-00085"/>
    <s v="SES-2503-58926"/>
    <x v="43"/>
    <s v="East England"/>
    <s v="Luton"/>
    <x v="5"/>
    <x v="4"/>
    <x v="1"/>
    <s v="Ios"/>
    <s v="Ipad"/>
    <s v="7-12 months"/>
    <x v="1"/>
    <x v="6"/>
    <x v="10"/>
    <s v="Repeat Use"/>
    <s v="No Experiment"/>
    <s v="Control"/>
    <n v="9"/>
    <n v="7"/>
    <n v="571"/>
    <s v="Yes"/>
    <x v="1"/>
    <x v="0"/>
    <x v="6"/>
    <x v="1"/>
    <n v="0"/>
    <x v="0"/>
    <x v="0"/>
    <s v="Feature Navigation"/>
    <s v="Yes"/>
    <s v="Feature Navigation"/>
    <s v="Resolved"/>
    <n v="25"/>
    <s v="Technical error"/>
    <n v="2"/>
    <n v="-24"/>
    <n v="1"/>
    <x v="0"/>
    <n v="0"/>
    <n v="0"/>
    <n v="1"/>
    <n v="0"/>
  </r>
  <r>
    <x v="45"/>
    <s v="USR-00792"/>
    <s v="SES-2604-58903"/>
    <x v="44"/>
    <s v="East England"/>
    <s v="Norwich"/>
    <x v="5"/>
    <x v="1"/>
    <x v="0"/>
    <s v="Ios"/>
    <s v="Iphone"/>
    <s v="3-6 months"/>
    <x v="3"/>
    <x v="5"/>
    <x v="8"/>
    <s v="Repeat Use"/>
    <s v="No Experiment"/>
    <s v="Control"/>
    <n v="5"/>
    <s v="5 steps"/>
    <n v="112"/>
    <s v="No"/>
    <x v="0"/>
    <x v="1"/>
    <x v="1"/>
    <x v="0"/>
    <n v="56.97"/>
    <x v="0"/>
    <x v="0"/>
    <s v="No Support Contact"/>
    <s v="No"/>
    <s v="No Support Contact"/>
    <s v="Not Applicable"/>
    <m/>
    <s v="No drop-off"/>
    <n v="4"/>
    <n v="37"/>
    <n v="64"/>
    <x v="0"/>
    <n v="1"/>
    <n v="1"/>
    <n v="0"/>
    <n v="0"/>
  </r>
  <r>
    <x v="46"/>
    <s v="USR-00557"/>
    <s v="SES-2602-11715"/>
    <x v="45"/>
    <s v="West Midlands"/>
    <s v="Wolverhampton"/>
    <x v="2"/>
    <x v="0"/>
    <x v="0"/>
    <s v="Android"/>
    <s v="Android Phone"/>
    <s v="2+ years"/>
    <x v="0"/>
    <x v="0"/>
    <x v="8"/>
    <s v="Trial/Exploration"/>
    <s v="No Experiment"/>
    <s v="Control"/>
    <n v="5"/>
    <n v="5"/>
    <n v="113"/>
    <s v="Unknown"/>
    <x v="0"/>
    <x v="1"/>
    <x v="1"/>
    <x v="0"/>
    <n v="10.08"/>
    <x v="0"/>
    <x v="0"/>
    <s v="No Support Contact"/>
    <s v="No"/>
    <s v="No Support Contact"/>
    <s v="Not Applicable"/>
    <m/>
    <s v="No drop-off"/>
    <n v="4"/>
    <n v="52"/>
    <n v="13"/>
    <x v="1"/>
    <n v="1"/>
    <n v="1"/>
    <n v="0"/>
    <n v="1"/>
  </r>
  <r>
    <x v="47"/>
    <s v="USR-00258"/>
    <s v="SES-2603-56281"/>
    <x v="46"/>
    <s v="West Midlands"/>
    <s v="Birmingham"/>
    <x v="5"/>
    <x v="4"/>
    <x v="0"/>
    <s v="Android"/>
    <s v="Android Phone"/>
    <s v="&lt;3 months"/>
    <x v="0"/>
    <x v="1"/>
    <x v="3"/>
    <s v="Reactivated"/>
    <s v="New Cta Copy"/>
    <s v="Control"/>
    <n v="6"/>
    <n v="6"/>
    <n v="136"/>
    <s v="No"/>
    <x v="1"/>
    <x v="1"/>
    <x v="1"/>
    <x v="1"/>
    <n v="0"/>
    <x v="0"/>
    <x v="0"/>
    <s v="No Support Contact"/>
    <s v="No"/>
    <s v="No Support Contact"/>
    <s v="Not Applicable"/>
    <m/>
    <s v="No drop-off"/>
    <n v="2"/>
    <n v="-27"/>
    <n v="13"/>
    <x v="0"/>
    <n v="0"/>
    <n v="0"/>
    <n v="0"/>
    <n v="0"/>
  </r>
  <r>
    <x v="48"/>
    <s v="USR-00336"/>
    <s v="SES-2506-22340"/>
    <x v="47"/>
    <s v="North West"/>
    <s v="Liverpool"/>
    <x v="3"/>
    <x v="0"/>
    <x v="1"/>
    <s v="Android"/>
    <s v="Android Phone"/>
    <s v="&lt;3 months"/>
    <x v="0"/>
    <x v="7"/>
    <x v="7"/>
    <s v="Repeat Use"/>
    <s v="Simplified Onboarding"/>
    <s v="Treatment"/>
    <n v="4"/>
    <n v="4"/>
    <n v="90"/>
    <s v="No"/>
    <x v="0"/>
    <x v="1"/>
    <x v="1"/>
    <x v="0"/>
    <n v="106.15"/>
    <x v="13"/>
    <x v="0"/>
    <s v="Transaction Failure"/>
    <s v="Yes"/>
    <s v="Transaction Failure"/>
    <s v="Resolved"/>
    <n v="33"/>
    <s v="No drop-off"/>
    <n v="5"/>
    <n v="58"/>
    <n v="31"/>
    <x v="1"/>
    <n v="1"/>
    <n v="1"/>
    <n v="0"/>
    <n v="1"/>
  </r>
  <r>
    <x v="49"/>
    <s v="USR-00234"/>
    <s v="SES-2501-96176"/>
    <x v="48"/>
    <s v="Northern Ireland"/>
    <s v="BELFAST"/>
    <x v="1"/>
    <x v="2"/>
    <x v="0"/>
    <s v="Ios"/>
    <s v="Ipad"/>
    <s v="7-12 months"/>
    <x v="0"/>
    <x v="4"/>
    <x v="0"/>
    <s v="Repeat Use"/>
    <s v="No Experiment"/>
    <s v="Control"/>
    <n v="7"/>
    <n v="7"/>
    <n v="177"/>
    <s v="No"/>
    <x v="1"/>
    <x v="1"/>
    <x v="1"/>
    <x v="1"/>
    <n v="0"/>
    <x v="0"/>
    <x v="0"/>
    <s v="No Support Contact"/>
    <s v="No"/>
    <s v="No Support Contact"/>
    <s v="Not Applicable"/>
    <m/>
    <s v="Instructions unclear"/>
    <n v="3"/>
    <n v="11"/>
    <n v="13"/>
    <x v="1"/>
    <n v="0"/>
    <n v="0"/>
    <n v="0"/>
    <n v="1"/>
  </r>
  <r>
    <x v="50"/>
    <s v="USR-00054"/>
    <s v="SES-2606-83302"/>
    <x v="49"/>
    <s v="East England"/>
    <s v="Cambridge"/>
    <x v="0"/>
    <x v="0"/>
    <x v="1"/>
    <s v="Web"/>
    <s v="Desktop"/>
    <s v="3-6 months"/>
    <x v="0"/>
    <x v="4"/>
    <x v="1"/>
    <s v="Repeat Use"/>
    <s v="Simplified Onboarding"/>
    <s v="Control"/>
    <n v="4"/>
    <n v="4"/>
    <n v="98"/>
    <s v="No"/>
    <x v="1"/>
    <x v="1"/>
    <x v="1"/>
    <x v="0"/>
    <n v="135.32"/>
    <x v="4"/>
    <x v="0"/>
    <s v="No Support Contact"/>
    <s v="No"/>
    <s v="No Support Contact"/>
    <s v="Not Applicable"/>
    <m/>
    <s v="No drop-off"/>
    <n v="4"/>
    <n v="21"/>
    <n v="38"/>
    <x v="0"/>
    <n v="0"/>
    <n v="1"/>
    <n v="0"/>
    <n v="0"/>
  </r>
  <r>
    <x v="51"/>
    <s v="USR-00576"/>
    <s v="SES-2508-75374"/>
    <x v="50"/>
    <s v="Wales"/>
    <s v="Wrexham"/>
    <x v="7"/>
    <x v="4"/>
    <x v="1"/>
    <s v="Web"/>
    <s v="Mobile Browser"/>
    <s v="1-2 years"/>
    <x v="1"/>
    <x v="6"/>
    <x v="5"/>
    <s v="Repeat Use"/>
    <s v="Simplified Onboarding"/>
    <s v="Control"/>
    <n v="8"/>
    <n v="8"/>
    <n v="200"/>
    <s v="No"/>
    <x v="1"/>
    <x v="0"/>
    <x v="7"/>
    <x v="1"/>
    <n v="0"/>
    <x v="0"/>
    <x v="0"/>
    <s v="No Support Contact"/>
    <s v="No"/>
    <s v="No Support Contact"/>
    <s v="Not Applicable"/>
    <m/>
    <s v="No drop-off"/>
    <n v="3"/>
    <n v="-19"/>
    <n v="40"/>
    <x v="1"/>
    <n v="0"/>
    <n v="0"/>
    <n v="1"/>
    <n v="1"/>
  </r>
  <r>
    <x v="52"/>
    <s v="USR-00473"/>
    <s v="SES-2601-17857"/>
    <x v="51"/>
    <s v="London"/>
    <s v="Camden"/>
    <x v="2"/>
    <x v="2"/>
    <x v="0"/>
    <s v="Ios"/>
    <s v="Iphone"/>
    <s v="2+ years"/>
    <x v="0"/>
    <x v="3"/>
    <x v="5"/>
    <s v="Repeat Use"/>
    <s v="New Cta Copy"/>
    <s v="Control"/>
    <n v="8"/>
    <n v="8"/>
    <n v="189"/>
    <s v="No"/>
    <x v="0"/>
    <x v="1"/>
    <x v="1"/>
    <x v="0"/>
    <n v="484.92"/>
    <x v="14"/>
    <x v="0"/>
    <s v="No Support Contact"/>
    <s v="No"/>
    <s v="No Support Contact"/>
    <s v="Not Applicable"/>
    <m/>
    <s v="No drop-off"/>
    <n v="3"/>
    <n v="16"/>
    <n v="55"/>
    <x v="0"/>
    <n v="1"/>
    <n v="1"/>
    <n v="0"/>
    <n v="0"/>
  </r>
  <r>
    <x v="53"/>
    <s v="USR-00571"/>
    <s v="SES-2508-69720"/>
    <x v="52"/>
    <s v="North West"/>
    <s v="Chester"/>
    <x v="2"/>
    <x v="0"/>
    <x v="1"/>
    <s v="Web"/>
    <s v="Desktop"/>
    <s v="7-12 months"/>
    <x v="0"/>
    <x v="1"/>
    <x v="9"/>
    <s v="Repeat Use"/>
    <s v="No Experiment"/>
    <s v="Control"/>
    <s v="5 steps"/>
    <n v="3"/>
    <n v="161"/>
    <s v="Yes"/>
    <x v="1"/>
    <x v="1"/>
    <x v="1"/>
    <x v="0"/>
    <n v="132.08000000000001"/>
    <x v="0"/>
    <x v="0"/>
    <s v="No Support Contact"/>
    <s v="No"/>
    <s v="No Support Contact"/>
    <s v="Not Applicable"/>
    <m/>
    <s v="Too many steps"/>
    <n v="3"/>
    <n v="18"/>
    <n v="53"/>
    <x v="1"/>
    <n v="0"/>
    <n v="1"/>
    <n v="0"/>
    <n v="1"/>
  </r>
  <r>
    <x v="54"/>
    <s v="USR-00182"/>
    <s v="SES-2504-51670"/>
    <x v="53"/>
    <s v="East England"/>
    <s v="Cambridge"/>
    <x v="0"/>
    <x v="1"/>
    <x v="0"/>
    <s v="Android"/>
    <s v="Android Phone"/>
    <s v="&lt;3 months"/>
    <x v="0"/>
    <x v="3"/>
    <x v="1"/>
    <s v="Repeat Use"/>
    <s v="No Experiment"/>
    <s v="Control"/>
    <n v="4"/>
    <n v="4"/>
    <n v="157"/>
    <s v="No"/>
    <x v="0"/>
    <x v="0"/>
    <x v="3"/>
    <x v="0"/>
    <n v="191.62"/>
    <x v="15"/>
    <x v="0"/>
    <s v="No Support Contact"/>
    <s v="No"/>
    <s v="No Support Contact"/>
    <s v="Not Applicable"/>
    <m/>
    <s v="No drop-off"/>
    <n v="3"/>
    <n v="40"/>
    <n v="19"/>
    <x v="1"/>
    <n v="1"/>
    <n v="1"/>
    <n v="1"/>
    <n v="1"/>
  </r>
  <r>
    <x v="55"/>
    <s v="USR-00707"/>
    <s v="SES-2601-31639"/>
    <x v="30"/>
    <s v="North East"/>
    <s v="Newcastle"/>
    <x v="2"/>
    <x v="3"/>
    <x v="1"/>
    <s v="Android"/>
    <s v="Android Phone"/>
    <s v="2+ years"/>
    <x v="0"/>
    <x v="0"/>
    <x v="10"/>
    <s v="Repeat Use"/>
    <s v="No Experiment"/>
    <s v="Control"/>
    <n v="9"/>
    <n v="9"/>
    <n v="168"/>
    <s v="No"/>
    <x v="1"/>
    <x v="1"/>
    <x v="1"/>
    <x v="1"/>
    <n v="0"/>
    <x v="0"/>
    <x v="0"/>
    <s v="Feature Navigation"/>
    <s v="Yes"/>
    <s v="Feature Navigation"/>
    <s v="Resolved"/>
    <n v="46"/>
    <s v="No drop-off"/>
    <n v="2"/>
    <n v="29"/>
    <n v="27"/>
    <x v="1"/>
    <n v="0"/>
    <n v="0"/>
    <n v="0"/>
    <n v="1"/>
  </r>
  <r>
    <x v="56"/>
    <s v="USR-00093"/>
    <s v="SES-2510-45337"/>
    <x v="54"/>
    <s v="Northern Ireland"/>
    <s v="Derry"/>
    <x v="0"/>
    <x v="2"/>
    <x v="0"/>
    <s v="Ios"/>
    <s v="Ipad"/>
    <s v="1-2 years"/>
    <x v="0"/>
    <x v="0"/>
    <x v="3"/>
    <s v="Reactivated"/>
    <s v="Fee Transparency Panel"/>
    <s v="Treatment"/>
    <s v="6 steps"/>
    <n v="4"/>
    <n v="176"/>
    <s v="Yes"/>
    <x v="1"/>
    <x v="1"/>
    <x v="1"/>
    <x v="2"/>
    <n v="0"/>
    <x v="0"/>
    <x v="0"/>
    <s v="No Support Contact"/>
    <s v="No"/>
    <s v="No Support Contact"/>
    <s v="Not Applicable"/>
    <m/>
    <s v="Privacy concern"/>
    <n v="3"/>
    <n v="12"/>
    <n v="41"/>
    <x v="1"/>
    <n v="0"/>
    <n v="0"/>
    <n v="0"/>
    <n v="1"/>
  </r>
  <r>
    <x v="57"/>
    <s v="USR-00423"/>
    <s v="SES-2510-27468"/>
    <x v="55"/>
    <s v="London"/>
    <s v="Southwark"/>
    <x v="2"/>
    <x v="0"/>
    <x v="1"/>
    <s v="Web"/>
    <s v="Desktop"/>
    <s v="1-2 years"/>
    <x v="0"/>
    <x v="2"/>
    <x v="5"/>
    <s v="Repeat Use"/>
    <s v="Fee Transparency Panel"/>
    <s v="Treatment"/>
    <n v="8"/>
    <n v="8"/>
    <n v="236"/>
    <s v="No"/>
    <x v="0"/>
    <x v="1"/>
    <x v="1"/>
    <x v="0"/>
    <n v="408.98"/>
    <x v="16"/>
    <x v="0"/>
    <s v="Feature Navigation"/>
    <s v="Yes"/>
    <s v="Feature Navigation"/>
    <s v="Unresolved"/>
    <n v="34"/>
    <s v="No drop-off"/>
    <n v="4"/>
    <n v="6"/>
    <n v="59"/>
    <x v="1"/>
    <n v="1"/>
    <n v="1"/>
    <n v="0"/>
    <n v="1"/>
  </r>
  <r>
    <x v="58"/>
    <s v="USR-00772"/>
    <s v="SES-2605-70098"/>
    <x v="56"/>
    <s v="North East"/>
    <s v="Sunderland"/>
    <x v="0"/>
    <x v="0"/>
    <x v="1"/>
    <s v="Ios"/>
    <s v="Iphone"/>
    <s v="7-12 months"/>
    <x v="1"/>
    <x v="1"/>
    <x v="3"/>
    <s v="Reactivated"/>
    <s v="No Experiment"/>
    <s v="Control"/>
    <n v="6"/>
    <n v="4"/>
    <n v="336"/>
    <s v="Yes"/>
    <x v="1"/>
    <x v="0"/>
    <x v="8"/>
    <x v="1"/>
    <n v="0"/>
    <x v="0"/>
    <x v="0"/>
    <s v="No Support Contact"/>
    <s v="No"/>
    <s v="No Support Contact"/>
    <s v="Not Applicable"/>
    <m/>
    <s v="Technical error"/>
    <n v="2"/>
    <n v="-39"/>
    <n v="7"/>
    <x v="0"/>
    <n v="0"/>
    <n v="0"/>
    <n v="1"/>
    <n v="0"/>
  </r>
  <r>
    <x v="59"/>
    <s v="USR-00434"/>
    <s v="SES-2603-76070"/>
    <x v="57"/>
    <s v="South East"/>
    <s v="Canterbury"/>
    <x v="2"/>
    <x v="2"/>
    <x v="1"/>
    <s v="Ios"/>
    <s v="Iphone"/>
    <s v="7-12 months"/>
    <x v="0"/>
    <x v="5"/>
    <x v="3"/>
    <s v="Trial/Exploration"/>
    <s v="No Experiment"/>
    <s v="Control"/>
    <n v="6"/>
    <n v="6"/>
    <n v="108"/>
    <s v="No"/>
    <x v="0"/>
    <x v="1"/>
    <x v="1"/>
    <x v="0"/>
    <n v="0"/>
    <x v="17"/>
    <x v="0"/>
    <s v="No Support Contact"/>
    <s v="No"/>
    <s v="No Support Contact"/>
    <s v="Not Applicable"/>
    <m/>
    <s v="No drop-off"/>
    <n v="5"/>
    <n v="-35"/>
    <n v="78"/>
    <x v="0"/>
    <n v="1"/>
    <n v="1"/>
    <n v="0"/>
    <n v="0"/>
  </r>
  <r>
    <x v="60"/>
    <s v="USR-00545"/>
    <s v="SES-2606-00001"/>
    <x v="58"/>
    <s v="London"/>
    <s v="Hammersmith"/>
    <x v="1"/>
    <x v="3"/>
    <x v="0"/>
    <s v="Ios"/>
    <s v="Iphone"/>
    <s v="&lt;3 months"/>
    <x v="0"/>
    <x v="7"/>
    <x v="1"/>
    <s v="Trial/Exploration"/>
    <s v="Contextual Help"/>
    <s v="Treatment"/>
    <n v="4"/>
    <n v="2"/>
    <n v="143"/>
    <s v="Yes"/>
    <x v="0"/>
    <x v="1"/>
    <x v="1"/>
    <x v="0"/>
    <n v="165.93"/>
    <x v="15"/>
    <x v="0"/>
    <s v="No Support Contact"/>
    <s v="No"/>
    <s v="No Support Contact"/>
    <s v="Not Applicable"/>
    <m/>
    <s v="No drop-off"/>
    <n v="4"/>
    <n v="30"/>
    <n v="39"/>
    <x v="1"/>
    <n v="1"/>
    <n v="1"/>
    <n v="0"/>
    <n v="1"/>
  </r>
  <r>
    <x v="61"/>
    <s v="USR-00031"/>
    <s v="SES-2511-30545"/>
    <x v="59"/>
    <s v="Scotland"/>
    <s v="Edinburgh"/>
    <x v="5"/>
    <x v="4"/>
    <x v="1"/>
    <s v="Android"/>
    <s v="Android Phone"/>
    <s v="7-12 months"/>
    <x v="0"/>
    <x v="6"/>
    <x v="5"/>
    <s v="Reactivated"/>
    <s v="Contextual Help"/>
    <s v="Control"/>
    <n v="8"/>
    <n v="8"/>
    <n v="229"/>
    <s v="No"/>
    <x v="0"/>
    <x v="1"/>
    <x v="1"/>
    <x v="0"/>
    <n v="436.3"/>
    <x v="18"/>
    <x v="0"/>
    <s v="No Support Contact"/>
    <s v="No"/>
    <s v="No Support Contact"/>
    <s v="Not Applicable"/>
    <m/>
    <s v="No drop-off"/>
    <n v="4"/>
    <n v="15"/>
    <n v="15"/>
    <x v="0"/>
    <n v="1"/>
    <n v="1"/>
    <n v="0"/>
    <n v="0"/>
  </r>
  <r>
    <x v="62"/>
    <s v="USR-00098"/>
    <s v="SES-2606-00002"/>
    <x v="60"/>
    <s v="London"/>
    <s v="Camden"/>
    <x v="1"/>
    <x v="3"/>
    <x v="1"/>
    <s v="Ios"/>
    <s v="Iphone"/>
    <s v="&lt;3 months"/>
    <x v="0"/>
    <x v="5"/>
    <x v="10"/>
    <s v="First Use"/>
    <s v="New Cta Copy"/>
    <s v="Treatment"/>
    <n v="9"/>
    <n v="9"/>
    <n v="322"/>
    <s v="Unknown"/>
    <x v="1"/>
    <x v="0"/>
    <x v="9"/>
    <x v="1"/>
    <n v="0"/>
    <x v="0"/>
    <x v="0"/>
    <s v="Fees And Pricing"/>
    <s v="Yes"/>
    <s v="Fees And Pricing"/>
    <s v="Resolved"/>
    <n v="18"/>
    <s v="Technical error"/>
    <n v="3"/>
    <n v="14"/>
    <n v="0"/>
    <x v="0"/>
    <n v="0"/>
    <n v="0"/>
    <n v="1"/>
    <n v="0"/>
  </r>
  <r>
    <x v="63"/>
    <s v="USR-00316"/>
    <s v="SES-2506-18621"/>
    <x v="61"/>
    <s v="Wales"/>
    <s v="Cardiff"/>
    <x v="2"/>
    <x v="5"/>
    <x v="0"/>
    <s v="Ios"/>
    <s v="Iphone"/>
    <s v="1-2 years"/>
    <x v="0"/>
    <x v="1"/>
    <x v="8"/>
    <s v="Repeat Use"/>
    <s v="No Experiment"/>
    <s v="Control"/>
    <n v="5"/>
    <n v="5"/>
    <n v="146"/>
    <s v="No"/>
    <x v="0"/>
    <x v="1"/>
    <x v="1"/>
    <x v="0"/>
    <n v="50.06"/>
    <x v="0"/>
    <x v="0"/>
    <s v="Account Verification"/>
    <s v="Yes"/>
    <s v="Account Verification"/>
    <s v="Unresolved"/>
    <n v="27"/>
    <s v="No drop-off"/>
    <n v="5"/>
    <n v="19"/>
    <s v="42 days"/>
    <x v="1"/>
    <n v="1"/>
    <n v="1"/>
    <n v="0"/>
    <n v="1"/>
  </r>
  <r>
    <x v="64"/>
    <s v="USR-00517"/>
    <s v="SES-2506-84864"/>
    <x v="62"/>
    <s v="North West"/>
    <s v="Manchester"/>
    <x v="0"/>
    <x v="3"/>
    <x v="1"/>
    <s v="Android"/>
    <s v="Android Phone"/>
    <s v="7-12 months"/>
    <x v="0"/>
    <x v="2"/>
    <x v="9"/>
    <s v="Repeat Use"/>
    <s v="No Experiment"/>
    <s v="Control"/>
    <n v="5"/>
    <n v="5"/>
    <n v="94"/>
    <s v="No"/>
    <x v="1"/>
    <x v="1"/>
    <x v="1"/>
    <x v="0"/>
    <n v="118.3"/>
    <x v="0"/>
    <x v="0"/>
    <s v="No Support Contact"/>
    <s v="No"/>
    <s v="No Support Contact"/>
    <s v="Not Applicable"/>
    <m/>
    <s v="No drop-off"/>
    <n v="4"/>
    <n v="18"/>
    <n v="53"/>
    <x v="0"/>
    <n v="0"/>
    <n v="1"/>
    <n v="0"/>
    <n v="0"/>
  </r>
  <r>
    <x v="65"/>
    <s v="USR-00851"/>
    <s v="SES-2504-85275"/>
    <x v="63"/>
    <s v="North West"/>
    <s v="Chester"/>
    <x v="0"/>
    <x v="5"/>
    <x v="1"/>
    <s v="Android"/>
    <s v="Android Phone"/>
    <s v="7-12 months"/>
    <x v="0"/>
    <x v="0"/>
    <x v="4"/>
    <s v="First Use"/>
    <s v="No Experiment"/>
    <s v="Control"/>
    <n v="6"/>
    <n v="6"/>
    <n v="148"/>
    <s v="No"/>
    <x v="0"/>
    <x v="1"/>
    <x v="1"/>
    <x v="0"/>
    <n v="0"/>
    <x v="0"/>
    <x v="0"/>
    <s v="Feature Navigation"/>
    <s v="Yes"/>
    <s v="Feature Navigation"/>
    <s v="Resolved"/>
    <n v="2"/>
    <s v="No drop-off"/>
    <n v="5"/>
    <n v="1"/>
    <n v="0"/>
    <x v="1"/>
    <n v="1"/>
    <n v="1"/>
    <n v="0"/>
    <n v="1"/>
  </r>
  <r>
    <x v="66"/>
    <s v="USR-00068"/>
    <s v="SES-2501-32494"/>
    <x v="64"/>
    <s v="Yorkshire &amp; Humber"/>
    <s v="Leeds"/>
    <x v="0"/>
    <x v="1"/>
    <x v="0"/>
    <s v="Android"/>
    <s v="Android Phone"/>
    <s v="7-12 months"/>
    <x v="0"/>
    <x v="4"/>
    <x v="5"/>
    <s v="Repeat Use"/>
    <s v="Contextual Help"/>
    <s v="Control"/>
    <n v="8"/>
    <n v="8"/>
    <n v="255"/>
    <s v="No"/>
    <x v="0"/>
    <x v="0"/>
    <x v="10"/>
    <x v="1"/>
    <n v="0"/>
    <x v="0"/>
    <x v="0"/>
    <s v="Feature Navigation"/>
    <s v="Yes"/>
    <s v="Feature Navigation"/>
    <s v="Resolved"/>
    <m/>
    <s v="No drop-off"/>
    <n v="4"/>
    <n v="11"/>
    <n v="27"/>
    <x v="1"/>
    <n v="1"/>
    <n v="0"/>
    <n v="1"/>
    <n v="1"/>
  </r>
  <r>
    <x v="67"/>
    <s v="USR-00789"/>
    <s v="SES-2605-82715"/>
    <x v="65"/>
    <s v="Yorkshire &amp; Humber"/>
    <s v="Hull"/>
    <x v="3"/>
    <x v="1"/>
    <x v="1"/>
    <s v="Android"/>
    <s v="Android Phone"/>
    <s v="&lt;3 months"/>
    <x v="0"/>
    <x v="5"/>
    <x v="10"/>
    <s v="First Use"/>
    <s v="No Experiment"/>
    <s v="Control"/>
    <n v="9"/>
    <n v="9"/>
    <n v="283"/>
    <s v="No"/>
    <x v="0"/>
    <x v="0"/>
    <x v="9"/>
    <x v="1"/>
    <n v="0"/>
    <x v="0"/>
    <x v="0"/>
    <s v="Transaction Failure"/>
    <s v="Yes"/>
    <s v="Transaction Failure"/>
    <s v="Unresolved"/>
    <n v="25"/>
    <s v="No drop-off"/>
    <n v="2"/>
    <n v="-53"/>
    <n v="0"/>
    <x v="1"/>
    <n v="1"/>
    <n v="0"/>
    <n v="1"/>
    <n v="1"/>
  </r>
  <r>
    <x v="68"/>
    <s v="USR-00595"/>
    <s v="SES-2511-58587"/>
    <x v="66"/>
    <s v="North East"/>
    <s v="Sunderland"/>
    <x v="0"/>
    <x v="1"/>
    <x v="0"/>
    <s v="Android"/>
    <s v="Android Phone"/>
    <s v="7-12 months"/>
    <x v="0"/>
    <x v="4"/>
    <x v="10"/>
    <s v="Repeat Use"/>
    <s v="No Experiment"/>
    <s v="Control"/>
    <n v="9"/>
    <s v="9 steps"/>
    <n v="217"/>
    <s v="No"/>
    <x v="0"/>
    <x v="1"/>
    <x v="1"/>
    <x v="0"/>
    <n v="171.19"/>
    <x v="19"/>
    <x v="0"/>
    <s v="No Support Contact"/>
    <s v="No"/>
    <s v="No Support Contact"/>
    <s v="Not Applicable"/>
    <m/>
    <s v="No drop-off"/>
    <n v="3"/>
    <n v="12"/>
    <n v="36"/>
    <x v="1"/>
    <n v="1"/>
    <n v="1"/>
    <n v="0"/>
    <n v="1"/>
  </r>
  <r>
    <x v="69"/>
    <s v="USR-00492"/>
    <s v="SES-2505-91321"/>
    <x v="67"/>
    <s v="South West"/>
    <s v="Bath"/>
    <x v="0"/>
    <x v="0"/>
    <x v="0"/>
    <s v="Android"/>
    <s v="Android Phone"/>
    <s v="2+ years"/>
    <x v="0"/>
    <x v="4"/>
    <x v="1"/>
    <s v="Trial/Exploration"/>
    <s v="No Experiment"/>
    <s v="Control"/>
    <n v="4"/>
    <n v="4"/>
    <n v="83"/>
    <s v="No"/>
    <x v="0"/>
    <x v="1"/>
    <x v="1"/>
    <x v="0"/>
    <n v="219.17"/>
    <x v="8"/>
    <x v="0"/>
    <s v="No Support Contact"/>
    <s v="No"/>
    <s v="No Support Contact"/>
    <s v="Not Applicable"/>
    <m/>
    <s v="No drop-off"/>
    <n v="3"/>
    <n v="33"/>
    <n v="22"/>
    <x v="1"/>
    <n v="1"/>
    <n v="1"/>
    <n v="0"/>
    <n v="1"/>
  </r>
  <r>
    <x v="70"/>
    <s v="USR-00001"/>
    <s v="SES-2605-29528"/>
    <x v="7"/>
    <s v="South West"/>
    <s v="Exeter"/>
    <x v="0"/>
    <x v="3"/>
    <x v="0"/>
    <s v="Android"/>
    <s v="Android Phone"/>
    <s v="1-2 years"/>
    <x v="0"/>
    <x v="0"/>
    <x v="1"/>
    <s v="Repeat Use"/>
    <s v="New Cta Copy"/>
    <s v="Control"/>
    <n v="4"/>
    <n v="2"/>
    <n v="152"/>
    <s v="Yes"/>
    <x v="0"/>
    <x v="1"/>
    <x v="1"/>
    <x v="0"/>
    <n v="150.85"/>
    <x v="0"/>
    <x v="0"/>
    <s v="No Support Contact"/>
    <s v="No"/>
    <s v="No Support Contact"/>
    <s v="Not Applicable"/>
    <m/>
    <s v="No drop-off"/>
    <n v="3"/>
    <n v="31"/>
    <n v="12"/>
    <x v="0"/>
    <n v="1"/>
    <n v="1"/>
    <n v="0"/>
    <n v="0"/>
  </r>
  <r>
    <x v="71"/>
    <s v="USR-00443"/>
    <s v="SES-2501-86022"/>
    <x v="68"/>
    <s v="North West"/>
    <s v="Preston"/>
    <x v="0"/>
    <x v="0"/>
    <x v="1"/>
    <s v="Web"/>
    <s v="Desktop"/>
    <s v="1-2 years"/>
    <x v="0"/>
    <x v="4"/>
    <x v="0"/>
    <s v="First Use"/>
    <s v="Fee Transparency Panel"/>
    <s v="Control"/>
    <n v="7"/>
    <n v="7"/>
    <n v="252"/>
    <s v="No"/>
    <x v="1"/>
    <x v="0"/>
    <x v="11"/>
    <x v="1"/>
    <n v="0"/>
    <x v="0"/>
    <x v="0"/>
    <s v="No Support Contact"/>
    <s v="No"/>
    <s v="No Support Contact"/>
    <s v="Not Applicable"/>
    <m/>
    <s v="Technical error"/>
    <n v="2"/>
    <n v="-14"/>
    <s v="0 days"/>
    <x v="1"/>
    <n v="0"/>
    <n v="0"/>
    <n v="1"/>
    <n v="1"/>
  </r>
  <r>
    <x v="72"/>
    <s v="USR-00818"/>
    <s v="SES-2507-20926"/>
    <x v="69"/>
    <s v="South West"/>
    <s v="Bristol"/>
    <x v="7"/>
    <x v="4"/>
    <x v="0"/>
    <s v="Ios"/>
    <s v="Iphone"/>
    <s v="7-12 months"/>
    <x v="1"/>
    <x v="0"/>
    <x v="4"/>
    <s v="Repeat Use"/>
    <s v="No Experiment"/>
    <s v="Control"/>
    <n v="6"/>
    <n v="6"/>
    <n v="131"/>
    <s v="No"/>
    <x v="1"/>
    <x v="1"/>
    <x v="1"/>
    <x v="1"/>
    <n v="0"/>
    <x v="0"/>
    <x v="0"/>
    <s v="No Support Contact"/>
    <s v="No"/>
    <s v="No Support Contact"/>
    <s v="Not Applicable"/>
    <m/>
    <s v="No drop-off"/>
    <n v="4"/>
    <n v="17"/>
    <n v="30"/>
    <x v="0"/>
    <n v="0"/>
    <n v="0"/>
    <n v="0"/>
    <n v="0"/>
  </r>
  <r>
    <x v="73"/>
    <s v="USR-00386"/>
    <s v="SES-2602-62194"/>
    <x v="70"/>
    <s v="East England"/>
    <s v="Ipswich"/>
    <x v="1"/>
    <x v="3"/>
    <x v="1"/>
    <s v="Android"/>
    <s v="Android Phone"/>
    <s v="1-2 years"/>
    <x v="0"/>
    <x v="0"/>
    <x v="3"/>
    <s v="Repeat Use"/>
    <s v="New Cta Copy"/>
    <s v="Control"/>
    <n v="6"/>
    <n v="6"/>
    <n v="180"/>
    <s v="No"/>
    <x v="0"/>
    <x v="1"/>
    <x v="1"/>
    <x v="1"/>
    <n v="0"/>
    <x v="0"/>
    <x v="0"/>
    <s v="No Support Contact"/>
    <s v="No"/>
    <s v="No Support Contact"/>
    <s v="Not Applicable"/>
    <m/>
    <s v="No drop-off"/>
    <n v="3"/>
    <n v="15"/>
    <n v="34"/>
    <x v="1"/>
    <n v="1"/>
    <n v="0"/>
    <n v="0"/>
    <n v="1"/>
  </r>
  <r>
    <x v="74"/>
    <s v="USR-00745"/>
    <s v="SES-2501-63110"/>
    <x v="71"/>
    <s v="South West"/>
    <s v="Gloucester"/>
    <x v="0"/>
    <x v="2"/>
    <x v="0"/>
    <s v="Android"/>
    <s v="Unknown"/>
    <s v="3-6 months"/>
    <x v="1"/>
    <x v="7"/>
    <x v="10"/>
    <s v="Trial/Exploration"/>
    <s v="No Experiment"/>
    <s v="Control"/>
    <n v="9"/>
    <n v="9"/>
    <n v="191"/>
    <s v="No"/>
    <x v="1"/>
    <x v="1"/>
    <x v="1"/>
    <x v="0"/>
    <n v="168.28"/>
    <x v="18"/>
    <x v="1"/>
    <s v="No Support Contact"/>
    <s v="No"/>
    <s v="No Support Contact"/>
    <s v="Not Applicable"/>
    <m/>
    <s v="Instructions unclear"/>
    <n v="4"/>
    <n v="5"/>
    <n v="36"/>
    <x v="0"/>
    <n v="0"/>
    <n v="1"/>
    <n v="0"/>
    <n v="0"/>
  </r>
  <r>
    <x v="75"/>
    <s v="USR-00420"/>
    <s v="SES-2505-40438"/>
    <x v="72"/>
    <s v="East England"/>
    <s v="Norwich"/>
    <x v="2"/>
    <x v="1"/>
    <x v="1"/>
    <s v="Ios"/>
    <s v="Iphone"/>
    <s v="7-12 months"/>
    <x v="3"/>
    <x v="1"/>
    <x v="7"/>
    <s v="Trial/Exploration"/>
    <s v="Progress Indicator"/>
    <s v="Treatment"/>
    <n v="4"/>
    <n v="4"/>
    <n v="91"/>
    <s v="No"/>
    <x v="0"/>
    <x v="1"/>
    <x v="1"/>
    <x v="0"/>
    <n v="81.63"/>
    <x v="20"/>
    <x v="0"/>
    <s v="No Support Contact"/>
    <s v="No"/>
    <s v="No Support Contact"/>
    <s v="Not Applicable"/>
    <m/>
    <s v="No drop-off"/>
    <n v="4"/>
    <n v="29"/>
    <n v="18"/>
    <x v="1"/>
    <n v="1"/>
    <n v="1"/>
    <n v="0"/>
    <n v="1"/>
  </r>
  <r>
    <x v="76"/>
    <s v="USR-00623"/>
    <s v="SES-2603-91519"/>
    <x v="15"/>
    <s v="Scotland"/>
    <s v="Aberdeen"/>
    <x v="5"/>
    <x v="0"/>
    <x v="1"/>
    <s v="Ios"/>
    <s v="Iphone"/>
    <s v="1-2 years"/>
    <x v="2"/>
    <x v="4"/>
    <x v="3"/>
    <s v="First Use"/>
    <s v="No Experiment"/>
    <s v="Control"/>
    <n v="6"/>
    <n v="5"/>
    <n v="183"/>
    <s v="Yes"/>
    <x v="1"/>
    <x v="1"/>
    <x v="1"/>
    <x v="0"/>
    <n v="69.44"/>
    <x v="17"/>
    <x v="2"/>
    <s v="No Support Contact"/>
    <s v="No"/>
    <s v="No Support Contact"/>
    <s v="Not Applicable"/>
    <m/>
    <s v="Unexpected fee"/>
    <n v="2"/>
    <n v="-3"/>
    <s v="0 days"/>
    <x v="1"/>
    <n v="0"/>
    <n v="1"/>
    <n v="0"/>
    <n v="1"/>
  </r>
  <r>
    <x v="77"/>
    <s v="USR-00188"/>
    <s v="SES-2504-71626"/>
    <x v="73"/>
    <s v="South West"/>
    <s v="Gloucester"/>
    <x v="2"/>
    <x v="1"/>
    <x v="0"/>
    <s v="Web"/>
    <s v="Desktop"/>
    <s v="2+ years"/>
    <x v="0"/>
    <x v="2"/>
    <x v="2"/>
    <s v="Trial/Exploration"/>
    <s v="Simplified Onboarding"/>
    <s v="Control"/>
    <n v="5"/>
    <s v="N/A"/>
    <n v="148"/>
    <s v="No"/>
    <x v="0"/>
    <x v="1"/>
    <x v="1"/>
    <x v="0"/>
    <n v="113.18"/>
    <x v="0"/>
    <x v="0"/>
    <s v="No Support Contact"/>
    <s v="No"/>
    <s v="No Support Contact"/>
    <s v="Not Applicable"/>
    <m/>
    <s v="No drop-off"/>
    <n v="5"/>
    <n v="49"/>
    <n v="49"/>
    <x v="1"/>
    <n v="1"/>
    <n v="1"/>
    <n v="0"/>
    <n v="1"/>
  </r>
  <r>
    <x v="78"/>
    <s v="USR-00546"/>
    <s v="SES-2508-95867"/>
    <x v="74"/>
    <s v="North West"/>
    <s v="Chester"/>
    <x v="0"/>
    <x v="0"/>
    <x v="1"/>
    <s v="Web"/>
    <s v="Desktop"/>
    <s v="1-2 years"/>
    <x v="0"/>
    <x v="1"/>
    <x v="1"/>
    <s v="Trial/Exploration"/>
    <s v="No Experiment"/>
    <s v="Control"/>
    <n v="4"/>
    <n v="4"/>
    <n v="93"/>
    <s v="No"/>
    <x v="1"/>
    <x v="0"/>
    <x v="12"/>
    <x v="1"/>
    <n v="0"/>
    <x v="0"/>
    <x v="0"/>
    <s v="No Support Contact"/>
    <s v="No"/>
    <s v="No Support Contact"/>
    <s v="Not Applicable"/>
    <m/>
    <s v="No drop-off"/>
    <n v="2"/>
    <n v="-8"/>
    <n v="58"/>
    <x v="1"/>
    <n v="0"/>
    <n v="0"/>
    <n v="1"/>
    <n v="1"/>
  </r>
  <r>
    <x v="79"/>
    <s v="USR-00273"/>
    <s v="SES-2507-55601"/>
    <x v="75"/>
    <s v="East Midlands"/>
    <s v="Derby"/>
    <x v="3"/>
    <x v="0"/>
    <x v="1"/>
    <s v="Android"/>
    <s v="Android Phone"/>
    <s v="7-12 months"/>
    <x v="0"/>
    <x v="5"/>
    <x v="2"/>
    <s v="Repeat Use"/>
    <s v="No Experiment"/>
    <s v="Control"/>
    <n v="5"/>
    <n v="5"/>
    <n v="110"/>
    <s v="No"/>
    <x v="1"/>
    <x v="1"/>
    <x v="1"/>
    <x v="1"/>
    <n v="0"/>
    <x v="0"/>
    <x v="0"/>
    <s v="No Support Contact"/>
    <s v="No"/>
    <s v="No Support Contact"/>
    <s v="Not Applicable"/>
    <m/>
    <s v="No drop-off"/>
    <n v="5"/>
    <n v="-14"/>
    <n v="1"/>
    <x v="1"/>
    <n v="0"/>
    <n v="0"/>
    <n v="0"/>
    <n v="1"/>
  </r>
  <r>
    <x v="80"/>
    <s v="USR-00049"/>
    <s v="SES-2604-35192"/>
    <x v="76"/>
    <s v="East Midlands"/>
    <s v="Nottingham"/>
    <x v="1"/>
    <x v="0"/>
    <x v="1"/>
    <s v="Ios"/>
    <s v="Iphone"/>
    <s v="7-12 months"/>
    <x v="0"/>
    <x v="1"/>
    <x v="8"/>
    <s v="Repeat Use"/>
    <s v="New Cta Copy"/>
    <s v="Control"/>
    <n v="5"/>
    <s v="5 steps"/>
    <n v="171"/>
    <s v="No"/>
    <x v="0"/>
    <x v="0"/>
    <x v="13"/>
    <x v="1"/>
    <n v="0"/>
    <x v="0"/>
    <x v="0"/>
    <s v="No Support Contact"/>
    <s v="No"/>
    <s v="No Support Contact"/>
    <s v="Not Applicable"/>
    <m/>
    <s v="No drop-off"/>
    <n v="4"/>
    <n v="-48"/>
    <s v="1 days"/>
    <x v="1"/>
    <n v="1"/>
    <n v="0"/>
    <n v="1"/>
    <n v="1"/>
  </r>
  <r>
    <x v="81"/>
    <s v="USR-00856"/>
    <s v="SES-2508-20135"/>
    <x v="52"/>
    <s v="Scotland"/>
    <s v="Glasgow"/>
    <x v="0"/>
    <x v="0"/>
    <x v="2"/>
    <s v="Android"/>
    <s v="Android Phone"/>
    <s v="7-12 months"/>
    <x v="1"/>
    <x v="2"/>
    <x v="2"/>
    <s v="Repeat Use"/>
    <s v="No Experiment"/>
    <s v="Control"/>
    <n v="5"/>
    <n v="5"/>
    <n v="110"/>
    <s v="No"/>
    <x v="1"/>
    <x v="1"/>
    <x v="1"/>
    <x v="1"/>
    <n v="0"/>
    <x v="0"/>
    <x v="0"/>
    <s v="Feature Navigation"/>
    <s v="Yes"/>
    <s v="Feature Navigation"/>
    <s v="Resolved"/>
    <n v="33"/>
    <m/>
    <n v="4"/>
    <n v="2"/>
    <s v="12 days"/>
    <x v="1"/>
    <n v="0"/>
    <n v="0"/>
    <n v="0"/>
    <n v="1"/>
  </r>
  <r>
    <x v="82"/>
    <s v="USR-00637"/>
    <s v="SES-2604-76661"/>
    <x v="19"/>
    <s v="Wales"/>
    <s v="Wrexham"/>
    <x v="3"/>
    <x v="0"/>
    <x v="1"/>
    <s v="Ios"/>
    <s v="Iphone"/>
    <s v="&lt;3 months"/>
    <x v="0"/>
    <x v="0"/>
    <x v="8"/>
    <s v="Repeat Use"/>
    <s v="Fee Transparency Panel"/>
    <s v="Treatment"/>
    <n v="5"/>
    <n v="5"/>
    <n v="149"/>
    <s v="No"/>
    <x v="0"/>
    <x v="1"/>
    <x v="1"/>
    <x v="0"/>
    <n v="63.91"/>
    <x v="0"/>
    <x v="0"/>
    <s v="No Support Contact"/>
    <s v="No"/>
    <s v="No Support Contact"/>
    <s v="Not Applicable"/>
    <m/>
    <s v="No drop-off"/>
    <n v="5"/>
    <n v="61"/>
    <n v="7"/>
    <x v="0"/>
    <n v="1"/>
    <n v="1"/>
    <n v="0"/>
    <n v="0"/>
  </r>
  <r>
    <x v="83"/>
    <s v="USR-00606"/>
    <s v="SES-2510-37294"/>
    <x v="77"/>
    <s v="London"/>
    <s v="Camden"/>
    <x v="3"/>
    <x v="1"/>
    <x v="0"/>
    <s v="Ios"/>
    <s v="Iphone"/>
    <s v="&lt;3 months"/>
    <x v="0"/>
    <x v="6"/>
    <x v="0"/>
    <s v="Reactivated"/>
    <s v="Progress Indicator"/>
    <s v="Treatment"/>
    <n v="7"/>
    <n v="6"/>
    <n v="254"/>
    <s v="Yes"/>
    <x v="1"/>
    <x v="1"/>
    <x v="1"/>
    <x v="0"/>
    <n v="0"/>
    <x v="0"/>
    <x v="0"/>
    <s v="No Support Contact"/>
    <s v="No"/>
    <s v="No Support Contact"/>
    <s v="Not Applicable"/>
    <m/>
    <s v="Too many steps"/>
    <n v="2"/>
    <n v="-20"/>
    <n v="57"/>
    <x v="1"/>
    <n v="0"/>
    <n v="1"/>
    <n v="0"/>
    <n v="1"/>
  </r>
  <r>
    <x v="84"/>
    <s v="USR-00573"/>
    <s v="SES-2605-97120"/>
    <x v="78"/>
    <s v="Wales"/>
    <s v="Cardiff"/>
    <x v="2"/>
    <x v="2"/>
    <x v="1"/>
    <s v="Ios"/>
    <s v="Iphone"/>
    <s v="1-2 years"/>
    <x v="0"/>
    <x v="0"/>
    <x v="0"/>
    <s v="Reactivated"/>
    <s v="Fee Transparency Panel"/>
    <s v="Treatment"/>
    <n v="7"/>
    <n v="7"/>
    <n v="166"/>
    <s v="No"/>
    <x v="1"/>
    <x v="1"/>
    <x v="1"/>
    <x v="0"/>
    <n v="0"/>
    <x v="0"/>
    <x v="0"/>
    <s v="No Support Contact"/>
    <s v="No"/>
    <s v="No Support Contact"/>
    <s v="Not Applicable"/>
    <m/>
    <s v="No drop-off"/>
    <n v="3"/>
    <n v="-14"/>
    <n v="9"/>
    <x v="0"/>
    <n v="0"/>
    <n v="1"/>
    <n v="0"/>
    <n v="0"/>
  </r>
  <r>
    <x v="85"/>
    <s v="USR-00798"/>
    <s v="SES-2510-81985"/>
    <x v="79"/>
    <s v="North West"/>
    <s v="Manchester"/>
    <x v="2"/>
    <x v="5"/>
    <x v="1"/>
    <s v="Web"/>
    <s v="Mobile Browser"/>
    <s v="1-2 years"/>
    <x v="0"/>
    <x v="6"/>
    <x v="3"/>
    <s v="Reactivated"/>
    <s v="New Cta Copy"/>
    <s v="Treatment"/>
    <n v="6"/>
    <n v="6"/>
    <n v="157"/>
    <s v="No"/>
    <x v="0"/>
    <x v="1"/>
    <x v="1"/>
    <x v="0"/>
    <n v="69.569999999999993"/>
    <x v="2"/>
    <x v="0"/>
    <s v="No Support Contact"/>
    <s v="No"/>
    <s v="No Support Contact"/>
    <s v="Not Applicable"/>
    <m/>
    <s v="No drop-off"/>
    <n v="4"/>
    <n v="-8"/>
    <n v="56"/>
    <x v="1"/>
    <n v="1"/>
    <n v="1"/>
    <n v="0"/>
    <n v="1"/>
  </r>
  <r>
    <x v="86"/>
    <s v="USR-00025"/>
    <s v="SES-2509-17644"/>
    <x v="80"/>
    <s v="South West"/>
    <s v="Plymouth"/>
    <x v="5"/>
    <x v="0"/>
    <x v="1"/>
    <s v="Android"/>
    <s v="Android Phone"/>
    <s v="1-2 years"/>
    <x v="0"/>
    <x v="6"/>
    <x v="1"/>
    <s v="Reactivated"/>
    <s v="Simplified Onboarding"/>
    <s v="Control"/>
    <s v="4 steps"/>
    <n v="4"/>
    <n v="90"/>
    <s v="No"/>
    <x v="1"/>
    <x v="0"/>
    <x v="14"/>
    <x v="1"/>
    <n v="0"/>
    <x v="0"/>
    <x v="0"/>
    <s v="No Support Contact"/>
    <s v="No"/>
    <s v="No Support Contact"/>
    <s v="Not Applicable"/>
    <m/>
    <s v="Too many steps"/>
    <n v="3"/>
    <n v="-2"/>
    <n v="1"/>
    <x v="0"/>
    <n v="0"/>
    <n v="0"/>
    <n v="1"/>
    <n v="0"/>
  </r>
  <r>
    <x v="87"/>
    <s v="USR-00026"/>
    <s v="SES-2601-65874"/>
    <x v="51"/>
    <s v="Yorkshire &amp; Humber"/>
    <s v="Leeds"/>
    <x v="4"/>
    <x v="2"/>
    <x v="0"/>
    <s v="Android"/>
    <s v="Android Phone"/>
    <s v="1-2 years"/>
    <x v="0"/>
    <x v="1"/>
    <x v="8"/>
    <s v="Trial/Exploration"/>
    <s v="No Experiment"/>
    <s v="Control"/>
    <n v="5"/>
    <n v="4"/>
    <n v="191"/>
    <s v="Yes"/>
    <x v="1"/>
    <x v="1"/>
    <x v="1"/>
    <x v="0"/>
    <n v="59.68"/>
    <x v="0"/>
    <x v="0"/>
    <s v="No Support Contact"/>
    <s v="No"/>
    <s v="No Support Contact"/>
    <s v="Not Applicable"/>
    <m/>
    <s v="Unexpected fee"/>
    <n v="2"/>
    <n v="-13"/>
    <n v="29"/>
    <x v="1"/>
    <n v="0"/>
    <n v="1"/>
    <n v="0"/>
    <n v="1"/>
  </r>
  <r>
    <x v="88"/>
    <s v="USR-00557"/>
    <s v="SES-2505-72472"/>
    <x v="81"/>
    <s v="West Midlands"/>
    <s v="Wolverhampton"/>
    <x v="0"/>
    <x v="2"/>
    <x v="0"/>
    <s v="Ios"/>
    <s v="Iphone"/>
    <s v="1-2 years"/>
    <x v="0"/>
    <x v="4"/>
    <x v="10"/>
    <s v="Repeat Use"/>
    <s v="No Experiment"/>
    <s v="Control"/>
    <n v="9"/>
    <n v="8"/>
    <n v="267"/>
    <s v="Yes"/>
    <x v="0"/>
    <x v="1"/>
    <x v="1"/>
    <x v="0"/>
    <n v="160.61000000000001"/>
    <x v="21"/>
    <x v="0"/>
    <s v="No Support Contact"/>
    <s v="No"/>
    <s v="No Support Contact"/>
    <s v="N/A"/>
    <m/>
    <s v="No drop-off"/>
    <n v="2"/>
    <n v="-8"/>
    <s v="1 days"/>
    <x v="1"/>
    <n v="1"/>
    <n v="1"/>
    <n v="0"/>
    <n v="1"/>
  </r>
  <r>
    <x v="89"/>
    <s v="USR-00759"/>
    <s v="SES-2508-62978"/>
    <x v="50"/>
    <s v="Northern Ireland"/>
    <m/>
    <x v="0"/>
    <x v="1"/>
    <x v="1"/>
    <s v="Ios"/>
    <s v="Iphone"/>
    <s v="7-12 months"/>
    <x v="1"/>
    <x v="7"/>
    <x v="10"/>
    <s v="Repeat Use"/>
    <s v="No Experiment"/>
    <s v="Control"/>
    <n v="9"/>
    <n v="9"/>
    <n v="394"/>
    <s v="No"/>
    <x v="0"/>
    <x v="0"/>
    <x v="9"/>
    <x v="1"/>
    <n v="0"/>
    <x v="0"/>
    <x v="0"/>
    <s v="Account Verification"/>
    <s v="Yes"/>
    <s v="Account Verification"/>
    <s v="Resolved"/>
    <n v="11"/>
    <s v="No drop-off"/>
    <n v="3"/>
    <n v="-28"/>
    <n v="19"/>
    <x v="1"/>
    <n v="1"/>
    <n v="0"/>
    <n v="1"/>
    <n v="1"/>
  </r>
  <r>
    <x v="90"/>
    <s v="USR-00051"/>
    <s v="SES-2604-79425"/>
    <x v="82"/>
    <s v="West Midlands"/>
    <s v="Solihull"/>
    <x v="5"/>
    <x v="4"/>
    <x v="1"/>
    <s v="Android"/>
    <s v="Android Phone"/>
    <s v="3-6 months"/>
    <x v="0"/>
    <x v="1"/>
    <x v="2"/>
    <s v="Repeat Use"/>
    <s v="No Experiment"/>
    <s v="Control"/>
    <n v="5"/>
    <n v="5"/>
    <n v="153"/>
    <s v="No"/>
    <x v="0"/>
    <x v="1"/>
    <x v="1"/>
    <x v="0"/>
    <n v="108.64"/>
    <x v="0"/>
    <x v="0"/>
    <s v="No Support Contact"/>
    <s v="No"/>
    <s v="No Support Contact"/>
    <s v="Not Applicable"/>
    <m/>
    <s v="No drop-off"/>
    <n v="4"/>
    <n v="33"/>
    <n v="26"/>
    <x v="1"/>
    <n v="1"/>
    <n v="1"/>
    <n v="0"/>
    <n v="1"/>
  </r>
  <r>
    <x v="91"/>
    <s v="USR-00187"/>
    <s v="SES-2509-76941"/>
    <x v="83"/>
    <s v="London"/>
    <s v="Croydon"/>
    <x v="3"/>
    <x v="0"/>
    <x v="0"/>
    <s v="Web"/>
    <s v="Mobile Browser"/>
    <s v="1-2 years"/>
    <x v="0"/>
    <x v="4"/>
    <x v="7"/>
    <s v="Repeat Use"/>
    <s v="No Experiment"/>
    <s v="Control"/>
    <n v="4"/>
    <n v="4"/>
    <n v="102"/>
    <s v="No"/>
    <x v="1"/>
    <x v="1"/>
    <x v="1"/>
    <x v="0"/>
    <n v="64.7"/>
    <x v="22"/>
    <x v="0"/>
    <s v="Transaction Failure"/>
    <s v="Yes"/>
    <s v="Transaction Failure"/>
    <s v="Resolved"/>
    <n v="25"/>
    <s v="Instructions unclear"/>
    <n v="4"/>
    <n v="12"/>
    <s v="41 days"/>
    <x v="1"/>
    <n v="0"/>
    <n v="1"/>
    <n v="0"/>
    <n v="1"/>
  </r>
  <r>
    <x v="92"/>
    <s v="USR-00065"/>
    <s v="SES-2502-20388"/>
    <x v="84"/>
    <s v="Scotland"/>
    <s v="Glasgow"/>
    <x v="2"/>
    <x v="0"/>
    <x v="1"/>
    <s v="Android"/>
    <s v="Android Phone"/>
    <s v="7-12 months"/>
    <x v="0"/>
    <x v="0"/>
    <x v="9"/>
    <s v="Reactivated"/>
    <s v="No Experiment"/>
    <s v="Control"/>
    <n v="5"/>
    <n v="5"/>
    <n v="120"/>
    <s v="No"/>
    <x v="0"/>
    <x v="1"/>
    <x v="1"/>
    <x v="1"/>
    <n v="0"/>
    <x v="0"/>
    <x v="0"/>
    <s v="No Support Contact"/>
    <s v="No"/>
    <s v="No Support Contact"/>
    <s v="Not Applicable"/>
    <m/>
    <s v="No drop-off"/>
    <n v="4"/>
    <n v="22"/>
    <n v="3"/>
    <x v="1"/>
    <n v="1"/>
    <n v="0"/>
    <n v="0"/>
    <n v="1"/>
  </r>
  <r>
    <x v="93"/>
    <s v="USR-00088"/>
    <s v="SES-2506-49159"/>
    <x v="8"/>
    <s v="London"/>
    <s v="Camden"/>
    <x v="5"/>
    <x v="0"/>
    <x v="1"/>
    <s v="Android"/>
    <s v="Android Phone"/>
    <s v="7-12 months"/>
    <x v="0"/>
    <x v="1"/>
    <x v="0"/>
    <s v="Repeat Use"/>
    <s v="No Experiment"/>
    <s v="Control"/>
    <n v="7"/>
    <n v="6"/>
    <n v="211"/>
    <s v="Yes"/>
    <x v="0"/>
    <x v="1"/>
    <x v="1"/>
    <x v="0"/>
    <n v="0"/>
    <x v="0"/>
    <x v="0"/>
    <s v="No Support Contact"/>
    <s v="No"/>
    <s v="No Support Contact"/>
    <s v="Not Applicable"/>
    <m/>
    <s v="No drop-off"/>
    <n v="2"/>
    <n v="-11"/>
    <n v="49"/>
    <x v="1"/>
    <n v="1"/>
    <n v="1"/>
    <n v="0"/>
    <n v="1"/>
  </r>
  <r>
    <x v="94"/>
    <s v="usr-00109"/>
    <s v="SES-2502-50367"/>
    <x v="85"/>
    <s v="Scotland"/>
    <s v="Glasgow"/>
    <x v="3"/>
    <x v="0"/>
    <x v="1"/>
    <s v="Android"/>
    <s v="Android Phone"/>
    <s v="3-6 months"/>
    <x v="2"/>
    <x v="1"/>
    <x v="10"/>
    <s v="First Use"/>
    <s v="Simplified Onboarding"/>
    <s v="Control"/>
    <s v="9 steps"/>
    <s v="9 steps"/>
    <n v="347"/>
    <s v="No"/>
    <x v="1"/>
    <x v="0"/>
    <x v="9"/>
    <x v="1"/>
    <n v="0"/>
    <x v="0"/>
    <x v="0"/>
    <s v="No Support Contact"/>
    <s v="No"/>
    <s v="No Support Contact"/>
    <s v="Not Applicable"/>
    <m/>
    <s v="No drop-off"/>
    <n v="1"/>
    <n v="-26"/>
    <n v="0"/>
    <x v="0"/>
    <n v="0"/>
    <n v="0"/>
    <n v="1"/>
    <n v="0"/>
  </r>
  <r>
    <x v="95"/>
    <s v="USR-00373"/>
    <s v="SES-2501-17690"/>
    <x v="86"/>
    <s v="London"/>
    <s v="Southwark"/>
    <x v="1"/>
    <x v="5"/>
    <x v="0"/>
    <s v="Ios"/>
    <s v="Iphone"/>
    <s v="&lt;3 months"/>
    <x v="0"/>
    <x v="3"/>
    <x v="7"/>
    <s v="First Use"/>
    <s v="Simplified Onboarding"/>
    <s v="Treatment"/>
    <n v="4"/>
    <n v="4"/>
    <n v="112"/>
    <s v="No"/>
    <x v="0"/>
    <x v="1"/>
    <x v="1"/>
    <x v="0"/>
    <n v="103.07"/>
    <x v="23"/>
    <x v="0"/>
    <s v="No Support Contact"/>
    <s v="No"/>
    <s v="No Support Contact"/>
    <s v="Not Applicable"/>
    <m/>
    <s v="No drop-off"/>
    <n v="5"/>
    <n v="59"/>
    <n v="0"/>
    <x v="0"/>
    <n v="1"/>
    <n v="1"/>
    <n v="0"/>
    <n v="0"/>
  </r>
  <r>
    <x v="96"/>
    <s v="USR-00609"/>
    <s v="SES-2504-22001"/>
    <x v="33"/>
    <s v="Northern Ireland"/>
    <s v="Belfast"/>
    <x v="0"/>
    <x v="5"/>
    <x v="0"/>
    <s v="Android"/>
    <s v="Android Phone"/>
    <s v="3-6 months"/>
    <x v="2"/>
    <x v="4"/>
    <x v="3"/>
    <s v="Repeat Use"/>
    <s v="No Experiment"/>
    <s v="Control"/>
    <n v="6"/>
    <n v="6"/>
    <n v="169"/>
    <s v="No"/>
    <x v="1"/>
    <x v="0"/>
    <x v="15"/>
    <x v="1"/>
    <n v="0"/>
    <x v="0"/>
    <x v="0"/>
    <s v="No Support Contact"/>
    <s v="No"/>
    <s v="No Support Contact"/>
    <s v="Not Applicable"/>
    <m/>
    <s v="Technical error"/>
    <n v="2"/>
    <n v="21"/>
    <n v="21"/>
    <x v="1"/>
    <n v="0"/>
    <n v="0"/>
    <n v="1"/>
    <n v="1"/>
  </r>
  <r>
    <x v="97"/>
    <s v="USR-00096"/>
    <s v="SES-2606-90073"/>
    <x v="87"/>
    <s v="Wales"/>
    <s v="Swansea"/>
    <x v="3"/>
    <x v="0"/>
    <x v="3"/>
    <s v="Ios"/>
    <s v="Iphone"/>
    <s v="7-12 months"/>
    <x v="1"/>
    <x v="4"/>
    <x v="0"/>
    <s v="Trial/Exploration"/>
    <s v="New Cta Copy"/>
    <s v="Control"/>
    <n v="7"/>
    <n v="7"/>
    <n v="201"/>
    <s v="No"/>
    <x v="0"/>
    <x v="1"/>
    <x v="1"/>
    <x v="0"/>
    <n v="90.82"/>
    <x v="0"/>
    <x v="1"/>
    <s v="No Support Contact"/>
    <s v="No"/>
    <s v="No Support Contact"/>
    <s v="Not Applicable"/>
    <m/>
    <s v="No drop-off"/>
    <n v="4"/>
    <n v="-1"/>
    <n v="24"/>
    <x v="1"/>
    <n v="1"/>
    <n v="1"/>
    <n v="0"/>
    <n v="1"/>
  </r>
  <r>
    <x v="98"/>
    <s v="USR-00205"/>
    <s v="SES-2505-69828"/>
    <x v="88"/>
    <s v="South East"/>
    <s v="Brighton"/>
    <x v="4"/>
    <x v="3"/>
    <x v="1"/>
    <s v="Ios"/>
    <s v="Iphone"/>
    <s v="3-6 months"/>
    <x v="0"/>
    <x v="3"/>
    <x v="5"/>
    <s v="Repeat Use"/>
    <s v="Progress Indicator"/>
    <s v="Treatment"/>
    <n v="8"/>
    <n v="8"/>
    <n v="208"/>
    <s v="No"/>
    <x v="0"/>
    <x v="1"/>
    <x v="1"/>
    <x v="0"/>
    <n v="476.91"/>
    <x v="24"/>
    <x v="0"/>
    <s v="No Support Contact"/>
    <s v="No"/>
    <s v="No Support Contact"/>
    <s v="Not Applicable"/>
    <m/>
    <s v="No drop-off"/>
    <n v="4"/>
    <n v="65"/>
    <n v="20"/>
    <x v="1"/>
    <n v="1"/>
    <n v="1"/>
    <n v="0"/>
    <n v="1"/>
  </r>
  <r>
    <x v="99"/>
    <s v="USR-00332"/>
    <s v="SES-2604-70559"/>
    <x v="89"/>
    <s v="Yorkshire &amp; Humber"/>
    <s v="Sheffield"/>
    <x v="5"/>
    <x v="0"/>
    <x v="0"/>
    <s v="Android"/>
    <s v="Android Phone"/>
    <s v="2+ years"/>
    <x v="0"/>
    <x v="4"/>
    <x v="2"/>
    <s v="Trial/Exploration"/>
    <s v="Progress Indicator"/>
    <s v="Treatment"/>
    <n v="5"/>
    <n v="5"/>
    <n v="113"/>
    <s v="No"/>
    <x v="0"/>
    <x v="1"/>
    <x v="1"/>
    <x v="0"/>
    <n v="2.96"/>
    <x v="0"/>
    <x v="0"/>
    <s v="No Support Contact"/>
    <s v="No"/>
    <s v="No Support Contact"/>
    <s v="Not Applicable"/>
    <m/>
    <s v="No drop-off"/>
    <n v="5"/>
    <n v="60"/>
    <n v="28"/>
    <x v="1"/>
    <n v="1"/>
    <n v="1"/>
    <n v="0"/>
    <n v="1"/>
  </r>
  <r>
    <x v="100"/>
    <s v="USR-00728"/>
    <s v="SES-2602-94065"/>
    <x v="41"/>
    <s v="East England"/>
    <s v="Norwich"/>
    <x v="1"/>
    <x v="4"/>
    <x v="0"/>
    <s v="Ios"/>
    <s v="Iphone"/>
    <s v="1-2 years"/>
    <x v="0"/>
    <x v="1"/>
    <x v="0"/>
    <s v="Repeat Use"/>
    <s v="No Experiment"/>
    <s v="Control"/>
    <n v="7"/>
    <n v="7"/>
    <n v="209"/>
    <s v="No"/>
    <x v="1"/>
    <x v="1"/>
    <x v="1"/>
    <x v="1"/>
    <n v="0"/>
    <x v="0"/>
    <x v="0"/>
    <s v="No Support Contact"/>
    <s v="No"/>
    <s v="No Support Contact"/>
    <s v="Not Applicable"/>
    <m/>
    <s v="Unexpected fee"/>
    <n v="3"/>
    <n v="-2"/>
    <n v="21"/>
    <x v="1"/>
    <n v="0"/>
    <n v="0"/>
    <n v="0"/>
    <n v="1"/>
  </r>
  <r>
    <x v="101"/>
    <s v="USR-00427"/>
    <s v="SES-2509-70798"/>
    <x v="90"/>
    <s v="North East"/>
    <s v="Middlesbrough"/>
    <x v="2"/>
    <x v="1"/>
    <x v="0"/>
    <s v="Android"/>
    <s v="Android Phone"/>
    <s v="2+ years"/>
    <x v="0"/>
    <x v="1"/>
    <x v="1"/>
    <s v="Repeat Use"/>
    <s v="Simplified Onboarding"/>
    <s v="Control"/>
    <n v="4"/>
    <n v="4"/>
    <n v="91"/>
    <s v="No"/>
    <x v="0"/>
    <x v="1"/>
    <x v="1"/>
    <x v="0"/>
    <n v="60.01"/>
    <x v="15"/>
    <x v="0"/>
    <s v="No Support Contact"/>
    <s v="No"/>
    <s v="No Support Contact"/>
    <s v="Not Applicable"/>
    <m/>
    <s v="No drop-off"/>
    <n v="5"/>
    <n v="-4"/>
    <n v="22"/>
    <x v="2"/>
    <n v="1"/>
    <n v="1"/>
    <n v="0"/>
    <n v="0"/>
  </r>
  <r>
    <x v="102"/>
    <s v="usr-00637"/>
    <s v="SES-2603-46494"/>
    <x v="91"/>
    <s v="North West"/>
    <s v="Manchester"/>
    <x v="5"/>
    <x v="0"/>
    <x v="1"/>
    <s v="Ios"/>
    <s v="Iphone"/>
    <s v="1-2 years"/>
    <x v="2"/>
    <x v="2"/>
    <x v="1"/>
    <s v="First Use"/>
    <s v="No Experiment"/>
    <s v="Control"/>
    <n v="4"/>
    <n v="4"/>
    <n v="124"/>
    <s v="No"/>
    <x v="0"/>
    <x v="1"/>
    <x v="1"/>
    <x v="0"/>
    <n v="19.82"/>
    <x v="7"/>
    <x v="2"/>
    <s v="No Support Contact"/>
    <s v="No"/>
    <s v="No Support Contact"/>
    <s v="Not Applicable"/>
    <m/>
    <s v="No drop-off"/>
    <n v="4"/>
    <n v="4"/>
    <n v="0"/>
    <x v="0"/>
    <n v="1"/>
    <n v="1"/>
    <n v="0"/>
    <n v="0"/>
  </r>
  <r>
    <x v="103"/>
    <s v="USR-00307"/>
    <s v="SES-2512-11770"/>
    <x v="92"/>
    <s v="Scotland"/>
    <s v="Glasgow"/>
    <x v="0"/>
    <x v="0"/>
    <x v="1"/>
    <s v="Ios"/>
    <s v="Iphone"/>
    <s v="2+ years"/>
    <x v="0"/>
    <x v="3"/>
    <x v="10"/>
    <s v="Repeat Use"/>
    <s v="No Experiment"/>
    <s v="Control"/>
    <n v="9"/>
    <n v="9"/>
    <n v="165"/>
    <s v="No"/>
    <x v="0"/>
    <x v="1"/>
    <x v="1"/>
    <x v="1"/>
    <n v="0"/>
    <x v="0"/>
    <x v="0"/>
    <s v="No Support Contact"/>
    <s v="No"/>
    <s v="No Support Contact"/>
    <s v="Not Applicable"/>
    <m/>
    <s v="No drop-off"/>
    <n v="3"/>
    <n v="-28"/>
    <n v="1"/>
    <x v="1"/>
    <n v="1"/>
    <n v="0"/>
    <n v="0"/>
    <n v="1"/>
  </r>
  <r>
    <x v="104"/>
    <s v="USR-00404"/>
    <s v="SES-2510-49839"/>
    <x v="93"/>
    <s v="South East"/>
    <s v="Canterbury"/>
    <x v="5"/>
    <x v="2"/>
    <x v="0"/>
    <s v="Ios"/>
    <s v="Iphone"/>
    <s v="7-12 months"/>
    <x v="0"/>
    <x v="3"/>
    <x v="1"/>
    <s v="First Use"/>
    <s v="Fee Transparency Panel"/>
    <s v="Control"/>
    <n v="4"/>
    <n v="4"/>
    <n v="110"/>
    <s v="No"/>
    <x v="0"/>
    <x v="1"/>
    <x v="1"/>
    <x v="0"/>
    <n v="115.81"/>
    <x v="25"/>
    <x v="0"/>
    <s v="No Support Contact"/>
    <s v="No"/>
    <s v="No Support Contact"/>
    <s v="Not Applicable"/>
    <m/>
    <s v="No drop-off"/>
    <n v="4"/>
    <n v="34"/>
    <n v="0"/>
    <x v="1"/>
    <n v="1"/>
    <n v="1"/>
    <n v="0"/>
    <n v="1"/>
  </r>
  <r>
    <x v="105"/>
    <s v="USR-00113"/>
    <s v="SES-2503-45824"/>
    <x v="94"/>
    <s v="Yorkshire &amp; Humber"/>
    <s v="Sheffield"/>
    <x v="5"/>
    <x v="2"/>
    <x v="0"/>
    <s v="Web"/>
    <s v="Desktop"/>
    <s v="7-12 months"/>
    <x v="0"/>
    <x v="2"/>
    <x v="7"/>
    <s v="Repeat Use"/>
    <s v="No Experiment"/>
    <s v="Control"/>
    <n v="4"/>
    <s v="4 steps"/>
    <n v="80"/>
    <s v="No"/>
    <x v="1"/>
    <x v="1"/>
    <x v="1"/>
    <x v="1"/>
    <n v="0"/>
    <x v="0"/>
    <x v="0"/>
    <s v="No Support Contact"/>
    <s v="No"/>
    <s v="No Support Contact"/>
    <s v="Not Applicable"/>
    <m/>
    <s v="No drop-off"/>
    <n v="3"/>
    <n v="52"/>
    <n v="19"/>
    <x v="0"/>
    <n v="0"/>
    <n v="0"/>
    <n v="0"/>
    <n v="0"/>
  </r>
  <r>
    <x v="106"/>
    <s v="USR-00023"/>
    <s v="SES-2502-60490"/>
    <x v="95"/>
    <s v="South West"/>
    <s v="Bath"/>
    <x v="3"/>
    <x v="2"/>
    <x v="0"/>
    <s v="Ios"/>
    <s v="Iphone"/>
    <s v="1-2 years"/>
    <x v="3"/>
    <x v="1"/>
    <x v="9"/>
    <s v="Repeat Use"/>
    <s v="No Experiment"/>
    <s v="Control"/>
    <n v="5"/>
    <n v="5"/>
    <n v="95"/>
    <s v="No"/>
    <x v="0"/>
    <x v="1"/>
    <x v="1"/>
    <x v="0"/>
    <n v="146.57"/>
    <x v="0"/>
    <x v="0"/>
    <s v="No Support Contact"/>
    <s v="No"/>
    <s v="No Support Contact"/>
    <s v="Not Applicable"/>
    <m/>
    <s v="No drop-off"/>
    <n v="4"/>
    <n v="50"/>
    <n v="20"/>
    <x v="0"/>
    <n v="1"/>
    <n v="1"/>
    <n v="0"/>
    <n v="0"/>
  </r>
  <r>
    <x v="107"/>
    <s v="USR-00446"/>
    <s v="SES-2503-10919"/>
    <x v="96"/>
    <s v="Yorkshire &amp; Humber"/>
    <s v="Hull"/>
    <x v="3"/>
    <x v="4"/>
    <x v="1"/>
    <s v="Android"/>
    <s v="Android Phone"/>
    <s v="3-6 months"/>
    <x v="0"/>
    <x v="7"/>
    <x v="1"/>
    <s v="Repeat Use"/>
    <s v="Contextual Help"/>
    <s v="Control"/>
    <n v="4"/>
    <n v="4"/>
    <n v="112"/>
    <s v="No"/>
    <x v="0"/>
    <x v="1"/>
    <x v="1"/>
    <x v="0"/>
    <n v="166.59"/>
    <x v="15"/>
    <x v="0"/>
    <s v="No Support Contact"/>
    <s v="No"/>
    <s v="No Support Contact"/>
    <s v="Not Applicable"/>
    <m/>
    <s v="No drop-off"/>
    <n v="4"/>
    <n v="12"/>
    <n v="1"/>
    <x v="1"/>
    <n v="1"/>
    <n v="1"/>
    <n v="0"/>
    <n v="1"/>
  </r>
  <r>
    <x v="108"/>
    <s v="USR-00430"/>
    <s v="SES-2512-56510"/>
    <x v="97"/>
    <s v="Scotland"/>
    <s v="Edinburgh"/>
    <x v="3"/>
    <x v="1"/>
    <x v="0"/>
    <s v="Ios"/>
    <s v="Iphone"/>
    <s v="1-2 years"/>
    <x v="0"/>
    <x v="4"/>
    <x v="4"/>
    <s v="Trial/Exploration"/>
    <s v="No Experiment"/>
    <s v="Control"/>
    <n v="6"/>
    <n v="6"/>
    <n v="123"/>
    <s v="No"/>
    <x v="1"/>
    <x v="1"/>
    <x v="1"/>
    <x v="0"/>
    <n v="27.25"/>
    <x v="0"/>
    <x v="0"/>
    <s v="No Support Contact"/>
    <s v="No"/>
    <s v="No Support Contact"/>
    <s v="Not Applicable"/>
    <m/>
    <s v="No drop-off"/>
    <n v="5"/>
    <n v="-13"/>
    <n v="35"/>
    <x v="1"/>
    <n v="0"/>
    <n v="1"/>
    <n v="0"/>
    <n v="1"/>
  </r>
  <r>
    <x v="109"/>
    <s v="USR-00458"/>
    <s v="SES-2501-25029"/>
    <x v="98"/>
    <s v="North West"/>
    <s v="Preston"/>
    <x v="3"/>
    <x v="0"/>
    <x v="0"/>
    <s v="Android"/>
    <s v="Android Phone"/>
    <s v="7-12 months"/>
    <x v="0"/>
    <x v="1"/>
    <x v="2"/>
    <s v="First Use"/>
    <s v="Contextual Help"/>
    <s v="Treatment"/>
    <n v="5"/>
    <n v="5"/>
    <n v="96"/>
    <s v="No"/>
    <x v="0"/>
    <x v="1"/>
    <x v="1"/>
    <x v="0"/>
    <n v="56.26"/>
    <x v="0"/>
    <x v="0"/>
    <s v="No Support Contact"/>
    <s v="No"/>
    <s v="No Support Contact"/>
    <s v="Not Applicable"/>
    <m/>
    <s v="No drop-off"/>
    <n v="4"/>
    <n v="20"/>
    <n v="0"/>
    <x v="0"/>
    <n v="1"/>
    <n v="1"/>
    <n v="0"/>
    <n v="0"/>
  </r>
  <r>
    <x v="110"/>
    <s v="USR-00476"/>
    <s v="SES-2510-96975"/>
    <x v="99"/>
    <s v="Yorkshire &amp; Humber"/>
    <s v="Sheffield"/>
    <x v="1"/>
    <x v="3"/>
    <x v="0"/>
    <s v="Ios"/>
    <s v="Iphone"/>
    <s v="7-12 months"/>
    <x v="0"/>
    <x v="3"/>
    <x v="8"/>
    <s v="First Use"/>
    <s v="No Experiment"/>
    <s v="Control"/>
    <n v="5"/>
    <n v="5"/>
    <n v="100"/>
    <s v="No"/>
    <x v="1"/>
    <x v="1"/>
    <x v="1"/>
    <x v="0"/>
    <n v="29.61"/>
    <x v="0"/>
    <x v="0"/>
    <s v="No Support Contact"/>
    <s v="No"/>
    <s v="No Support Contact"/>
    <s v="Not Applicable"/>
    <m/>
    <s v="No drop-off"/>
    <n v="5"/>
    <n v="45"/>
    <n v="0"/>
    <x v="1"/>
    <n v="0"/>
    <n v="1"/>
    <n v="0"/>
    <n v="1"/>
  </r>
  <r>
    <x v="111"/>
    <s v="USR-00578"/>
    <s v="SES-2501-85074"/>
    <x v="100"/>
    <s v="East Midlands"/>
    <s v="Nottingham"/>
    <x v="2"/>
    <x v="2"/>
    <x v="1"/>
    <s v="Web"/>
    <s v="Tablet Browser"/>
    <s v="1-2 years"/>
    <x v="1"/>
    <x v="6"/>
    <x v="0"/>
    <s v="Reactivated"/>
    <s v="No Experiment"/>
    <s v="Control"/>
    <n v="7"/>
    <n v="7"/>
    <n v="187"/>
    <s v="No"/>
    <x v="0"/>
    <x v="1"/>
    <x v="1"/>
    <x v="1"/>
    <n v="0"/>
    <x v="0"/>
    <x v="0"/>
    <s v="No Support Contact"/>
    <s v="No"/>
    <s v="No Support Contact"/>
    <s v="Not Applicable"/>
    <m/>
    <s v="No drop-off"/>
    <n v="4"/>
    <n v="13"/>
    <n v="32"/>
    <x v="1"/>
    <n v="1"/>
    <n v="0"/>
    <n v="0"/>
    <n v="1"/>
  </r>
  <r>
    <x v="112"/>
    <s v="USR-00669"/>
    <s v="SES-2502-81964"/>
    <x v="95"/>
    <s v="West Midlands"/>
    <s v="Solihull"/>
    <x v="0"/>
    <x v="1"/>
    <x v="0"/>
    <s v="Ios"/>
    <s v="Iphone"/>
    <s v="&lt;3 months"/>
    <x v="1"/>
    <x v="4"/>
    <x v="1"/>
    <s v="Repeat Use"/>
    <s v="No Experiment"/>
    <s v="Control"/>
    <n v="4"/>
    <s v="4 steps"/>
    <n v="88"/>
    <s v="No"/>
    <x v="0"/>
    <x v="1"/>
    <x v="1"/>
    <x v="0"/>
    <n v="162.44"/>
    <x v="8"/>
    <x v="1"/>
    <s v="No Support Contact"/>
    <s v="No"/>
    <s v="No Support Contact"/>
    <s v="Not Applicable"/>
    <m/>
    <s v="No drop-off"/>
    <n v="5"/>
    <n v="25"/>
    <n v="4"/>
    <x v="0"/>
    <n v="1"/>
    <n v="1"/>
    <n v="0"/>
    <n v="0"/>
  </r>
  <r>
    <x v="113"/>
    <s v="USR-00602"/>
    <s v="SES-2605-48383"/>
    <x v="101"/>
    <s v="Scotland"/>
    <s v="Edinburgh"/>
    <x v="1"/>
    <x v="2"/>
    <x v="1"/>
    <s v="Android"/>
    <s v="Android Phone"/>
    <s v="1-2 years"/>
    <x v="1"/>
    <x v="7"/>
    <x v="1"/>
    <s v="Repeat Use"/>
    <s v="Contextual Help"/>
    <s v="Control"/>
    <n v="4"/>
    <s v="4 steps"/>
    <n v="90"/>
    <s v="No"/>
    <x v="0"/>
    <x v="1"/>
    <x v="1"/>
    <x v="0"/>
    <n v="167.87"/>
    <x v="6"/>
    <x v="1"/>
    <s v="No Support Contact"/>
    <s v="No"/>
    <s v="No Support Contact"/>
    <s v="Not Applicable"/>
    <m/>
    <s v="No drop-off"/>
    <n v="4"/>
    <n v="47"/>
    <n v="50"/>
    <x v="1"/>
    <n v="1"/>
    <n v="1"/>
    <n v="0"/>
    <n v="1"/>
  </r>
  <r>
    <x v="114"/>
    <s v="USR-00047"/>
    <s v="SES-2508-78563"/>
    <x v="102"/>
    <s v="Yorkshire &amp; Humber"/>
    <s v="HULL"/>
    <x v="4"/>
    <x v="1"/>
    <x v="0"/>
    <s v="Web"/>
    <s v="Mobile Browser"/>
    <s v="1-2 years"/>
    <x v="0"/>
    <x v="1"/>
    <x v="10"/>
    <s v="Trial/Exploration"/>
    <s v="New Cta Copy"/>
    <s v="Treatment"/>
    <n v="9"/>
    <n v="9"/>
    <n v="194"/>
    <s v="No"/>
    <x v="0"/>
    <x v="1"/>
    <x v="1"/>
    <x v="0"/>
    <n v="182.07"/>
    <x v="26"/>
    <x v="0"/>
    <s v="No Support Contact"/>
    <s v="No"/>
    <s v="No Support Contact"/>
    <s v="Not Applicable"/>
    <m/>
    <s v="No drop-off"/>
    <n v="3"/>
    <n v="12"/>
    <s v="50 days"/>
    <x v="0"/>
    <n v="1"/>
    <n v="1"/>
    <n v="0"/>
    <n v="0"/>
  </r>
  <r>
    <x v="115"/>
    <s v="USR-00208"/>
    <s v="SES-2606-92945"/>
    <x v="103"/>
    <s v="London"/>
    <s v="Hackney"/>
    <x v="5"/>
    <x v="5"/>
    <x v="1"/>
    <s v="Android"/>
    <s v="Android Phone"/>
    <s v="7-12 months"/>
    <x v="0"/>
    <x v="6"/>
    <x v="9"/>
    <s v="Reactivated"/>
    <s v="No Experiment"/>
    <s v="Control"/>
    <n v="5"/>
    <n v="5"/>
    <n v="117"/>
    <s v="No"/>
    <x v="1"/>
    <x v="1"/>
    <x v="1"/>
    <x v="1"/>
    <n v="0"/>
    <x v="0"/>
    <x v="0"/>
    <s v="No Support Contact"/>
    <s v="No"/>
    <s v="No Support Contact"/>
    <s v="Not Applicable"/>
    <m/>
    <s v="No drop-off"/>
    <n v="4"/>
    <n v="42"/>
    <n v="27"/>
    <x v="1"/>
    <n v="0"/>
    <n v="0"/>
    <n v="0"/>
    <n v="1"/>
  </r>
  <r>
    <x v="116"/>
    <s v="USR-00019"/>
    <s v="SES-2601-66134"/>
    <x v="104"/>
    <s v="Scotland"/>
    <s v="Glasgow"/>
    <x v="3"/>
    <x v="2"/>
    <x v="0"/>
    <s v="Android"/>
    <s v="Android Phone"/>
    <s v="3-6 months"/>
    <x v="0"/>
    <x v="5"/>
    <x v="1"/>
    <s v="First Use"/>
    <s v="Fee Transparency Panel"/>
    <s v="Treatment"/>
    <n v="4"/>
    <n v="4"/>
    <n v="114"/>
    <s v="No"/>
    <x v="0"/>
    <x v="1"/>
    <x v="1"/>
    <x v="0"/>
    <n v="158.1"/>
    <x v="1"/>
    <x v="0"/>
    <s v="Account Verification"/>
    <s v="Yes"/>
    <s v="Account Verification"/>
    <s v="Unresolved"/>
    <n v="18"/>
    <s v="No drop-off"/>
    <n v="3"/>
    <n v="52"/>
    <n v="0"/>
    <x v="1"/>
    <n v="1"/>
    <n v="1"/>
    <n v="0"/>
    <n v="1"/>
  </r>
  <r>
    <x v="117"/>
    <s v="USR-00635"/>
    <s v="SES-2512-68174"/>
    <x v="105"/>
    <s v="North East"/>
    <s v="Durham"/>
    <x v="3"/>
    <x v="2"/>
    <x v="1"/>
    <s v="Android"/>
    <s v="Android Phone"/>
    <s v="7-12 months"/>
    <x v="2"/>
    <x v="5"/>
    <x v="4"/>
    <s v="Repeat Use"/>
    <s v="Simplified Onboarding"/>
    <s v="Treatment"/>
    <n v="6"/>
    <n v="6"/>
    <n v="182"/>
    <s v="No"/>
    <x v="1"/>
    <x v="1"/>
    <x v="1"/>
    <x v="0"/>
    <n v="0"/>
    <x v="0"/>
    <x v="2"/>
    <s v="No Support Contact"/>
    <s v="No"/>
    <s v="No Support Contact"/>
    <s v="Not Applicable"/>
    <m/>
    <s v="Unexpected fee"/>
    <n v="2"/>
    <n v="21"/>
    <s v="49 days"/>
    <x v="1"/>
    <n v="0"/>
    <n v="1"/>
    <n v="0"/>
    <n v="1"/>
  </r>
  <r>
    <x v="118"/>
    <s v="USR-00413"/>
    <s v="SES-2512-36313"/>
    <x v="106"/>
    <s v="West Midlands"/>
    <s v="Wolverhampton"/>
    <x v="3"/>
    <x v="2"/>
    <x v="1"/>
    <s v="Ios"/>
    <s v="Iphone"/>
    <s v="3-6 months"/>
    <x v="0"/>
    <x v="3"/>
    <x v="7"/>
    <s v="First Use"/>
    <s v="New Cta Copy"/>
    <s v="Treatment"/>
    <s v="4 steps"/>
    <n v="4"/>
    <n v="115"/>
    <s v="No"/>
    <x v="0"/>
    <x v="1"/>
    <x v="1"/>
    <x v="0"/>
    <n v="60.28"/>
    <x v="13"/>
    <x v="0"/>
    <s v="No Support Contact"/>
    <s v="No"/>
    <s v="No Support Contact"/>
    <s v="Not Applicable"/>
    <m/>
    <s v="No drop-off"/>
    <n v="3"/>
    <n v="36"/>
    <n v="0"/>
    <x v="1"/>
    <n v="1"/>
    <n v="1"/>
    <n v="0"/>
    <n v="1"/>
  </r>
  <r>
    <x v="119"/>
    <s v="USR-00552"/>
    <s v="SES-2606-96156"/>
    <x v="107"/>
    <s v="Northern Ireland"/>
    <s v="Derry"/>
    <x v="4"/>
    <x v="0"/>
    <x v="0"/>
    <s v="Web"/>
    <s v="Desktop"/>
    <s v="3-6 months"/>
    <x v="1"/>
    <x v="2"/>
    <x v="3"/>
    <s v="First Use"/>
    <s v="Fee Transparency Panel"/>
    <s v="Control"/>
    <n v="6"/>
    <n v="6"/>
    <n v="109"/>
    <s v="No"/>
    <x v="0"/>
    <x v="1"/>
    <x v="1"/>
    <x v="0"/>
    <n v="60"/>
    <x v="17"/>
    <x v="1"/>
    <s v="No Support Contact"/>
    <s v="No"/>
    <s v="No Support Contact"/>
    <s v="Not Applicable"/>
    <m/>
    <s v="No drop-off"/>
    <n v="3"/>
    <n v="34"/>
    <n v="0"/>
    <x v="1"/>
    <n v="1"/>
    <n v="1"/>
    <n v="0"/>
    <n v="1"/>
  </r>
  <r>
    <x v="120"/>
    <s v="USR-00002"/>
    <s v="SES-2501-98129"/>
    <x v="108"/>
    <s v="Northern Ireland"/>
    <s v="Belfast"/>
    <x v="0"/>
    <x v="0"/>
    <x v="1"/>
    <s v="Ios"/>
    <s v="Iphone"/>
    <s v="1-2 years"/>
    <x v="2"/>
    <x v="1"/>
    <x v="1"/>
    <s v="Trial/Exploration"/>
    <s v="Simplified Onboarding"/>
    <s v="Control"/>
    <n v="4"/>
    <n v="4"/>
    <n v="82"/>
    <s v="No"/>
    <x v="0"/>
    <x v="1"/>
    <x v="1"/>
    <x v="0"/>
    <n v="134.61000000000001"/>
    <x v="4"/>
    <x v="2"/>
    <s v="No Support Contact"/>
    <s v="No"/>
    <s v="No Support Contact"/>
    <s v="Not Applicable"/>
    <m/>
    <s v="No drop-off"/>
    <n v="4"/>
    <n v="51"/>
    <n v="26"/>
    <x v="1"/>
    <n v="1"/>
    <n v="1"/>
    <n v="0"/>
    <n v="1"/>
  </r>
  <r>
    <x v="121"/>
    <s v="USR-00226"/>
    <s v="SES-2505-77857"/>
    <x v="109"/>
    <s v="North East"/>
    <s v="Middlesbrough"/>
    <x v="7"/>
    <x v="2"/>
    <x v="0"/>
    <s v="Ios"/>
    <s v="Iphone"/>
    <s v="1-2 years"/>
    <x v="3"/>
    <x v="4"/>
    <x v="1"/>
    <s v="Repeat Use"/>
    <s v="No Experiment"/>
    <s v="Control"/>
    <n v="4"/>
    <n v="2"/>
    <n v="164"/>
    <s v="Yes"/>
    <x v="0"/>
    <x v="1"/>
    <x v="1"/>
    <x v="0"/>
    <n v="220.93"/>
    <x v="4"/>
    <x v="0"/>
    <s v="No Support Contact"/>
    <s v="No"/>
    <s v="No Support Contact"/>
    <s v="Not Applicable"/>
    <m/>
    <s v="No drop-off"/>
    <n v="5"/>
    <n v="-1"/>
    <n v="55"/>
    <x v="0"/>
    <n v="1"/>
    <n v="1"/>
    <n v="0"/>
    <n v="0"/>
  </r>
  <r>
    <x v="122"/>
    <s v="USR-00597"/>
    <s v="SES-2603-14129"/>
    <x v="110"/>
    <s v="South West"/>
    <s v="Gloucester"/>
    <x v="3"/>
    <x v="3"/>
    <x v="1"/>
    <s v="Ios"/>
    <s v="Iphone"/>
    <s v="2+ years"/>
    <x v="1"/>
    <x v="5"/>
    <x v="1"/>
    <s v="Repeat Use"/>
    <s v="No Experiment"/>
    <s v="Control"/>
    <n v="4"/>
    <n v="99"/>
    <n v="203"/>
    <s v="Yes"/>
    <x v="1"/>
    <x v="1"/>
    <x v="1"/>
    <x v="0"/>
    <n v="198.51"/>
    <x v="8"/>
    <x v="1"/>
    <s v="No Support Contact"/>
    <s v="No"/>
    <s v="No Support Contact"/>
    <s v="Not Applicable"/>
    <m/>
    <s v="Instructions unclear"/>
    <n v="3"/>
    <n v="4"/>
    <n v="62"/>
    <x v="0"/>
    <n v="0"/>
    <n v="1"/>
    <n v="0"/>
    <n v="0"/>
  </r>
  <r>
    <x v="123"/>
    <s v="USR-00663"/>
    <s v="SES-2510-65402"/>
    <x v="111"/>
    <s v="London"/>
    <s v="Croydon"/>
    <x v="7"/>
    <x v="2"/>
    <x v="0"/>
    <s v="Android"/>
    <s v="Android Phone"/>
    <s v="1-2 years"/>
    <x v="0"/>
    <x v="4"/>
    <x v="4"/>
    <s v="First Use"/>
    <s v="No Experiment"/>
    <s v="Control"/>
    <n v="6"/>
    <n v="6"/>
    <n v="109"/>
    <s v="No"/>
    <x v="0"/>
    <x v="1"/>
    <x v="1"/>
    <x v="0"/>
    <n v="0"/>
    <x v="0"/>
    <x v="0"/>
    <s v="No Support Contact"/>
    <s v="No"/>
    <s v="No Support Contact"/>
    <s v="Not Applicable"/>
    <m/>
    <s v="No drop-off"/>
    <n v="5"/>
    <n v="-29"/>
    <n v="0"/>
    <x v="0"/>
    <n v="1"/>
    <n v="1"/>
    <n v="0"/>
    <n v="0"/>
  </r>
  <r>
    <x v="124"/>
    <s v="USR-00405"/>
    <s v="SES-2509-37735"/>
    <x v="112"/>
    <s v="Scotland"/>
    <s v="Edinburgh"/>
    <x v="3"/>
    <x v="1"/>
    <x v="1"/>
    <s v="Ios"/>
    <s v="Iphone"/>
    <s v="1-2 years"/>
    <x v="0"/>
    <x v="6"/>
    <x v="3"/>
    <s v="Repeat Use"/>
    <s v="Fee Transparency Panel"/>
    <s v="Treatment"/>
    <n v="6"/>
    <n v="6"/>
    <n v="184"/>
    <s v="No"/>
    <x v="0"/>
    <x v="1"/>
    <x v="1"/>
    <x v="0"/>
    <n v="0"/>
    <x v="2"/>
    <x v="0"/>
    <s v="No Support Contact"/>
    <s v="No"/>
    <s v="No Support Contact"/>
    <s v="Not Applicable"/>
    <m/>
    <s v="No drop-off"/>
    <n v="3"/>
    <n v="150"/>
    <n v="38"/>
    <x v="0"/>
    <n v="1"/>
    <n v="1"/>
    <n v="0"/>
    <n v="0"/>
  </r>
  <r>
    <x v="125"/>
    <s v="USR-00194"/>
    <s v="SES-2511-36610"/>
    <x v="113"/>
    <s v="Yorkshire &amp; Humber"/>
    <s v="Hull"/>
    <x v="5"/>
    <x v="3"/>
    <x v="0"/>
    <s v="Android"/>
    <s v="Android Tablet"/>
    <s v="2+ years"/>
    <x v="3"/>
    <x v="4"/>
    <x v="7"/>
    <s v="Repeat Use"/>
    <s v="Simplified Onboarding"/>
    <s v="Treatment"/>
    <n v="4"/>
    <n v="2"/>
    <n v="268"/>
    <s v="Yes"/>
    <x v="0"/>
    <x v="0"/>
    <x v="16"/>
    <x v="0"/>
    <n v="133.13999999999999"/>
    <x v="27"/>
    <x v="0"/>
    <s v="No Support Contact"/>
    <s v="No"/>
    <s v="No Support Contact"/>
    <s v="Not Applicable"/>
    <m/>
    <s v="No drop-off"/>
    <n v="4"/>
    <n v="-18"/>
    <n v="26"/>
    <x v="1"/>
    <n v="1"/>
    <n v="1"/>
    <n v="1"/>
    <n v="1"/>
  </r>
  <r>
    <x v="126"/>
    <s v="USR-00092"/>
    <s v="SES-2501-54059"/>
    <x v="114"/>
    <s v="South West"/>
    <s v="Exeter"/>
    <x v="2"/>
    <x v="0"/>
    <x v="0"/>
    <s v="Android"/>
    <s v="Android Phone"/>
    <s v="2+ years"/>
    <x v="1"/>
    <x v="3"/>
    <x v="7"/>
    <s v="Repeat Use"/>
    <s v="No Experiment"/>
    <s v="Control"/>
    <n v="4"/>
    <n v="4"/>
    <n v="100"/>
    <s v="No"/>
    <x v="0"/>
    <x v="1"/>
    <x v="1"/>
    <x v="0"/>
    <n v="76.77"/>
    <x v="28"/>
    <x v="1"/>
    <s v="No Support Contact"/>
    <s v="No"/>
    <s v="No Support Contact"/>
    <s v="Not Applicable"/>
    <m/>
    <s v="No drop-off"/>
    <n v="4"/>
    <n v="65"/>
    <n v="14"/>
    <x v="1"/>
    <n v="1"/>
    <n v="1"/>
    <n v="0"/>
    <n v="1"/>
  </r>
  <r>
    <x v="127"/>
    <s v="USR-00347"/>
    <s v="SES-2601-13655"/>
    <x v="115"/>
    <s v="Northern Ireland"/>
    <s v="Newry"/>
    <x v="3"/>
    <x v="0"/>
    <x v="0"/>
    <s v="Ios"/>
    <s v="Iphone"/>
    <s v="2+ years"/>
    <x v="1"/>
    <x v="1"/>
    <x v="0"/>
    <s v="Repeat Use"/>
    <s v="Contextual Help"/>
    <s v="Treatment"/>
    <n v="7"/>
    <n v="7"/>
    <n v="162"/>
    <s v="No"/>
    <x v="1"/>
    <x v="1"/>
    <x v="1"/>
    <x v="0"/>
    <n v="0"/>
    <x v="0"/>
    <x v="1"/>
    <s v="No Support Contact"/>
    <s v="No"/>
    <s v="No Support Contact"/>
    <s v="Not Applicable"/>
    <m/>
    <s v="Unexpected fee"/>
    <n v="4"/>
    <n v="-8"/>
    <s v="39 days"/>
    <x v="0"/>
    <n v="0"/>
    <n v="1"/>
    <n v="0"/>
    <n v="0"/>
  </r>
  <r>
    <x v="128"/>
    <s v="USR-00337"/>
    <s v="SES-2511-62204"/>
    <x v="116"/>
    <s v="East England"/>
    <s v="Ipswich"/>
    <x v="0"/>
    <x v="1"/>
    <x v="0"/>
    <s v="Ios"/>
    <s v="Iphone"/>
    <s v="1-2 years"/>
    <x v="0"/>
    <x v="2"/>
    <x v="7"/>
    <s v="First Use"/>
    <s v="Fee Transparency Panel"/>
    <s v="Treatment"/>
    <n v="4"/>
    <s v="many"/>
    <n v="72"/>
    <s v="No"/>
    <x v="0"/>
    <x v="1"/>
    <x v="1"/>
    <x v="0"/>
    <n v="33.74"/>
    <x v="29"/>
    <x v="0"/>
    <s v="No Support Contact"/>
    <s v="No"/>
    <s v="No Support Contact"/>
    <s v="Not Applicable"/>
    <m/>
    <s v="No drop-off"/>
    <n v="4"/>
    <n v="150"/>
    <n v="0"/>
    <x v="1"/>
    <n v="1"/>
    <n v="1"/>
    <n v="0"/>
    <n v="1"/>
  </r>
  <r>
    <x v="129"/>
    <s v="USR-00252"/>
    <s v="SES-2504-88400"/>
    <x v="117"/>
    <s v="London"/>
    <s v="Hackney"/>
    <x v="2"/>
    <x v="2"/>
    <x v="1"/>
    <s v="Ios"/>
    <s v="Iphone"/>
    <s v="7-12 months"/>
    <x v="1"/>
    <x v="3"/>
    <x v="4"/>
    <s v="Reactivated"/>
    <s v="No Experiment"/>
    <s v="Control"/>
    <n v="6"/>
    <n v="5"/>
    <n v="224"/>
    <s v="Yes"/>
    <x v="0"/>
    <x v="1"/>
    <x v="1"/>
    <x v="1"/>
    <n v="0"/>
    <x v="0"/>
    <x v="0"/>
    <s v="No Support Contact"/>
    <s v="No"/>
    <s v="No Support Contact"/>
    <s v="Not Applicable"/>
    <m/>
    <s v="No drop-off"/>
    <n v="3"/>
    <n v="-30"/>
    <n v="23"/>
    <x v="0"/>
    <n v="1"/>
    <n v="0"/>
    <n v="0"/>
    <n v="0"/>
  </r>
  <r>
    <x v="130"/>
    <s v="USR-00416"/>
    <s v="SES-2509-79692"/>
    <x v="118"/>
    <s v="West Midlands"/>
    <s v="Solihull"/>
    <x v="3"/>
    <x v="0"/>
    <x v="1"/>
    <s v="Ios"/>
    <s v="Iphone"/>
    <s v="1-2 years"/>
    <x v="1"/>
    <x v="1"/>
    <x v="4"/>
    <s v="Trial/Exploration"/>
    <s v="Fee Transparency Panel"/>
    <s v="Control"/>
    <n v="6"/>
    <n v="6"/>
    <n v="159"/>
    <s v="No"/>
    <x v="1"/>
    <x v="1"/>
    <x v="1"/>
    <x v="0"/>
    <n v="0"/>
    <x v="0"/>
    <x v="1"/>
    <s v="No Support Contact"/>
    <s v="No"/>
    <s v="No Support Contact"/>
    <s v="Not Applicable"/>
    <m/>
    <s v="No drop-off"/>
    <n v="3"/>
    <n v="-3"/>
    <n v="14"/>
    <x v="1"/>
    <n v="0"/>
    <n v="1"/>
    <n v="0"/>
    <n v="1"/>
  </r>
  <r>
    <x v="131"/>
    <s v="USR-00163"/>
    <s v="SES-2512-59885"/>
    <x v="97"/>
    <s v="South West"/>
    <s v="Bath"/>
    <x v="3"/>
    <x v="1"/>
    <x v="1"/>
    <s v="Ios"/>
    <s v="Iphone"/>
    <s v="3-6 months"/>
    <x v="1"/>
    <x v="7"/>
    <x v="4"/>
    <s v="Repeat Use"/>
    <s v="No Experiment"/>
    <s v="Control"/>
    <n v="6"/>
    <n v="6"/>
    <n v="155"/>
    <s v="No"/>
    <x v="1"/>
    <x v="1"/>
    <x v="1"/>
    <x v="1"/>
    <n v="0"/>
    <x v="0"/>
    <x v="0"/>
    <s v="No Support Contact"/>
    <s v="No"/>
    <s v="No Support Contact"/>
    <s v="Not Applicable"/>
    <m/>
    <s v="No drop-off"/>
    <n v="2"/>
    <n v="29"/>
    <n v="49"/>
    <x v="0"/>
    <n v="0"/>
    <n v="0"/>
    <n v="0"/>
    <n v="0"/>
  </r>
  <r>
    <x v="132"/>
    <s v="USR-00057"/>
    <s v="SES-2501-65306"/>
    <x v="11"/>
    <s v="Yorkshire &amp; Humber"/>
    <s v="Leeds"/>
    <x v="0"/>
    <x v="2"/>
    <x v="0"/>
    <s v="Android"/>
    <s v="Android Phone"/>
    <s v="2+ years"/>
    <x v="2"/>
    <x v="4"/>
    <x v="10"/>
    <s v="Repeat Use"/>
    <s v="Fee Transparency Panel"/>
    <s v="Control"/>
    <n v="9"/>
    <n v="9"/>
    <n v="212"/>
    <s v="No"/>
    <x v="0"/>
    <x v="1"/>
    <x v="1"/>
    <x v="1"/>
    <n v="0"/>
    <x v="0"/>
    <x v="0"/>
    <s v="No Support Contact"/>
    <s v="No"/>
    <s v="No Support Contact"/>
    <s v="Not Applicable"/>
    <m/>
    <s v="No drop-off"/>
    <n v="3"/>
    <n v="-27"/>
    <n v="35"/>
    <x v="0"/>
    <n v="1"/>
    <n v="0"/>
    <n v="0"/>
    <n v="0"/>
  </r>
  <r>
    <x v="133"/>
    <s v="USR-00144"/>
    <s v="SES-2510-54841"/>
    <x v="35"/>
    <s v="Yorkshire &amp; Humber"/>
    <s v="York"/>
    <x v="7"/>
    <x v="1"/>
    <x v="1"/>
    <s v="Ios"/>
    <s v="Iphone"/>
    <s v="7-12 months"/>
    <x v="1"/>
    <x v="0"/>
    <x v="3"/>
    <s v="Repeat Use"/>
    <s v="No Experiment"/>
    <s v="Control"/>
    <n v="6"/>
    <n v="6"/>
    <n v="160"/>
    <s v="No"/>
    <x v="1"/>
    <x v="1"/>
    <x v="1"/>
    <x v="0"/>
    <n v="40.74"/>
    <x v="17"/>
    <x v="1"/>
    <s v="No Support Contact"/>
    <s v="No"/>
    <s v="No Support Contact"/>
    <s v="Not Applicable"/>
    <m/>
    <s v="No drop-off"/>
    <n v="3"/>
    <n v="27"/>
    <n v="17"/>
    <x v="1"/>
    <n v="0"/>
    <n v="1"/>
    <n v="0"/>
    <n v="1"/>
  </r>
  <r>
    <x v="134"/>
    <s v="USR-00683"/>
    <s v="SES-2512-38995"/>
    <x v="119"/>
    <s v="West Midlands"/>
    <s v="Solihull"/>
    <x v="3"/>
    <x v="2"/>
    <x v="0"/>
    <s v="Ios"/>
    <s v="Iphone"/>
    <s v="1-2 years"/>
    <x v="4"/>
    <x v="5"/>
    <x v="4"/>
    <s v="Repeat Use"/>
    <s v="Simplified Onboarding"/>
    <s v="Control"/>
    <n v="6"/>
    <n v="5"/>
    <n v="247"/>
    <s v="Yes"/>
    <x v="1"/>
    <x v="1"/>
    <x v="1"/>
    <x v="1"/>
    <n v="0"/>
    <x v="0"/>
    <x v="0"/>
    <s v="No Support Contact"/>
    <s v="No"/>
    <s v="No Support Contact"/>
    <s v="Not Applicable"/>
    <m/>
    <s v="Instructions unclear"/>
    <n v="2"/>
    <n v="10"/>
    <n v="24"/>
    <x v="0"/>
    <n v="0"/>
    <n v="0"/>
    <n v="0"/>
    <n v="0"/>
  </r>
  <r>
    <x v="135"/>
    <s v="USR-00596"/>
    <s v="SES-2506-28117"/>
    <x v="120"/>
    <s v="Wales"/>
    <s v="Swansea"/>
    <x v="5"/>
    <x v="1"/>
    <x v="1"/>
    <s v="Android"/>
    <s v="Android Phone"/>
    <s v="1-2 years"/>
    <x v="1"/>
    <x v="7"/>
    <x v="1"/>
    <s v="Repeat Use"/>
    <s v="No Experiment"/>
    <s v="Control"/>
    <n v="4"/>
    <s v="4 steps"/>
    <n v="111"/>
    <s v="No"/>
    <x v="0"/>
    <x v="1"/>
    <x v="1"/>
    <x v="0"/>
    <n v="82.73"/>
    <x v="8"/>
    <x v="1"/>
    <s v="No Support Contact"/>
    <s v="No"/>
    <s v="No Support Contact"/>
    <s v="Not Applicable"/>
    <m/>
    <s v="No drop-off"/>
    <n v="3"/>
    <n v="-12"/>
    <n v="16"/>
    <x v="0"/>
    <n v="1"/>
    <n v="1"/>
    <n v="0"/>
    <n v="0"/>
  </r>
  <r>
    <x v="136"/>
    <s v="USR-00440"/>
    <s v="SES-2506-36202"/>
    <x v="121"/>
    <s v="East Midlands"/>
    <s v="Nottingham"/>
    <x v="3"/>
    <x v="2"/>
    <x v="0"/>
    <s v="Ios"/>
    <s v="Iphone"/>
    <s v="1-2 years"/>
    <x v="0"/>
    <x v="4"/>
    <x v="1"/>
    <s v="Repeat Use"/>
    <s v="Fee Transparency Panel"/>
    <s v="Control"/>
    <n v="4"/>
    <n v="4"/>
    <n v="113"/>
    <s v="No"/>
    <x v="0"/>
    <x v="1"/>
    <x v="1"/>
    <x v="1"/>
    <n v="0"/>
    <x v="0"/>
    <x v="0"/>
    <s v="No Support Contact"/>
    <s v="No"/>
    <s v="No Support Contact"/>
    <s v="Not Applicable"/>
    <m/>
    <s v="No drop-off"/>
    <n v="5"/>
    <n v="30"/>
    <n v="1"/>
    <x v="1"/>
    <n v="1"/>
    <n v="0"/>
    <n v="0"/>
    <n v="1"/>
  </r>
  <r>
    <x v="137"/>
    <s v="USR-00620"/>
    <s v="SES-2504-80444"/>
    <x v="122"/>
    <s v="Yorkshire &amp; Humber"/>
    <s v="Hull"/>
    <x v="5"/>
    <x v="1"/>
    <x v="1"/>
    <s v="Android"/>
    <s v="Android Phone"/>
    <s v="3-6 months"/>
    <x v="1"/>
    <x v="0"/>
    <x v="10"/>
    <s v="Repeat Use"/>
    <s v="No Experiment"/>
    <s v="Control"/>
    <n v="9"/>
    <n v="5"/>
    <n v="536"/>
    <s v="Yes"/>
    <x v="0"/>
    <x v="0"/>
    <x v="17"/>
    <x v="0"/>
    <n v="146.69999999999999"/>
    <x v="30"/>
    <x v="1"/>
    <s v="No Support Contact"/>
    <s v="No"/>
    <s v="No Support Contact"/>
    <s v="Not Applicable"/>
    <m/>
    <s v="No drop-off"/>
    <n v="1"/>
    <n v="-52"/>
    <n v="28"/>
    <x v="0"/>
    <n v="1"/>
    <n v="1"/>
    <n v="1"/>
    <n v="0"/>
  </r>
  <r>
    <x v="138"/>
    <s v="USR-00228"/>
    <s v="SES-2603-81036"/>
    <x v="123"/>
    <s v="Northern Ireland"/>
    <s v="Lisburn"/>
    <x v="3"/>
    <x v="2"/>
    <x v="1"/>
    <s v="Ios"/>
    <s v="Iphone"/>
    <s v="1-2 years"/>
    <x v="3"/>
    <x v="2"/>
    <x v="1"/>
    <s v="Repeat Use"/>
    <s v="No Experiment"/>
    <s v="Control"/>
    <s v="4 steps"/>
    <n v="4"/>
    <n v="88"/>
    <s v="No"/>
    <x v="1"/>
    <x v="1"/>
    <x v="1"/>
    <x v="1"/>
    <n v="0"/>
    <x v="0"/>
    <x v="0"/>
    <s v="No Support Contact"/>
    <s v="No"/>
    <s v="No Support Contact"/>
    <s v="Not Applicable"/>
    <m/>
    <s v="No drop-off"/>
    <n v="4"/>
    <n v="61"/>
    <s v="57 days"/>
    <x v="0"/>
    <n v="0"/>
    <n v="0"/>
    <n v="0"/>
    <n v="0"/>
  </r>
  <r>
    <x v="139"/>
    <s v="USR-00488"/>
    <s v="SES-2510-97057"/>
    <x v="77"/>
    <s v="South East"/>
    <s v="Brighton"/>
    <x v="0"/>
    <x v="0"/>
    <x v="0"/>
    <s v="Ios"/>
    <s v="Iphone"/>
    <s v="1-2 years"/>
    <x v="2"/>
    <x v="1"/>
    <x v="1"/>
    <s v="Repeat Use"/>
    <s v="Fee Transparency Panel"/>
    <s v="Treatment"/>
    <n v="4"/>
    <s v="4 steps"/>
    <n v="119"/>
    <s v="No"/>
    <x v="0"/>
    <x v="1"/>
    <x v="1"/>
    <x v="0"/>
    <n v="160"/>
    <x v="1"/>
    <x v="2"/>
    <s v="Other"/>
    <s v="Yes"/>
    <s v="Other"/>
    <s v="Unresolved"/>
    <n v="17"/>
    <s v="No drop-off"/>
    <n v="4"/>
    <n v="68"/>
    <n v="28"/>
    <x v="1"/>
    <n v="1"/>
    <n v="1"/>
    <n v="0"/>
    <n v="1"/>
  </r>
  <r>
    <x v="140"/>
    <s v="USR-00227"/>
    <s v="SES-2604-36309"/>
    <x v="124"/>
    <s v="West Midlands"/>
    <s v="Birmingham"/>
    <x v="0"/>
    <x v="2"/>
    <x v="1"/>
    <s v="Ios"/>
    <s v="Iphone"/>
    <s v="3-6 months"/>
    <x v="0"/>
    <x v="4"/>
    <x v="3"/>
    <s v="Repeat Use"/>
    <s v="No Experiment"/>
    <s v="Control"/>
    <n v="6"/>
    <s v="6 steps"/>
    <n v="234"/>
    <s v="No"/>
    <x v="1"/>
    <x v="0"/>
    <x v="2"/>
    <x v="0"/>
    <n v="50.4"/>
    <x v="5"/>
    <x v="0"/>
    <s v="No Support Contact"/>
    <s v="No"/>
    <s v="No Support Contact"/>
    <s v="Not Applicable"/>
    <m/>
    <s v="Technical error"/>
    <n v="2"/>
    <n v="-34"/>
    <n v="38"/>
    <x v="0"/>
    <n v="0"/>
    <n v="1"/>
    <n v="1"/>
    <n v="0"/>
  </r>
  <r>
    <x v="141"/>
    <s v="USR-00059"/>
    <s v="SES-2505-67226"/>
    <x v="6"/>
    <s v="Wales"/>
    <s v="Cardiff"/>
    <x v="5"/>
    <x v="0"/>
    <x v="1"/>
    <s v="Ios"/>
    <s v="Iphone"/>
    <s v="7-12 months"/>
    <x v="2"/>
    <x v="0"/>
    <x v="1"/>
    <s v="Repeat Use"/>
    <s v="No Experiment"/>
    <s v="Control"/>
    <n v="4"/>
    <n v="4"/>
    <n v="99"/>
    <s v="No"/>
    <x v="1"/>
    <x v="1"/>
    <x v="1"/>
    <x v="0"/>
    <n v="49.49"/>
    <x v="25"/>
    <x v="2"/>
    <s v="Transaction Failure"/>
    <s v="Yes"/>
    <s v="Transaction Failure"/>
    <s v="Unresolved"/>
    <n v="17"/>
    <s v="No drop-off"/>
    <n v="4"/>
    <n v="61"/>
    <n v="39"/>
    <x v="1"/>
    <n v="0"/>
    <n v="1"/>
    <n v="0"/>
    <n v="1"/>
  </r>
  <r>
    <x v="142"/>
    <s v="USR-00199"/>
    <s v="SES-2601-78162"/>
    <x v="30"/>
    <s v="Yorkshire &amp; Humber"/>
    <s v="York"/>
    <x v="0"/>
    <x v="1"/>
    <x v="0"/>
    <s v="Ios"/>
    <s v="Iphone"/>
    <s v="1-2 years"/>
    <x v="0"/>
    <x v="4"/>
    <x v="2"/>
    <s v="First Use"/>
    <s v="New Cta Copy"/>
    <s v="Treatment"/>
    <n v="5"/>
    <n v="5"/>
    <n v="132"/>
    <s v="No"/>
    <x v="0"/>
    <x v="1"/>
    <x v="1"/>
    <x v="0"/>
    <n v="52.21"/>
    <x v="0"/>
    <x v="0"/>
    <s v="No Support Contact"/>
    <s v="No"/>
    <s v="No Support Contact"/>
    <s v="Not Applicable"/>
    <m/>
    <s v="No drop-off"/>
    <n v="3"/>
    <n v="47"/>
    <s v="0 days"/>
    <x v="1"/>
    <n v="1"/>
    <n v="1"/>
    <n v="0"/>
    <n v="1"/>
  </r>
  <r>
    <x v="143"/>
    <s v="USR-00585"/>
    <s v="SES-2504-17971"/>
    <x v="125"/>
    <s v="Scotland"/>
    <s v="Glasgow"/>
    <x v="5"/>
    <x v="2"/>
    <x v="1"/>
    <s v="Ios"/>
    <s v="Iphone"/>
    <s v="3-6 months"/>
    <x v="1"/>
    <x v="5"/>
    <x v="1"/>
    <s v="Repeat Use"/>
    <s v="Fee Transparency Panel"/>
    <s v="Control"/>
    <n v="4"/>
    <s v="4 steps"/>
    <n v="125"/>
    <s v="No"/>
    <x v="0"/>
    <x v="1"/>
    <x v="1"/>
    <x v="0"/>
    <n v="106.83"/>
    <x v="4"/>
    <x v="1"/>
    <s v="No Support Contact"/>
    <s v="No"/>
    <s v="No Support Contact"/>
    <s v="Not Applicable"/>
    <m/>
    <s v="No drop-off"/>
    <n v="4"/>
    <n v="38"/>
    <n v="65"/>
    <x v="1"/>
    <n v="1"/>
    <n v="1"/>
    <n v="0"/>
    <n v="1"/>
  </r>
  <r>
    <x v="144"/>
    <s v="USR-00083"/>
    <s v="SES-2508-17532"/>
    <x v="126"/>
    <s v="Wales"/>
    <s v="Newport"/>
    <x v="0"/>
    <x v="1"/>
    <x v="1"/>
    <s v="Ios"/>
    <s v="Iphone"/>
    <s v="3-6 months"/>
    <x v="0"/>
    <x v="6"/>
    <x v="8"/>
    <s v="Repeat Use"/>
    <s v="Progress Indicator"/>
    <s v="Control"/>
    <n v="5"/>
    <n v="4"/>
    <n v="193"/>
    <s v="Yes"/>
    <x v="0"/>
    <x v="1"/>
    <x v="1"/>
    <x v="0"/>
    <n v="95.31"/>
    <x v="0"/>
    <x v="0"/>
    <s v="Account Verification"/>
    <s v="Yes"/>
    <s v="Account Verification"/>
    <s v="Resolved"/>
    <n v="41"/>
    <s v="No drop-off"/>
    <n v="4"/>
    <n v="33"/>
    <s v="33 days"/>
    <x v="1"/>
    <n v="1"/>
    <n v="1"/>
    <n v="0"/>
    <n v="1"/>
  </r>
  <r>
    <x v="145"/>
    <s v="USR-00660"/>
    <s v="SES-2511-47478"/>
    <x v="127"/>
    <s v="East Midlands"/>
    <s v="Nottingham"/>
    <x v="0"/>
    <x v="0"/>
    <x v="0"/>
    <s v="Ios"/>
    <s v="Iphone"/>
    <s v="&lt;3 months"/>
    <x v="2"/>
    <x v="2"/>
    <x v="0"/>
    <s v="Repeat Use"/>
    <s v="Simplified Onboarding"/>
    <s v="Treatment"/>
    <n v="7"/>
    <n v="7"/>
    <n v="167"/>
    <s v="No"/>
    <x v="0"/>
    <x v="1"/>
    <x v="1"/>
    <x v="1"/>
    <n v="0"/>
    <x v="0"/>
    <x v="0"/>
    <s v="No Support Contact"/>
    <s v="No"/>
    <s v="No Support Contact"/>
    <s v="Not Applicable"/>
    <m/>
    <s v="No drop-off"/>
    <n v="4"/>
    <n v="38"/>
    <n v="9"/>
    <x v="0"/>
    <n v="1"/>
    <n v="0"/>
    <n v="0"/>
    <n v="0"/>
  </r>
  <r>
    <x v="146"/>
    <s v="USR-00771"/>
    <s v="SES-2509-95871"/>
    <x v="128"/>
    <s v="West Midlands"/>
    <s v="Wolverhampton"/>
    <x v="1"/>
    <x v="0"/>
    <x v="0"/>
    <s v="Android"/>
    <s v="Android Phone"/>
    <s v="1-2 years"/>
    <x v="0"/>
    <x v="6"/>
    <x v="10"/>
    <s v="Repeat Use"/>
    <s v="No Experiment"/>
    <s v="Control"/>
    <n v="9"/>
    <n v="9"/>
    <n v="223"/>
    <s v="No"/>
    <x v="0"/>
    <x v="0"/>
    <x v="9"/>
    <x v="1"/>
    <n v="0"/>
    <x v="0"/>
    <x v="0"/>
    <s v="No Support Contact"/>
    <s v="No"/>
    <s v="No Support Contact"/>
    <s v="Not Applicable"/>
    <m/>
    <s v="No drop-off"/>
    <n v="2"/>
    <n v="-24"/>
    <n v="12"/>
    <x v="0"/>
    <n v="1"/>
    <n v="0"/>
    <n v="1"/>
    <n v="0"/>
  </r>
  <r>
    <x v="147"/>
    <s v="USR-00405"/>
    <s v="SES-2605-75240"/>
    <x v="129"/>
    <s v="Scotland"/>
    <s v="Dundee"/>
    <x v="3"/>
    <x v="2"/>
    <x v="1"/>
    <s v="Ios"/>
    <s v="Iphone"/>
    <s v="7-12 months"/>
    <x v="1"/>
    <x v="1"/>
    <x v="2"/>
    <s v="Trial/Exploration"/>
    <s v="Simplified Onboarding"/>
    <s v="Treatment"/>
    <n v="5"/>
    <n v="4"/>
    <n v="182"/>
    <s v="Yes"/>
    <x v="0"/>
    <x v="1"/>
    <x v="1"/>
    <x v="2"/>
    <n v="126.89"/>
    <x v="0"/>
    <x v="1"/>
    <s v="No Support Contact"/>
    <s v="Unknown"/>
    <s v="No Support Contact"/>
    <s v="Not Applicable"/>
    <m/>
    <s v="No drop-off"/>
    <n v="4"/>
    <n v="22"/>
    <n v="43"/>
    <x v="0"/>
    <n v="1"/>
    <n v="0"/>
    <n v="0"/>
    <n v="0"/>
  </r>
  <r>
    <x v="148"/>
    <s v="USR-00536"/>
    <s v="SES-2506-88714"/>
    <x v="130"/>
    <s v="Yorkshire &amp; Humber"/>
    <s v="Sheffield"/>
    <x v="0"/>
    <x v="0"/>
    <x v="0"/>
    <s v="Ios"/>
    <s v="Iphone"/>
    <s v="1-2 years"/>
    <x v="0"/>
    <x v="3"/>
    <x v="7"/>
    <s v="Repeat Use"/>
    <s v="No Experiment"/>
    <s v="Control"/>
    <n v="4"/>
    <n v="4"/>
    <n v="126"/>
    <s v="No"/>
    <x v="0"/>
    <x v="1"/>
    <x v="1"/>
    <x v="0"/>
    <n v="68.62"/>
    <x v="20"/>
    <x v="0"/>
    <s v="No Support Contact"/>
    <s v="No"/>
    <s v="No Support Contact"/>
    <s v="Not Applicable"/>
    <m/>
    <s v="No drop-off"/>
    <n v="3"/>
    <n v="-16"/>
    <n v="34"/>
    <x v="1"/>
    <n v="1"/>
    <n v="1"/>
    <n v="0"/>
    <n v="1"/>
  </r>
  <r>
    <x v="149"/>
    <s v="USR-00822"/>
    <s v="SES-2506-54354"/>
    <x v="131"/>
    <s v="London"/>
    <s v="Camden"/>
    <x v="2"/>
    <x v="1"/>
    <x v="0"/>
    <s v="Android"/>
    <s v="Android Phone"/>
    <s v="2+ years"/>
    <x v="0"/>
    <x v="7"/>
    <x v="4"/>
    <s v="Repeat Use"/>
    <s v="Fee Transparency Panel"/>
    <s v="Treatment"/>
    <n v="6"/>
    <n v="6"/>
    <n v="132"/>
    <s v="No"/>
    <x v="0"/>
    <x v="1"/>
    <x v="1"/>
    <x v="0"/>
    <n v="3.98"/>
    <x v="0"/>
    <x v="0"/>
    <s v="No Support Contact"/>
    <s v="No"/>
    <s v="No Support Contact"/>
    <s v="Not Applicable"/>
    <m/>
    <s v="No drop-off"/>
    <n v="3"/>
    <n v="12"/>
    <n v="1"/>
    <x v="0"/>
    <n v="1"/>
    <n v="1"/>
    <n v="0"/>
    <n v="0"/>
  </r>
  <r>
    <x v="150"/>
    <s v="USR-00582"/>
    <s v="SES-2511-20648"/>
    <x v="132"/>
    <s v="Scotland"/>
    <s v="Aberdeen"/>
    <x v="3"/>
    <x v="0"/>
    <x v="0"/>
    <s v="Android"/>
    <s v="Android Phone"/>
    <s v="1-2 years"/>
    <x v="0"/>
    <x v="1"/>
    <x v="8"/>
    <s v="Repeat Use"/>
    <s v="Progress Indicator"/>
    <s v="Control"/>
    <n v="5"/>
    <s v="5 steps"/>
    <n v="110"/>
    <s v="No"/>
    <x v="0"/>
    <x v="1"/>
    <x v="1"/>
    <x v="0"/>
    <n v="0"/>
    <x v="0"/>
    <x v="0"/>
    <s v="No Support Contact"/>
    <s v="No"/>
    <s v="No Support Contact"/>
    <s v="Not Applicable"/>
    <m/>
    <s v="No drop-off"/>
    <n v="4"/>
    <n v="54"/>
    <n v="28"/>
    <x v="1"/>
    <n v="1"/>
    <n v="1"/>
    <n v="0"/>
    <n v="1"/>
  </r>
  <r>
    <x v="151"/>
    <s v="USR-00503"/>
    <s v="SES-2507-32711"/>
    <x v="133"/>
    <s v="East Midlands"/>
    <s v="Lincoln"/>
    <x v="5"/>
    <x v="1"/>
    <x v="0"/>
    <s v="Android"/>
    <s v="Android Phone"/>
    <s v="1-2 years"/>
    <x v="1"/>
    <x v="2"/>
    <x v="2"/>
    <s v="Repeat Use"/>
    <s v="No Experiment"/>
    <s v="Control"/>
    <n v="5"/>
    <n v="5"/>
    <n v="133"/>
    <s v="No"/>
    <x v="0"/>
    <x v="1"/>
    <x v="1"/>
    <x v="0"/>
    <n v="72.180000000000007"/>
    <x v="0"/>
    <x v="1"/>
    <s v="No Support Contact"/>
    <s v="No"/>
    <s v="No Support Contact"/>
    <s v="Not Applicable"/>
    <m/>
    <s v="No drop-off"/>
    <n v="5"/>
    <n v="30"/>
    <n v="35"/>
    <x v="1"/>
    <n v="1"/>
    <n v="1"/>
    <n v="0"/>
    <n v="1"/>
  </r>
  <r>
    <x v="152"/>
    <s v="USR-00075"/>
    <s v="SES-2506-67959"/>
    <x v="134"/>
    <s v="Wales"/>
    <s v="Newport"/>
    <x v="5"/>
    <x v="0"/>
    <x v="1"/>
    <s v="Android"/>
    <s v="Android Phone"/>
    <s v="3-6 months"/>
    <x v="0"/>
    <x v="2"/>
    <x v="0"/>
    <s v="Repeat Use"/>
    <s v="Progress Indicator"/>
    <s v="Treatment"/>
    <n v="7"/>
    <n v="7"/>
    <n v="306"/>
    <s v="No"/>
    <x v="1"/>
    <x v="0"/>
    <x v="18"/>
    <x v="1"/>
    <n v="0"/>
    <x v="0"/>
    <x v="0"/>
    <s v="No Support Contact"/>
    <s v="No"/>
    <s v="No Support Contact"/>
    <s v="Not Applicable"/>
    <m/>
    <s v="Technical error"/>
    <n v="4"/>
    <n v="-13"/>
    <n v="27"/>
    <x v="0"/>
    <n v="0"/>
    <n v="0"/>
    <n v="1"/>
    <n v="0"/>
  </r>
  <r>
    <x v="153"/>
    <s v="USR-00481"/>
    <s v="SES-2508-73618"/>
    <x v="135"/>
    <s v="North East"/>
    <s v="Middlesbrough"/>
    <x v="0"/>
    <x v="0"/>
    <x v="1"/>
    <s v="Ios"/>
    <s v="Iphone"/>
    <s v="3-6 months"/>
    <x v="0"/>
    <x v="4"/>
    <x v="2"/>
    <s v="Repeat Use"/>
    <s v="Fee Transparency Panel"/>
    <s v="Control"/>
    <n v="5"/>
    <n v="5"/>
    <n v="119"/>
    <s v="No"/>
    <x v="0"/>
    <x v="1"/>
    <x v="1"/>
    <x v="0"/>
    <n v="75.56"/>
    <x v="0"/>
    <x v="0"/>
    <s v="No Support Contact"/>
    <s v="No"/>
    <s v="No Support Contact"/>
    <s v="Not Applicable"/>
    <m/>
    <s v="No drop-off"/>
    <n v="4"/>
    <n v="22"/>
    <n v="33"/>
    <x v="1"/>
    <n v="1"/>
    <n v="1"/>
    <n v="0"/>
    <n v="1"/>
  </r>
  <r>
    <x v="154"/>
    <s v="USR-00704"/>
    <s v="SES-2506-97815"/>
    <x v="136"/>
    <s v="East England"/>
    <s v="Cambridge"/>
    <x v="5"/>
    <x v="0"/>
    <x v="0"/>
    <s v="Android"/>
    <s v="Android Phone"/>
    <s v="2+ years"/>
    <x v="2"/>
    <x v="4"/>
    <x v="1"/>
    <s v="First Use"/>
    <s v="No Experiment"/>
    <s v="Control"/>
    <n v="4"/>
    <n v="4"/>
    <n v="80"/>
    <s v="No"/>
    <x v="0"/>
    <x v="1"/>
    <x v="1"/>
    <x v="0"/>
    <n v="69.11"/>
    <x v="25"/>
    <x v="2"/>
    <s v="No Support Contact"/>
    <s v="No"/>
    <s v="No Support Contact"/>
    <s v="Not Applicable"/>
    <m/>
    <s v="No drop-off"/>
    <n v="5"/>
    <n v="19"/>
    <n v="0"/>
    <x v="1"/>
    <n v="1"/>
    <n v="1"/>
    <n v="0"/>
    <n v="1"/>
  </r>
  <r>
    <x v="155"/>
    <s v="USR-00412"/>
    <s v="SES-2505-67231"/>
    <x v="26"/>
    <s v="Wales"/>
    <s v="Wrexham"/>
    <x v="0"/>
    <x v="3"/>
    <x v="1"/>
    <s v="Android"/>
    <s v="Android Phone"/>
    <s v="7-12 months"/>
    <x v="0"/>
    <x v="4"/>
    <x v="3"/>
    <s v="Repeat Use"/>
    <s v="No Experiment"/>
    <s v="Control"/>
    <n v="6"/>
    <n v="6"/>
    <n v="130"/>
    <s v="No"/>
    <x v="0"/>
    <x v="1"/>
    <x v="1"/>
    <x v="0"/>
    <n v="0"/>
    <x v="2"/>
    <x v="0"/>
    <s v="No Support Contact"/>
    <s v="No"/>
    <s v="No Support Contact"/>
    <s v="Not Applicable"/>
    <m/>
    <s v="No drop-off"/>
    <n v="4"/>
    <n v="3"/>
    <n v="24"/>
    <x v="1"/>
    <n v="1"/>
    <n v="1"/>
    <n v="0"/>
    <n v="1"/>
  </r>
  <r>
    <x v="156"/>
    <s v="USR-00706"/>
    <s v="SES-2504-14805"/>
    <x v="137"/>
    <s v="West Midlands"/>
    <s v="Birmingham"/>
    <x v="2"/>
    <x v="0"/>
    <x v="1"/>
    <s v="Web"/>
    <s v="Desktop"/>
    <s v="2+ years"/>
    <x v="0"/>
    <x v="1"/>
    <x v="7"/>
    <s v="Repeat Use"/>
    <s v="Progress Indicator"/>
    <s v="Control"/>
    <n v="4"/>
    <n v="4"/>
    <n v="96"/>
    <s v="Unknown"/>
    <x v="0"/>
    <x v="1"/>
    <x v="1"/>
    <x v="0"/>
    <n v="144.30000000000001"/>
    <x v="31"/>
    <x v="0"/>
    <s v="Transaction Failure"/>
    <s v="Yes"/>
    <s v="Transaction Failure"/>
    <s v="Resolved"/>
    <m/>
    <s v="No drop-off"/>
    <n v="5"/>
    <n v="23"/>
    <n v="1"/>
    <x v="1"/>
    <n v="1"/>
    <n v="1"/>
    <n v="0"/>
    <n v="1"/>
  </r>
  <r>
    <x v="157"/>
    <s v="USR-00523"/>
    <s v="SES-2512-26724"/>
    <x v="138"/>
    <s v="Yorkshire &amp; Humber"/>
    <s v="York"/>
    <x v="0"/>
    <x v="3"/>
    <x v="0"/>
    <s v="Ios"/>
    <s v="Iphone"/>
    <s v="2+ years"/>
    <x v="0"/>
    <x v="4"/>
    <x v="0"/>
    <s v="Trial/Exploration"/>
    <s v="No Experiment"/>
    <s v="Control"/>
    <n v="7"/>
    <n v="7"/>
    <n v="162"/>
    <s v="No"/>
    <x v="1"/>
    <x v="1"/>
    <x v="1"/>
    <x v="1"/>
    <n v="0"/>
    <x v="0"/>
    <x v="0"/>
    <s v="No Support Contact"/>
    <s v="No"/>
    <s v="No Support Contact"/>
    <s v="Not Applicable"/>
    <m/>
    <s v="No drop-off"/>
    <n v="3"/>
    <n v="-17"/>
    <s v="32 days"/>
    <x v="0"/>
    <n v="0"/>
    <n v="0"/>
    <n v="0"/>
    <n v="0"/>
  </r>
  <r>
    <x v="158"/>
    <s v="USR-00482"/>
    <s v="SES-2504-63494"/>
    <x v="139"/>
    <s v="London"/>
    <s v="Hackney"/>
    <x v="3"/>
    <x v="2"/>
    <x v="0"/>
    <s v="Ios"/>
    <s v="Iphone"/>
    <s v="&lt;3 months"/>
    <x v="0"/>
    <x v="3"/>
    <x v="4"/>
    <s v="Repeat Use"/>
    <s v="Simplified Onboarding"/>
    <s v="Control"/>
    <n v="6"/>
    <n v="4"/>
    <n v="188"/>
    <s v="Yes"/>
    <x v="0"/>
    <x v="1"/>
    <x v="1"/>
    <x v="0"/>
    <n v="80.17"/>
    <x v="0"/>
    <x v="0"/>
    <s v="No Support Contact"/>
    <s v="No"/>
    <s v="No Support Contact"/>
    <s v="Not Applicable"/>
    <m/>
    <s v="No drop-off"/>
    <n v="1"/>
    <n v="-10"/>
    <n v="31"/>
    <x v="0"/>
    <n v="1"/>
    <n v="1"/>
    <n v="0"/>
    <n v="0"/>
  </r>
  <r>
    <x v="159"/>
    <s v="USR-00460"/>
    <s v="SES-2508-13315"/>
    <x v="140"/>
    <s v="East Midlands"/>
    <s v="Nottingham"/>
    <x v="1"/>
    <x v="0"/>
    <x v="0"/>
    <s v="Ios"/>
    <s v="Iphone"/>
    <s v="2+ years"/>
    <x v="1"/>
    <x v="5"/>
    <x v="0"/>
    <s v="Repeat Use"/>
    <s v="No Experiment"/>
    <s v="Control"/>
    <n v="7"/>
    <n v="7"/>
    <n v="128"/>
    <s v="No"/>
    <x v="1"/>
    <x v="1"/>
    <x v="1"/>
    <x v="1"/>
    <n v="0"/>
    <x v="0"/>
    <x v="0"/>
    <s v="No Support Contact"/>
    <s v="No"/>
    <s v="No Support Contact"/>
    <s v="Not Applicable"/>
    <m/>
    <s v="Too many steps"/>
    <n v="3"/>
    <n v="23"/>
    <n v="64"/>
    <x v="0"/>
    <n v="0"/>
    <n v="0"/>
    <n v="0"/>
    <n v="0"/>
  </r>
  <r>
    <x v="160"/>
    <s v="USR-00812"/>
    <s v="SES-2602-95913"/>
    <x v="141"/>
    <s v="North West"/>
    <s v="Liverpool"/>
    <x v="1"/>
    <x v="2"/>
    <x v="1"/>
    <s v="Ios"/>
    <s v="Iphone"/>
    <s v="2+ years"/>
    <x v="0"/>
    <x v="0"/>
    <x v="4"/>
    <s v="Repeat Use"/>
    <s v="No Experiment"/>
    <s v="Control"/>
    <n v="99"/>
    <s v="6 steps"/>
    <n v="9999"/>
    <s v="No"/>
    <x v="0"/>
    <x v="1"/>
    <x v="1"/>
    <x v="0"/>
    <n v="42.04"/>
    <x v="0"/>
    <x v="0"/>
    <s v="No Support Contact"/>
    <s v="No"/>
    <s v="No Support Contact"/>
    <s v="Not Applicable"/>
    <m/>
    <s v="No drop-off"/>
    <n v="4"/>
    <n v="-21"/>
    <n v="29"/>
    <x v="1"/>
    <n v="1"/>
    <n v="1"/>
    <n v="0"/>
    <n v="1"/>
  </r>
  <r>
    <x v="161"/>
    <s v="USR-00544"/>
    <s v="SES-2603-13702"/>
    <x v="91"/>
    <s v="North East"/>
    <s v="Sunderland"/>
    <x v="4"/>
    <x v="1"/>
    <x v="1"/>
    <s v="Ios"/>
    <s v="Iphone"/>
    <s v="3-6 months"/>
    <x v="0"/>
    <x v="3"/>
    <x v="0"/>
    <s v="Repeat Use"/>
    <s v="New Cta Copy"/>
    <s v="Treatment"/>
    <n v="7"/>
    <n v="7"/>
    <n v="221"/>
    <s v="No"/>
    <x v="0"/>
    <x v="1"/>
    <x v="1"/>
    <x v="1"/>
    <n v="0"/>
    <x v="0"/>
    <x v="0"/>
    <s v="No Support Contact"/>
    <s v="No"/>
    <s v="No Support Contact"/>
    <s v="Not Applicable"/>
    <m/>
    <s v="No drop-off"/>
    <n v="4"/>
    <n v="9"/>
    <n v="73"/>
    <x v="1"/>
    <n v="1"/>
    <n v="0"/>
    <n v="0"/>
    <n v="1"/>
  </r>
  <r>
    <x v="162"/>
    <s v="USR-00182"/>
    <s v="SES-2504-57100"/>
    <x v="142"/>
    <s v="Wales"/>
    <s v="Cardiff"/>
    <x v="3"/>
    <x v="2"/>
    <x v="1"/>
    <s v="Web"/>
    <s v="Mobile Browser"/>
    <s v="3-6 months"/>
    <x v="3"/>
    <x v="2"/>
    <x v="9"/>
    <s v="First Use"/>
    <s v="Contextual Help"/>
    <s v="Treatment"/>
    <n v="5"/>
    <n v="4"/>
    <n v="122"/>
    <s v="Yes"/>
    <x v="0"/>
    <x v="1"/>
    <x v="1"/>
    <x v="0"/>
    <n v="96.81"/>
    <x v="0"/>
    <x v="0"/>
    <s v="No Support Contact"/>
    <s v="No"/>
    <s v="No Support Contact"/>
    <s v="Not Applicable"/>
    <m/>
    <s v="No drop-off"/>
    <n v="5"/>
    <n v="18"/>
    <n v="0"/>
    <x v="1"/>
    <n v="1"/>
    <n v="1"/>
    <n v="0"/>
    <n v="1"/>
  </r>
  <r>
    <x v="163"/>
    <s v="USR-00406"/>
    <s v="SES-2512-83239"/>
    <x v="2"/>
    <s v="East Midlands"/>
    <s v="Derby"/>
    <x v="1"/>
    <x v="3"/>
    <x v="0"/>
    <s v="Ios"/>
    <s v="Iphone"/>
    <s v="2+ years"/>
    <x v="0"/>
    <x v="3"/>
    <x v="2"/>
    <s v="Repeat Use"/>
    <s v="No Experiment"/>
    <s v="Control"/>
    <n v="5"/>
    <s v="4 steps"/>
    <n v="200"/>
    <s v="Yes"/>
    <x v="0"/>
    <x v="0"/>
    <x v="19"/>
    <x v="0"/>
    <n v="85.96"/>
    <x v="0"/>
    <x v="0"/>
    <s v="No Support Contact"/>
    <s v="No"/>
    <s v="No Support Contact"/>
    <s v="Not Applicable"/>
    <m/>
    <s v="No drop-off"/>
    <n v="4"/>
    <n v="-47"/>
    <n v="55"/>
    <x v="1"/>
    <n v="1"/>
    <n v="1"/>
    <n v="1"/>
    <n v="1"/>
  </r>
  <r>
    <x v="164"/>
    <s v="USR-00376"/>
    <s v="SES-2506-96322"/>
    <x v="143"/>
    <s v="North East"/>
    <s v="Middlesbrough"/>
    <x v="1"/>
    <x v="2"/>
    <x v="0"/>
    <s v="Android"/>
    <s v="Android Phone"/>
    <s v="3-6 months"/>
    <x v="2"/>
    <x v="5"/>
    <x v="1"/>
    <s v="First Use"/>
    <s v="Simplified Onboarding"/>
    <s v="Control"/>
    <n v="4"/>
    <n v="4"/>
    <n v="87"/>
    <s v="No"/>
    <x v="0"/>
    <x v="1"/>
    <x v="1"/>
    <x v="1"/>
    <n v="0"/>
    <x v="0"/>
    <x v="0"/>
    <s v="No Support Contact"/>
    <s v="No"/>
    <s v="No Support Contact"/>
    <s v="Not Applicable"/>
    <m/>
    <s v="No drop-off"/>
    <n v="5"/>
    <n v="45"/>
    <n v="0"/>
    <x v="1"/>
    <n v="1"/>
    <n v="0"/>
    <n v="0"/>
    <n v="1"/>
  </r>
  <r>
    <x v="165"/>
    <s v="USR-00215"/>
    <s v="SES-2505-28363"/>
    <x v="144"/>
    <s v="Yorkshire &amp; Humber"/>
    <s v="Sheffield"/>
    <x v="3"/>
    <x v="1"/>
    <x v="0"/>
    <s v="Web"/>
    <s v="Mobile Browser"/>
    <s v="&lt;3 months"/>
    <x v="0"/>
    <x v="2"/>
    <x v="1"/>
    <s v="Repeat Use"/>
    <s v="Contextual Help"/>
    <s v="Treatment"/>
    <n v="4"/>
    <n v="4"/>
    <n v="111"/>
    <s v="No"/>
    <x v="0"/>
    <x v="1"/>
    <x v="1"/>
    <x v="0"/>
    <n v="157.56"/>
    <x v="25"/>
    <x v="0"/>
    <s v="No Support Contact"/>
    <s v="No"/>
    <s v="No Support Contact"/>
    <s v="Not Applicable"/>
    <m/>
    <s v="No drop-off"/>
    <n v="3"/>
    <n v="29"/>
    <n v="40"/>
    <x v="1"/>
    <n v="1"/>
    <n v="1"/>
    <n v="0"/>
    <n v="1"/>
  </r>
  <r>
    <x v="166"/>
    <s v="USR-00193"/>
    <s v="SES-2506-55565"/>
    <x v="61"/>
    <s v="West Midlands"/>
    <s v="Coventry"/>
    <x v="2"/>
    <x v="0"/>
    <x v="0"/>
    <s v="Android"/>
    <s v="Android Phone"/>
    <s v="&lt;3 months"/>
    <x v="0"/>
    <x v="2"/>
    <x v="1"/>
    <s v="Repeat Use"/>
    <s v="Fee Transparency Panel"/>
    <s v="Treatment"/>
    <n v="4"/>
    <n v="2"/>
    <n v="322"/>
    <s v="Yes"/>
    <x v="0"/>
    <x v="0"/>
    <x v="14"/>
    <x v="0"/>
    <n v="147.96"/>
    <x v="6"/>
    <x v="0"/>
    <s v="Account Verification"/>
    <s v="Yes"/>
    <s v="Account Verification"/>
    <s v="Resolved"/>
    <n v="25"/>
    <s v="No drop-off"/>
    <n v="4"/>
    <n v="4"/>
    <n v="66"/>
    <x v="1"/>
    <n v="1"/>
    <n v="1"/>
    <n v="1"/>
    <n v="1"/>
  </r>
  <r>
    <x v="167"/>
    <s v="USR-00317"/>
    <s v="SES-2503-25934"/>
    <x v="145"/>
    <s v="North East"/>
    <s v="Middlesbrough"/>
    <x v="0"/>
    <x v="3"/>
    <x v="0"/>
    <s v="Android"/>
    <s v="Android Phone"/>
    <s v="7-12 months"/>
    <x v="0"/>
    <x v="0"/>
    <x v="7"/>
    <s v="Repeat Use"/>
    <s v="Contextual Help"/>
    <s v="Treatment"/>
    <n v="4"/>
    <n v="4"/>
    <n v="101"/>
    <s v="No"/>
    <x v="0"/>
    <x v="1"/>
    <x v="1"/>
    <x v="0"/>
    <n v="113.81"/>
    <x v="32"/>
    <x v="0"/>
    <s v="No Support Contact"/>
    <s v="No"/>
    <s v="No Support Contact"/>
    <s v="Not Applicable"/>
    <m/>
    <s v="No drop-off"/>
    <n v="4"/>
    <n v="45"/>
    <n v="17"/>
    <x v="0"/>
    <n v="1"/>
    <n v="1"/>
    <n v="0"/>
    <n v="0"/>
  </r>
  <r>
    <x v="168"/>
    <s v="USR-00628"/>
    <s v="SES-2603-77326"/>
    <x v="57"/>
    <s v="Scotland"/>
    <s v="Dundee"/>
    <x v="7"/>
    <x v="0"/>
    <x v="1"/>
    <s v="Android"/>
    <s v="Android Phone"/>
    <s v="3-6 months"/>
    <x v="0"/>
    <x v="5"/>
    <x v="3"/>
    <s v="Repeat Use"/>
    <s v="No Experiment"/>
    <s v="Control"/>
    <n v="6"/>
    <n v="3"/>
    <n v="410"/>
    <s v="Yes"/>
    <x v="0"/>
    <x v="0"/>
    <x v="8"/>
    <x v="2"/>
    <n v="0"/>
    <x v="0"/>
    <x v="0"/>
    <s v="No Support Contact"/>
    <s v="No"/>
    <s v="No Support Contact"/>
    <s v="Not Applicable"/>
    <m/>
    <s v="No drop-off"/>
    <n v="2"/>
    <n v="-64"/>
    <n v="38"/>
    <x v="2"/>
    <n v="1"/>
    <n v="0"/>
    <n v="1"/>
    <n v="0"/>
  </r>
  <r>
    <x v="169"/>
    <s v="USR-00038"/>
    <s v="SES-2505-36330"/>
    <x v="88"/>
    <s v="North East"/>
    <s v="Sunderland"/>
    <x v="1"/>
    <x v="1"/>
    <x v="0"/>
    <s v="Android"/>
    <s v="Android Phone"/>
    <s v="2+ years"/>
    <x v="1"/>
    <x v="1"/>
    <x v="8"/>
    <s v="Trial/Exploration"/>
    <s v="New Cta Copy"/>
    <s v="Treatment"/>
    <n v="5"/>
    <n v="5"/>
    <n v="187"/>
    <s v="No"/>
    <x v="1"/>
    <x v="0"/>
    <x v="13"/>
    <x v="1"/>
    <n v="0"/>
    <x v="0"/>
    <x v="0"/>
    <s v="No Support Contact"/>
    <s v="No"/>
    <s v="No Support Contact"/>
    <s v="Not Applicable"/>
    <m/>
    <s v="Technical error"/>
    <n v="3"/>
    <n v="-18"/>
    <n v="33"/>
    <x v="0"/>
    <n v="0"/>
    <n v="0"/>
    <n v="1"/>
    <n v="0"/>
  </r>
  <r>
    <x v="170"/>
    <s v="USR-00458"/>
    <s v="SES-2509-31832"/>
    <x v="118"/>
    <s v="South West"/>
    <s v="Bath"/>
    <x v="5"/>
    <x v="3"/>
    <x v="1"/>
    <s v="Web"/>
    <s v="Desktop"/>
    <s v="3-6 months"/>
    <x v="1"/>
    <x v="3"/>
    <x v="9"/>
    <s v="Repeat Use"/>
    <s v="Simplified Onboarding"/>
    <s v="Treatment"/>
    <n v="5"/>
    <n v="5"/>
    <n v="114"/>
    <s v="No"/>
    <x v="1"/>
    <x v="1"/>
    <x v="1"/>
    <x v="0"/>
    <n v="58.27"/>
    <x v="0"/>
    <x v="1"/>
    <s v="Fees And Pricing"/>
    <s v="Yes"/>
    <s v="Fees And Pricing"/>
    <s v="Unresolved"/>
    <n v="21"/>
    <s v="No drop-off"/>
    <n v="3"/>
    <n v="33"/>
    <n v="42"/>
    <x v="0"/>
    <n v="0"/>
    <n v="1"/>
    <n v="0"/>
    <n v="0"/>
  </r>
  <r>
    <x v="171"/>
    <s v="USR-00589"/>
    <s v="SES-2604-65581"/>
    <x v="44"/>
    <s v="Northern Ireland"/>
    <s v="Belfast"/>
    <x v="5"/>
    <x v="4"/>
    <x v="0"/>
    <s v="Ios"/>
    <s v="Iphone"/>
    <s v="7-12 months"/>
    <x v="0"/>
    <x v="5"/>
    <x v="5"/>
    <s v="Trial/Exploration"/>
    <s v="No Experiment"/>
    <s v="Control"/>
    <n v="8"/>
    <n v="8"/>
    <n v="308"/>
    <s v="No"/>
    <x v="1"/>
    <x v="0"/>
    <x v="10"/>
    <x v="1"/>
    <n v="0"/>
    <x v="0"/>
    <x v="0"/>
    <s v="Transaction Failure"/>
    <s v="Yes"/>
    <s v="Transaction Failure"/>
    <s v="Resolved"/>
    <n v="33"/>
    <s v="Technical error"/>
    <n v="3"/>
    <n v="-62"/>
    <n v="68"/>
    <x v="0"/>
    <n v="0"/>
    <n v="0"/>
    <n v="1"/>
    <n v="0"/>
  </r>
  <r>
    <x v="172"/>
    <s v="USR-00078"/>
    <s v="SES-2510-22396"/>
    <x v="146"/>
    <s v="Wales"/>
    <s v="Wrexham"/>
    <x v="1"/>
    <x v="0"/>
    <x v="1"/>
    <s v="Android"/>
    <s v="Android Phone"/>
    <s v="2+ years"/>
    <x v="0"/>
    <x v="3"/>
    <x v="5"/>
    <s v="First Use"/>
    <s v="New Cta Copy"/>
    <s v="Treatment"/>
    <n v="8"/>
    <s v="8 steps"/>
    <n v="233"/>
    <s v="No"/>
    <x v="0"/>
    <x v="1"/>
    <x v="1"/>
    <x v="0"/>
    <n v="467.16"/>
    <x v="33"/>
    <x v="0"/>
    <s v="Fees And Pricing"/>
    <s v="Yes"/>
    <s v="Fees And Pricing"/>
    <s v="Resolved"/>
    <n v="22"/>
    <s v="No drop-off"/>
    <n v="3"/>
    <n v="20"/>
    <n v="0"/>
    <x v="1"/>
    <n v="1"/>
    <n v="1"/>
    <n v="0"/>
    <n v="1"/>
  </r>
  <r>
    <x v="173"/>
    <s v="USR-00174"/>
    <s v="SES-2502-67240"/>
    <x v="147"/>
    <s v="South West"/>
    <s v="Exeter"/>
    <x v="5"/>
    <x v="3"/>
    <x v="0"/>
    <s v="Android"/>
    <s v="Android Phone"/>
    <s v="7-12 months"/>
    <x v="0"/>
    <x v="4"/>
    <x v="5"/>
    <s v="Trial/Exploration"/>
    <s v="Contextual Help"/>
    <s v="Control"/>
    <n v="8"/>
    <n v="8"/>
    <n v="166"/>
    <s v="No"/>
    <x v="1"/>
    <x v="1"/>
    <x v="1"/>
    <x v="0"/>
    <n v="382.11"/>
    <x v="34"/>
    <x v="0"/>
    <s v="Fees And Pricing"/>
    <s v="Yes"/>
    <s v="Fees And Pricing"/>
    <s v="Resolved"/>
    <n v="23"/>
    <s v="Changed mind"/>
    <n v="5"/>
    <n v="22"/>
    <n v="1"/>
    <x v="0"/>
    <n v="0"/>
    <n v="1"/>
    <n v="0"/>
    <n v="0"/>
  </r>
  <r>
    <x v="174"/>
    <s v="USR-00103"/>
    <s v="SES-2508-96723"/>
    <x v="135"/>
    <s v="London"/>
    <s v="Southwark"/>
    <x v="1"/>
    <x v="1"/>
    <x v="1"/>
    <s v="Android"/>
    <s v="Android Phone"/>
    <s v="1-2 years"/>
    <x v="0"/>
    <x v="1"/>
    <x v="1"/>
    <s v="Reactivated"/>
    <s v="No Experiment"/>
    <s v="Control"/>
    <n v="4"/>
    <n v="4"/>
    <n v="100"/>
    <s v="No"/>
    <x v="0"/>
    <x v="1"/>
    <x v="1"/>
    <x v="1"/>
    <n v="0"/>
    <x v="0"/>
    <x v="0"/>
    <s v="No Support Contact"/>
    <s v="No"/>
    <s v="No Support Contact"/>
    <s v="Not Applicable"/>
    <m/>
    <s v="No drop-off"/>
    <n v="4"/>
    <n v="55"/>
    <n v="38"/>
    <x v="0"/>
    <n v="1"/>
    <n v="0"/>
    <n v="0"/>
    <n v="0"/>
  </r>
  <r>
    <x v="175"/>
    <s v="USR-00249"/>
    <s v="SES-2509-92941"/>
    <x v="128"/>
    <s v="East Midlands"/>
    <s v="Derby"/>
    <x v="3"/>
    <x v="3"/>
    <x v="0"/>
    <s v="Web"/>
    <s v="Desktop"/>
    <s v="1-2 years"/>
    <x v="0"/>
    <x v="5"/>
    <x v="3"/>
    <s v="Repeat Use"/>
    <s v="No Experiment"/>
    <s v="Control"/>
    <n v="6"/>
    <n v="6"/>
    <n v="161"/>
    <s v="No"/>
    <x v="1"/>
    <x v="1"/>
    <x v="1"/>
    <x v="0"/>
    <n v="24.32"/>
    <x v="2"/>
    <x v="0"/>
    <s v="No Support Contact"/>
    <s v="No"/>
    <s v="No Support Contact"/>
    <s v="Not Applicable"/>
    <m/>
    <s v="No drop-off"/>
    <n v="3"/>
    <n v="22"/>
    <n v="24"/>
    <x v="0"/>
    <n v="0"/>
    <n v="1"/>
    <n v="0"/>
    <n v="0"/>
  </r>
  <r>
    <x v="176"/>
    <s v="USR-00852"/>
    <s v="SES-2509-24643"/>
    <x v="148"/>
    <s v="East England"/>
    <s v="Luton"/>
    <x v="2"/>
    <x v="2"/>
    <x v="1"/>
    <s v="Android"/>
    <s v="Android Phone"/>
    <s v="1-2 years"/>
    <x v="3"/>
    <x v="0"/>
    <x v="10"/>
    <s v="Repeat Use"/>
    <s v="Simplified Onboarding"/>
    <s v="Treatment"/>
    <n v="9"/>
    <s v="9 steps"/>
    <n v="371"/>
    <s v="No"/>
    <x v="1"/>
    <x v="0"/>
    <x v="6"/>
    <x v="1"/>
    <n v="0"/>
    <x v="0"/>
    <x v="0"/>
    <s v="No Support Contact"/>
    <s v="No"/>
    <s v="No Support Contact"/>
    <s v="Not Applicable"/>
    <m/>
    <s v="Privacy concern"/>
    <n v="2"/>
    <n v="-40"/>
    <n v="2"/>
    <x v="1"/>
    <n v="0"/>
    <n v="0"/>
    <n v="1"/>
    <n v="1"/>
  </r>
  <r>
    <x v="177"/>
    <s v="USR-00509"/>
    <s v="SES-2603-83024"/>
    <x v="149"/>
    <s v="West Midlands"/>
    <s v="Birmingham"/>
    <x v="4"/>
    <x v="1"/>
    <x v="0"/>
    <s v="Ios"/>
    <s v="Iphone"/>
    <s v="1-2 years"/>
    <x v="0"/>
    <x v="1"/>
    <x v="4"/>
    <s v="Reactivated"/>
    <s v="No Experiment"/>
    <s v="Control"/>
    <n v="6"/>
    <s v="6 steps"/>
    <n v="113"/>
    <s v="No"/>
    <x v="1"/>
    <x v="1"/>
    <x v="1"/>
    <x v="1"/>
    <n v="0"/>
    <x v="0"/>
    <x v="0"/>
    <s v="No Support Contact"/>
    <s v="No"/>
    <s v="No Support Contact"/>
    <s v="Not Applicable"/>
    <m/>
    <s v="No drop-off"/>
    <n v="4"/>
    <n v="-27"/>
    <n v="50"/>
    <x v="0"/>
    <n v="0"/>
    <n v="0"/>
    <n v="0"/>
    <n v="0"/>
  </r>
  <r>
    <x v="178"/>
    <s v="USR-00476"/>
    <s v="SES-2510-67498"/>
    <x v="150"/>
    <s v="South East"/>
    <s v="Brighton"/>
    <x v="5"/>
    <x v="1"/>
    <x v="1"/>
    <s v="Ios"/>
    <s v="Iphone"/>
    <s v="&lt;3 months"/>
    <x v="0"/>
    <x v="1"/>
    <x v="7"/>
    <s v="Repeat Use"/>
    <s v="No Experiment"/>
    <s v="Control"/>
    <n v="4"/>
    <n v="4"/>
    <n v="94"/>
    <s v="No"/>
    <x v="0"/>
    <x v="1"/>
    <x v="1"/>
    <x v="0"/>
    <n v="74.25"/>
    <x v="27"/>
    <x v="0"/>
    <s v="No Support Contact"/>
    <s v="No"/>
    <s v="No Support Contact"/>
    <s v="Not Applicable"/>
    <m/>
    <s v="No drop-off"/>
    <n v="5"/>
    <n v="37"/>
    <n v="61"/>
    <x v="1"/>
    <n v="1"/>
    <n v="1"/>
    <n v="0"/>
    <n v="1"/>
  </r>
  <r>
    <x v="179"/>
    <s v="USR-00061"/>
    <s v="SES-2502-71708"/>
    <x v="151"/>
    <s v="Yorkshire &amp; Humber"/>
    <s v="Hull"/>
    <x v="0"/>
    <x v="1"/>
    <x v="0"/>
    <s v="Web"/>
    <s v="Desktop"/>
    <s v="7-12 months"/>
    <x v="3"/>
    <x v="1"/>
    <x v="10"/>
    <s v="Trial/Exploration"/>
    <s v="No Experiment"/>
    <s v="Control"/>
    <n v="9"/>
    <n v="9"/>
    <n v="235"/>
    <s v="No"/>
    <x v="1"/>
    <x v="0"/>
    <x v="6"/>
    <x v="1"/>
    <n v="0"/>
    <x v="0"/>
    <x v="0"/>
    <s v="No Support Contact"/>
    <s v="No"/>
    <s v="No Support Contact"/>
    <s v="Not Applicable"/>
    <m/>
    <s v="Technical error"/>
    <n v="2"/>
    <n v="2"/>
    <n v="1"/>
    <x v="0"/>
    <n v="0"/>
    <n v="0"/>
    <n v="1"/>
    <n v="0"/>
  </r>
  <r>
    <x v="180"/>
    <s v="USR-00503"/>
    <s v="SES-2602-46889"/>
    <x v="152"/>
    <s v="Northern Ireland"/>
    <s v="Lisburn"/>
    <x v="0"/>
    <x v="1"/>
    <x v="0"/>
    <s v="Ios"/>
    <s v="Iphone"/>
    <s v="7-12 months"/>
    <x v="0"/>
    <x v="1"/>
    <x v="0"/>
    <s v="Repeat Use"/>
    <s v="Progress Indicator"/>
    <s v="Treatment"/>
    <n v="7"/>
    <n v="7"/>
    <n v="147"/>
    <s v="No"/>
    <x v="1"/>
    <x v="1"/>
    <x v="1"/>
    <x v="0"/>
    <n v="49.62"/>
    <x v="0"/>
    <x v="0"/>
    <s v="Transaction Failure"/>
    <s v="Yes"/>
    <s v="Transaction Failure"/>
    <s v="Resolved"/>
    <n v="37"/>
    <s v="No drop-off"/>
    <n v="3"/>
    <n v="9"/>
    <n v="30"/>
    <x v="1"/>
    <n v="0"/>
    <n v="1"/>
    <n v="0"/>
    <n v="1"/>
  </r>
  <r>
    <x v="181"/>
    <s v="USR-00134"/>
    <s v="SES-2504-62077"/>
    <x v="153"/>
    <s v="Wales"/>
    <s v="Newport"/>
    <x v="3"/>
    <x v="3"/>
    <x v="1"/>
    <s v="Ios"/>
    <s v="Ipad"/>
    <s v="7-12 months"/>
    <x v="2"/>
    <x v="3"/>
    <x v="9"/>
    <s v="Repeat Use"/>
    <s v="No Experiment"/>
    <s v="Control"/>
    <n v="5"/>
    <n v="5"/>
    <n v="102"/>
    <s v="No"/>
    <x v="0"/>
    <x v="1"/>
    <x v="1"/>
    <x v="0"/>
    <n v="85.72"/>
    <x v="0"/>
    <x v="2"/>
    <s v="Fees And Pricing"/>
    <s v="Yes"/>
    <s v="Fees And Pricing"/>
    <s v="Unresolved"/>
    <n v="7"/>
    <s v="No drop-off"/>
    <n v="3"/>
    <n v="42"/>
    <n v="23"/>
    <x v="1"/>
    <n v="1"/>
    <n v="1"/>
    <n v="0"/>
    <n v="1"/>
  </r>
  <r>
    <x v="182"/>
    <s v="USR-00504"/>
    <s v="SES-2501-60582"/>
    <x v="108"/>
    <s v="Yorkshire &amp; Humber"/>
    <s v="Sheffield"/>
    <x v="1"/>
    <x v="2"/>
    <x v="1"/>
    <s v="Web"/>
    <s v="Desktop"/>
    <s v="1-2 years"/>
    <x v="0"/>
    <x v="6"/>
    <x v="1"/>
    <s v="Trial/Exploration"/>
    <s v="No Experiment"/>
    <s v="Control"/>
    <n v="4"/>
    <n v="4"/>
    <n v="90"/>
    <s v="No"/>
    <x v="0"/>
    <x v="1"/>
    <x v="1"/>
    <x v="1"/>
    <n v="0"/>
    <x v="0"/>
    <x v="0"/>
    <s v="No Support Contact"/>
    <s v="No"/>
    <s v="No Support Contact"/>
    <s v="Not Applicable"/>
    <m/>
    <s v="No drop-off"/>
    <n v="4"/>
    <n v="89"/>
    <n v="43"/>
    <x v="1"/>
    <n v="1"/>
    <n v="0"/>
    <n v="0"/>
    <n v="1"/>
  </r>
  <r>
    <x v="183"/>
    <s v="USR-00229"/>
    <s v="SES-2503-71569"/>
    <x v="154"/>
    <s v="South East"/>
    <s v="Reading"/>
    <x v="5"/>
    <x v="2"/>
    <x v="0"/>
    <s v="Android"/>
    <s v="Android Phone"/>
    <s v="7-12 months"/>
    <x v="0"/>
    <x v="0"/>
    <x v="0"/>
    <s v="First Use"/>
    <s v="No Experiment"/>
    <s v="Control"/>
    <n v="7"/>
    <n v="4"/>
    <n v="272"/>
    <s v="Yes"/>
    <x v="0"/>
    <x v="1"/>
    <x v="1"/>
    <x v="0"/>
    <n v="80.099999999999994"/>
    <x v="0"/>
    <x v="0"/>
    <s v="Account Verification"/>
    <s v="Yes"/>
    <s v="Account Verification"/>
    <s v="Resolved"/>
    <n v="17"/>
    <s v="No drop-off"/>
    <n v="3"/>
    <n v="-40"/>
    <n v="0"/>
    <x v="0"/>
    <n v="1"/>
    <n v="1"/>
    <n v="0"/>
    <n v="0"/>
  </r>
  <r>
    <x v="184"/>
    <s v="USR-00607"/>
    <s v="SES-2601-90991"/>
    <x v="104"/>
    <s v="London"/>
    <s v="Croydon"/>
    <x v="3"/>
    <x v="0"/>
    <x v="1"/>
    <s v="Ios"/>
    <s v="Iphone"/>
    <s v="1-2 years"/>
    <x v="0"/>
    <x v="0"/>
    <x v="10"/>
    <s v="Reactivated"/>
    <s v="Contextual Help"/>
    <s v="Control"/>
    <n v="9"/>
    <n v="5"/>
    <n v="384"/>
    <s v="Yes"/>
    <x v="1"/>
    <x v="1"/>
    <x v="1"/>
    <x v="1"/>
    <n v="0"/>
    <x v="0"/>
    <x v="0"/>
    <s v="No Support Contact"/>
    <s v="No"/>
    <s v="No Support Contact"/>
    <s v="Not Applicable"/>
    <m/>
    <s v="Too many steps"/>
    <n v="2"/>
    <n v="-13"/>
    <n v="43"/>
    <x v="0"/>
    <n v="0"/>
    <n v="0"/>
    <n v="0"/>
    <n v="0"/>
  </r>
  <r>
    <x v="185"/>
    <s v="USR-00687"/>
    <s v="SES-2601-88155"/>
    <x v="155"/>
    <s v="East Midlands"/>
    <s v="Leicester"/>
    <x v="2"/>
    <x v="3"/>
    <x v="1"/>
    <s v="Android"/>
    <s v="Android Phone"/>
    <s v="2+ years"/>
    <x v="0"/>
    <x v="0"/>
    <x v="0"/>
    <s v="First Use"/>
    <s v="New Cta Copy"/>
    <s v="Control"/>
    <s v="7 steps"/>
    <s v="7 steps"/>
    <n v="168"/>
    <s v="No"/>
    <x v="1"/>
    <x v="1"/>
    <x v="1"/>
    <x v="1"/>
    <n v="0"/>
    <x v="0"/>
    <x v="0"/>
    <s v="No Support Contact"/>
    <s v="No"/>
    <s v="No Support Contact"/>
    <s v="Not Applicable"/>
    <m/>
    <s v="Too many steps"/>
    <n v="3"/>
    <n v="22"/>
    <n v="0"/>
    <x v="0"/>
    <n v="0"/>
    <n v="0"/>
    <n v="0"/>
    <n v="0"/>
  </r>
  <r>
    <x v="186"/>
    <s v="USR-00484"/>
    <s v="SES-2511-68012"/>
    <x v="156"/>
    <s v="North West"/>
    <s v="Chester"/>
    <x v="5"/>
    <x v="1"/>
    <x v="1"/>
    <s v="Web"/>
    <s v="Desktop"/>
    <s v="7-12 months"/>
    <x v="0"/>
    <x v="3"/>
    <x v="5"/>
    <s v="Trial/Exploration"/>
    <s v="Progress Indicator"/>
    <s v="Control"/>
    <n v="99"/>
    <n v="7"/>
    <n v="224"/>
    <s v="Yes"/>
    <x v="1"/>
    <x v="1"/>
    <x v="1"/>
    <x v="1"/>
    <n v="0"/>
    <x v="0"/>
    <x v="0"/>
    <s v="No Support Contact"/>
    <s v="No"/>
    <s v="No Support Contact"/>
    <s v="Not Applicable"/>
    <m/>
    <s v="Too many steps"/>
    <n v="3"/>
    <n v="-3"/>
    <n v="43"/>
    <x v="1"/>
    <n v="0"/>
    <n v="0"/>
    <n v="0"/>
    <n v="1"/>
  </r>
  <r>
    <x v="187"/>
    <s v="USR-00150"/>
    <s v="SES-2601-46570"/>
    <x v="157"/>
    <s v="London"/>
    <s v="Croydon"/>
    <x v="1"/>
    <x v="0"/>
    <x v="1"/>
    <s v="Android"/>
    <s v="Android Tablet"/>
    <s v="7-12 months"/>
    <x v="0"/>
    <x v="2"/>
    <x v="4"/>
    <s v="Repeat Use"/>
    <s v="New Cta Copy"/>
    <s v="Control"/>
    <n v="6"/>
    <n v="6"/>
    <n v="114"/>
    <s v="No"/>
    <x v="0"/>
    <x v="1"/>
    <x v="1"/>
    <x v="0"/>
    <n v="44.09"/>
    <x v="0"/>
    <x v="0"/>
    <s v="No Support Contact"/>
    <s v="No"/>
    <s v="No Support Contact"/>
    <s v="Not Applicable"/>
    <m/>
    <s v="No drop-off"/>
    <n v="4"/>
    <n v="13"/>
    <n v="50"/>
    <x v="1"/>
    <n v="1"/>
    <n v="1"/>
    <n v="0"/>
    <n v="1"/>
  </r>
  <r>
    <x v="188"/>
    <s v="USR-00184"/>
    <s v="SES-2601-90238"/>
    <x v="158"/>
    <s v="North East"/>
    <s v="Durham"/>
    <x v="0"/>
    <x v="3"/>
    <x v="2"/>
    <s v="Android"/>
    <s v="Android Phone"/>
    <s v="7-12 months"/>
    <x v="0"/>
    <x v="0"/>
    <x v="9"/>
    <s v="First Use"/>
    <s v="Fee Transparency Panel"/>
    <s v="Control"/>
    <n v="5"/>
    <n v="5"/>
    <n v="115"/>
    <s v="No"/>
    <x v="1"/>
    <x v="1"/>
    <x v="1"/>
    <x v="0"/>
    <n v="0"/>
    <x v="0"/>
    <x v="0"/>
    <s v="No Support Contact"/>
    <s v="No"/>
    <s v="No Support Contact"/>
    <s v="Not Applicable"/>
    <m/>
    <s v="Instructions unclear"/>
    <n v="4"/>
    <n v="67"/>
    <n v="0"/>
    <x v="0"/>
    <n v="0"/>
    <n v="1"/>
    <n v="0"/>
    <n v="0"/>
  </r>
  <r>
    <x v="189"/>
    <s v="USR-00259"/>
    <s v="SES-2603-83770"/>
    <x v="159"/>
    <s v="North East"/>
    <s v="Sunderland"/>
    <x v="0"/>
    <x v="1"/>
    <x v="1"/>
    <s v="Ios"/>
    <s v="Iphone"/>
    <s v="3-6 months"/>
    <x v="1"/>
    <x v="1"/>
    <x v="10"/>
    <s v="Repeat Use"/>
    <s v="No Experiment"/>
    <s v="Control"/>
    <n v="9"/>
    <n v="9"/>
    <n v="223"/>
    <s v="Unknown"/>
    <x v="0"/>
    <x v="0"/>
    <x v="6"/>
    <x v="0"/>
    <n v="213.73"/>
    <x v="26"/>
    <x v="1"/>
    <s v="No Support Contact"/>
    <s v="No"/>
    <s v="No Support Contact"/>
    <s v="Not Applicable"/>
    <m/>
    <s v="No drop-off"/>
    <n v="2"/>
    <n v="-63"/>
    <n v="17"/>
    <x v="1"/>
    <n v="1"/>
    <n v="1"/>
    <n v="1"/>
    <n v="1"/>
  </r>
  <r>
    <x v="190"/>
    <s v="USR-00130"/>
    <s v="SES-2601-34127"/>
    <x v="160"/>
    <s v="Scotland"/>
    <s v="Edinburgh"/>
    <x v="0"/>
    <x v="1"/>
    <x v="1"/>
    <s v="Android"/>
    <s v="Android Phone"/>
    <s v="1-2 years"/>
    <x v="0"/>
    <x v="2"/>
    <x v="0"/>
    <s v="Repeat Use"/>
    <s v="Progress Indicator"/>
    <s v="Treatment"/>
    <n v="7"/>
    <n v="7"/>
    <n v="153"/>
    <s v="No"/>
    <x v="0"/>
    <x v="1"/>
    <x v="1"/>
    <x v="0"/>
    <n v="0"/>
    <x v="0"/>
    <x v="0"/>
    <s v="No Support Contact"/>
    <s v="No"/>
    <s v="No Support Contact"/>
    <s v="Not Applicable"/>
    <m/>
    <s v="No drop-off"/>
    <n v="3"/>
    <n v="28"/>
    <n v="29"/>
    <x v="1"/>
    <n v="1"/>
    <n v="1"/>
    <n v="0"/>
    <n v="1"/>
  </r>
  <r>
    <x v="191"/>
    <s v="USR-00307"/>
    <s v="SES-2602-36302"/>
    <x v="161"/>
    <s v="Wales"/>
    <s v="Swansea"/>
    <x v="2"/>
    <x v="3"/>
    <x v="1"/>
    <s v="Web"/>
    <s v="Mobile Browser"/>
    <s v="7-12 months"/>
    <x v="0"/>
    <x v="1"/>
    <x v="9"/>
    <s v="Reactivated"/>
    <s v="No Experiment"/>
    <s v="Control"/>
    <n v="5"/>
    <s v="5 steps"/>
    <n v="99"/>
    <s v="No"/>
    <x v="0"/>
    <x v="1"/>
    <x v="1"/>
    <x v="1"/>
    <n v="0"/>
    <x v="0"/>
    <x v="0"/>
    <s v="No Support Contact"/>
    <s v="No"/>
    <s v="No Support Contact"/>
    <s v="Not Applicable"/>
    <m/>
    <s v="No drop-off"/>
    <n v="5"/>
    <n v="21"/>
    <n v="45"/>
    <x v="0"/>
    <n v="1"/>
    <n v="0"/>
    <n v="0"/>
    <n v="0"/>
  </r>
  <r>
    <x v="192"/>
    <s v="USR-00002"/>
    <s v="SES-2501-49250"/>
    <x v="68"/>
    <s v="South West"/>
    <s v="Exeter"/>
    <x v="0"/>
    <x v="2"/>
    <x v="3"/>
    <s v="Ios"/>
    <s v="Iphone"/>
    <s v="7-12 months"/>
    <x v="1"/>
    <x v="0"/>
    <x v="7"/>
    <s v="Repeat Use"/>
    <s v="New Cta Copy"/>
    <s v="Treatment"/>
    <n v="4"/>
    <n v="4"/>
    <n v="111"/>
    <s v="No"/>
    <x v="0"/>
    <x v="1"/>
    <x v="1"/>
    <x v="0"/>
    <n v="67.849999999999994"/>
    <x v="13"/>
    <x v="1"/>
    <s v="No Support Contact"/>
    <s v="No"/>
    <s v="No Support Contact"/>
    <s v="Not Applicable"/>
    <m/>
    <s v="No drop-off"/>
    <n v="5"/>
    <n v="41"/>
    <n v="28"/>
    <x v="1"/>
    <n v="1"/>
    <n v="1"/>
    <n v="0"/>
    <n v="1"/>
  </r>
  <r>
    <x v="193"/>
    <s v="USR-00703"/>
    <s v="SES-2605-38167"/>
    <x v="162"/>
    <s v="North West"/>
    <s v="Manchester"/>
    <x v="1"/>
    <x v="1"/>
    <x v="0"/>
    <s v="Ios"/>
    <s v="Iphone"/>
    <s v="7-12 months"/>
    <x v="0"/>
    <x v="2"/>
    <x v="2"/>
    <s v="Trial/Exploration"/>
    <s v="Simplified Onboarding"/>
    <s v="Treatment"/>
    <n v="5"/>
    <n v="5"/>
    <n v="108"/>
    <s v="No"/>
    <x v="0"/>
    <x v="1"/>
    <x v="1"/>
    <x v="0"/>
    <n v="34.96"/>
    <x v="0"/>
    <x v="0"/>
    <s v="No Support Contact"/>
    <s v="No"/>
    <s v="No Support Contact"/>
    <s v="Not Applicable"/>
    <m/>
    <s v="No drop-off"/>
    <n v="5"/>
    <n v="3"/>
    <s v="49 days"/>
    <x v="1"/>
    <n v="1"/>
    <n v="1"/>
    <n v="0"/>
    <n v="1"/>
  </r>
  <r>
    <x v="194"/>
    <s v="USR-00616"/>
    <s v="SES-2505-30872"/>
    <x v="144"/>
    <s v="North West"/>
    <s v="Manchester"/>
    <x v="5"/>
    <x v="0"/>
    <x v="1"/>
    <s v="Android"/>
    <s v="Android Tablet"/>
    <s v="3-6 months"/>
    <x v="0"/>
    <x v="4"/>
    <x v="8"/>
    <s v="First Use"/>
    <s v="No Experiment"/>
    <s v="Control"/>
    <s v="5 steps"/>
    <n v="5"/>
    <n v="97"/>
    <s v="No"/>
    <x v="0"/>
    <x v="1"/>
    <x v="1"/>
    <x v="0"/>
    <n v="17.09"/>
    <x v="0"/>
    <x v="0"/>
    <s v="No Support Contact"/>
    <s v="No"/>
    <s v="No Support Contact"/>
    <s v="Not Applicable"/>
    <m/>
    <s v="No drop-off"/>
    <n v="5"/>
    <n v="28"/>
    <n v="0"/>
    <x v="1"/>
    <n v="1"/>
    <n v="1"/>
    <n v="0"/>
    <n v="1"/>
  </r>
  <r>
    <x v="195"/>
    <s v="USR-00267"/>
    <s v="SES-2506-72417"/>
    <x v="143"/>
    <s v="West Midlands"/>
    <s v="Birmingham"/>
    <x v="3"/>
    <x v="2"/>
    <x v="1"/>
    <s v="Ios"/>
    <s v="Iphone"/>
    <s v="&lt;3 months"/>
    <x v="0"/>
    <x v="1"/>
    <x v="5"/>
    <s v="First Use"/>
    <s v="No Experiment"/>
    <s v="Control"/>
    <n v="8"/>
    <s v="4 steps"/>
    <n v="262"/>
    <s v="Yes"/>
    <x v="0"/>
    <x v="1"/>
    <x v="1"/>
    <x v="0"/>
    <n v="333.89"/>
    <x v="35"/>
    <x v="0"/>
    <s v="No Support Contact"/>
    <s v="No"/>
    <s v="No Support Contact"/>
    <s v="Not Applicable"/>
    <m/>
    <s v="No drop-off"/>
    <n v="3"/>
    <n v="-26"/>
    <n v="0"/>
    <x v="1"/>
    <n v="1"/>
    <n v="1"/>
    <n v="0"/>
    <n v="1"/>
  </r>
  <r>
    <x v="196"/>
    <s v="USR-00513"/>
    <s v="SES-2502-34685"/>
    <x v="163"/>
    <s v="Wales"/>
    <s v="Cardiff"/>
    <x v="0"/>
    <x v="4"/>
    <x v="0"/>
    <s v="Ios"/>
    <s v="Iphone"/>
    <s v="2+ years"/>
    <x v="1"/>
    <x v="3"/>
    <x v="0"/>
    <s v="First Use"/>
    <s v="No Experiment"/>
    <s v="Control"/>
    <n v="7"/>
    <n v="4"/>
    <n v="310"/>
    <s v="Yes"/>
    <x v="0"/>
    <x v="1"/>
    <x v="1"/>
    <x v="0"/>
    <n v="0"/>
    <x v="0"/>
    <x v="1"/>
    <s v="No Support Contact"/>
    <s v="No"/>
    <s v="No Support Contact"/>
    <s v="Not Applicable"/>
    <m/>
    <s v="No drop-off"/>
    <n v="4"/>
    <n v="46"/>
    <n v="0"/>
    <x v="1"/>
    <n v="1"/>
    <n v="1"/>
    <n v="0"/>
    <n v="1"/>
  </r>
  <r>
    <x v="197"/>
    <s v="USR-00686"/>
    <s v="SES-2602-50992"/>
    <x v="164"/>
    <s v="Scotland"/>
    <s v="Aberdeen"/>
    <x v="1"/>
    <x v="0"/>
    <x v="1"/>
    <s v="Ios"/>
    <s v="Iphone"/>
    <s v="1-2 years"/>
    <x v="0"/>
    <x v="2"/>
    <x v="9"/>
    <s v="First Use"/>
    <s v="No Experiment"/>
    <s v="Control"/>
    <n v="5"/>
    <s v="5 steps"/>
    <n v="123"/>
    <s v="No"/>
    <x v="0"/>
    <x v="1"/>
    <x v="1"/>
    <x v="0"/>
    <n v="110.07"/>
    <x v="0"/>
    <x v="0"/>
    <s v="Feature Navigation"/>
    <s v="Yes"/>
    <s v="Feature Navigation"/>
    <s v="Unresolved"/>
    <n v="23"/>
    <s v="No drop-off"/>
    <n v="3"/>
    <n v="-21"/>
    <n v="0"/>
    <x v="0"/>
    <n v="1"/>
    <n v="1"/>
    <n v="0"/>
    <n v="0"/>
  </r>
  <r>
    <x v="198"/>
    <s v="USR-00821"/>
    <s v="SES-2512-53036"/>
    <x v="2"/>
    <s v="South West"/>
    <s v="Bath"/>
    <x v="0"/>
    <x v="0"/>
    <x v="1"/>
    <s v="Android"/>
    <s v="Android Tablet"/>
    <s v="7-12 months"/>
    <x v="0"/>
    <x v="1"/>
    <x v="4"/>
    <s v="First Use"/>
    <s v="Simplified Onboarding"/>
    <s v="Control"/>
    <s v="6 steps"/>
    <n v="6"/>
    <n v="149"/>
    <s v="No"/>
    <x v="1"/>
    <x v="1"/>
    <x v="1"/>
    <x v="1"/>
    <n v="0"/>
    <x v="0"/>
    <x v="0"/>
    <s v="No Support Contact"/>
    <s v="No"/>
    <s v="No Support Contact"/>
    <s v="Not Applicable"/>
    <m/>
    <s v="No drop-off"/>
    <n v="3"/>
    <n v="29"/>
    <n v="0"/>
    <x v="0"/>
    <n v="0"/>
    <n v="0"/>
    <n v="0"/>
    <n v="0"/>
  </r>
  <r>
    <x v="199"/>
    <s v="USR-00714"/>
    <s v="SES-2510-94401"/>
    <x v="165"/>
    <s v="West Midlands"/>
    <s v="Wolverhampton"/>
    <x v="3"/>
    <x v="3"/>
    <x v="0"/>
    <s v="Ios"/>
    <s v="Iphone"/>
    <s v="&lt;3 months"/>
    <x v="0"/>
    <x v="1"/>
    <x v="9"/>
    <s v="Repeat Use"/>
    <s v="No Experiment"/>
    <s v="Control"/>
    <n v="5"/>
    <n v="5"/>
    <n v="161"/>
    <s v="No"/>
    <x v="0"/>
    <x v="0"/>
    <x v="20"/>
    <x v="1"/>
    <n v="0"/>
    <x v="0"/>
    <x v="0"/>
    <s v="No Support Contact"/>
    <s v="No"/>
    <s v="No Support Contact"/>
    <s v="Not Applicable"/>
    <m/>
    <s v="No drop-off"/>
    <n v="5"/>
    <n v="-17"/>
    <n v="5"/>
    <x v="1"/>
    <n v="1"/>
    <n v="0"/>
    <n v="1"/>
    <n v="1"/>
  </r>
  <r>
    <x v="200"/>
    <s v="USR-00601"/>
    <s v="SES-2605-38167"/>
    <x v="166"/>
    <s v="Wales"/>
    <s v="Wrexham"/>
    <x v="2"/>
    <x v="3"/>
    <x v="1"/>
    <s v="Ios"/>
    <s v="Iphone"/>
    <s v="3-6 months"/>
    <x v="1"/>
    <x v="5"/>
    <x v="5"/>
    <s v="Repeat Use"/>
    <s v="Simplified Onboarding"/>
    <s v="Treatment"/>
    <n v="8"/>
    <n v="8"/>
    <n v="155"/>
    <s v="No"/>
    <x v="1"/>
    <x v="1"/>
    <x v="1"/>
    <x v="1"/>
    <n v="0"/>
    <x v="0"/>
    <x v="0"/>
    <s v="No Support Contact"/>
    <s v="No"/>
    <s v="No Support Contact"/>
    <s v="Not Applicable"/>
    <m/>
    <s v="No drop-off"/>
    <n v="2"/>
    <n v="-19"/>
    <n v="40"/>
    <x v="0"/>
    <n v="0"/>
    <n v="0"/>
    <n v="0"/>
    <n v="0"/>
  </r>
  <r>
    <x v="201"/>
    <s v="USR-00709"/>
    <s v="SES-2505-84163"/>
    <x v="167"/>
    <s v="Yorkshire &amp; Humber"/>
    <s v="Hull"/>
    <x v="0"/>
    <x v="1"/>
    <x v="1"/>
    <s v="Android"/>
    <s v="Android Phone"/>
    <s v="3-6 months"/>
    <x v="0"/>
    <x v="5"/>
    <x v="2"/>
    <s v="Repeat Use"/>
    <s v="No Experiment"/>
    <s v="Control"/>
    <n v="5"/>
    <s v="5 steps"/>
    <n v="123"/>
    <s v="Unknown"/>
    <x v="0"/>
    <x v="1"/>
    <x v="1"/>
    <x v="0"/>
    <n v="3.16"/>
    <x v="0"/>
    <x v="0"/>
    <s v="No Support Contact"/>
    <s v="No"/>
    <s v="No Support Contact"/>
    <s v="Not Applicable"/>
    <m/>
    <s v="No drop-off"/>
    <n v="5"/>
    <n v="24"/>
    <n v="11"/>
    <x v="1"/>
    <n v="1"/>
    <n v="1"/>
    <n v="0"/>
    <n v="1"/>
  </r>
  <r>
    <x v="202"/>
    <s v="USR-00426"/>
    <s v="SES-2503-82617"/>
    <x v="168"/>
    <s v="East England"/>
    <s v="Cambridge"/>
    <x v="2"/>
    <x v="0"/>
    <x v="1"/>
    <s v="Ios"/>
    <s v="Iphone"/>
    <s v="1-2 years"/>
    <x v="0"/>
    <x v="6"/>
    <x v="4"/>
    <s v="First Use"/>
    <s v="Fee Transparency Panel"/>
    <s v="Control"/>
    <n v="6"/>
    <n v="5"/>
    <n v="242"/>
    <s v="Yes"/>
    <x v="0"/>
    <x v="1"/>
    <x v="1"/>
    <x v="0"/>
    <n v="0"/>
    <x v="0"/>
    <x v="0"/>
    <s v="No Support Contact"/>
    <s v="No"/>
    <s v="No Support Contact"/>
    <s v="Not Applicable"/>
    <m/>
    <s v="No drop-off"/>
    <n v="3"/>
    <n v="-9"/>
    <n v="0"/>
    <x v="1"/>
    <n v="1"/>
    <n v="1"/>
    <n v="0"/>
    <n v="1"/>
  </r>
  <r>
    <x v="203"/>
    <s v="USR-00516"/>
    <s v="SES-2601-30907"/>
    <x v="169"/>
    <s v="East Midlands"/>
    <s v="Leicester"/>
    <x v="7"/>
    <x v="3"/>
    <x v="0"/>
    <s v="Web"/>
    <s v="Desktop"/>
    <s v="3-6 months"/>
    <x v="3"/>
    <x v="0"/>
    <x v="2"/>
    <s v="Repeat Use"/>
    <s v="No Experiment"/>
    <s v="Control"/>
    <n v="5"/>
    <n v="4"/>
    <n v="205"/>
    <s v="Yes"/>
    <x v="0"/>
    <x v="1"/>
    <x v="1"/>
    <x v="0"/>
    <n v="78.02"/>
    <x v="0"/>
    <x v="0"/>
    <s v="Feature Navigation"/>
    <s v="Yes"/>
    <s v="Feature Navigation"/>
    <s v="Resolved"/>
    <n v="40"/>
    <s v="No drop-off"/>
    <n v="4"/>
    <n v="9"/>
    <n v="40"/>
    <x v="0"/>
    <n v="1"/>
    <n v="1"/>
    <n v="0"/>
    <n v="0"/>
  </r>
  <r>
    <x v="204"/>
    <s v="USR-00812"/>
    <s v="SES-2510-14847"/>
    <x v="55"/>
    <s v="South East"/>
    <s v="Brighton"/>
    <x v="0"/>
    <x v="2"/>
    <x v="0"/>
    <s v="Android"/>
    <s v="Android Phone"/>
    <s v="&lt;3 months"/>
    <x v="0"/>
    <x v="5"/>
    <x v="0"/>
    <s v="Reactivated"/>
    <s v="No Experiment"/>
    <s v="Control"/>
    <n v="7"/>
    <n v="7"/>
    <n v="160"/>
    <s v="No"/>
    <x v="1"/>
    <x v="1"/>
    <x v="1"/>
    <x v="1"/>
    <n v="0"/>
    <x v="0"/>
    <x v="0"/>
    <s v="No Support Contact"/>
    <s v="No"/>
    <s v="No Support Contact"/>
    <s v="Not Applicable"/>
    <m/>
    <s v="Too many steps"/>
    <n v="8"/>
    <n v="32"/>
    <n v="1"/>
    <x v="0"/>
    <n v="0"/>
    <n v="0"/>
    <n v="0"/>
    <n v="0"/>
  </r>
  <r>
    <x v="205"/>
    <s v="USR-00593"/>
    <s v="SES-2506-84302"/>
    <x v="170"/>
    <s v="South West"/>
    <s v="Bath"/>
    <x v="1"/>
    <x v="0"/>
    <x v="1"/>
    <s v="Ios"/>
    <s v="Iphone"/>
    <s v="3-6 months"/>
    <x v="0"/>
    <x v="1"/>
    <x v="2"/>
    <s v="Repeat Use"/>
    <s v="Progress Indicator"/>
    <s v="Treatment"/>
    <n v="5"/>
    <s v="5 steps"/>
    <n v="105"/>
    <s v="No"/>
    <x v="0"/>
    <x v="1"/>
    <x v="1"/>
    <x v="0"/>
    <n v="168.59"/>
    <x v="0"/>
    <x v="0"/>
    <s v="No Support Contact"/>
    <s v="No"/>
    <s v="No Support Contact"/>
    <s v="Not Applicable"/>
    <m/>
    <s v="No drop-off"/>
    <n v="5"/>
    <n v="7"/>
    <n v="36"/>
    <x v="0"/>
    <n v="1"/>
    <n v="1"/>
    <n v="0"/>
    <n v="0"/>
  </r>
  <r>
    <x v="206"/>
    <s v="USR-00341"/>
    <s v="SES-2606-57591"/>
    <x v="103"/>
    <s v="Scotland"/>
    <s v="Dundee"/>
    <x v="0"/>
    <x v="1"/>
    <x v="0"/>
    <s v="Ios"/>
    <s v="Ipad"/>
    <s v="3-6 months"/>
    <x v="0"/>
    <x v="2"/>
    <x v="2"/>
    <s v="First Use"/>
    <s v="Fee Transparency Panel"/>
    <s v="Control"/>
    <n v="5"/>
    <n v="5"/>
    <n v="126"/>
    <s v="No"/>
    <x v="0"/>
    <x v="1"/>
    <x v="1"/>
    <x v="0"/>
    <n v="47.39"/>
    <x v="0"/>
    <x v="0"/>
    <s v="No Support Contact"/>
    <s v="No"/>
    <s v="No Support Contact"/>
    <s v="Not Applicable"/>
    <m/>
    <s v="No drop-off"/>
    <n v="5"/>
    <n v="-5"/>
    <n v="0"/>
    <x v="0"/>
    <n v="1"/>
    <n v="1"/>
    <n v="0"/>
    <n v="0"/>
  </r>
  <r>
    <x v="207"/>
    <s v="USR-00432"/>
    <s v="SES-2502-22644"/>
    <x v="171"/>
    <s v="North East"/>
    <s v="Durham"/>
    <x v="1"/>
    <x v="1"/>
    <x v="1"/>
    <s v="Ios"/>
    <s v="Iphone"/>
    <s v="1-2 years"/>
    <x v="3"/>
    <x v="6"/>
    <x v="0"/>
    <s v="Repeat Use"/>
    <s v="No Experiment"/>
    <s v="Control"/>
    <n v="7"/>
    <n v="7"/>
    <n v="196"/>
    <s v="No"/>
    <x v="0"/>
    <x v="1"/>
    <x v="1"/>
    <x v="0"/>
    <n v="4.5599999999999996"/>
    <x v="0"/>
    <x v="0"/>
    <s v="No Support Contact"/>
    <s v="No"/>
    <s v="No Support Contact"/>
    <s v="Not Applicable"/>
    <m/>
    <s v="No drop-off"/>
    <n v="3"/>
    <n v="9"/>
    <n v="28"/>
    <x v="1"/>
    <n v="1"/>
    <n v="1"/>
    <n v="0"/>
    <n v="1"/>
  </r>
  <r>
    <x v="208"/>
    <s v="USR-00556"/>
    <s v="SES-2511-61378"/>
    <x v="172"/>
    <s v="Northern Ireland"/>
    <m/>
    <x v="1"/>
    <x v="3"/>
    <x v="0"/>
    <s v="Ios"/>
    <s v="Iphone"/>
    <s v="7-12 months"/>
    <x v="3"/>
    <x v="5"/>
    <x v="1"/>
    <s v="First Use"/>
    <s v="No Experiment"/>
    <s v="Control"/>
    <n v="4"/>
    <n v="4"/>
    <n v="106"/>
    <s v="No"/>
    <x v="0"/>
    <x v="1"/>
    <x v="1"/>
    <x v="0"/>
    <n v="176.46"/>
    <x v="4"/>
    <x v="0"/>
    <s v="Feature Navigation"/>
    <s v="Yes"/>
    <s v="Feature Navigation"/>
    <s v="Resolved"/>
    <n v="43"/>
    <s v="No drop-off"/>
    <n v="4"/>
    <n v="70"/>
    <n v="0"/>
    <x v="1"/>
    <n v="1"/>
    <n v="1"/>
    <n v="0"/>
    <n v="1"/>
  </r>
  <r>
    <x v="209"/>
    <s v="USR-00088"/>
    <s v="SES-2504-11088"/>
    <x v="173"/>
    <s v="South West"/>
    <s v="Bristol"/>
    <x v="2"/>
    <x v="0"/>
    <x v="1"/>
    <s v="Android"/>
    <s v="Android Phone"/>
    <s v="1-2 years"/>
    <x v="0"/>
    <x v="5"/>
    <x v="9"/>
    <s v="First Use"/>
    <s v="No Experiment"/>
    <s v="Control"/>
    <n v="5"/>
    <n v="5"/>
    <n v="146"/>
    <s v="No"/>
    <x v="0"/>
    <x v="1"/>
    <x v="1"/>
    <x v="0"/>
    <n v="161.54"/>
    <x v="0"/>
    <x v="0"/>
    <s v="No Support Contact"/>
    <s v="No"/>
    <s v="No Support Contact"/>
    <s v="Not Applicable"/>
    <m/>
    <s v="No drop-off"/>
    <n v="4"/>
    <n v="27"/>
    <s v="0 days"/>
    <x v="1"/>
    <n v="1"/>
    <n v="1"/>
    <n v="0"/>
    <n v="1"/>
  </r>
  <r>
    <x v="210"/>
    <s v="USR-00299"/>
    <s v="SES-2602-38501"/>
    <x v="174"/>
    <s v="South West"/>
    <s v="Bristol"/>
    <x v="7"/>
    <x v="5"/>
    <x v="1"/>
    <s v="Ios"/>
    <s v="Iphone"/>
    <s v="7-12 months"/>
    <x v="0"/>
    <x v="0"/>
    <x v="0"/>
    <s v="Repeat Use"/>
    <s v="Simplified Onboarding"/>
    <s v="Control"/>
    <n v="7"/>
    <n v="5"/>
    <n v="267"/>
    <s v="Yes"/>
    <x v="0"/>
    <x v="1"/>
    <x v="1"/>
    <x v="1"/>
    <n v="0"/>
    <x v="0"/>
    <x v="0"/>
    <s v="No Support Contact"/>
    <s v="No"/>
    <s v="No Support Contact"/>
    <s v="Not Applicable"/>
    <m/>
    <s v="No drop-off"/>
    <n v="4"/>
    <n v="-2"/>
    <n v="38"/>
    <x v="1"/>
    <n v="1"/>
    <n v="0"/>
    <n v="0"/>
    <n v="1"/>
  </r>
  <r>
    <x v="211"/>
    <s v="USR-00766"/>
    <s v="SES-2505-49950"/>
    <x v="175"/>
    <s v="Scotland"/>
    <s v="Dundee"/>
    <x v="2"/>
    <x v="3"/>
    <x v="0"/>
    <s v="Android"/>
    <s v="Android Phone"/>
    <s v="1-2 years"/>
    <x v="0"/>
    <x v="5"/>
    <x v="5"/>
    <s v="Reactivated"/>
    <s v="Simplified Onboarding"/>
    <s v="Treatment"/>
    <n v="8"/>
    <n v="8"/>
    <n v="227"/>
    <s v="No"/>
    <x v="0"/>
    <x v="1"/>
    <x v="1"/>
    <x v="0"/>
    <n v="377.46"/>
    <x v="36"/>
    <x v="0"/>
    <s v="No Support Contact"/>
    <s v="No"/>
    <s v="No Support Contact"/>
    <s v="Not Applicable"/>
    <m/>
    <s v="No drop-off"/>
    <n v="4"/>
    <n v="29"/>
    <n v="1"/>
    <x v="0"/>
    <n v="1"/>
    <n v="1"/>
    <n v="0"/>
    <n v="0"/>
  </r>
  <r>
    <x v="212"/>
    <s v="USR-00674"/>
    <s v="SES-2512-33771"/>
    <x v="176"/>
    <s v="East Midlands"/>
    <s v="Derby"/>
    <x v="1"/>
    <x v="0"/>
    <x v="1"/>
    <s v="Android"/>
    <s v="Android Phone"/>
    <s v="2+ years"/>
    <x v="1"/>
    <x v="4"/>
    <x v="8"/>
    <s v="Trial/Exploration"/>
    <s v="Contextual Help"/>
    <s v="Treatment"/>
    <n v="5"/>
    <s v="5 steps"/>
    <n v="159"/>
    <s v="No"/>
    <x v="0"/>
    <x v="1"/>
    <x v="1"/>
    <x v="0"/>
    <n v="13.47"/>
    <x v="0"/>
    <x v="1"/>
    <s v="No Support Contact"/>
    <s v="No"/>
    <s v="No Support Contact"/>
    <s v="Not Applicable"/>
    <m/>
    <s v="No drop-off"/>
    <n v="5"/>
    <n v="61"/>
    <n v="30"/>
    <x v="1"/>
    <n v="1"/>
    <n v="1"/>
    <n v="0"/>
    <n v="1"/>
  </r>
  <r>
    <x v="213"/>
    <s v="USR-00764"/>
    <s v="SES-2503-97507"/>
    <x v="177"/>
    <s v="South West"/>
    <s v="Bath"/>
    <x v="4"/>
    <x v="0"/>
    <x v="1"/>
    <s v="Ios"/>
    <s v="Iphone"/>
    <s v="1-2 years"/>
    <x v="1"/>
    <x v="5"/>
    <x v="7"/>
    <s v="Repeat Use"/>
    <s v="Simplified Onboarding"/>
    <s v="Treatment"/>
    <n v="4"/>
    <n v="4"/>
    <n v="95"/>
    <s v="No"/>
    <x v="0"/>
    <x v="1"/>
    <x v="1"/>
    <x v="0"/>
    <n v="118.06"/>
    <x v="10"/>
    <x v="1"/>
    <s v="Account Verification"/>
    <s v="Yes"/>
    <s v="Account Verification"/>
    <s v="Resolved"/>
    <n v="44"/>
    <s v="No drop-off"/>
    <n v="5"/>
    <n v="36"/>
    <n v="33"/>
    <x v="1"/>
    <n v="1"/>
    <n v="1"/>
    <n v="0"/>
    <n v="1"/>
  </r>
  <r>
    <x v="214"/>
    <s v="USR-00146"/>
    <s v="SES-2502-50376"/>
    <x v="178"/>
    <s v="South East"/>
    <s v="Reading"/>
    <x v="2"/>
    <x v="4"/>
    <x v="0"/>
    <s v="Web"/>
    <s v="Desktop"/>
    <s v="7-12 months"/>
    <x v="1"/>
    <x v="2"/>
    <x v="0"/>
    <s v="Repeat Use"/>
    <s v="Progress Indicator"/>
    <s v="Treatment"/>
    <n v="7"/>
    <n v="7"/>
    <n v="218"/>
    <s v="No"/>
    <x v="0"/>
    <x v="1"/>
    <x v="1"/>
    <x v="0"/>
    <n v="11.57"/>
    <x v="0"/>
    <x v="1"/>
    <s v="No Support Contact"/>
    <s v="No"/>
    <s v="No Support Contact"/>
    <s v="Not Applicable"/>
    <m/>
    <s v="No drop-off"/>
    <n v="4"/>
    <n v="24"/>
    <n v="52"/>
    <x v="0"/>
    <n v="1"/>
    <n v="1"/>
    <n v="0"/>
    <n v="0"/>
  </r>
  <r>
    <x v="215"/>
    <s v="USR-00177"/>
    <s v="SES-2512-38563"/>
    <x v="36"/>
    <s v="East Midlands"/>
    <s v="Derby"/>
    <x v="0"/>
    <x v="1"/>
    <x v="1"/>
    <s v="Android"/>
    <s v="Android Phone"/>
    <s v="3-6 months"/>
    <x v="1"/>
    <x v="6"/>
    <x v="2"/>
    <s v="Repeat Use"/>
    <s v="No Experiment"/>
    <s v="Control"/>
    <n v="5"/>
    <n v="5"/>
    <n v="108"/>
    <s v="No"/>
    <x v="0"/>
    <x v="1"/>
    <x v="1"/>
    <x v="0"/>
    <n v="113.52"/>
    <x v="0"/>
    <x v="1"/>
    <s v="No Support Contact"/>
    <s v="No"/>
    <s v="No Support Contact"/>
    <s v="Not Applicable"/>
    <m/>
    <s v="No drop-off"/>
    <n v="5"/>
    <n v="14"/>
    <n v="39"/>
    <x v="0"/>
    <n v="1"/>
    <n v="1"/>
    <n v="0"/>
    <n v="0"/>
  </r>
  <r>
    <x v="216"/>
    <s v="USR-00264"/>
    <s v="SES-2605-81761"/>
    <x v="179"/>
    <s v="East Midlands"/>
    <s v="Nottingham"/>
    <x v="0"/>
    <x v="2"/>
    <x v="1"/>
    <s v="Android"/>
    <s v="Android Phone"/>
    <s v="3-6 months"/>
    <x v="0"/>
    <x v="5"/>
    <x v="7"/>
    <s v="Reactivated"/>
    <s v="No Experiment"/>
    <s v="Control"/>
    <n v="4"/>
    <n v="2"/>
    <n v="122"/>
    <s v="Yes"/>
    <x v="0"/>
    <x v="1"/>
    <x v="1"/>
    <x v="0"/>
    <n v="112.65"/>
    <x v="20"/>
    <x v="0"/>
    <s v="No Support Contact"/>
    <s v="No"/>
    <s v="No Support Contact"/>
    <s v="Not Applicable"/>
    <m/>
    <s v="No drop-off"/>
    <n v="3"/>
    <n v="-9"/>
    <n v="26"/>
    <x v="0"/>
    <n v="1"/>
    <n v="1"/>
    <n v="0"/>
    <n v="0"/>
  </r>
  <r>
    <x v="217"/>
    <s v="USR-00847"/>
    <s v="SES-2511-53526"/>
    <x v="32"/>
    <s v="North East"/>
    <s v="Sunderland"/>
    <x v="0"/>
    <x v="2"/>
    <x v="0"/>
    <s v="Ios"/>
    <s v="Iphone"/>
    <s v="1-2 years"/>
    <x v="0"/>
    <x v="0"/>
    <x v="1"/>
    <s v="Reactivated"/>
    <s v="New Cta Copy"/>
    <s v="Control"/>
    <n v="4"/>
    <n v="4"/>
    <n v="124"/>
    <s v="No"/>
    <x v="1"/>
    <x v="1"/>
    <x v="1"/>
    <x v="0"/>
    <n v="92.4"/>
    <x v="4"/>
    <x v="0"/>
    <s v="No Support Contact"/>
    <s v="No"/>
    <s v="No Support Contact"/>
    <s v="Not Applicable"/>
    <m/>
    <s v="No drop-off"/>
    <n v="3"/>
    <n v="0"/>
    <n v="29"/>
    <x v="1"/>
    <n v="0"/>
    <n v="1"/>
    <n v="0"/>
    <n v="1"/>
  </r>
  <r>
    <x v="218"/>
    <s v="USR-00133"/>
    <s v="SES-2506-53650"/>
    <x v="180"/>
    <s v="London"/>
    <s v="Croydon"/>
    <x v="5"/>
    <x v="0"/>
    <x v="1"/>
    <s v="Android"/>
    <s v="Android Phone"/>
    <s v="&lt;3 months"/>
    <x v="0"/>
    <x v="5"/>
    <x v="5"/>
    <s v="Repeat Use"/>
    <s v="No Experiment"/>
    <s v="Control"/>
    <n v="8"/>
    <n v="8"/>
    <n v="244"/>
    <s v="No"/>
    <x v="1"/>
    <x v="1"/>
    <x v="1"/>
    <x v="1"/>
    <n v="0"/>
    <x v="0"/>
    <x v="0"/>
    <s v="No Support Contact"/>
    <s v="No"/>
    <s v="No Support Contact"/>
    <s v="Not Applicable"/>
    <m/>
    <s v="Too many steps"/>
    <n v="2"/>
    <n v="-8"/>
    <n v="29"/>
    <x v="1"/>
    <n v="0"/>
    <n v="0"/>
    <n v="0"/>
    <n v="1"/>
  </r>
  <r>
    <x v="219"/>
    <s v="USR-00624"/>
    <s v="SES-2509-58463"/>
    <x v="181"/>
    <s v="Yorkshire &amp; Humber"/>
    <s v="Hull"/>
    <x v="5"/>
    <x v="0"/>
    <x v="0"/>
    <s v="Ios"/>
    <s v="Iphone"/>
    <s v="1-2 years"/>
    <x v="1"/>
    <x v="4"/>
    <x v="10"/>
    <s v="Repeat Use"/>
    <s v="Fee Transparency Panel"/>
    <s v="Control"/>
    <n v="9"/>
    <n v="9"/>
    <n v="244"/>
    <s v="No"/>
    <x v="1"/>
    <x v="1"/>
    <x v="1"/>
    <x v="1"/>
    <n v="0"/>
    <x v="0"/>
    <x v="0"/>
    <s v="No Support Contact"/>
    <s v="No"/>
    <s v="No Support Contact"/>
    <s v="Not Applicable"/>
    <m/>
    <s v="Privacy concern"/>
    <n v="2"/>
    <n v="2"/>
    <n v="4"/>
    <x v="1"/>
    <n v="0"/>
    <n v="0"/>
    <n v="0"/>
    <n v="1"/>
  </r>
  <r>
    <x v="220"/>
    <s v="USR-00324"/>
    <s v="SES-2504-74275"/>
    <x v="182"/>
    <s v="Wales"/>
    <s v="Newport"/>
    <x v="2"/>
    <x v="2"/>
    <x v="0"/>
    <s v="Android"/>
    <s v="Android Phone"/>
    <s v="1-2 years"/>
    <x v="0"/>
    <x v="5"/>
    <x v="0"/>
    <s v="Repeat Use"/>
    <s v="No Experiment"/>
    <s v="Control"/>
    <n v="7"/>
    <n v="7"/>
    <n v="215"/>
    <s v="No"/>
    <x v="0"/>
    <x v="1"/>
    <x v="1"/>
    <x v="1"/>
    <n v="0"/>
    <x v="0"/>
    <x v="0"/>
    <s v="No Support Contact"/>
    <s v="No"/>
    <s v="No Support Contact"/>
    <s v="Not Applicable"/>
    <m/>
    <s v="No drop-off"/>
    <n v="4"/>
    <n v="34"/>
    <n v="50"/>
    <x v="0"/>
    <n v="1"/>
    <n v="0"/>
    <n v="0"/>
    <n v="0"/>
  </r>
  <r>
    <x v="221"/>
    <s v="USR-00808"/>
    <s v="SES-2603-34074"/>
    <x v="183"/>
    <s v="East Midlands"/>
    <s v="Leicester"/>
    <x v="0"/>
    <x v="0"/>
    <x v="1"/>
    <s v="Android"/>
    <s v="Android Phone"/>
    <s v="2+ years"/>
    <x v="0"/>
    <x v="5"/>
    <x v="10"/>
    <s v="Reactivated"/>
    <s v="Simplified Onboarding"/>
    <s v="Control"/>
    <n v="9"/>
    <n v="6"/>
    <n v="376"/>
    <s v="Yes"/>
    <x v="1"/>
    <x v="1"/>
    <x v="1"/>
    <x v="1"/>
    <n v="0"/>
    <x v="0"/>
    <x v="0"/>
    <s v="Fees And Pricing"/>
    <s v="Yes"/>
    <s v="Fees And Pricing"/>
    <s v="Resolved"/>
    <n v="56"/>
    <s v="Instructions unclear"/>
    <n v="3"/>
    <n v="-5"/>
    <n v="45"/>
    <x v="1"/>
    <n v="0"/>
    <n v="0"/>
    <n v="0"/>
    <n v="1"/>
  </r>
  <r>
    <x v="222"/>
    <s v="USR-00475"/>
    <s v="SES-2504-39124"/>
    <x v="63"/>
    <s v="West Midlands"/>
    <s v="Coventry"/>
    <x v="0"/>
    <x v="1"/>
    <x v="0"/>
    <s v="Ios"/>
    <s v="Iphone"/>
    <s v="3-6 months"/>
    <x v="0"/>
    <x v="6"/>
    <x v="2"/>
    <s v="Repeat Use"/>
    <s v="No Experiment"/>
    <s v="Control"/>
    <n v="5"/>
    <n v="3"/>
    <n v="240"/>
    <s v="Yes"/>
    <x v="0"/>
    <x v="1"/>
    <x v="1"/>
    <x v="0"/>
    <n v="124.3"/>
    <x v="0"/>
    <x v="0"/>
    <s v="No Support Contact"/>
    <s v="No"/>
    <s v="No Support Contact"/>
    <s v="Not Applicable"/>
    <m/>
    <s v="No drop-off"/>
    <n v="3"/>
    <n v="34"/>
    <n v="21"/>
    <x v="1"/>
    <n v="1"/>
    <n v="1"/>
    <n v="0"/>
    <n v="1"/>
  </r>
  <r>
    <x v="223"/>
    <s v="USR-00131"/>
    <s v="SES-2508-43995"/>
    <x v="184"/>
    <s v="North East"/>
    <s v="Sunderland"/>
    <x v="2"/>
    <x v="0"/>
    <x v="1"/>
    <s v="Ios"/>
    <s v="Iphone"/>
    <s v="&lt;3 months"/>
    <x v="0"/>
    <x v="2"/>
    <x v="2"/>
    <s v="Repeat Use"/>
    <s v="Progress Indicator"/>
    <s v="Treatment"/>
    <n v="5"/>
    <n v="5"/>
    <n v="104"/>
    <s v="No"/>
    <x v="0"/>
    <x v="1"/>
    <x v="1"/>
    <x v="0"/>
    <n v="52.06"/>
    <x v="0"/>
    <x v="0"/>
    <s v="No Support Contact"/>
    <s v="No"/>
    <s v="No Support Contact"/>
    <s v="Not Applicable"/>
    <m/>
    <s v="No drop-off"/>
    <n v="4"/>
    <n v="75"/>
    <s v="27 days"/>
    <x v="0"/>
    <n v="1"/>
    <n v="1"/>
    <n v="0"/>
    <n v="0"/>
  </r>
  <r>
    <x v="224"/>
    <s v="USR-00045"/>
    <s v="SES-2504-37356"/>
    <x v="185"/>
    <s v="Northern Ireland"/>
    <s v="Belfast"/>
    <x v="0"/>
    <x v="2"/>
    <x v="1"/>
    <s v="Android"/>
    <s v="Android Phone"/>
    <s v="7-12 months"/>
    <x v="0"/>
    <x v="5"/>
    <x v="1"/>
    <s v="Repeat Use"/>
    <s v="No Experiment"/>
    <s v="Control"/>
    <n v="4"/>
    <n v="4"/>
    <n v="124"/>
    <s v="No"/>
    <x v="0"/>
    <x v="1"/>
    <x v="1"/>
    <x v="0"/>
    <n v="225.09"/>
    <x v="25"/>
    <x v="0"/>
    <s v="No Support Contact"/>
    <s v="No"/>
    <s v="No Support Contact"/>
    <s v="Not Applicable"/>
    <m/>
    <s v="No drop-off"/>
    <n v="4"/>
    <n v="71"/>
    <n v="35"/>
    <x v="1"/>
    <n v="1"/>
    <n v="1"/>
    <n v="0"/>
    <n v="1"/>
  </r>
  <r>
    <x v="225"/>
    <s v="USR-00755"/>
    <s v="SES-2604-39031"/>
    <x v="186"/>
    <s v="West Midlands"/>
    <s v="Birmingham"/>
    <x v="5"/>
    <x v="4"/>
    <x v="0"/>
    <s v="Web"/>
    <s v="Desktop"/>
    <s v="1-2 years"/>
    <x v="2"/>
    <x v="2"/>
    <x v="3"/>
    <s v="Repeat Use"/>
    <s v="Progress Indicator"/>
    <s v="Control"/>
    <n v="6"/>
    <n v="6"/>
    <n v="136"/>
    <s v="No"/>
    <x v="1"/>
    <x v="1"/>
    <x v="1"/>
    <x v="0"/>
    <n v="104.14"/>
    <x v="17"/>
    <x v="2"/>
    <s v="No Support Contact"/>
    <s v="No"/>
    <s v="No Support Contact"/>
    <s v="Not Applicable"/>
    <m/>
    <s v="No drop-off"/>
    <n v="3"/>
    <n v="-11"/>
    <n v="40"/>
    <x v="0"/>
    <n v="0"/>
    <n v="1"/>
    <n v="0"/>
    <n v="0"/>
  </r>
  <r>
    <x v="226"/>
    <s v="usr-00356"/>
    <s v="SES-2511-12401"/>
    <x v="132"/>
    <s v="South West"/>
    <s v="Gloucester"/>
    <x v="3"/>
    <x v="2"/>
    <x v="1"/>
    <s v="Android"/>
    <s v="Android Phone"/>
    <s v="&lt;3 months"/>
    <x v="2"/>
    <x v="6"/>
    <x v="10"/>
    <s v="Repeat Use"/>
    <s v="No Experiment"/>
    <s v="Control"/>
    <n v="9"/>
    <n v="9"/>
    <n v="218"/>
    <s v="No"/>
    <x v="0"/>
    <x v="1"/>
    <x v="1"/>
    <x v="1"/>
    <n v="0"/>
    <x v="0"/>
    <x v="0"/>
    <s v="No Support Contact"/>
    <s v="No"/>
    <s v="No Support Contact"/>
    <s v="Not Applicable"/>
    <m/>
    <s v="No drop-off"/>
    <n v="4"/>
    <n v="2"/>
    <n v="6"/>
    <x v="1"/>
    <n v="1"/>
    <n v="0"/>
    <n v="0"/>
    <n v="1"/>
  </r>
  <r>
    <x v="227"/>
    <s v="USR-00439"/>
    <s v="SES-2501-60130"/>
    <x v="86"/>
    <s v="London"/>
    <s v="Croydon"/>
    <x v="3"/>
    <x v="3"/>
    <x v="2"/>
    <s v="Web"/>
    <s v="Desktop"/>
    <s v="1-2 years"/>
    <x v="0"/>
    <x v="5"/>
    <x v="1"/>
    <s v="Repeat Use"/>
    <s v="No Experiment"/>
    <s v="Control"/>
    <n v="4"/>
    <n v="4"/>
    <n v="106"/>
    <s v="No"/>
    <x v="1"/>
    <x v="0"/>
    <x v="14"/>
    <x v="1"/>
    <n v="0"/>
    <x v="0"/>
    <x v="0"/>
    <s v="No Support Contact"/>
    <s v="No"/>
    <s v="No Support Contact"/>
    <s v="Not Applicable"/>
    <m/>
    <s v="Technical error"/>
    <n v="3"/>
    <n v="17"/>
    <n v="21"/>
    <x v="0"/>
    <n v="0"/>
    <n v="0"/>
    <n v="1"/>
    <n v="0"/>
  </r>
  <r>
    <x v="228"/>
    <s v="USR-00040"/>
    <s v="SES-2510-70186"/>
    <x v="187"/>
    <s v="South West"/>
    <s v="Plymouth"/>
    <x v="4"/>
    <x v="1"/>
    <x v="1"/>
    <s v="Android"/>
    <s v="Android Phone"/>
    <s v="7-12 months"/>
    <x v="0"/>
    <x v="2"/>
    <x v="0"/>
    <s v="Reactivated"/>
    <s v="Contextual Help"/>
    <s v="Unknown"/>
    <n v="7"/>
    <n v="5"/>
    <n v="319"/>
    <s v="Yes"/>
    <x v="0"/>
    <x v="1"/>
    <x v="1"/>
    <x v="0"/>
    <n v="0"/>
    <x v="0"/>
    <x v="0"/>
    <s v="No Support Contact"/>
    <s v="No"/>
    <s v="No Support Contact"/>
    <s v="Not Applicable"/>
    <m/>
    <s v="No drop-off"/>
    <n v="3"/>
    <n v="-36"/>
    <n v="58"/>
    <x v="0"/>
    <n v="1"/>
    <n v="1"/>
    <n v="0"/>
    <n v="0"/>
  </r>
  <r>
    <x v="229"/>
    <s v="USR-00134"/>
    <s v="SES-2508-27402"/>
    <x v="188"/>
    <s v="East England"/>
    <s v="Luton"/>
    <x v="0"/>
    <x v="4"/>
    <x v="1"/>
    <s v="Android"/>
    <s v="Android Phone"/>
    <s v="1-2 years"/>
    <x v="0"/>
    <x v="1"/>
    <x v="2"/>
    <s v="First Use"/>
    <s v="No Experiment"/>
    <s v="Control"/>
    <s v="5 steps"/>
    <n v="5"/>
    <n v="130"/>
    <s v="No"/>
    <x v="0"/>
    <x v="1"/>
    <x v="1"/>
    <x v="0"/>
    <n v="38.25"/>
    <x v="0"/>
    <x v="0"/>
    <s v="No Support Contact"/>
    <s v="No"/>
    <s v="No Support Contact"/>
    <s v="Not Applicable"/>
    <m/>
    <s v="No drop-off"/>
    <n v="4"/>
    <n v="-14"/>
    <n v="0"/>
    <x v="1"/>
    <n v="1"/>
    <n v="1"/>
    <n v="0"/>
    <n v="1"/>
  </r>
  <r>
    <x v="230"/>
    <s v="USR-00570"/>
    <s v="SES-2509-15252"/>
    <x v="189"/>
    <s v="Northern Ireland"/>
    <s v="BELFAST"/>
    <x v="5"/>
    <x v="1"/>
    <x v="0"/>
    <s v="Web"/>
    <s v="Desktop"/>
    <s v="1-2 years"/>
    <x v="0"/>
    <x v="4"/>
    <x v="1"/>
    <s v="First Use"/>
    <s v="Progress Indicator"/>
    <s v="Treatment"/>
    <n v="4"/>
    <s v="4 steps"/>
    <n v="85"/>
    <s v="No"/>
    <x v="0"/>
    <x v="1"/>
    <x v="1"/>
    <x v="0"/>
    <n v="151.16"/>
    <x v="7"/>
    <x v="0"/>
    <s v="No Support Contact"/>
    <s v="No"/>
    <s v="No Support Contact"/>
    <s v="Not Applicable"/>
    <m/>
    <s v="No drop-off"/>
    <n v="4"/>
    <n v="48"/>
    <n v="0"/>
    <x v="1"/>
    <n v="1"/>
    <n v="1"/>
    <n v="0"/>
    <n v="1"/>
  </r>
  <r>
    <x v="231"/>
    <s v="USR-00771"/>
    <s v="SES-2604-23064"/>
    <x v="190"/>
    <s v="Yorkshire &amp; Humber"/>
    <s v="Hull"/>
    <x v="0"/>
    <x v="1"/>
    <x v="1"/>
    <s v="Android"/>
    <s v="Android Phone"/>
    <s v="3-6 months"/>
    <x v="2"/>
    <x v="7"/>
    <x v="8"/>
    <s v="First Use"/>
    <s v="No Experiment"/>
    <s v="Control"/>
    <n v="5"/>
    <n v="5"/>
    <n v="145"/>
    <s v="No"/>
    <x v="1"/>
    <x v="1"/>
    <x v="1"/>
    <x v="1"/>
    <n v="0"/>
    <x v="0"/>
    <x v="0"/>
    <s v="No Support Contact"/>
    <s v="No"/>
    <s v="No Support Contact"/>
    <s v="Not Applicable"/>
    <n v="-5"/>
    <s v="No drop-off"/>
    <n v="5"/>
    <n v="-2"/>
    <n v="0"/>
    <x v="1"/>
    <n v="0"/>
    <n v="0"/>
    <n v="0"/>
    <n v="1"/>
  </r>
  <r>
    <x v="232"/>
    <s v="USR-00363"/>
    <s v="SES-2506-39497"/>
    <x v="131"/>
    <s v="East England"/>
    <s v="Luton"/>
    <x v="0"/>
    <x v="0"/>
    <x v="1"/>
    <s v="Web"/>
    <s v="Desktop"/>
    <s v="1-2 years"/>
    <x v="0"/>
    <x v="0"/>
    <x v="0"/>
    <s v="Reactivated"/>
    <s v="Fee Transparency Panel"/>
    <s v="Treatment"/>
    <n v="7"/>
    <n v="5"/>
    <n v="251"/>
    <s v="Yes"/>
    <x v="0"/>
    <x v="1"/>
    <x v="1"/>
    <x v="0"/>
    <n v="80.930000000000007"/>
    <x v="0"/>
    <x v="0"/>
    <s v="No Support Contact"/>
    <s v="No"/>
    <s v="No Support Contact"/>
    <s v="Not Applicable"/>
    <m/>
    <s v="No drop-off"/>
    <n v="8"/>
    <n v="-3"/>
    <n v="37"/>
    <x v="1"/>
    <n v="1"/>
    <n v="1"/>
    <n v="0"/>
    <n v="1"/>
  </r>
  <r>
    <x v="233"/>
    <s v="USR-00807"/>
    <s v="SES-2509-64480"/>
    <x v="59"/>
    <s v="Wales"/>
    <s v="Cardiff"/>
    <x v="3"/>
    <x v="2"/>
    <x v="1"/>
    <s v="Android"/>
    <s v="Android Tablet"/>
    <s v="&lt;3 months"/>
    <x v="1"/>
    <x v="7"/>
    <x v="3"/>
    <s v="Trial/Exploration"/>
    <s v="No Experiment"/>
    <s v="Control"/>
    <n v="6"/>
    <n v="6"/>
    <n v="151"/>
    <s v="No"/>
    <x v="1"/>
    <x v="1"/>
    <x v="1"/>
    <x v="1"/>
    <n v="0"/>
    <x v="0"/>
    <x v="0"/>
    <s v="Feature Navigation"/>
    <s v="Yes"/>
    <s v="Feature Navigation"/>
    <s v="Resolved"/>
    <n v="7"/>
    <s v="No drop-off"/>
    <n v="3"/>
    <n v="12"/>
    <n v="9"/>
    <x v="0"/>
    <n v="0"/>
    <n v="0"/>
    <n v="0"/>
    <n v="0"/>
  </r>
  <r>
    <x v="234"/>
    <s v="USR-00774"/>
    <s v="SES-2504-25222"/>
    <x v="191"/>
    <s v="Scotland"/>
    <s v="Dundee"/>
    <x v="3"/>
    <x v="2"/>
    <x v="0"/>
    <s v="Ios"/>
    <s v="Iphone"/>
    <s v="2+ years"/>
    <x v="1"/>
    <x v="2"/>
    <x v="3"/>
    <s v="First Use"/>
    <s v="Progress Indicator"/>
    <s v="Treatment"/>
    <n v="6"/>
    <s v="4 steps"/>
    <n v="228"/>
    <s v="Yes"/>
    <x v="1"/>
    <x v="1"/>
    <x v="1"/>
    <x v="1"/>
    <n v="0"/>
    <x v="0"/>
    <x v="0"/>
    <s v="No Support Contact"/>
    <s v="No"/>
    <s v="No Support Contact"/>
    <s v="Not Applicable"/>
    <m/>
    <s v="Instructions unclear"/>
    <n v="3"/>
    <n v="16"/>
    <n v="0"/>
    <x v="0"/>
    <n v="0"/>
    <n v="0"/>
    <n v="0"/>
    <n v="0"/>
  </r>
  <r>
    <x v="235"/>
    <s v="USR-00293"/>
    <s v="SES-2605-19864"/>
    <x v="192"/>
    <s v="East Midlands"/>
    <s v="Derby"/>
    <x v="1"/>
    <x v="1"/>
    <x v="1"/>
    <s v="Android"/>
    <s v="Android Phone"/>
    <s v="&lt;3 months"/>
    <x v="0"/>
    <x v="3"/>
    <x v="10"/>
    <s v="First Use"/>
    <s v="Progress Indicator"/>
    <s v="Treatment"/>
    <n v="9"/>
    <n v="9"/>
    <n v="273"/>
    <s v="No"/>
    <x v="1"/>
    <x v="1"/>
    <x v="1"/>
    <x v="1"/>
    <n v="0"/>
    <x v="0"/>
    <x v="0"/>
    <s v="No Support Contact"/>
    <s v="No"/>
    <s v="No Support Contact"/>
    <s v="Not Applicable"/>
    <m/>
    <s v="No drop-off"/>
    <n v="4"/>
    <n v="10"/>
    <n v="0"/>
    <x v="1"/>
    <n v="0"/>
    <n v="0"/>
    <n v="0"/>
    <n v="1"/>
  </r>
  <r>
    <x v="236"/>
    <s v="USR-00039"/>
    <s v="SES-2504-45131"/>
    <x v="191"/>
    <s v="West Midlands"/>
    <s v="Solihull"/>
    <x v="2"/>
    <x v="0"/>
    <x v="0"/>
    <s v="Android"/>
    <s v="Android Phone"/>
    <s v="7-12 months"/>
    <x v="2"/>
    <x v="1"/>
    <x v="8"/>
    <s v="Repeat Use"/>
    <s v="Simplified Onboarding"/>
    <s v="Control"/>
    <s v="5 steps"/>
    <n v="3"/>
    <n v="315"/>
    <s v="Yes"/>
    <x v="0"/>
    <x v="0"/>
    <x v="13"/>
    <x v="0"/>
    <n v="87.59"/>
    <x v="0"/>
    <x v="2"/>
    <s v="No Support Contact"/>
    <s v="Unknown"/>
    <s v="No Support Contact"/>
    <s v="Not Applicable"/>
    <m/>
    <s v="No drop-off"/>
    <n v="2"/>
    <n v="-36"/>
    <n v="1"/>
    <x v="1"/>
    <n v="1"/>
    <n v="1"/>
    <n v="1"/>
    <n v="1"/>
  </r>
  <r>
    <x v="237"/>
    <s v="USR-00640"/>
    <s v="SES-2605-24049"/>
    <x v="193"/>
    <s v="Northern Ireland"/>
    <s v="Belfast"/>
    <x v="5"/>
    <x v="5"/>
    <x v="1"/>
    <s v="Web"/>
    <s v="Mobile Browser"/>
    <s v="7-12 months"/>
    <x v="0"/>
    <x v="2"/>
    <x v="0"/>
    <s v="First Use"/>
    <s v="No Experiment"/>
    <s v="Control"/>
    <n v="7"/>
    <n v="7"/>
    <n v="216"/>
    <s v="No"/>
    <x v="0"/>
    <x v="0"/>
    <x v="0"/>
    <x v="1"/>
    <n v="0"/>
    <x v="0"/>
    <x v="0"/>
    <s v="No Support Contact"/>
    <s v="No"/>
    <s v="No Support Contact"/>
    <s v="Not Applicable"/>
    <m/>
    <s v="No drop-off"/>
    <n v="3"/>
    <n v="-29"/>
    <n v="0"/>
    <x v="0"/>
    <n v="1"/>
    <n v="0"/>
    <n v="1"/>
    <n v="0"/>
  </r>
  <r>
    <x v="238"/>
    <s v="USR-00101"/>
    <s v="SES-2601-45171"/>
    <x v="194"/>
    <s v="Scotland"/>
    <s v="Aberdeen"/>
    <x v="4"/>
    <x v="3"/>
    <x v="0"/>
    <s v="Ios"/>
    <s v="Iphone"/>
    <s v="&lt;3 months"/>
    <x v="0"/>
    <x v="1"/>
    <x v="5"/>
    <s v="Reactivated"/>
    <s v="Simplified Onboarding"/>
    <s v="Control"/>
    <n v="8"/>
    <n v="8"/>
    <n v="189"/>
    <s v="No"/>
    <x v="0"/>
    <x v="1"/>
    <x v="1"/>
    <x v="0"/>
    <n v="412.54"/>
    <x v="34"/>
    <x v="0"/>
    <s v="No Support Contact"/>
    <s v="No"/>
    <s v="No Support Contact"/>
    <s v="Not Applicable"/>
    <m/>
    <s v="No drop-off"/>
    <n v="4"/>
    <n v="-12"/>
    <n v="44"/>
    <x v="1"/>
    <n v="1"/>
    <n v="1"/>
    <n v="0"/>
    <n v="1"/>
  </r>
  <r>
    <x v="239"/>
    <s v="USR-00224"/>
    <s v="SES-2508-97761"/>
    <x v="126"/>
    <s v="South East"/>
    <s v="Brighton"/>
    <x v="2"/>
    <x v="0"/>
    <x v="1"/>
    <s v="Android"/>
    <s v="Android Phone"/>
    <s v="3-6 months"/>
    <x v="0"/>
    <x v="0"/>
    <x v="5"/>
    <s v="Reactivated"/>
    <s v="Simplified Onboarding"/>
    <s v="Treatment"/>
    <n v="8"/>
    <s v="4 steps"/>
    <n v="295"/>
    <s v="Yes"/>
    <x v="0"/>
    <x v="1"/>
    <x v="1"/>
    <x v="0"/>
    <n v="387.25"/>
    <x v="37"/>
    <x v="0"/>
    <s v="No Support Contact"/>
    <s v="No"/>
    <s v="No Support Contact"/>
    <s v="Not Applicable"/>
    <m/>
    <s v="No drop-off"/>
    <n v="4"/>
    <n v="-29"/>
    <n v="3"/>
    <x v="1"/>
    <n v="1"/>
    <n v="1"/>
    <n v="0"/>
    <n v="1"/>
  </r>
  <r>
    <x v="240"/>
    <s v="USR-00630"/>
    <s v="SES-2603-97544"/>
    <x v="195"/>
    <s v="North East"/>
    <s v="Middlesbrough"/>
    <x v="3"/>
    <x v="1"/>
    <x v="0"/>
    <s v="Android"/>
    <s v="Android Phone"/>
    <s v="3-6 months"/>
    <x v="0"/>
    <x v="2"/>
    <x v="3"/>
    <s v="Trial/Exploration"/>
    <s v="No Experiment"/>
    <s v="Control"/>
    <n v="6"/>
    <n v="6"/>
    <n v="182"/>
    <s v="No"/>
    <x v="1"/>
    <x v="1"/>
    <x v="1"/>
    <x v="1"/>
    <n v="0"/>
    <x v="0"/>
    <x v="0"/>
    <s v="No Support Contact"/>
    <s v="No"/>
    <s v="No Support Contact"/>
    <s v="Not Applicable"/>
    <m/>
    <s v="Too many steps"/>
    <n v="3"/>
    <n v="32"/>
    <n v="54"/>
    <x v="1"/>
    <n v="0"/>
    <n v="0"/>
    <n v="0"/>
    <n v="1"/>
  </r>
  <r>
    <x v="241"/>
    <s v="USR-00587"/>
    <s v="SES-2501-60571"/>
    <x v="196"/>
    <s v="London"/>
    <s v="Hackney"/>
    <x v="2"/>
    <x v="0"/>
    <x v="1"/>
    <s v="Android"/>
    <s v="Android Phone"/>
    <s v="1-2 years"/>
    <x v="0"/>
    <x v="5"/>
    <x v="10"/>
    <s v="Repeat Use"/>
    <s v="No Experiment"/>
    <s v="Control"/>
    <n v="9"/>
    <n v="9"/>
    <n v="182"/>
    <s v="No"/>
    <x v="0"/>
    <x v="1"/>
    <x v="1"/>
    <x v="1"/>
    <n v="0"/>
    <x v="0"/>
    <x v="0"/>
    <s v="No Support Contact"/>
    <s v="No"/>
    <s v="No Support Contact"/>
    <s v="Not Applicable"/>
    <m/>
    <s v="No drop-off"/>
    <n v="4"/>
    <n v="-1"/>
    <n v="25"/>
    <x v="1"/>
    <n v="1"/>
    <n v="0"/>
    <n v="0"/>
    <n v="1"/>
  </r>
  <r>
    <x v="242"/>
    <s v="USR-00768"/>
    <s v="SES-2503-69009"/>
    <x v="197"/>
    <s v="South West"/>
    <s v="Plymouth"/>
    <x v="1"/>
    <x v="1"/>
    <x v="0"/>
    <s v="Android"/>
    <s v="Android Phone"/>
    <s v="1-2 years"/>
    <x v="0"/>
    <x v="4"/>
    <x v="3"/>
    <s v="Repeat Use"/>
    <s v="No Experiment"/>
    <s v="Control"/>
    <n v="6"/>
    <n v="3"/>
    <n v="153"/>
    <s v="Yes"/>
    <x v="1"/>
    <x v="1"/>
    <x v="1"/>
    <x v="1"/>
    <n v="0"/>
    <x v="0"/>
    <x v="0"/>
    <s v="No Support Contact"/>
    <s v="No"/>
    <s v="No Support Contact"/>
    <s v="Not Applicable"/>
    <m/>
    <s v="Instructions unclear"/>
    <n v="4"/>
    <n v="16"/>
    <n v="32"/>
    <x v="0"/>
    <n v="0"/>
    <n v="0"/>
    <n v="0"/>
    <n v="0"/>
  </r>
  <r>
    <x v="243"/>
    <s v="USR-00435"/>
    <s v="SES-2503-72749"/>
    <x v="198"/>
    <s v="Wales"/>
    <s v="Newport"/>
    <x v="7"/>
    <x v="0"/>
    <x v="1"/>
    <s v="Ios"/>
    <s v="Iphone"/>
    <s v="2+ years"/>
    <x v="1"/>
    <x v="0"/>
    <x v="5"/>
    <s v="Trial/Exploration"/>
    <s v="Simplified Onboarding"/>
    <s v="Control"/>
    <n v="8"/>
    <n v="8"/>
    <n v="164"/>
    <s v="No"/>
    <x v="0"/>
    <x v="1"/>
    <x v="1"/>
    <x v="0"/>
    <n v="461.82"/>
    <x v="38"/>
    <x v="1"/>
    <s v="No Support Contact"/>
    <s v="No"/>
    <s v="No Support Contact"/>
    <s v="Not Applicable"/>
    <m/>
    <s v="No drop-off"/>
    <n v="3"/>
    <n v="-38"/>
    <n v="48"/>
    <x v="0"/>
    <n v="1"/>
    <n v="1"/>
    <n v="0"/>
    <n v="0"/>
  </r>
  <r>
    <x v="244"/>
    <s v="USR-00145"/>
    <s v="SES-2604-74004"/>
    <x v="76"/>
    <s v="Wales"/>
    <s v="Wrexham"/>
    <x v="7"/>
    <x v="0"/>
    <x v="1"/>
    <s v="Android"/>
    <s v="Android Phone"/>
    <s v="1-2 years"/>
    <x v="1"/>
    <x v="3"/>
    <x v="3"/>
    <s v="First Use"/>
    <s v="Simplified Onboarding"/>
    <s v="Treatment"/>
    <n v="6"/>
    <n v="4"/>
    <n v="358"/>
    <s v="Yes"/>
    <x v="0"/>
    <x v="0"/>
    <x v="2"/>
    <x v="1"/>
    <n v="0"/>
    <x v="0"/>
    <x v="0"/>
    <s v="No Support Contact"/>
    <s v="No"/>
    <s v="No Support Contact"/>
    <s v="Not Applicable"/>
    <m/>
    <s v="No drop-off"/>
    <n v="2"/>
    <n v="6"/>
    <n v="0"/>
    <x v="1"/>
    <n v="1"/>
    <n v="0"/>
    <n v="1"/>
    <n v="1"/>
  </r>
  <r>
    <x v="245"/>
    <s v="USR-00093"/>
    <s v="SES-2508-93668"/>
    <x v="199"/>
    <s v="North East"/>
    <s v="Durham"/>
    <x v="2"/>
    <x v="1"/>
    <x v="1"/>
    <s v="Ios"/>
    <s v="Iphone"/>
    <s v="7-12 months"/>
    <x v="0"/>
    <x v="0"/>
    <x v="3"/>
    <s v="Repeat Use"/>
    <s v="No Experiment"/>
    <s v="Control"/>
    <n v="6"/>
    <s v="3 steps"/>
    <n v="295"/>
    <s v="Yes"/>
    <x v="1"/>
    <x v="0"/>
    <x v="8"/>
    <x v="1"/>
    <n v="0"/>
    <x v="0"/>
    <x v="0"/>
    <s v="No Support Contact"/>
    <s v="No"/>
    <s v="No Support Contact"/>
    <s v="Not Applicable"/>
    <m/>
    <s v="Instructions unclear"/>
    <n v="3"/>
    <n v="-29"/>
    <n v="17"/>
    <x v="0"/>
    <n v="0"/>
    <n v="0"/>
    <n v="1"/>
    <n v="0"/>
  </r>
  <r>
    <x v="246"/>
    <s v="USR-00721"/>
    <s v="SES-2605-21812"/>
    <x v="200"/>
    <s v="South West"/>
    <s v="Bristol"/>
    <x v="0"/>
    <x v="1"/>
    <x v="1"/>
    <s v="Ios"/>
    <s v="Iphone"/>
    <s v="&lt;3 months"/>
    <x v="0"/>
    <x v="0"/>
    <x v="3"/>
    <s v="First Use"/>
    <s v="New Cta Copy"/>
    <s v="Control"/>
    <n v="6"/>
    <n v="6"/>
    <n v="117"/>
    <s v="No"/>
    <x v="0"/>
    <x v="1"/>
    <x v="1"/>
    <x v="0"/>
    <n v="80.489999999999995"/>
    <x v="5"/>
    <x v="0"/>
    <s v="No Support Contact"/>
    <s v="No"/>
    <s v="No Support Contact"/>
    <s v="Not Applicable"/>
    <m/>
    <s v="No drop-off"/>
    <n v="4"/>
    <n v="-35"/>
    <n v="0"/>
    <x v="1"/>
    <n v="1"/>
    <n v="1"/>
    <n v="0"/>
    <n v="1"/>
  </r>
  <r>
    <x v="247"/>
    <s v="USR-00397"/>
    <s v="SES-2509-93251"/>
    <x v="201"/>
    <s v="North West"/>
    <s v="Liverpool"/>
    <x v="2"/>
    <x v="0"/>
    <x v="3"/>
    <s v="Ios"/>
    <s v="Iphone"/>
    <s v="7-12 months"/>
    <x v="0"/>
    <x v="1"/>
    <x v="1"/>
    <s v="Repeat Use"/>
    <s v="Simplified Onboarding"/>
    <s v="Treatment"/>
    <s v="4 steps"/>
    <n v="4"/>
    <n v="90"/>
    <s v="No"/>
    <x v="0"/>
    <x v="1"/>
    <x v="1"/>
    <x v="0"/>
    <n v="111.02"/>
    <x v="4"/>
    <x v="0"/>
    <s v="No Support Contact"/>
    <s v="No"/>
    <s v="No Support Contact"/>
    <s v="Not Applicable"/>
    <m/>
    <s v="No drop-off"/>
    <n v="4"/>
    <n v="47"/>
    <n v="31"/>
    <x v="1"/>
    <n v="1"/>
    <n v="1"/>
    <n v="0"/>
    <n v="1"/>
  </r>
  <r>
    <x v="248"/>
    <s v="USR-00011"/>
    <s v="SES-2505-42518"/>
    <x v="202"/>
    <s v="North West"/>
    <s v="Chester"/>
    <x v="3"/>
    <x v="1"/>
    <x v="0"/>
    <s v="Ios"/>
    <s v="Iphone"/>
    <s v="1-2 years"/>
    <x v="0"/>
    <x v="4"/>
    <x v="1"/>
    <s v="Reactivated"/>
    <s v="No Experiment"/>
    <s v="Control"/>
    <n v="4"/>
    <n v="4"/>
    <n v="72"/>
    <s v="No"/>
    <x v="0"/>
    <x v="1"/>
    <x v="1"/>
    <x v="0"/>
    <n v="156.32"/>
    <x v="6"/>
    <x v="0"/>
    <s v="No Support Contact"/>
    <s v="No"/>
    <s v="No Support Contact"/>
    <s v="Not Applicable"/>
    <m/>
    <s v="No drop-off"/>
    <n v="5"/>
    <n v="50"/>
    <n v="43"/>
    <x v="1"/>
    <n v="1"/>
    <n v="1"/>
    <n v="0"/>
    <n v="1"/>
  </r>
  <r>
    <x v="249"/>
    <s v="USR-00853"/>
    <s v="SES-2507-60464"/>
    <x v="203"/>
    <s v="West Midlands"/>
    <s v="Wolverhampton"/>
    <x v="4"/>
    <x v="4"/>
    <x v="1"/>
    <s v="Web"/>
    <s v="Desktop"/>
    <s v="1-2 years"/>
    <x v="1"/>
    <x v="2"/>
    <x v="7"/>
    <s v="Trial/Exploration"/>
    <s v="Fee Transparency Panel"/>
    <s v="Treatment"/>
    <n v="4"/>
    <n v="3"/>
    <n v="103"/>
    <s v="Yes"/>
    <x v="1"/>
    <x v="1"/>
    <x v="1"/>
    <x v="1"/>
    <n v="0"/>
    <x v="0"/>
    <x v="0"/>
    <s v="No Support Contact"/>
    <s v="No"/>
    <s v="No Support Contact"/>
    <s v="Not Applicable"/>
    <m/>
    <s v="Changed mind"/>
    <n v="3"/>
    <n v="13"/>
    <n v="31"/>
    <x v="0"/>
    <n v="0"/>
    <n v="0"/>
    <n v="0"/>
    <n v="0"/>
  </r>
  <r>
    <x v="250"/>
    <s v="USR-00105"/>
    <s v="SES-2507-75931"/>
    <x v="69"/>
    <s v="North East"/>
    <s v="Sunderland"/>
    <x v="1"/>
    <x v="0"/>
    <x v="1"/>
    <s v="Android"/>
    <s v="Android Phone"/>
    <s v="1-2 years"/>
    <x v="0"/>
    <x v="5"/>
    <x v="4"/>
    <s v="Trial/Exploration"/>
    <s v="Simplified Onboarding"/>
    <s v="Treatment"/>
    <n v="6"/>
    <n v="6"/>
    <n v="160"/>
    <s v="No"/>
    <x v="1"/>
    <x v="1"/>
    <x v="1"/>
    <x v="1"/>
    <n v="0"/>
    <x v="0"/>
    <x v="0"/>
    <s v="No Support Contact"/>
    <s v="No"/>
    <s v="No Support Contact"/>
    <s v="Not Applicable"/>
    <m/>
    <s v="Too many steps"/>
    <n v="4"/>
    <n v="21"/>
    <n v="24"/>
    <x v="2"/>
    <n v="0"/>
    <n v="0"/>
    <n v="0"/>
    <n v="0"/>
  </r>
  <r>
    <x v="251"/>
    <s v="USR-00184"/>
    <s v="SES-2602-95138"/>
    <x v="204"/>
    <s v="Yorkshire &amp; Humber"/>
    <s v="York"/>
    <x v="5"/>
    <x v="0"/>
    <x v="0"/>
    <s v="Web"/>
    <s v="Desktop"/>
    <s v="2+ years"/>
    <x v="0"/>
    <x v="0"/>
    <x v="4"/>
    <s v="Trial/Exploration"/>
    <s v="No Experiment"/>
    <s v="Control"/>
    <n v="6"/>
    <n v="4"/>
    <n v="201"/>
    <s v="Yes"/>
    <x v="1"/>
    <x v="1"/>
    <x v="1"/>
    <x v="0"/>
    <n v="1.85"/>
    <x v="0"/>
    <x v="0"/>
    <s v="No Support Contact"/>
    <s v="No"/>
    <s v="No Support Contact"/>
    <s v="Not Applicable"/>
    <m/>
    <s v="Too many steps"/>
    <n v="2"/>
    <n v="-29"/>
    <n v="51"/>
    <x v="1"/>
    <n v="0"/>
    <n v="1"/>
    <n v="0"/>
    <n v="1"/>
  </r>
  <r>
    <x v="252"/>
    <s v="USR-00054"/>
    <s v="SES-2602-30789"/>
    <x v="204"/>
    <s v="South West"/>
    <s v="Gloucester"/>
    <x v="0"/>
    <x v="2"/>
    <x v="1"/>
    <s v="Android"/>
    <s v="Android Phone"/>
    <s v="2+ years"/>
    <x v="1"/>
    <x v="1"/>
    <x v="7"/>
    <s v="Trial/Exploration"/>
    <s v="No Experiment"/>
    <s v="Control"/>
    <n v="4"/>
    <n v="4"/>
    <n v="75"/>
    <s v="No"/>
    <x v="0"/>
    <x v="1"/>
    <x v="1"/>
    <x v="0"/>
    <n v="125.24"/>
    <x v="27"/>
    <x v="1"/>
    <s v="No Support Contact"/>
    <s v="No"/>
    <s v="No Support Contact"/>
    <s v="Not Applicable"/>
    <m/>
    <s v="No drop-off"/>
    <n v="4"/>
    <n v="19"/>
    <n v="50"/>
    <x v="1"/>
    <n v="1"/>
    <n v="1"/>
    <n v="0"/>
    <n v="1"/>
  </r>
  <r>
    <x v="253"/>
    <s v="USR-00519"/>
    <s v="SES-2601-22771"/>
    <x v="0"/>
    <s v="North East"/>
    <s v="Newcastle"/>
    <x v="2"/>
    <x v="2"/>
    <x v="0"/>
    <s v="Android"/>
    <s v="Android Phone"/>
    <s v="3-6 months"/>
    <x v="0"/>
    <x v="6"/>
    <x v="2"/>
    <s v="First Use"/>
    <s v="Fee Transparency Panel"/>
    <s v="Control"/>
    <n v="5"/>
    <s v="5 steps"/>
    <n v="158"/>
    <s v="No"/>
    <x v="0"/>
    <x v="1"/>
    <x v="1"/>
    <x v="0"/>
    <n v="103.72"/>
    <x v="0"/>
    <x v="0"/>
    <s v="No Support Contact"/>
    <s v="No"/>
    <s v="No Support Contact"/>
    <s v="Not Applicable"/>
    <m/>
    <s v="No drop-off"/>
    <n v="3"/>
    <n v="-3"/>
    <n v="0"/>
    <x v="0"/>
    <n v="1"/>
    <n v="1"/>
    <n v="0"/>
    <n v="0"/>
  </r>
  <r>
    <x v="254"/>
    <s v="USR-00486"/>
    <s v="SES-2605-12518"/>
    <x v="78"/>
    <s v="North West"/>
    <s v="Preston"/>
    <x v="5"/>
    <x v="1"/>
    <x v="0"/>
    <s v="Web"/>
    <s v="Desktop"/>
    <s v="2+ years"/>
    <x v="2"/>
    <x v="0"/>
    <x v="5"/>
    <s v="Repeat Use"/>
    <s v="New Cta Copy"/>
    <s v="Control"/>
    <n v="8"/>
    <n v="8"/>
    <n v="171"/>
    <s v="No"/>
    <x v="0"/>
    <x v="1"/>
    <x v="1"/>
    <x v="0"/>
    <n v="332.08"/>
    <x v="39"/>
    <x v="2"/>
    <s v="No Support Contact"/>
    <s v="No"/>
    <s v="No Support Contact"/>
    <s v="Not Applicable"/>
    <m/>
    <s v="No drop-off"/>
    <n v="4"/>
    <n v="-7"/>
    <n v="34"/>
    <x v="1"/>
    <n v="1"/>
    <n v="1"/>
    <n v="0"/>
    <n v="1"/>
  </r>
  <r>
    <x v="255"/>
    <s v="USR-00517"/>
    <s v="SES-2504-46926"/>
    <x v="139"/>
    <s v="London"/>
    <s v="Hammersmith"/>
    <x v="3"/>
    <x v="0"/>
    <x v="1"/>
    <s v="Android"/>
    <s v="Android Phone"/>
    <s v="3-6 months"/>
    <x v="0"/>
    <x v="6"/>
    <x v="9"/>
    <s v="Repeat Use"/>
    <s v="Simplified Onboarding"/>
    <s v="Control"/>
    <n v="5"/>
    <n v="5"/>
    <n v="94"/>
    <s v="No"/>
    <x v="1"/>
    <x v="1"/>
    <x v="1"/>
    <x v="1"/>
    <n v="0"/>
    <x v="0"/>
    <x v="0"/>
    <s v="No Support Contact"/>
    <s v="No"/>
    <s v="No Support Contact"/>
    <s v="Not Applicable"/>
    <m/>
    <s v="Too many steps"/>
    <n v="5"/>
    <n v="12"/>
    <n v="50"/>
    <x v="0"/>
    <n v="0"/>
    <n v="0"/>
    <n v="0"/>
    <n v="0"/>
  </r>
  <r>
    <x v="256"/>
    <s v="USR-00408"/>
    <s v="SES-2603-81961"/>
    <x v="205"/>
    <s v="London"/>
    <s v="Hackney"/>
    <x v="2"/>
    <x v="3"/>
    <x v="1"/>
    <s v="Android"/>
    <s v="Android Phone"/>
    <s v="&lt;3 months"/>
    <x v="2"/>
    <x v="2"/>
    <x v="5"/>
    <s v="Reactivated"/>
    <s v="No Experiment"/>
    <s v="Control"/>
    <n v="8"/>
    <n v="6"/>
    <n v="295"/>
    <s v="Yes"/>
    <x v="1"/>
    <x v="1"/>
    <x v="1"/>
    <x v="1"/>
    <n v="0"/>
    <x v="0"/>
    <x v="0"/>
    <s v="No Support Contact"/>
    <s v="No"/>
    <s v="No Support Contact"/>
    <s v="Not Applicable"/>
    <m/>
    <s v="Unexpected fee"/>
    <n v="3"/>
    <n v="-36"/>
    <n v="33"/>
    <x v="0"/>
    <n v="0"/>
    <n v="0"/>
    <n v="0"/>
    <n v="0"/>
  </r>
  <r>
    <x v="68"/>
    <s v="USR-00595"/>
    <s v="SES-2511-58587"/>
    <x v="66"/>
    <s v="North East"/>
    <s v="Sunderland"/>
    <x v="0"/>
    <x v="1"/>
    <x v="0"/>
    <s v="Android"/>
    <s v="Android Phone"/>
    <s v="7-12 months"/>
    <x v="0"/>
    <x v="4"/>
    <x v="10"/>
    <s v="Repeat Use"/>
    <s v="No Experiment"/>
    <s v="Control"/>
    <n v="9"/>
    <n v="9"/>
    <n v="217"/>
    <s v="No"/>
    <x v="0"/>
    <x v="1"/>
    <x v="1"/>
    <x v="0"/>
    <n v="171.19"/>
    <x v="19"/>
    <x v="0"/>
    <s v="No Support Contact"/>
    <s v="No"/>
    <s v="No Support Contact"/>
    <s v="Not Applicable"/>
    <m/>
    <s v="No drop-off"/>
    <n v="3"/>
    <n v="12"/>
    <n v="36"/>
    <x v="1"/>
    <n v="1"/>
    <n v="1"/>
    <n v="0"/>
    <n v="1"/>
  </r>
  <r>
    <x v="257"/>
    <s v="USR-00111"/>
    <s v="SES-2604-54606"/>
    <x v="206"/>
    <s v="Scotland"/>
    <s v="Aberdeen"/>
    <x v="3"/>
    <x v="1"/>
    <x v="0"/>
    <s v="Web"/>
    <s v="Mobile Browser"/>
    <s v="2+ years"/>
    <x v="0"/>
    <x v="2"/>
    <x v="2"/>
    <s v="Repeat Use"/>
    <s v="No Experiment"/>
    <s v="Control"/>
    <n v="5"/>
    <n v="5"/>
    <n v="145"/>
    <s v="No"/>
    <x v="0"/>
    <x v="1"/>
    <x v="1"/>
    <x v="1"/>
    <n v="0"/>
    <x v="0"/>
    <x v="0"/>
    <s v="No Support Contact"/>
    <s v="No"/>
    <s v="No Support Contact"/>
    <s v="Not Applicable"/>
    <m/>
    <s v="No drop-off"/>
    <n v="4"/>
    <n v="38"/>
    <n v="22"/>
    <x v="0"/>
    <n v="1"/>
    <n v="0"/>
    <n v="0"/>
    <n v="0"/>
  </r>
  <r>
    <x v="258"/>
    <s v="USR-00427"/>
    <s v="SES-2508-37582"/>
    <x v="207"/>
    <s v="Northern Ireland"/>
    <s v="Lisburn"/>
    <x v="2"/>
    <x v="1"/>
    <x v="1"/>
    <s v="Android"/>
    <s v="Android Phone"/>
    <s v="1-2 years"/>
    <x v="0"/>
    <x v="2"/>
    <x v="1"/>
    <s v="First Use"/>
    <s v="Contextual Help"/>
    <s v="Treatment"/>
    <n v="4"/>
    <n v="4"/>
    <n v="106"/>
    <s v="No"/>
    <x v="0"/>
    <x v="1"/>
    <x v="1"/>
    <x v="0"/>
    <n v="101.23"/>
    <x v="25"/>
    <x v="0"/>
    <s v="No Support Contact"/>
    <s v="No"/>
    <s v="No Support Contact"/>
    <s v="Not Applicable"/>
    <m/>
    <s v="No drop-off"/>
    <n v="5"/>
    <n v="53"/>
    <s v="0 days"/>
    <x v="1"/>
    <n v="1"/>
    <n v="1"/>
    <n v="0"/>
    <n v="1"/>
  </r>
  <r>
    <x v="259"/>
    <s v="USR-00292"/>
    <s v="SES-2604-46865"/>
    <x v="124"/>
    <s v="East England"/>
    <s v="Norwich"/>
    <x v="4"/>
    <x v="1"/>
    <x v="0"/>
    <s v="Android"/>
    <s v="Android Phone"/>
    <s v="7-12 months"/>
    <x v="0"/>
    <x v="5"/>
    <x v="2"/>
    <s v="Repeat Use"/>
    <s v="No Experiment"/>
    <s v="Control"/>
    <n v="5"/>
    <n v="4"/>
    <n v="149"/>
    <s v="Yes"/>
    <x v="0"/>
    <x v="1"/>
    <x v="1"/>
    <x v="0"/>
    <n v="105.25"/>
    <x v="0"/>
    <x v="0"/>
    <s v="Feature Navigation"/>
    <s v="Yes"/>
    <s v="Feature Navigation"/>
    <s v="Resolved"/>
    <n v="54"/>
    <s v="No drop-off"/>
    <n v="5"/>
    <n v="-5"/>
    <n v="47"/>
    <x v="1"/>
    <n v="1"/>
    <n v="1"/>
    <n v="0"/>
    <n v="1"/>
  </r>
  <r>
    <x v="260"/>
    <s v="USR-00407"/>
    <s v="SES-2504-45481"/>
    <x v="185"/>
    <s v="East England"/>
    <s v="Cambridge"/>
    <x v="1"/>
    <x v="2"/>
    <x v="1"/>
    <s v="Android"/>
    <s v="Android Phone"/>
    <s v="&lt;3 months"/>
    <x v="2"/>
    <x v="1"/>
    <x v="10"/>
    <s v="First Use"/>
    <s v="No Experiment"/>
    <s v="Control"/>
    <s v="9 steps"/>
    <n v="7"/>
    <n v="283"/>
    <s v="Yes"/>
    <x v="1"/>
    <x v="1"/>
    <x v="1"/>
    <x v="0"/>
    <n v="134.04"/>
    <x v="40"/>
    <x v="2"/>
    <s v="Fees And Pricing"/>
    <s v="Yes"/>
    <s v="Fees And Pricing"/>
    <s v="Unresolved"/>
    <n v="2"/>
    <s v="Privacy concern"/>
    <n v="1"/>
    <n v="-46"/>
    <n v="0"/>
    <x v="1"/>
    <n v="0"/>
    <n v="1"/>
    <n v="0"/>
    <n v="1"/>
  </r>
  <r>
    <x v="261"/>
    <s v="USR-00388"/>
    <s v="SES-2512-54171"/>
    <x v="176"/>
    <s v="London"/>
    <s v="Croydon"/>
    <x v="3"/>
    <x v="3"/>
    <x v="1"/>
    <s v="Ios"/>
    <s v="Iphone"/>
    <s v="&lt;3 months"/>
    <x v="2"/>
    <x v="2"/>
    <x v="7"/>
    <s v="Repeat Use"/>
    <s v="Progress Indicator"/>
    <s v="Control"/>
    <n v="4"/>
    <n v="4"/>
    <n v="104"/>
    <s v="No"/>
    <x v="0"/>
    <x v="0"/>
    <x v="16"/>
    <x v="0"/>
    <n v="76.650000000000006"/>
    <x v="9"/>
    <x v="2"/>
    <s v="No Support Contact"/>
    <s v="No"/>
    <s v="No Support Contact"/>
    <s v="Not Applicable"/>
    <m/>
    <s v="No drop-off"/>
    <n v="2"/>
    <n v="-24"/>
    <n v="41"/>
    <x v="1"/>
    <n v="1"/>
    <n v="1"/>
    <n v="1"/>
    <n v="1"/>
  </r>
  <r>
    <x v="262"/>
    <s v="USR-00406"/>
    <s v="SES-2502-43518"/>
    <x v="9"/>
    <s v="North East"/>
    <s v="Newcastle"/>
    <x v="3"/>
    <x v="4"/>
    <x v="1"/>
    <s v="Android"/>
    <s v="Android Phone"/>
    <s v="1-2 years"/>
    <x v="1"/>
    <x v="3"/>
    <x v="4"/>
    <s v="Repeat Use"/>
    <s v="Progress Indicator"/>
    <s v="Control"/>
    <s v="6 steps"/>
    <n v="5"/>
    <n v="302"/>
    <s v="Yes"/>
    <x v="1"/>
    <x v="1"/>
    <x v="1"/>
    <x v="1"/>
    <n v="0"/>
    <x v="0"/>
    <x v="0"/>
    <s v="No Support Contact"/>
    <s v="No"/>
    <s v="No Support Contact"/>
    <s v="Not Applicable"/>
    <m/>
    <s v="Too many steps"/>
    <n v="2"/>
    <n v="29"/>
    <n v="29"/>
    <x v="0"/>
    <n v="0"/>
    <n v="0"/>
    <n v="0"/>
    <n v="0"/>
  </r>
  <r>
    <x v="263"/>
    <s v="USR-00181"/>
    <s v="SES-2503-77274"/>
    <x v="208"/>
    <s v="Wales"/>
    <s v="Cardiff"/>
    <x v="5"/>
    <x v="2"/>
    <x v="1"/>
    <s v="Android"/>
    <s v="Android Phone"/>
    <s v="7-12 months"/>
    <x v="0"/>
    <x v="0"/>
    <x v="7"/>
    <s v="Reactivated"/>
    <s v="No Experiment"/>
    <s v="Control"/>
    <n v="4"/>
    <n v="4"/>
    <n v="121"/>
    <s v="No"/>
    <x v="0"/>
    <x v="1"/>
    <x v="1"/>
    <x v="0"/>
    <n v="48.88"/>
    <x v="41"/>
    <x v="0"/>
    <s v="Feature Navigation"/>
    <s v="Yes"/>
    <s v="Feature Navigation"/>
    <s v="Unresolved"/>
    <n v="22"/>
    <s v="No drop-off"/>
    <n v="5"/>
    <n v="45"/>
    <n v="13"/>
    <x v="1"/>
    <n v="1"/>
    <n v="1"/>
    <n v="0"/>
    <n v="1"/>
  </r>
  <r>
    <x v="264"/>
    <s v="USR-00375"/>
    <s v="SES-2502-45443"/>
    <x v="209"/>
    <s v="Wales"/>
    <s v="Wrexham"/>
    <x v="1"/>
    <x v="5"/>
    <x v="1"/>
    <s v="Android"/>
    <s v="Android Phone"/>
    <s v="7-12 months"/>
    <x v="0"/>
    <x v="1"/>
    <x v="1"/>
    <s v="Repeat Use"/>
    <s v="Fee Transparency Panel"/>
    <s v="Control"/>
    <n v="4"/>
    <n v="4"/>
    <n v="87"/>
    <s v="No"/>
    <x v="0"/>
    <x v="1"/>
    <x v="1"/>
    <x v="0"/>
    <n v="201.91"/>
    <x v="4"/>
    <x v="0"/>
    <s v="No Support Contact"/>
    <s v="No"/>
    <s v="No Support Contact"/>
    <s v="Not Applicable"/>
    <m/>
    <s v="No drop-off"/>
    <n v="4"/>
    <n v="43"/>
    <n v="16"/>
    <x v="1"/>
    <n v="1"/>
    <n v="1"/>
    <n v="0"/>
    <n v="1"/>
  </r>
  <r>
    <x v="265"/>
    <s v="usr-00704"/>
    <s v="SES-2603-14401"/>
    <x v="210"/>
    <s v="Yorkshire &amp; Humber"/>
    <s v="Leeds"/>
    <x v="3"/>
    <x v="0"/>
    <x v="0"/>
    <s v="Android"/>
    <s v="Android Phone"/>
    <s v="3-6 months"/>
    <x v="0"/>
    <x v="6"/>
    <x v="8"/>
    <s v="Reactivated"/>
    <s v="No Experiment"/>
    <s v="Control"/>
    <n v="5"/>
    <n v="5"/>
    <n v="112"/>
    <s v="No"/>
    <x v="0"/>
    <x v="1"/>
    <x v="1"/>
    <x v="0"/>
    <n v="21.44"/>
    <x v="0"/>
    <x v="0"/>
    <s v="No Support Contact"/>
    <s v="No"/>
    <s v="No Support Contact"/>
    <s v="Not Applicable"/>
    <m/>
    <s v="No drop-off"/>
    <n v="5"/>
    <n v="28"/>
    <n v="11"/>
    <x v="1"/>
    <n v="1"/>
    <n v="1"/>
    <n v="0"/>
    <n v="1"/>
  </r>
  <r>
    <x v="266"/>
    <s v="USR-00405"/>
    <s v="SES-2510-82598"/>
    <x v="211"/>
    <s v="Yorkshire &amp; Humber"/>
    <s v="Leeds"/>
    <x v="7"/>
    <x v="2"/>
    <x v="0"/>
    <s v="Ios"/>
    <s v="Iphone"/>
    <s v="1-2 years"/>
    <x v="0"/>
    <x v="5"/>
    <x v="3"/>
    <s v="Reactivated"/>
    <s v="No Experiment"/>
    <s v="Control"/>
    <n v="6"/>
    <n v="6"/>
    <n v="117"/>
    <s v="No"/>
    <x v="0"/>
    <x v="1"/>
    <x v="1"/>
    <x v="0"/>
    <n v="15.96"/>
    <x v="5"/>
    <x v="0"/>
    <s v="No Support Contact"/>
    <s v="No"/>
    <s v="No Support Contact"/>
    <s v="Not Applicable"/>
    <m/>
    <s v="No drop-off"/>
    <n v="4"/>
    <n v="57"/>
    <n v="28"/>
    <x v="1"/>
    <n v="1"/>
    <n v="1"/>
    <n v="0"/>
    <n v="1"/>
  </r>
  <r>
    <x v="267"/>
    <s v="USR-00240"/>
    <s v="SES-2511-50252"/>
    <x v="212"/>
    <s v="North East"/>
    <s v="Middlesbrough"/>
    <x v="0"/>
    <x v="4"/>
    <x v="0"/>
    <s v="Android"/>
    <s v="Android Phone"/>
    <s v="1-2 years"/>
    <x v="0"/>
    <x v="4"/>
    <x v="7"/>
    <s v="First Use"/>
    <s v="No Experiment"/>
    <s v="Control"/>
    <n v="4"/>
    <n v="4"/>
    <n v="143"/>
    <s v="No"/>
    <x v="0"/>
    <x v="0"/>
    <x v="16"/>
    <x v="0"/>
    <n v="83.04"/>
    <x v="31"/>
    <x v="0"/>
    <s v="No Support Contact"/>
    <s v="No"/>
    <s v="No Support Contact"/>
    <s v="Not Applicable"/>
    <m/>
    <s v="No drop-off"/>
    <n v="3"/>
    <n v="11"/>
    <n v="0"/>
    <x v="1"/>
    <n v="1"/>
    <n v="1"/>
    <n v="1"/>
    <n v="1"/>
  </r>
  <r>
    <x v="268"/>
    <s v="USR-00566"/>
    <s v="SES-2509-31243"/>
    <x v="213"/>
    <s v="South East"/>
    <s v="Guildford"/>
    <x v="0"/>
    <x v="1"/>
    <x v="1"/>
    <s v="Ios"/>
    <s v="Iphone"/>
    <s v="3-6 months"/>
    <x v="0"/>
    <x v="2"/>
    <x v="2"/>
    <s v="Repeat Use"/>
    <s v="No Experiment"/>
    <s v="Control"/>
    <n v="5"/>
    <s v="5 steps"/>
    <n v="144"/>
    <s v="No"/>
    <x v="0"/>
    <x v="1"/>
    <x v="1"/>
    <x v="0"/>
    <n v="25.55"/>
    <x v="0"/>
    <x v="0"/>
    <s v="No Support Contact"/>
    <s v="No"/>
    <s v="No Support Contact"/>
    <s v="Not Applicable"/>
    <m/>
    <s v="No drop-off"/>
    <n v="4"/>
    <n v="21"/>
    <n v="42"/>
    <x v="1"/>
    <n v="1"/>
    <n v="1"/>
    <n v="0"/>
    <n v="1"/>
  </r>
  <r>
    <x v="269"/>
    <s v="USR-00057"/>
    <s v="SES-2504-21398"/>
    <x v="58"/>
    <s v="South West"/>
    <s v="Bath"/>
    <x v="4"/>
    <x v="3"/>
    <x v="1"/>
    <s v="Ios"/>
    <s v="Iphone"/>
    <s v="7-12 months"/>
    <x v="2"/>
    <x v="5"/>
    <x v="2"/>
    <s v="Repeat Use"/>
    <s v="No Experiment"/>
    <s v="Control"/>
    <n v="5"/>
    <s v="5 steps"/>
    <n v="159"/>
    <s v="No"/>
    <x v="0"/>
    <x v="1"/>
    <x v="1"/>
    <x v="0"/>
    <n v="168.27"/>
    <x v="0"/>
    <x v="2"/>
    <s v="No Support Contact"/>
    <s v="No"/>
    <s v="No Support Contact"/>
    <s v="Not Applicable"/>
    <m/>
    <s v="No drop-off"/>
    <n v="4"/>
    <n v="14"/>
    <n v="23"/>
    <x v="1"/>
    <n v="1"/>
    <n v="1"/>
    <n v="0"/>
    <n v="1"/>
  </r>
  <r>
    <x v="270"/>
    <s v="USR-00531"/>
    <s v="SES-2602-70918"/>
    <x v="214"/>
    <s v="East Midlands"/>
    <s v="Derby"/>
    <x v="0"/>
    <x v="1"/>
    <x v="0"/>
    <s v="Ios"/>
    <s v="Iphone"/>
    <s v="3-6 months"/>
    <x v="1"/>
    <x v="4"/>
    <x v="3"/>
    <s v="Reactivated"/>
    <s v="Simplified Onboarding"/>
    <s v="Control"/>
    <n v="6"/>
    <n v="6"/>
    <n v="191"/>
    <s v="No"/>
    <x v="0"/>
    <x v="1"/>
    <x v="1"/>
    <x v="1"/>
    <n v="0"/>
    <x v="0"/>
    <x v="0"/>
    <s v="No Support Contact"/>
    <s v="No"/>
    <s v="No Support Contact"/>
    <s v="Not Applicable"/>
    <m/>
    <s v="No drop-off"/>
    <n v="4"/>
    <n v="-31"/>
    <s v="73 days"/>
    <x v="1"/>
    <n v="1"/>
    <n v="0"/>
    <n v="0"/>
    <n v="1"/>
  </r>
  <r>
    <x v="271"/>
    <s v="USR-00161"/>
    <s v="SES-2602-14469"/>
    <x v="215"/>
    <s v="South West"/>
    <s v="Plymouth"/>
    <x v="4"/>
    <x v="2"/>
    <x v="2"/>
    <s v="Ios"/>
    <s v="Iphone"/>
    <s v="7-12 months"/>
    <x v="0"/>
    <x v="1"/>
    <x v="9"/>
    <s v="Repeat Use"/>
    <s v="No Experiment"/>
    <s v="Control"/>
    <n v="5"/>
    <n v="4"/>
    <n v="193"/>
    <s v="Yes"/>
    <x v="1"/>
    <x v="1"/>
    <x v="1"/>
    <x v="0"/>
    <n v="130.12"/>
    <x v="0"/>
    <x v="0"/>
    <s v="Feature Navigation"/>
    <s v="Yes"/>
    <s v="Feature Navigation"/>
    <s v="Resolved"/>
    <n v="44"/>
    <s v="Instructions unclear"/>
    <n v="4"/>
    <n v="-6"/>
    <n v="25"/>
    <x v="1"/>
    <n v="0"/>
    <n v="1"/>
    <n v="0"/>
    <n v="1"/>
  </r>
  <r>
    <x v="272"/>
    <s v="USR-00526"/>
    <s v="SES-2503-92782"/>
    <x v="10"/>
    <s v="West Midlands"/>
    <s v="Coventry"/>
    <x v="2"/>
    <x v="3"/>
    <x v="1"/>
    <s v="Ios"/>
    <s v="Iphone"/>
    <s v="1-2 years"/>
    <x v="1"/>
    <x v="2"/>
    <x v="3"/>
    <s v="Trial/Exploration"/>
    <s v="No Experiment"/>
    <s v="Control"/>
    <n v="6"/>
    <n v="6"/>
    <n v="138"/>
    <s v="No"/>
    <x v="0"/>
    <x v="1"/>
    <x v="1"/>
    <x v="0"/>
    <n v="0"/>
    <x v="5"/>
    <x v="1"/>
    <s v="No Support Contact"/>
    <s v="No"/>
    <s v="No Support Contact"/>
    <s v="Not Applicable"/>
    <m/>
    <s v="No drop-off"/>
    <n v="3"/>
    <n v="-5"/>
    <n v="21"/>
    <x v="0"/>
    <n v="1"/>
    <n v="1"/>
    <n v="0"/>
    <n v="0"/>
  </r>
  <r>
    <x v="273"/>
    <s v="USR-00042"/>
    <s v="SES-2507-47304"/>
    <x v="216"/>
    <s v="South West"/>
    <s v="Exeter"/>
    <x v="2"/>
    <x v="2"/>
    <x v="1"/>
    <s v="Android"/>
    <s v="Android Phone"/>
    <s v="2+ years"/>
    <x v="0"/>
    <x v="7"/>
    <x v="7"/>
    <s v="Reactivated"/>
    <s v="Simplified Onboarding"/>
    <s v="Control"/>
    <s v="N/A"/>
    <n v="4"/>
    <n v="103"/>
    <s v="No"/>
    <x v="0"/>
    <x v="1"/>
    <x v="1"/>
    <x v="0"/>
    <n v="62.92"/>
    <x v="42"/>
    <x v="0"/>
    <s v="No Support Contact"/>
    <s v="No"/>
    <s v="No Support Contact"/>
    <s v="Not Applicable"/>
    <m/>
    <s v="No drop-off"/>
    <n v="4"/>
    <n v="42"/>
    <n v="1"/>
    <x v="1"/>
    <n v="1"/>
    <n v="1"/>
    <n v="0"/>
    <n v="1"/>
  </r>
  <r>
    <x v="274"/>
    <s v="USR-00007"/>
    <s v="SES-2507-60496"/>
    <x v="217"/>
    <s v="South East"/>
    <s v="Reading"/>
    <x v="0"/>
    <x v="0"/>
    <x v="1"/>
    <s v="Ios"/>
    <s v="Iphone"/>
    <s v="7-12 months"/>
    <x v="0"/>
    <x v="2"/>
    <x v="8"/>
    <s v="Repeat Use"/>
    <s v="No Experiment"/>
    <s v="Control"/>
    <n v="5"/>
    <n v="5"/>
    <n v="107"/>
    <s v="No"/>
    <x v="0"/>
    <x v="1"/>
    <x v="1"/>
    <x v="0"/>
    <n v="107.19"/>
    <x v="0"/>
    <x v="0"/>
    <s v="No Support Contact"/>
    <s v="No"/>
    <s v="No Support Contact"/>
    <s v="Not Applicable"/>
    <m/>
    <s v="No drop-off"/>
    <n v="3"/>
    <n v="39"/>
    <n v="46"/>
    <x v="1"/>
    <n v="1"/>
    <n v="1"/>
    <n v="0"/>
    <n v="1"/>
  </r>
  <r>
    <x v="275"/>
    <s v="USR-00413"/>
    <s v="SES-2605-79826"/>
    <x v="56"/>
    <s v="East Midlands"/>
    <s v="Derby"/>
    <x v="1"/>
    <x v="0"/>
    <x v="1"/>
    <s v="Android"/>
    <s v="Android Phone"/>
    <s v="1-2 years"/>
    <x v="1"/>
    <x v="4"/>
    <x v="3"/>
    <s v="Repeat Use"/>
    <s v="No Experiment"/>
    <s v="Control"/>
    <n v="6"/>
    <n v="5"/>
    <n v="272"/>
    <s v="Yes"/>
    <x v="1"/>
    <x v="1"/>
    <x v="1"/>
    <x v="1"/>
    <n v="0"/>
    <x v="0"/>
    <x v="0"/>
    <s v="Card Issue"/>
    <s v="Yes"/>
    <s v="Card Issue"/>
    <s v="Resolved"/>
    <n v="34"/>
    <s v="Privacy concern"/>
    <n v="2"/>
    <n v="-4"/>
    <n v="13"/>
    <x v="1"/>
    <n v="0"/>
    <n v="0"/>
    <n v="0"/>
    <n v="1"/>
  </r>
  <r>
    <x v="276"/>
    <s v="USR-00769"/>
    <s v="SES-2506-61123"/>
    <x v="180"/>
    <s v="Northern Ireland"/>
    <s v="Belfast"/>
    <x v="2"/>
    <x v="4"/>
    <x v="0"/>
    <s v="Ios"/>
    <s v="Iphone"/>
    <s v="&lt;3 months"/>
    <x v="3"/>
    <x v="1"/>
    <x v="3"/>
    <s v="First Use"/>
    <s v="No Experiment"/>
    <s v="Control"/>
    <n v="6"/>
    <n v="6"/>
    <n v="139"/>
    <s v="No"/>
    <x v="0"/>
    <x v="1"/>
    <x v="1"/>
    <x v="0"/>
    <n v="0"/>
    <x v="2"/>
    <x v="0"/>
    <s v="No Support Contact"/>
    <s v="No"/>
    <s v="No Support Contact"/>
    <s v="Not Applicable"/>
    <m/>
    <s v="No drop-off"/>
    <n v="4"/>
    <n v="31"/>
    <n v="0"/>
    <x v="1"/>
    <n v="1"/>
    <n v="1"/>
    <n v="0"/>
    <n v="1"/>
  </r>
  <r>
    <x v="277"/>
    <s v="USR-00149"/>
    <s v="SES-2502-89953"/>
    <x v="163"/>
    <s v="North West"/>
    <s v="Chester"/>
    <x v="0"/>
    <x v="5"/>
    <x v="1"/>
    <s v="Ios"/>
    <s v="Iphone"/>
    <s v="7-12 months"/>
    <x v="1"/>
    <x v="5"/>
    <x v="2"/>
    <s v="Reactivated"/>
    <s v="No Experiment"/>
    <s v="Control"/>
    <n v="5"/>
    <n v="5"/>
    <n v="101"/>
    <s v="No"/>
    <x v="0"/>
    <x v="1"/>
    <x v="1"/>
    <x v="0"/>
    <n v="0"/>
    <x v="0"/>
    <x v="1"/>
    <s v="No Support Contact"/>
    <s v="No"/>
    <s v="No Support Contact"/>
    <s v="Not Applicable"/>
    <m/>
    <s v="No drop-off"/>
    <n v="4"/>
    <n v="43"/>
    <n v="22"/>
    <x v="1"/>
    <n v="1"/>
    <n v="1"/>
    <n v="0"/>
    <n v="1"/>
  </r>
  <r>
    <x v="278"/>
    <s v="USR-00756"/>
    <s v="SES-2505-43334"/>
    <x v="26"/>
    <s v="East England"/>
    <s v="Ipswich"/>
    <x v="0"/>
    <x v="1"/>
    <x v="0"/>
    <s v="Ios"/>
    <s v="Iphone"/>
    <s v="1-2 years"/>
    <x v="1"/>
    <x v="5"/>
    <x v="0"/>
    <s v="Repeat Use"/>
    <s v="No Experiment"/>
    <s v="Control"/>
    <n v="7"/>
    <n v="7"/>
    <n v="176"/>
    <s v="No"/>
    <x v="0"/>
    <x v="1"/>
    <x v="1"/>
    <x v="0"/>
    <n v="0"/>
    <x v="0"/>
    <x v="1"/>
    <s v="No Support Contact"/>
    <s v="No"/>
    <s v="No Support Contact"/>
    <s v="Not Applicable"/>
    <m/>
    <s v="No drop-off"/>
    <n v="5"/>
    <n v="17"/>
    <n v="33"/>
    <x v="1"/>
    <n v="1"/>
    <n v="1"/>
    <n v="0"/>
    <n v="1"/>
  </r>
  <r>
    <x v="279"/>
    <s v="USR-00309"/>
    <s v="SES-2605-50666"/>
    <x v="218"/>
    <s v="Northern Ireland"/>
    <s v="Newry"/>
    <x v="7"/>
    <x v="4"/>
    <x v="1"/>
    <s v="Android"/>
    <s v="Android Phone"/>
    <s v="2+ years"/>
    <x v="0"/>
    <x v="7"/>
    <x v="1"/>
    <s v="Repeat Use"/>
    <s v="No Experiment"/>
    <s v="Control"/>
    <n v="4"/>
    <n v="4"/>
    <n v="129"/>
    <s v="No"/>
    <x v="1"/>
    <x v="0"/>
    <x v="3"/>
    <x v="1"/>
    <n v="0"/>
    <x v="0"/>
    <x v="0"/>
    <s v="No Support Contact"/>
    <s v="No"/>
    <s v="No Support Contact"/>
    <s v="Not Applicable"/>
    <m/>
    <s v="Technical error"/>
    <n v="3"/>
    <n v="-21"/>
    <n v="71"/>
    <x v="0"/>
    <n v="0"/>
    <n v="0"/>
    <n v="1"/>
    <n v="0"/>
  </r>
  <r>
    <x v="280"/>
    <s v="USR-00387"/>
    <s v="SES-2501-41711"/>
    <x v="219"/>
    <s v="South East"/>
    <s v="Brighton"/>
    <x v="2"/>
    <x v="5"/>
    <x v="0"/>
    <s v="Android"/>
    <s v="Android Phone"/>
    <s v="2+ years"/>
    <x v="0"/>
    <x v="7"/>
    <x v="7"/>
    <s v="Trial/Exploration"/>
    <s v="New Cta Copy"/>
    <s v="Control"/>
    <n v="4"/>
    <s v="4 steps"/>
    <n v="73"/>
    <s v="No"/>
    <x v="0"/>
    <x v="1"/>
    <x v="1"/>
    <x v="0"/>
    <n v="59.39"/>
    <x v="31"/>
    <x v="0"/>
    <s v="Fees And Pricing"/>
    <s v="Yes"/>
    <s v="Fees And Pricing"/>
    <s v="Unresolved"/>
    <n v="49"/>
    <s v="No drop-off"/>
    <n v="4"/>
    <n v="56"/>
    <n v="34"/>
    <x v="1"/>
    <n v="1"/>
    <n v="1"/>
    <n v="0"/>
    <n v="1"/>
  </r>
  <r>
    <x v="281"/>
    <s v="USR-00513"/>
    <s v="SES-2501-34624"/>
    <x v="220"/>
    <s v="West Midlands"/>
    <s v="Wolverhampton"/>
    <x v="2"/>
    <x v="0"/>
    <x v="1"/>
    <s v="Ios"/>
    <s v="Iphone"/>
    <s v="1-2 years"/>
    <x v="1"/>
    <x v="4"/>
    <x v="3"/>
    <s v="Repeat Use"/>
    <s v="No Experiment"/>
    <s v="Control"/>
    <n v="6"/>
    <n v="6"/>
    <n v="169"/>
    <s v="No"/>
    <x v="1"/>
    <x v="0"/>
    <x v="15"/>
    <x v="1"/>
    <n v="0"/>
    <x v="0"/>
    <x v="0"/>
    <s v="No Support Contact"/>
    <s v="No"/>
    <s v="No Support Contact"/>
    <s v="Not Applicable"/>
    <m/>
    <s v="Technical error"/>
    <n v="3"/>
    <n v="22"/>
    <n v="1"/>
    <x v="0"/>
    <n v="0"/>
    <n v="0"/>
    <n v="1"/>
    <n v="0"/>
  </r>
  <r>
    <x v="282"/>
    <s v="USR-00438"/>
    <s v="SES-2510-14295"/>
    <x v="221"/>
    <s v="Yorkshire &amp; Humber"/>
    <s v="Leeds"/>
    <x v="1"/>
    <x v="4"/>
    <x v="1"/>
    <s v="Ios"/>
    <s v="Iphone"/>
    <s v="1-2 years"/>
    <x v="0"/>
    <x v="1"/>
    <x v="7"/>
    <s v="Repeat Use"/>
    <s v="No Experiment"/>
    <s v="Control"/>
    <n v="4"/>
    <n v="4"/>
    <n v="113"/>
    <s v="No"/>
    <x v="0"/>
    <x v="1"/>
    <x v="1"/>
    <x v="0"/>
    <n v="72.349999999999994"/>
    <x v="20"/>
    <x v="0"/>
    <s v="Account Verification"/>
    <s v="Yes"/>
    <s v="Account Verification"/>
    <s v="Resolved"/>
    <n v="17"/>
    <s v="No drop-off"/>
    <n v="4"/>
    <n v="7"/>
    <n v="29"/>
    <x v="1"/>
    <n v="1"/>
    <n v="1"/>
    <n v="0"/>
    <n v="1"/>
  </r>
  <r>
    <x v="283"/>
    <s v="USR-00556"/>
    <s v="SES-2605-63273"/>
    <x v="222"/>
    <s v="East England"/>
    <s v="Ipswich"/>
    <x v="2"/>
    <x v="2"/>
    <x v="1"/>
    <s v="Ios"/>
    <s v="Iphone"/>
    <s v="3-6 months"/>
    <x v="0"/>
    <x v="0"/>
    <x v="7"/>
    <s v="Repeat Use"/>
    <s v="No Experiment"/>
    <s v="Control"/>
    <n v="4"/>
    <n v="4"/>
    <n v="72"/>
    <s v="No"/>
    <x v="0"/>
    <x v="1"/>
    <x v="1"/>
    <x v="0"/>
    <n v="0"/>
    <x v="31"/>
    <x v="0"/>
    <s v="No Support Contact"/>
    <s v="No"/>
    <s v="No Support Contact"/>
    <s v="Not Applicable"/>
    <m/>
    <s v="No drop-off"/>
    <n v="3"/>
    <n v="-3"/>
    <n v="34"/>
    <x v="0"/>
    <n v="1"/>
    <n v="1"/>
    <n v="0"/>
    <n v="0"/>
  </r>
  <r>
    <x v="284"/>
    <s v="USR-00676"/>
    <s v="SES-2510-63846"/>
    <x v="111"/>
    <s v="Wales"/>
    <s v="Newport"/>
    <x v="1"/>
    <x v="0"/>
    <x v="0"/>
    <s v="Android"/>
    <s v="Android Phone"/>
    <s v="&lt;3 months"/>
    <x v="0"/>
    <x v="2"/>
    <x v="2"/>
    <s v="First Use"/>
    <s v="Fee Transparency Panel"/>
    <s v="Control"/>
    <n v="5"/>
    <n v="4"/>
    <n v="271"/>
    <s v="Yes"/>
    <x v="0"/>
    <x v="0"/>
    <x v="21"/>
    <x v="1"/>
    <n v="0"/>
    <x v="0"/>
    <x v="0"/>
    <s v="Account Verification"/>
    <s v="Yes"/>
    <s v="Account Verification"/>
    <s v="Resolved"/>
    <n v="30"/>
    <s v="No drop-off"/>
    <n v="3"/>
    <n v="-62"/>
    <s v="0 days"/>
    <x v="1"/>
    <n v="1"/>
    <n v="0"/>
    <n v="1"/>
    <n v="1"/>
  </r>
  <r>
    <x v="285"/>
    <s v="USR-00500"/>
    <s v="SES-2606-64076"/>
    <x v="223"/>
    <s v="Scotland"/>
    <s v="Glasgow"/>
    <x v="7"/>
    <x v="0"/>
    <x v="2"/>
    <s v="Ios"/>
    <s v="Iphone"/>
    <s v="1-2 years"/>
    <x v="2"/>
    <x v="1"/>
    <x v="3"/>
    <s v="Repeat Use"/>
    <s v="No Experiment"/>
    <s v="Control"/>
    <n v="6"/>
    <n v="6"/>
    <n v="183"/>
    <s v="No"/>
    <x v="0"/>
    <x v="1"/>
    <x v="1"/>
    <x v="1"/>
    <n v="0"/>
    <x v="0"/>
    <x v="0"/>
    <s v="No Support Contact"/>
    <s v="No"/>
    <s v="No Support Contact"/>
    <s v="Not Applicable"/>
    <m/>
    <s v="No drop-off"/>
    <n v="5"/>
    <n v="-21"/>
    <n v="31"/>
    <x v="0"/>
    <n v="1"/>
    <n v="0"/>
    <n v="0"/>
    <n v="0"/>
  </r>
  <r>
    <x v="286"/>
    <s v="USR-00256"/>
    <s v="SES-2507-24426"/>
    <x v="27"/>
    <s v="Wales"/>
    <s v="Cardiff"/>
    <x v="3"/>
    <x v="4"/>
    <x v="0"/>
    <s v="Android"/>
    <s v="Android Phone"/>
    <s v="1-2 years"/>
    <x v="0"/>
    <x v="0"/>
    <x v="5"/>
    <s v="Repeat Use"/>
    <s v="Simplified Onboarding"/>
    <s v="Treatment"/>
    <n v="8"/>
    <n v="5"/>
    <n v="300"/>
    <s v="Yes"/>
    <x v="1"/>
    <x v="0"/>
    <x v="10"/>
    <x v="1"/>
    <n v="0"/>
    <x v="0"/>
    <x v="0"/>
    <s v="No Support Contact"/>
    <s v="No"/>
    <s v="No Support Contact"/>
    <s v="Not Applicable"/>
    <m/>
    <s v="Changed mind"/>
    <n v="2"/>
    <n v="7"/>
    <n v="33"/>
    <x v="1"/>
    <n v="0"/>
    <n v="0"/>
    <n v="1"/>
    <n v="1"/>
  </r>
  <r>
    <x v="287"/>
    <s v="USR-00064"/>
    <s v="SES-2602-41106"/>
    <x v="224"/>
    <s v="Northern Ireland"/>
    <s v="Newry"/>
    <x v="0"/>
    <x v="1"/>
    <x v="0"/>
    <s v="Ios"/>
    <s v="Iphone"/>
    <s v="7-12 months"/>
    <x v="0"/>
    <x v="3"/>
    <x v="1"/>
    <s v="Repeat Use"/>
    <s v="Simplified Onboarding"/>
    <s v="Control"/>
    <n v="4"/>
    <n v="4"/>
    <n v="98"/>
    <s v="No"/>
    <x v="1"/>
    <x v="1"/>
    <x v="1"/>
    <x v="0"/>
    <n v="176.93"/>
    <x v="7"/>
    <x v="0"/>
    <s v="No Support Contact"/>
    <s v="No"/>
    <s v="No Support Contact"/>
    <s v="Not Applicable"/>
    <m/>
    <s v="No drop-off"/>
    <n v="3"/>
    <n v="5"/>
    <n v="47"/>
    <x v="0"/>
    <n v="0"/>
    <n v="1"/>
    <n v="0"/>
    <n v="0"/>
  </r>
  <r>
    <x v="288"/>
    <s v="USR-00430"/>
    <s v="SES-2503-64107"/>
    <x v="154"/>
    <s v="Northern Ireland"/>
    <s v="LISBURN"/>
    <x v="3"/>
    <x v="5"/>
    <x v="0"/>
    <s v="Android"/>
    <s v="Android Phone"/>
    <s v="7-12 months"/>
    <x v="0"/>
    <x v="0"/>
    <x v="9"/>
    <s v="Repeat Use"/>
    <s v="Contextual Help"/>
    <s v="Control"/>
    <n v="5"/>
    <n v="5"/>
    <n v="156"/>
    <s v="No"/>
    <x v="1"/>
    <x v="1"/>
    <x v="1"/>
    <x v="0"/>
    <n v="32.78"/>
    <x v="0"/>
    <x v="0"/>
    <s v="No Support Contact"/>
    <s v="No"/>
    <s v="No Support Contact"/>
    <s v="Not Applicable"/>
    <m/>
    <s v="No drop-off"/>
    <n v="5"/>
    <n v="32"/>
    <s v="23 days"/>
    <x v="1"/>
    <n v="0"/>
    <n v="1"/>
    <n v="0"/>
    <n v="1"/>
  </r>
  <r>
    <x v="289"/>
    <s v="USR-00702"/>
    <s v="SES-2603-47176"/>
    <x v="159"/>
    <s v="West Midlands"/>
    <s v="Solihull"/>
    <x v="0"/>
    <x v="0"/>
    <x v="0"/>
    <s v="Web"/>
    <s v="Desktop"/>
    <s v="3-6 months"/>
    <x v="0"/>
    <x v="4"/>
    <x v="9"/>
    <s v="Repeat Use"/>
    <s v="Fee Transparency Panel"/>
    <s v="Control"/>
    <n v="5"/>
    <n v="5"/>
    <n v="94"/>
    <s v="No"/>
    <x v="0"/>
    <x v="1"/>
    <x v="1"/>
    <x v="0"/>
    <n v="177.45"/>
    <x v="0"/>
    <x v="0"/>
    <s v="No Support Contact"/>
    <s v="Unknown"/>
    <s v="No Support Contact"/>
    <s v="Not Applicable"/>
    <m/>
    <s v="No drop-off"/>
    <n v="4"/>
    <n v="3"/>
    <n v="26"/>
    <x v="1"/>
    <n v="1"/>
    <n v="1"/>
    <n v="0"/>
    <n v="1"/>
  </r>
  <r>
    <x v="290"/>
    <s v="USR-00365"/>
    <s v="SES-2509-41872"/>
    <x v="225"/>
    <s v="Wales"/>
    <s v="Wrexham"/>
    <x v="0"/>
    <x v="2"/>
    <x v="0"/>
    <s v="Ios"/>
    <s v="Iphone"/>
    <s v="2+ years"/>
    <x v="0"/>
    <x v="5"/>
    <x v="3"/>
    <s v="Trial/Exploration"/>
    <s v="Simplified Onboarding"/>
    <s v="Control"/>
    <n v="6"/>
    <n v="5"/>
    <n v="274"/>
    <s v="Yes"/>
    <x v="0"/>
    <x v="1"/>
    <x v="1"/>
    <x v="1"/>
    <n v="0"/>
    <x v="0"/>
    <x v="0"/>
    <s v="No Support Contact"/>
    <s v="No"/>
    <s v="No Support Contact"/>
    <s v="Not Applicable"/>
    <m/>
    <s v="No drop-off"/>
    <n v="3"/>
    <n v="-26"/>
    <n v="22"/>
    <x v="1"/>
    <n v="1"/>
    <n v="0"/>
    <n v="0"/>
    <n v="1"/>
  </r>
  <r>
    <x v="291"/>
    <s v="USR-00740"/>
    <s v="SES-2503-26856"/>
    <x v="10"/>
    <s v="South West"/>
    <s v="Bath"/>
    <x v="5"/>
    <x v="4"/>
    <x v="0"/>
    <s v="Web"/>
    <s v="Desktop"/>
    <s v="3-6 months"/>
    <x v="2"/>
    <x v="2"/>
    <x v="9"/>
    <s v="Reactivated"/>
    <s v="Simplified Onboarding"/>
    <s v="Treatment"/>
    <n v="5"/>
    <n v="5"/>
    <n v="228"/>
    <s v="No"/>
    <x v="1"/>
    <x v="0"/>
    <x v="20"/>
    <x v="0"/>
    <n v="144.09"/>
    <x v="0"/>
    <x v="2"/>
    <s v="No Support Contact"/>
    <s v="No"/>
    <s v="No Support Contact"/>
    <s v="Not Applicable"/>
    <m/>
    <s v="Technical error"/>
    <n v="4"/>
    <n v="46"/>
    <n v="28"/>
    <x v="0"/>
    <n v="0"/>
    <n v="1"/>
    <n v="1"/>
    <n v="0"/>
  </r>
  <r>
    <x v="292"/>
    <s v="USR-00338"/>
    <s v="SES-2503-47370"/>
    <x v="177"/>
    <s v="South East"/>
    <s v="Brighton"/>
    <x v="2"/>
    <x v="3"/>
    <x v="0"/>
    <s v="Android"/>
    <s v="Android Phone"/>
    <s v="7-12 months"/>
    <x v="1"/>
    <x v="6"/>
    <x v="4"/>
    <s v="Trial/Exploration"/>
    <s v="Fee Transparency Panel"/>
    <s v="Control"/>
    <n v="6"/>
    <n v="6"/>
    <n v="120"/>
    <s v="No"/>
    <x v="0"/>
    <x v="1"/>
    <x v="1"/>
    <x v="0"/>
    <n v="0"/>
    <x v="0"/>
    <x v="1"/>
    <s v="No Support Contact"/>
    <s v="No"/>
    <s v="No Support Contact"/>
    <s v="Not Applicable"/>
    <m/>
    <s v="No drop-off"/>
    <n v="4"/>
    <n v="30"/>
    <n v="12"/>
    <x v="1"/>
    <n v="1"/>
    <n v="1"/>
    <n v="0"/>
    <n v="1"/>
  </r>
  <r>
    <x v="293"/>
    <s v="USR-00760"/>
    <s v="SES-2508-79646"/>
    <x v="226"/>
    <s v="London"/>
    <s v="Hammersmith"/>
    <x v="0"/>
    <x v="0"/>
    <x v="1"/>
    <s v="Android"/>
    <s v="Android Phone"/>
    <s v="2+ years"/>
    <x v="0"/>
    <x v="4"/>
    <x v="3"/>
    <s v="First Use"/>
    <s v="No Experiment"/>
    <s v="Control"/>
    <n v="6"/>
    <n v="4"/>
    <n v="273"/>
    <s v="Yes"/>
    <x v="1"/>
    <x v="0"/>
    <x v="15"/>
    <x v="0"/>
    <n v="44.34"/>
    <x v="5"/>
    <x v="0"/>
    <s v="No Support Contact"/>
    <s v="No"/>
    <s v="No Support Contact"/>
    <s v="Not Applicable"/>
    <m/>
    <s v="Technical error"/>
    <n v="1"/>
    <n v="-47"/>
    <n v="0"/>
    <x v="0"/>
    <n v="0"/>
    <n v="1"/>
    <n v="1"/>
    <n v="0"/>
  </r>
  <r>
    <x v="294"/>
    <s v="USR-00521"/>
    <s v="SES-2508-22428"/>
    <x v="227"/>
    <s v="East Midlands"/>
    <s v="Leicester"/>
    <x v="2"/>
    <x v="1"/>
    <x v="1"/>
    <s v="Web"/>
    <s v="Mobile Browser"/>
    <s v="3-6 months"/>
    <x v="0"/>
    <x v="0"/>
    <x v="1"/>
    <s v="First Use"/>
    <s v="New Cta Copy"/>
    <s v="Treatment"/>
    <n v="4"/>
    <n v="4"/>
    <n v="104"/>
    <s v="No"/>
    <x v="0"/>
    <x v="1"/>
    <x v="1"/>
    <x v="0"/>
    <n v="143.91"/>
    <x v="7"/>
    <x v="0"/>
    <s v="Transaction Failure"/>
    <s v="Yes"/>
    <s v="Transaction Failure"/>
    <s v="Resolved"/>
    <n v="21"/>
    <s v="No drop-off"/>
    <n v="3"/>
    <n v="15"/>
    <n v="0"/>
    <x v="0"/>
    <n v="1"/>
    <n v="1"/>
    <n v="0"/>
    <n v="0"/>
  </r>
  <r>
    <x v="295"/>
    <s v="USR-00707"/>
    <s v="SES-2606-21970"/>
    <x v="228"/>
    <s v="Yorkshire &amp; Humber"/>
    <s v="Hull"/>
    <x v="5"/>
    <x v="3"/>
    <x v="2"/>
    <s v="Android"/>
    <s v="Android Phone"/>
    <s v="1-2 years"/>
    <x v="0"/>
    <x v="0"/>
    <x v="8"/>
    <s v="Repeat Use"/>
    <s v="Progress Indicator"/>
    <s v="Treatment"/>
    <n v="5"/>
    <n v="5"/>
    <n v="140"/>
    <s v="No"/>
    <x v="0"/>
    <x v="1"/>
    <x v="1"/>
    <x v="0"/>
    <n v="25.52"/>
    <x v="0"/>
    <x v="0"/>
    <s v="No Support Contact"/>
    <s v="No"/>
    <s v="No Support Contact"/>
    <s v="Not Applicable"/>
    <m/>
    <s v="No drop-off"/>
    <n v="5"/>
    <n v="28"/>
    <n v="51"/>
    <x v="1"/>
    <n v="1"/>
    <n v="1"/>
    <n v="0"/>
    <n v="1"/>
  </r>
  <r>
    <x v="296"/>
    <s v="USR-00718"/>
    <s v="SES-2510-43312"/>
    <x v="35"/>
    <s v="North West"/>
    <s v="Preston"/>
    <x v="0"/>
    <x v="3"/>
    <x v="0"/>
    <s v="Web"/>
    <s v="Mobile Browser"/>
    <s v="1-2 years"/>
    <x v="2"/>
    <x v="2"/>
    <x v="3"/>
    <s v="First Use"/>
    <s v="No Experiment"/>
    <s v="Control"/>
    <n v="6"/>
    <n v="6"/>
    <n v="147"/>
    <s v="No"/>
    <x v="1"/>
    <x v="1"/>
    <x v="1"/>
    <x v="1"/>
    <n v="0"/>
    <x v="0"/>
    <x v="0"/>
    <s v="No Support Contact"/>
    <s v="No"/>
    <s v="No Support Contact"/>
    <s v="Not Applicable"/>
    <m/>
    <s v="Too many steps"/>
    <n v="4"/>
    <n v="21"/>
    <n v="0"/>
    <x v="1"/>
    <n v="0"/>
    <n v="0"/>
    <n v="0"/>
    <n v="1"/>
  </r>
  <r>
    <x v="297"/>
    <s v="USR-00486"/>
    <s v="SES-2606-51353"/>
    <x v="229"/>
    <s v="East England"/>
    <s v="Ipswich"/>
    <x v="0"/>
    <x v="0"/>
    <x v="0"/>
    <s v="Android"/>
    <s v="Android Phone"/>
    <s v="2+ years"/>
    <x v="2"/>
    <x v="2"/>
    <x v="9"/>
    <s v="Trial/Exploration"/>
    <s v="Simplified Onboarding"/>
    <s v="Control"/>
    <n v="5"/>
    <n v="5"/>
    <n v="189"/>
    <s v="No"/>
    <x v="1"/>
    <x v="0"/>
    <x v="22"/>
    <x v="1"/>
    <n v="0"/>
    <x v="0"/>
    <x v="0"/>
    <s v="No Support Contact"/>
    <s v="No"/>
    <s v="No Support Contact"/>
    <s v="Not Applicable"/>
    <m/>
    <s v="Technical error"/>
    <n v="3"/>
    <n v="0"/>
    <n v="22"/>
    <x v="2"/>
    <n v="0"/>
    <n v="0"/>
    <n v="1"/>
    <n v="0"/>
  </r>
  <r>
    <x v="298"/>
    <s v="USR-00167"/>
    <s v="SES-2506-42887"/>
    <x v="167"/>
    <s v="Yorkshire &amp; Humber"/>
    <s v="Sheffield"/>
    <x v="0"/>
    <x v="0"/>
    <x v="0"/>
    <s v="Ios"/>
    <s v="Iphone"/>
    <s v="1-2 years"/>
    <x v="0"/>
    <x v="0"/>
    <x v="1"/>
    <s v="Reactivated"/>
    <s v="Fee Transparency Panel"/>
    <s v="Control"/>
    <n v="4"/>
    <n v="4"/>
    <n v="106"/>
    <s v="No"/>
    <x v="0"/>
    <x v="1"/>
    <x v="1"/>
    <x v="0"/>
    <n v="95.42"/>
    <x v="15"/>
    <x v="0"/>
    <s v="No Support Contact"/>
    <s v="No"/>
    <s v="No Support Contact"/>
    <s v="Not Applicable"/>
    <m/>
    <s v="No drop-off"/>
    <n v="4"/>
    <n v="26"/>
    <n v="32"/>
    <x v="1"/>
    <n v="1"/>
    <n v="1"/>
    <n v="0"/>
    <n v="1"/>
  </r>
  <r>
    <x v="299"/>
    <s v="USR-00789"/>
    <s v="SES-2507-85471"/>
    <x v="230"/>
    <s v="Northern Ireland"/>
    <s v="Belfast"/>
    <x v="0"/>
    <x v="1"/>
    <x v="2"/>
    <s v="Web"/>
    <s v="Mobile Browser"/>
    <s v="2+ years"/>
    <x v="0"/>
    <x v="4"/>
    <x v="7"/>
    <s v="Repeat Use"/>
    <s v="No Experiment"/>
    <s v="Control"/>
    <n v="4"/>
    <n v="4"/>
    <n v="111"/>
    <s v="No"/>
    <x v="1"/>
    <x v="1"/>
    <x v="1"/>
    <x v="0"/>
    <n v="33.46"/>
    <x v="22"/>
    <x v="0"/>
    <s v="No Support Contact"/>
    <s v="No"/>
    <s v="No Support Contact"/>
    <s v="Not Applicable"/>
    <m/>
    <s v="No drop-off"/>
    <n v="4"/>
    <n v="52"/>
    <n v="19"/>
    <x v="1"/>
    <n v="0"/>
    <n v="1"/>
    <n v="0"/>
    <n v="1"/>
  </r>
  <r>
    <x v="300"/>
    <s v="USR-00597"/>
    <s v="SES-2511-61880"/>
    <x v="231"/>
    <s v="West Midlands"/>
    <s v="Solihull"/>
    <x v="0"/>
    <x v="1"/>
    <x v="1"/>
    <s v="Android"/>
    <s v="Android Phone"/>
    <s v="3-6 months"/>
    <x v="0"/>
    <x v="4"/>
    <x v="0"/>
    <s v="Repeat Use"/>
    <s v="No Experiment"/>
    <s v="Control"/>
    <n v="7"/>
    <n v="7"/>
    <n v="172"/>
    <s v="No"/>
    <x v="0"/>
    <x v="0"/>
    <x v="11"/>
    <x v="1"/>
    <n v="0"/>
    <x v="0"/>
    <x v="0"/>
    <s v="No Support Contact"/>
    <s v="No"/>
    <s v="No Support Contact"/>
    <s v="Not Applicable"/>
    <m/>
    <s v="No drop-off"/>
    <n v="3"/>
    <n v="25"/>
    <n v="36"/>
    <x v="1"/>
    <n v="1"/>
    <n v="0"/>
    <n v="1"/>
    <n v="1"/>
  </r>
  <r>
    <x v="301"/>
    <s v="USR-00167"/>
    <s v="SES-2503-54524"/>
    <x v="232"/>
    <s v="Yorkshire &amp; Humber"/>
    <s v="Leeds"/>
    <x v="0"/>
    <x v="1"/>
    <x v="1"/>
    <s v="Android"/>
    <s v="Android Phone"/>
    <s v="3-6 months"/>
    <x v="0"/>
    <x v="4"/>
    <x v="3"/>
    <s v="First Use"/>
    <s v="No Experiment"/>
    <s v="Control"/>
    <n v="6"/>
    <n v="3"/>
    <n v="336"/>
    <s v="Yes"/>
    <x v="1"/>
    <x v="0"/>
    <x v="15"/>
    <x v="1"/>
    <n v="0"/>
    <x v="0"/>
    <x v="0"/>
    <s v="No Support Contact"/>
    <s v="No"/>
    <s v="No Support Contact"/>
    <s v="Not Applicable"/>
    <m/>
    <s v="No drop-off"/>
    <n v="3"/>
    <n v="-45"/>
    <n v="0"/>
    <x v="1"/>
    <n v="0"/>
    <n v="0"/>
    <n v="1"/>
    <n v="1"/>
  </r>
  <r>
    <x v="302"/>
    <s v="USR-00663"/>
    <s v="SES-2502-20092"/>
    <x v="233"/>
    <s v="Scotland"/>
    <s v="Aberdeen"/>
    <x v="2"/>
    <x v="1"/>
    <x v="1"/>
    <s v="Android"/>
    <s v="Android Phone"/>
    <s v="&lt;3 months"/>
    <x v="0"/>
    <x v="2"/>
    <x v="1"/>
    <s v="Repeat Use"/>
    <s v="Simplified Onboarding"/>
    <s v="Treatment"/>
    <n v="4"/>
    <s v="4 steps"/>
    <n v="112"/>
    <s v="Unknown"/>
    <x v="0"/>
    <x v="1"/>
    <x v="1"/>
    <x v="0"/>
    <n v="169.36"/>
    <x v="8"/>
    <x v="0"/>
    <s v="Transaction Failure"/>
    <s v="Yes"/>
    <s v="Transaction Failure"/>
    <s v="Resolved"/>
    <n v="27"/>
    <s v="No drop-off"/>
    <n v="5"/>
    <n v="16"/>
    <n v="41"/>
    <x v="0"/>
    <n v="1"/>
    <n v="1"/>
    <n v="0"/>
    <n v="0"/>
  </r>
  <r>
    <x v="303"/>
    <s v="USR-00690"/>
    <s v="SES-2503-95304"/>
    <x v="177"/>
    <s v="South West"/>
    <s v="Gloucester"/>
    <x v="0"/>
    <x v="5"/>
    <x v="0"/>
    <s v="Web"/>
    <s v="Desktop"/>
    <s v="3-6 months"/>
    <x v="0"/>
    <x v="4"/>
    <x v="9"/>
    <s v="Repeat Use"/>
    <s v="New Cta Copy"/>
    <s v="Control"/>
    <s v="5 steps"/>
    <n v="5"/>
    <n v="138"/>
    <s v="No"/>
    <x v="0"/>
    <x v="1"/>
    <x v="1"/>
    <x v="0"/>
    <n v="148.86000000000001"/>
    <x v="0"/>
    <x v="0"/>
    <s v="Feature Navigation"/>
    <s v="Yes"/>
    <s v="Feature Navigation"/>
    <s v="Resolved"/>
    <n v="23"/>
    <s v="No drop-off"/>
    <n v="5"/>
    <n v="18"/>
    <n v="1"/>
    <x v="1"/>
    <n v="1"/>
    <n v="1"/>
    <n v="0"/>
    <n v="1"/>
  </r>
  <r>
    <x v="304"/>
    <s v="USR-00770"/>
    <s v="SES-2501-67057"/>
    <x v="234"/>
    <s v="Yorkshire &amp; Humber"/>
    <s v="SHEFFIELD"/>
    <x v="1"/>
    <x v="1"/>
    <x v="1"/>
    <s v="Ios"/>
    <s v="Ipad"/>
    <s v="2+ years"/>
    <x v="0"/>
    <x v="2"/>
    <x v="5"/>
    <s v="Trial/Exploration"/>
    <s v="No Experiment"/>
    <s v="Control"/>
    <s v="8 steps"/>
    <s v="8 steps"/>
    <n v="238"/>
    <s v="No"/>
    <x v="0"/>
    <x v="1"/>
    <x v="1"/>
    <x v="0"/>
    <n v="406.07"/>
    <x v="43"/>
    <x v="0"/>
    <s v="No Support Contact"/>
    <s v="No"/>
    <s v="No Support Contact"/>
    <s v="Not Applicable"/>
    <m/>
    <s v="No drop-off"/>
    <n v="4"/>
    <n v="20"/>
    <n v="2"/>
    <x v="1"/>
    <n v="1"/>
    <n v="1"/>
    <n v="0"/>
    <n v="1"/>
  </r>
  <r>
    <x v="305"/>
    <s v="USR-00062"/>
    <s v="SES-2504-56657"/>
    <x v="122"/>
    <s v="London"/>
    <s v="Camden"/>
    <x v="2"/>
    <x v="0"/>
    <x v="1"/>
    <s v="Ios"/>
    <s v="Iphone"/>
    <s v="2+ years"/>
    <x v="0"/>
    <x v="0"/>
    <x v="5"/>
    <s v="Repeat Use"/>
    <s v="Contextual Help"/>
    <s v="Control"/>
    <n v="8"/>
    <n v="8"/>
    <n v="188"/>
    <s v="No"/>
    <x v="0"/>
    <x v="1"/>
    <x v="1"/>
    <x v="0"/>
    <n v="449.29"/>
    <x v="44"/>
    <x v="0"/>
    <s v="No Support Contact"/>
    <s v="No"/>
    <s v="No Support Contact"/>
    <s v="Not Applicable"/>
    <m/>
    <s v="No drop-off"/>
    <n v="4"/>
    <n v="30"/>
    <s v="37 days"/>
    <x v="1"/>
    <n v="1"/>
    <n v="1"/>
    <n v="0"/>
    <n v="1"/>
  </r>
  <r>
    <x v="306"/>
    <s v="USR-00337"/>
    <s v="SES-2602-54043"/>
    <x v="164"/>
    <s v="Yorkshire &amp; Humber"/>
    <s v="Sheffield"/>
    <x v="7"/>
    <x v="0"/>
    <x v="0"/>
    <s v="Ios"/>
    <s v="Iphone"/>
    <s v="7-12 months"/>
    <x v="0"/>
    <x v="7"/>
    <x v="2"/>
    <s v="Repeat Use"/>
    <s v="No Experiment"/>
    <s v="Control"/>
    <n v="5"/>
    <n v="5"/>
    <n v="146"/>
    <s v="No"/>
    <x v="1"/>
    <x v="0"/>
    <x v="19"/>
    <x v="1"/>
    <n v="0"/>
    <x v="0"/>
    <x v="0"/>
    <s v="No Support Contact"/>
    <s v="No"/>
    <s v="No Support Contact"/>
    <s v="Not Applicable"/>
    <m/>
    <s v="No drop-off"/>
    <n v="3"/>
    <n v="-12"/>
    <s v="30 days"/>
    <x v="0"/>
    <n v="0"/>
    <n v="0"/>
    <n v="1"/>
    <n v="0"/>
  </r>
  <r>
    <x v="307"/>
    <s v="USR-00411"/>
    <s v="SES-2512-27451"/>
    <x v="31"/>
    <s v="North East"/>
    <s v="Sunderland"/>
    <x v="3"/>
    <x v="2"/>
    <x v="0"/>
    <s v="Android"/>
    <s v="Android Phone"/>
    <s v="1-2 years"/>
    <x v="0"/>
    <x v="0"/>
    <x v="1"/>
    <s v="Reactivated"/>
    <s v="No Experiment"/>
    <s v="Control"/>
    <n v="4"/>
    <n v="4"/>
    <n v="81"/>
    <s v="No"/>
    <x v="0"/>
    <x v="1"/>
    <x v="1"/>
    <x v="0"/>
    <n v="176.38"/>
    <x v="6"/>
    <x v="0"/>
    <s v="No Support Contact"/>
    <s v="No"/>
    <s v="No Support Contact"/>
    <s v="Not Applicable"/>
    <m/>
    <s v="No drop-off"/>
    <n v="4"/>
    <n v="18"/>
    <n v="47"/>
    <x v="1"/>
    <n v="1"/>
    <n v="1"/>
    <n v="0"/>
    <n v="1"/>
  </r>
  <r>
    <x v="308"/>
    <s v="USR-00208"/>
    <s v="SES-2512-15717"/>
    <x v="235"/>
    <s v="London"/>
    <s v="Southwark"/>
    <x v="2"/>
    <x v="0"/>
    <x v="1"/>
    <s v="Android"/>
    <s v="Android Phone"/>
    <s v="2+ years"/>
    <x v="0"/>
    <x v="1"/>
    <x v="3"/>
    <s v="Repeat Use"/>
    <s v="Fee Transparency Panel"/>
    <s v="Control"/>
    <n v="6"/>
    <n v="6"/>
    <n v="157"/>
    <s v="No"/>
    <x v="0"/>
    <x v="1"/>
    <x v="1"/>
    <x v="0"/>
    <n v="0"/>
    <x v="17"/>
    <x v="0"/>
    <s v="No Support Contact"/>
    <s v="No"/>
    <s v="No Support Contact"/>
    <s v="Not Applicable"/>
    <m/>
    <s v="No drop-off"/>
    <n v="3"/>
    <n v="44"/>
    <n v="71"/>
    <x v="0"/>
    <n v="1"/>
    <n v="1"/>
    <n v="0"/>
    <n v="0"/>
  </r>
  <r>
    <x v="309"/>
    <s v="USR-00330"/>
    <s v="SES-2504-99951"/>
    <x v="236"/>
    <s v="Scotland"/>
    <s v="Edinburgh"/>
    <x v="4"/>
    <x v="0"/>
    <x v="0"/>
    <s v="Web"/>
    <s v="Desktop"/>
    <s v="2+ years"/>
    <x v="1"/>
    <x v="1"/>
    <x v="9"/>
    <s v="Repeat Use"/>
    <s v="No Experiment"/>
    <s v="Control"/>
    <n v="5"/>
    <n v="5"/>
    <n v="145"/>
    <s v="No"/>
    <x v="0"/>
    <x v="1"/>
    <x v="1"/>
    <x v="0"/>
    <n v="164.73"/>
    <x v="0"/>
    <x v="1"/>
    <s v="No Support Contact"/>
    <s v="No"/>
    <s v="No Support Contact"/>
    <s v="Not Applicable"/>
    <m/>
    <s v="No drop-off"/>
    <n v="5"/>
    <n v="13"/>
    <n v="20"/>
    <x v="1"/>
    <n v="1"/>
    <n v="1"/>
    <n v="0"/>
    <n v="1"/>
  </r>
  <r>
    <x v="310"/>
    <s v="USR-00360"/>
    <s v="SES-2602-46074"/>
    <x v="224"/>
    <s v="Scotland"/>
    <s v="Dundee"/>
    <x v="5"/>
    <x v="0"/>
    <x v="0"/>
    <s v="Web"/>
    <s v="Desktop"/>
    <s v="1-2 years"/>
    <x v="0"/>
    <x v="3"/>
    <x v="0"/>
    <s v="Trial/Exploration"/>
    <s v="New Cta Copy"/>
    <s v="Control"/>
    <n v="7"/>
    <n v="7"/>
    <n v="161"/>
    <s v="No"/>
    <x v="1"/>
    <x v="1"/>
    <x v="1"/>
    <x v="0"/>
    <n v="8.52"/>
    <x v="0"/>
    <x v="0"/>
    <s v="No Support Contact"/>
    <s v="No"/>
    <s v="No Support Contact"/>
    <s v="Not Applicable"/>
    <m/>
    <s v="No drop-off"/>
    <n v="3"/>
    <n v="5"/>
    <n v="41"/>
    <x v="0"/>
    <n v="0"/>
    <n v="1"/>
    <n v="0"/>
    <n v="0"/>
  </r>
  <r>
    <x v="311"/>
    <s v="USR-00547"/>
    <s v="SES-2507-59626"/>
    <x v="237"/>
    <s v="Yorkshire &amp; Humber"/>
    <s v="York"/>
    <x v="0"/>
    <x v="2"/>
    <x v="1"/>
    <s v="Android"/>
    <s v="Android Phone"/>
    <s v="3-6 months"/>
    <x v="0"/>
    <x v="2"/>
    <x v="2"/>
    <s v="Reactivated"/>
    <s v="Simplified Onboarding"/>
    <s v="Treatment"/>
    <n v="5"/>
    <s v="5 steps"/>
    <n v="147"/>
    <s v="No"/>
    <x v="0"/>
    <x v="1"/>
    <x v="1"/>
    <x v="0"/>
    <n v="44.68"/>
    <x v="0"/>
    <x v="0"/>
    <s v="No Support Contact"/>
    <s v="No"/>
    <s v="No Support Contact"/>
    <s v="Not Applicable"/>
    <m/>
    <s v="No drop-off"/>
    <n v="5"/>
    <n v="32"/>
    <n v="20"/>
    <x v="1"/>
    <n v="1"/>
    <n v="1"/>
    <n v="0"/>
    <n v="1"/>
  </r>
  <r>
    <x v="312"/>
    <s v="USR-00552"/>
    <s v="SES-2502-35966"/>
    <x v="238"/>
    <s v="Scotland"/>
    <s v="Aberdeen"/>
    <x v="4"/>
    <x v="1"/>
    <x v="1"/>
    <s v="Android"/>
    <s v="Android Phone"/>
    <s v="3-6 months"/>
    <x v="0"/>
    <x v="0"/>
    <x v="9"/>
    <s v="Repeat Use"/>
    <s v="No Experiment"/>
    <s v="Control"/>
    <n v="5"/>
    <n v="5"/>
    <n v="119"/>
    <s v="No"/>
    <x v="0"/>
    <x v="1"/>
    <x v="1"/>
    <x v="0"/>
    <n v="69.38"/>
    <x v="0"/>
    <x v="0"/>
    <s v="No Support Contact"/>
    <s v="No"/>
    <s v="No Support Contact"/>
    <s v="Not Applicable"/>
    <m/>
    <s v="No drop-off"/>
    <n v="4"/>
    <n v="45"/>
    <n v="39"/>
    <x v="1"/>
    <n v="1"/>
    <n v="1"/>
    <n v="0"/>
    <n v="1"/>
  </r>
  <r>
    <x v="313"/>
    <s v="USR-00215"/>
    <s v="SES-2505-65552"/>
    <x v="239"/>
    <s v="North West"/>
    <s v="Chester"/>
    <x v="1"/>
    <x v="5"/>
    <x v="1"/>
    <s v="Android"/>
    <s v="Android Phone"/>
    <s v="7-12 months"/>
    <x v="1"/>
    <x v="3"/>
    <x v="9"/>
    <s v="Repeat Use"/>
    <s v="Simplified Onboarding"/>
    <s v="Control"/>
    <n v="5"/>
    <n v="5"/>
    <n v="105"/>
    <s v="No"/>
    <x v="0"/>
    <x v="1"/>
    <x v="1"/>
    <x v="0"/>
    <n v="38.130000000000003"/>
    <x v="0"/>
    <x v="1"/>
    <s v="No Support Contact"/>
    <s v="No"/>
    <s v="No Support Contact"/>
    <s v="Not Applicable"/>
    <m/>
    <m/>
    <n v="5"/>
    <n v="71"/>
    <n v="42"/>
    <x v="1"/>
    <n v="1"/>
    <n v="1"/>
    <n v="0"/>
    <n v="1"/>
  </r>
  <r>
    <x v="314"/>
    <s v="USR-00282"/>
    <s v="SES-2605-74622"/>
    <x v="240"/>
    <s v="Northern Ireland"/>
    <s v="Derry"/>
    <x v="3"/>
    <x v="3"/>
    <x v="0"/>
    <s v="Android"/>
    <s v="Android Phone"/>
    <s v="3-6 months"/>
    <x v="0"/>
    <x v="0"/>
    <x v="7"/>
    <s v="Repeat Use"/>
    <s v="Contextual Help"/>
    <s v="Treatment"/>
    <n v="4"/>
    <n v="4"/>
    <n v="101"/>
    <s v="No"/>
    <x v="0"/>
    <x v="1"/>
    <x v="1"/>
    <x v="1"/>
    <n v="0"/>
    <x v="0"/>
    <x v="0"/>
    <s v="No Support Contact"/>
    <s v="No"/>
    <s v="No Support Contact"/>
    <s v="Not Applicable"/>
    <m/>
    <s v="No drop-off"/>
    <n v="4"/>
    <n v="69"/>
    <s v="10 days"/>
    <x v="1"/>
    <n v="1"/>
    <n v="0"/>
    <n v="0"/>
    <n v="1"/>
  </r>
  <r>
    <x v="315"/>
    <s v="USR-00535"/>
    <s v="SES-2510-32105"/>
    <x v="241"/>
    <s v="Scotland"/>
    <s v="Aberdeen"/>
    <x v="5"/>
    <x v="1"/>
    <x v="1"/>
    <s v="Ios"/>
    <s v="Iphone"/>
    <s v="&lt;3 months"/>
    <x v="3"/>
    <x v="6"/>
    <x v="1"/>
    <s v="Reactivated"/>
    <s v="Progress Indicator"/>
    <s v="Control"/>
    <n v="4"/>
    <n v="4"/>
    <n v="121"/>
    <s v="No"/>
    <x v="0"/>
    <x v="1"/>
    <x v="1"/>
    <x v="0"/>
    <n v="138.28"/>
    <x v="15"/>
    <x v="0"/>
    <s v="No Support Contact"/>
    <s v="No"/>
    <s v="No Support Contact"/>
    <s v="Not Applicable"/>
    <m/>
    <s v="No drop-off"/>
    <n v="5"/>
    <n v="13"/>
    <n v="73"/>
    <x v="1"/>
    <n v="1"/>
    <n v="1"/>
    <n v="0"/>
    <n v="1"/>
  </r>
  <r>
    <x v="316"/>
    <s v="USR-00035"/>
    <s v="SES-2605-80035"/>
    <x v="242"/>
    <s v="Wales"/>
    <s v="Swansea"/>
    <x v="0"/>
    <x v="0"/>
    <x v="1"/>
    <s v="Android"/>
    <s v="Android Phone"/>
    <s v="2+ years"/>
    <x v="1"/>
    <x v="1"/>
    <x v="1"/>
    <s v="Trial/Exploration"/>
    <s v="Contextual Help"/>
    <s v="Treatment"/>
    <n v="4"/>
    <n v="4"/>
    <n v="113"/>
    <s v="Unknown"/>
    <x v="1"/>
    <x v="1"/>
    <x v="1"/>
    <x v="0"/>
    <n v="142.02000000000001"/>
    <x v="15"/>
    <x v="1"/>
    <s v="No Support Contact"/>
    <s v="No"/>
    <s v="No Support Contact"/>
    <s v="Not Applicable"/>
    <m/>
    <s v="Too many steps"/>
    <n v="5"/>
    <n v="-4"/>
    <n v="41"/>
    <x v="0"/>
    <n v="0"/>
    <n v="1"/>
    <n v="0"/>
    <n v="0"/>
  </r>
  <r>
    <x v="317"/>
    <s v="USR-00763"/>
    <s v="SES-2508-63446"/>
    <x v="243"/>
    <s v="London"/>
    <s v="Hackney"/>
    <x v="0"/>
    <x v="0"/>
    <x v="1"/>
    <s v="Ios"/>
    <s v="Iphone"/>
    <s v="2+ years"/>
    <x v="2"/>
    <x v="6"/>
    <x v="1"/>
    <s v="First Use"/>
    <s v="No Experiment"/>
    <s v="Control"/>
    <n v="4"/>
    <n v="3"/>
    <n v="103"/>
    <s v="Yes"/>
    <x v="1"/>
    <x v="1"/>
    <x v="1"/>
    <x v="0"/>
    <n v="158.47"/>
    <x v="7"/>
    <x v="2"/>
    <s v="No Support Contact"/>
    <s v="Unknown"/>
    <s v="No Support Contact"/>
    <s v="Not Applicable"/>
    <m/>
    <s v="Instructions unclear"/>
    <n v="3"/>
    <n v="-44"/>
    <n v="0"/>
    <x v="0"/>
    <n v="0"/>
    <n v="1"/>
    <n v="0"/>
    <n v="0"/>
  </r>
  <r>
    <x v="318"/>
    <s v="USR-00216"/>
    <s v="SES-2502-89450"/>
    <x v="163"/>
    <s v="West Midlands"/>
    <s v="Solihull"/>
    <x v="2"/>
    <x v="0"/>
    <x v="1"/>
    <s v="Ios"/>
    <s v="Iphone"/>
    <s v="7-12 months"/>
    <x v="0"/>
    <x v="3"/>
    <x v="4"/>
    <s v="Reactivated"/>
    <s v="Progress Indicator"/>
    <s v="Treatment"/>
    <n v="6"/>
    <n v="6"/>
    <n v="188"/>
    <s v="No"/>
    <x v="0"/>
    <x v="1"/>
    <x v="1"/>
    <x v="0"/>
    <n v="20.36"/>
    <x v="0"/>
    <x v="0"/>
    <s v="Card Issue"/>
    <s v="Yes"/>
    <s v="Card Issue"/>
    <s v="Resolved"/>
    <n v="23"/>
    <s v="No drop-off"/>
    <n v="5"/>
    <n v="25"/>
    <n v="5"/>
    <x v="0"/>
    <n v="1"/>
    <n v="1"/>
    <n v="0"/>
    <n v="0"/>
  </r>
  <r>
    <x v="319"/>
    <s v="USR-00691"/>
    <s v="SES-2505-20164"/>
    <x v="244"/>
    <s v="East Midlands"/>
    <s v="Lincoln"/>
    <x v="1"/>
    <x v="0"/>
    <x v="1"/>
    <s v="Ios"/>
    <s v="Iphone"/>
    <s v="1-2 years"/>
    <x v="0"/>
    <x v="1"/>
    <x v="9"/>
    <s v="Repeat Use"/>
    <s v="Fee Transparency Panel"/>
    <s v="Treatment"/>
    <n v="5"/>
    <n v="4"/>
    <n v="176"/>
    <s v="Yes"/>
    <x v="0"/>
    <x v="1"/>
    <x v="1"/>
    <x v="0"/>
    <n v="79.75"/>
    <x v="0"/>
    <x v="0"/>
    <s v="Transaction Failure"/>
    <s v="Yes"/>
    <s v="Transaction Failure"/>
    <s v="Resolved"/>
    <n v="46"/>
    <s v="No drop-off"/>
    <n v="4"/>
    <n v="39"/>
    <n v="7"/>
    <x v="1"/>
    <n v="1"/>
    <n v="1"/>
    <n v="0"/>
    <n v="1"/>
  </r>
  <r>
    <x v="320"/>
    <s v="USR-00534"/>
    <s v="SES-2605-31442"/>
    <x v="56"/>
    <s v="South East"/>
    <s v="Oxford"/>
    <x v="5"/>
    <x v="2"/>
    <x v="0"/>
    <s v="Android"/>
    <s v="Android Phone"/>
    <s v="&lt;3 months"/>
    <x v="0"/>
    <x v="5"/>
    <x v="7"/>
    <s v="Repeat Use"/>
    <s v="No Experiment"/>
    <s v="Control"/>
    <n v="4"/>
    <n v="4"/>
    <n v="84"/>
    <s v="No"/>
    <x v="1"/>
    <x v="1"/>
    <x v="1"/>
    <x v="2"/>
    <n v="0"/>
    <x v="0"/>
    <x v="0"/>
    <s v="No Support Contact"/>
    <s v="No"/>
    <s v="No Support Contact"/>
    <s v="Not Applicable"/>
    <m/>
    <s v="No drop-off"/>
    <n v="3"/>
    <n v="14"/>
    <n v="34"/>
    <x v="0"/>
    <n v="0"/>
    <n v="0"/>
    <n v="0"/>
    <n v="0"/>
  </r>
  <r>
    <x v="321"/>
    <s v="USR-00250"/>
    <s v="SES-2503-78273"/>
    <x v="245"/>
    <s v="Scotland"/>
    <s v="Aberdeen"/>
    <x v="3"/>
    <x v="0"/>
    <x v="0"/>
    <s v="Android"/>
    <s v="Android Phone"/>
    <s v="1-2 years"/>
    <x v="0"/>
    <x v="4"/>
    <x v="10"/>
    <s v="Trial/Exploration"/>
    <s v="New Cta Copy"/>
    <s v="Treatment"/>
    <n v="9"/>
    <n v="9"/>
    <n v="230"/>
    <s v="No"/>
    <x v="0"/>
    <x v="1"/>
    <x v="1"/>
    <x v="0"/>
    <n v="171.23"/>
    <x v="45"/>
    <x v="0"/>
    <s v="No Support Contact"/>
    <s v="No"/>
    <s v="No Support Contact"/>
    <s v="Not Applicable"/>
    <m/>
    <s v="No drop-off"/>
    <n v="3"/>
    <n v="25"/>
    <n v="29"/>
    <x v="1"/>
    <n v="1"/>
    <n v="1"/>
    <n v="0"/>
    <n v="1"/>
  </r>
  <r>
    <x v="322"/>
    <s v="USR-00379"/>
    <s v="SES-2602-80047"/>
    <x v="246"/>
    <s v="Northern Ireland"/>
    <s v="Lisburn"/>
    <x v="1"/>
    <x v="0"/>
    <x v="1"/>
    <s v="Ios"/>
    <s v="Iphone"/>
    <s v="1-2 years"/>
    <x v="1"/>
    <x v="0"/>
    <x v="2"/>
    <s v="First Use"/>
    <s v="Simplified Onboarding"/>
    <s v="Control"/>
    <n v="5"/>
    <n v="4"/>
    <n v="219"/>
    <s v="Yes"/>
    <x v="0"/>
    <x v="1"/>
    <x v="1"/>
    <x v="0"/>
    <n v="4.1500000000000004"/>
    <x v="0"/>
    <x v="1"/>
    <s v="No Support Contact"/>
    <s v="No"/>
    <s v="No Support Contact"/>
    <s v="Not Applicable"/>
    <m/>
    <s v="No drop-off"/>
    <n v="4"/>
    <n v="-11"/>
    <n v="0"/>
    <x v="0"/>
    <n v="1"/>
    <n v="1"/>
    <n v="0"/>
    <n v="0"/>
  </r>
  <r>
    <x v="323"/>
    <s v="USR-00393"/>
    <s v="SES-2601-21248"/>
    <x v="247"/>
    <s v="Wales"/>
    <s v="Wrexham"/>
    <x v="3"/>
    <x v="3"/>
    <x v="1"/>
    <s v="Android"/>
    <s v="Android Phone"/>
    <s v="3-6 months"/>
    <x v="0"/>
    <x v="0"/>
    <x v="5"/>
    <s v="Repeat Use"/>
    <s v="New Cta Copy"/>
    <s v="Control"/>
    <n v="8"/>
    <n v="5"/>
    <n v="246"/>
    <s v="Yes"/>
    <x v="1"/>
    <x v="1"/>
    <x v="1"/>
    <x v="1"/>
    <n v="0"/>
    <x v="0"/>
    <x v="0"/>
    <s v="Feature Navigation"/>
    <s v="Yes"/>
    <s v="Feature Navigation"/>
    <s v="Unresolved"/>
    <n v="35"/>
    <s v="Changed mind"/>
    <n v="2"/>
    <n v="-25"/>
    <n v="35"/>
    <x v="0"/>
    <n v="0"/>
    <n v="0"/>
    <n v="0"/>
    <n v="0"/>
  </r>
  <r>
    <x v="324"/>
    <s v="USR-00492"/>
    <s v="SES-2603-78281"/>
    <x v="15"/>
    <s v="Scotland"/>
    <s v="Edinburgh"/>
    <x v="2"/>
    <x v="5"/>
    <x v="1"/>
    <s v="Ios"/>
    <s v="Iphone"/>
    <s v="&lt;3 months"/>
    <x v="3"/>
    <x v="2"/>
    <x v="4"/>
    <s v="First Use"/>
    <s v="No Experiment"/>
    <s v="Control"/>
    <n v="6"/>
    <n v="6"/>
    <n v="227"/>
    <s v="No"/>
    <x v="1"/>
    <x v="0"/>
    <x v="5"/>
    <x v="1"/>
    <n v="0"/>
    <x v="0"/>
    <x v="0"/>
    <s v="No Support Contact"/>
    <s v="No"/>
    <s v="No Support Contact"/>
    <s v="Not Applicable"/>
    <m/>
    <s v="Technical error"/>
    <n v="2"/>
    <n v="-43"/>
    <n v="0"/>
    <x v="0"/>
    <n v="0"/>
    <n v="0"/>
    <n v="1"/>
    <n v="0"/>
  </r>
  <r>
    <x v="325"/>
    <s v="USR-00458"/>
    <s v="SES-2512-60677"/>
    <x v="119"/>
    <s v="South East"/>
    <s v="Guildford"/>
    <x v="5"/>
    <x v="1"/>
    <x v="0"/>
    <s v="Android"/>
    <s v="Android Phone"/>
    <s v="2+ years"/>
    <x v="0"/>
    <x v="3"/>
    <x v="2"/>
    <s v="Repeat Use"/>
    <s v="Fee Transparency Panel"/>
    <s v="Control"/>
    <n v="5"/>
    <n v="5"/>
    <n v="174"/>
    <s v="No"/>
    <x v="0"/>
    <x v="0"/>
    <x v="23"/>
    <x v="0"/>
    <n v="0"/>
    <x v="0"/>
    <x v="0"/>
    <s v="Transaction Failure"/>
    <s v="Yes"/>
    <s v="Transaction Failure"/>
    <s v="Resolved"/>
    <n v="14"/>
    <s v="No drop-off"/>
    <n v="3"/>
    <n v="54"/>
    <n v="28"/>
    <x v="1"/>
    <n v="1"/>
    <n v="1"/>
    <n v="1"/>
    <n v="1"/>
  </r>
  <r>
    <x v="326"/>
    <s v="USR-00138"/>
    <s v="SES-2606-27477"/>
    <x v="248"/>
    <s v="Northern Ireland"/>
    <s v="Newry"/>
    <x v="0"/>
    <x v="3"/>
    <x v="1"/>
    <s v="Ios"/>
    <s v="Iphone"/>
    <s v="&lt;3 months"/>
    <x v="0"/>
    <x v="2"/>
    <x v="4"/>
    <s v="Repeat Use"/>
    <s v="Fee Transparency Panel"/>
    <s v="Treatment"/>
    <n v="6"/>
    <n v="6"/>
    <n v="109"/>
    <s v="No"/>
    <x v="0"/>
    <x v="1"/>
    <x v="1"/>
    <x v="0"/>
    <n v="2.37"/>
    <x v="0"/>
    <x v="0"/>
    <s v="No Support Contact"/>
    <s v="No"/>
    <s v="No Support Contact"/>
    <s v="Not Applicable"/>
    <m/>
    <s v="No drop-off"/>
    <n v="4"/>
    <n v="33"/>
    <s v="58 days"/>
    <x v="1"/>
    <n v="1"/>
    <n v="1"/>
    <n v="0"/>
    <n v="1"/>
  </r>
  <r>
    <x v="327"/>
    <s v="USR-00567"/>
    <s v="SES-2509-87877"/>
    <x v="148"/>
    <s v="Wales"/>
    <s v="Swansea"/>
    <x v="7"/>
    <x v="2"/>
    <x v="0"/>
    <s v="Android"/>
    <s v="Android Phone"/>
    <s v="3-6 months"/>
    <x v="0"/>
    <x v="3"/>
    <x v="3"/>
    <s v="Repeat Use"/>
    <s v="No Experiment"/>
    <s v="Control"/>
    <n v="6"/>
    <n v="6"/>
    <n v="168"/>
    <s v="No"/>
    <x v="0"/>
    <x v="0"/>
    <x v="15"/>
    <x v="1"/>
    <n v="0"/>
    <x v="0"/>
    <x v="0"/>
    <s v="No Support Contact"/>
    <s v="No"/>
    <s v="No Support Contact"/>
    <s v="Not Applicable"/>
    <m/>
    <s v="No drop-off"/>
    <n v="3"/>
    <n v="6"/>
    <n v="1"/>
    <x v="1"/>
    <n v="1"/>
    <n v="0"/>
    <n v="1"/>
    <n v="1"/>
  </r>
  <r>
    <x v="328"/>
    <s v="USR-00163"/>
    <s v="SES-2601-28078"/>
    <x v="40"/>
    <s v="North West"/>
    <s v="Preston"/>
    <x v="0"/>
    <x v="2"/>
    <x v="0"/>
    <s v="Android"/>
    <s v="Android Phone"/>
    <s v="2+ years"/>
    <x v="0"/>
    <x v="0"/>
    <x v="8"/>
    <s v="Repeat Use"/>
    <s v="Contextual Help"/>
    <s v="Treatment"/>
    <n v="5"/>
    <n v="5"/>
    <n v="93"/>
    <s v="No"/>
    <x v="1"/>
    <x v="1"/>
    <x v="1"/>
    <x v="0"/>
    <n v="45.25"/>
    <x v="0"/>
    <x v="0"/>
    <s v="Fees And Pricing"/>
    <s v="Yes"/>
    <s v="Fees And Pricing"/>
    <s v="Resolved"/>
    <n v="39"/>
    <s v="Too many steps"/>
    <n v="3"/>
    <n v="64"/>
    <n v="25"/>
    <x v="1"/>
    <n v="0"/>
    <n v="1"/>
    <n v="0"/>
    <n v="1"/>
  </r>
  <r>
    <x v="329"/>
    <s v="USR-00462"/>
    <s v="SES-2606-00003"/>
    <x v="13"/>
    <s v="East Midlands"/>
    <s v="Lincoln"/>
    <x v="0"/>
    <x v="1"/>
    <x v="0"/>
    <s v="Android"/>
    <s v="Android Phone"/>
    <s v="7-12 months"/>
    <x v="0"/>
    <x v="2"/>
    <x v="4"/>
    <s v="Repeat Use"/>
    <s v="Progress Indicator"/>
    <s v="Treatment"/>
    <s v="6 steps"/>
    <n v="6"/>
    <n v="177"/>
    <s v="No"/>
    <x v="1"/>
    <x v="1"/>
    <x v="1"/>
    <x v="1"/>
    <n v="0"/>
    <x v="0"/>
    <x v="0"/>
    <s v="Account Verification"/>
    <s v="Yes"/>
    <s v="Account Verification"/>
    <s v="Resolved"/>
    <n v="29"/>
    <s v="No drop-off"/>
    <n v="4"/>
    <n v="-31"/>
    <n v="22"/>
    <x v="0"/>
    <n v="0"/>
    <n v="0"/>
    <n v="0"/>
    <n v="0"/>
  </r>
  <r>
    <x v="330"/>
    <s v="USR-00272"/>
    <s v="SES-2510-93984"/>
    <x v="249"/>
    <s v="South East"/>
    <s v="Reading"/>
    <x v="0"/>
    <x v="2"/>
    <x v="0"/>
    <s v="Android"/>
    <s v="Android Phone"/>
    <s v="&lt;3 months"/>
    <x v="1"/>
    <x v="1"/>
    <x v="10"/>
    <s v="Trial/Exploration"/>
    <s v="Simplified Onboarding"/>
    <s v="Treatment"/>
    <n v="9"/>
    <n v="9"/>
    <n v="221"/>
    <s v="No"/>
    <x v="0"/>
    <x v="1"/>
    <x v="1"/>
    <x v="1"/>
    <n v="0"/>
    <x v="0"/>
    <x v="0"/>
    <s v="Other"/>
    <s v="Yes"/>
    <s v="Other"/>
    <s v="Resolved"/>
    <n v="38"/>
    <s v="No drop-off"/>
    <n v="3"/>
    <n v="58"/>
    <n v="28"/>
    <x v="0"/>
    <n v="1"/>
    <n v="0"/>
    <n v="0"/>
    <n v="0"/>
  </r>
  <r>
    <x v="331"/>
    <s v="USR-00017"/>
    <s v="SES-2507-48003"/>
    <x v="250"/>
    <s v="East Midlands"/>
    <s v="Derby"/>
    <x v="1"/>
    <x v="0"/>
    <x v="1"/>
    <s v="Android"/>
    <s v="Android Phone"/>
    <s v="&lt;3 months"/>
    <x v="0"/>
    <x v="6"/>
    <x v="1"/>
    <s v="Reactivated"/>
    <s v="Simplified Onboarding"/>
    <s v="Control"/>
    <n v="4"/>
    <n v="4"/>
    <n v="77"/>
    <s v="No"/>
    <x v="0"/>
    <x v="1"/>
    <x v="1"/>
    <x v="0"/>
    <n v="77.58"/>
    <x v="4"/>
    <x v="0"/>
    <s v="No Support Contact"/>
    <s v="No"/>
    <s v="No Support Contact"/>
    <s v="Not Applicable"/>
    <m/>
    <s v="No drop-off"/>
    <n v="5"/>
    <n v="50"/>
    <n v="17"/>
    <x v="1"/>
    <n v="1"/>
    <n v="1"/>
    <n v="0"/>
    <n v="1"/>
  </r>
  <r>
    <x v="332"/>
    <s v="USR-00336"/>
    <s v="SES-2502-11084"/>
    <x v="251"/>
    <s v="East England"/>
    <s v="Norwich"/>
    <x v="0"/>
    <x v="0"/>
    <x v="1"/>
    <s v="Ios"/>
    <s v="Iphone"/>
    <s v="3-6 months"/>
    <x v="0"/>
    <x v="6"/>
    <x v="2"/>
    <s v="Repeat Use"/>
    <s v="Simplified Onboarding"/>
    <s v="Treatment"/>
    <n v="5"/>
    <n v="5"/>
    <n v="146"/>
    <s v="No"/>
    <x v="1"/>
    <x v="1"/>
    <x v="1"/>
    <x v="0"/>
    <n v="8.27"/>
    <x v="0"/>
    <x v="0"/>
    <s v="No Support Contact"/>
    <s v="No"/>
    <s v="No Support Contact"/>
    <s v="Not Applicable"/>
    <m/>
    <s v="No drop-off"/>
    <n v="3"/>
    <n v="32"/>
    <n v="46"/>
    <x v="1"/>
    <n v="0"/>
    <n v="1"/>
    <n v="0"/>
    <n v="1"/>
  </r>
  <r>
    <x v="333"/>
    <s v="USR-00769"/>
    <s v="SES-2511-26950"/>
    <x v="34"/>
    <s v="Scotland"/>
    <s v="Edinburgh"/>
    <x v="2"/>
    <x v="0"/>
    <x v="0"/>
    <s v="Android"/>
    <s v="Android Phone"/>
    <s v="3-6 months"/>
    <x v="0"/>
    <x v="5"/>
    <x v="8"/>
    <s v="Trial/Exploration"/>
    <s v="No Experiment"/>
    <s v="Control"/>
    <n v="5"/>
    <n v="4"/>
    <n v="135"/>
    <s v="Yes"/>
    <x v="0"/>
    <x v="1"/>
    <x v="1"/>
    <x v="0"/>
    <n v="87.31"/>
    <x v="0"/>
    <x v="0"/>
    <s v="No Support Contact"/>
    <s v="No"/>
    <s v="No Support Contact"/>
    <s v="Not Applicable"/>
    <m/>
    <s v="No drop-off"/>
    <n v="3"/>
    <n v="15"/>
    <n v="66"/>
    <x v="1"/>
    <n v="1"/>
    <n v="1"/>
    <n v="0"/>
    <n v="1"/>
  </r>
  <r>
    <x v="334"/>
    <s v="USR-00565"/>
    <s v="SES-2509-13935"/>
    <x v="252"/>
    <s v="Scotland"/>
    <s v="Edinburgh"/>
    <x v="7"/>
    <x v="1"/>
    <x v="0"/>
    <s v="Ios"/>
    <s v="Iphone"/>
    <s v="1-2 years"/>
    <x v="0"/>
    <x v="4"/>
    <x v="9"/>
    <s v="First Use"/>
    <s v="No Experiment"/>
    <s v="Control"/>
    <n v="5"/>
    <n v="4"/>
    <n v="183"/>
    <s v="Yes"/>
    <x v="0"/>
    <x v="1"/>
    <x v="1"/>
    <x v="0"/>
    <n v="132.69"/>
    <x v="0"/>
    <x v="0"/>
    <s v="No Support Contact"/>
    <s v="No"/>
    <s v="No Support Contact"/>
    <s v="Not Applicable"/>
    <m/>
    <s v="No drop-off"/>
    <n v="3"/>
    <n v="9"/>
    <n v="0"/>
    <x v="1"/>
    <n v="1"/>
    <n v="1"/>
    <n v="0"/>
    <n v="1"/>
  </r>
  <r>
    <x v="335"/>
    <s v="USR-00343"/>
    <s v="SES-2504-10739"/>
    <x v="253"/>
    <s v="South West"/>
    <s v="Exeter"/>
    <x v="0"/>
    <x v="1"/>
    <x v="1"/>
    <s v="Android"/>
    <s v="Android Phone"/>
    <s v="1-2 years"/>
    <x v="0"/>
    <x v="5"/>
    <x v="5"/>
    <s v="Repeat Use"/>
    <s v="New Cta Copy"/>
    <s v="Treatment"/>
    <n v="8"/>
    <n v="7"/>
    <n v="341"/>
    <s v="Yes"/>
    <x v="1"/>
    <x v="1"/>
    <x v="1"/>
    <x v="0"/>
    <n v="423.92"/>
    <x v="46"/>
    <x v="0"/>
    <s v="No Support Contact"/>
    <s v="No"/>
    <s v="No Support Contact"/>
    <s v="Not Applicable"/>
    <m/>
    <s v="Instructions unclear"/>
    <n v="4"/>
    <n v="14"/>
    <n v="30"/>
    <x v="1"/>
    <n v="0"/>
    <n v="1"/>
    <n v="0"/>
    <n v="1"/>
  </r>
  <r>
    <x v="336"/>
    <s v="USR-00524"/>
    <s v="SES-2503-41400"/>
    <x v="39"/>
    <s v="West Midlands"/>
    <s v="Birmingham"/>
    <x v="0"/>
    <x v="3"/>
    <x v="1"/>
    <s v="Android"/>
    <s v="Android Phone"/>
    <s v="&lt;3 months"/>
    <x v="1"/>
    <x v="6"/>
    <x v="2"/>
    <s v="Repeat Use"/>
    <s v="New Cta Copy"/>
    <s v="Treatment"/>
    <n v="5"/>
    <n v="5"/>
    <n v="124"/>
    <s v="No"/>
    <x v="0"/>
    <x v="1"/>
    <x v="1"/>
    <x v="0"/>
    <n v="85.99"/>
    <x v="0"/>
    <x v="1"/>
    <s v="No Support Contact"/>
    <s v="No"/>
    <s v="No Support Contact"/>
    <s v="Not Applicable"/>
    <m/>
    <s v="No drop-off"/>
    <n v="4"/>
    <n v="94"/>
    <n v="41"/>
    <x v="1"/>
    <n v="1"/>
    <n v="1"/>
    <n v="0"/>
    <n v="1"/>
  </r>
  <r>
    <x v="337"/>
    <s v="USR-00735"/>
    <s v="SES-2512-84385"/>
    <x v="254"/>
    <s v="London"/>
    <s v="Camden"/>
    <x v="3"/>
    <x v="3"/>
    <x v="1"/>
    <s v="Ios"/>
    <s v="Iphone"/>
    <s v="3-6 months"/>
    <x v="0"/>
    <x v="5"/>
    <x v="3"/>
    <s v="Trial/Exploration"/>
    <s v="Simplified Onboarding"/>
    <s v="Control"/>
    <n v="6"/>
    <n v="6"/>
    <n v="167"/>
    <s v="No"/>
    <x v="0"/>
    <x v="1"/>
    <x v="1"/>
    <x v="0"/>
    <n v="31.41"/>
    <x v="5"/>
    <x v="0"/>
    <s v="Fees And Pricing"/>
    <s v="Yes"/>
    <s v="Fees And Pricing"/>
    <s v="Resolved"/>
    <n v="32"/>
    <s v="No drop-off"/>
    <n v="5"/>
    <n v="33"/>
    <n v="26"/>
    <x v="1"/>
    <n v="1"/>
    <n v="1"/>
    <n v="0"/>
    <n v="1"/>
  </r>
  <r>
    <x v="338"/>
    <s v="USR-00425"/>
    <s v="SES-2605-85345"/>
    <x v="255"/>
    <s v="East England"/>
    <s v="Ipswich"/>
    <x v="2"/>
    <x v="4"/>
    <x v="0"/>
    <s v="Ios"/>
    <s v="Iphone"/>
    <s v="&lt;3 months"/>
    <x v="2"/>
    <x v="5"/>
    <x v="1"/>
    <s v="First Use"/>
    <s v="Progress Indicator"/>
    <s v="Control"/>
    <n v="4"/>
    <n v="4"/>
    <n v="83"/>
    <s v="No"/>
    <x v="0"/>
    <x v="1"/>
    <x v="1"/>
    <x v="0"/>
    <n v="253.14"/>
    <x v="7"/>
    <x v="2"/>
    <s v="No Support Contact"/>
    <s v="No"/>
    <s v="No Support Contact"/>
    <s v="Not Applicable"/>
    <m/>
    <s v="No drop-off"/>
    <n v="4"/>
    <n v="29"/>
    <n v="0"/>
    <x v="1"/>
    <n v="1"/>
    <n v="1"/>
    <n v="0"/>
    <n v="1"/>
  </r>
  <r>
    <x v="339"/>
    <s v="USR-00552"/>
    <s v="SES-2605-99431"/>
    <x v="255"/>
    <s v="North West"/>
    <s v="Preston"/>
    <x v="1"/>
    <x v="4"/>
    <x v="1"/>
    <s v="Ios"/>
    <s v="Ipad"/>
    <s v="3-6 months"/>
    <x v="0"/>
    <x v="4"/>
    <x v="2"/>
    <s v="Trial/Exploration"/>
    <s v="No Experiment"/>
    <s v="Control"/>
    <n v="5"/>
    <n v="5"/>
    <n v="119"/>
    <s v="No"/>
    <x v="0"/>
    <x v="1"/>
    <x v="1"/>
    <x v="0"/>
    <n v="8.25"/>
    <x v="0"/>
    <x v="0"/>
    <s v="No Support Contact"/>
    <s v="No"/>
    <s v="No Support Contact"/>
    <s v="Not Applicable"/>
    <m/>
    <s v="No drop-off"/>
    <n v="5"/>
    <n v="6"/>
    <n v="33"/>
    <x v="0"/>
    <n v="1"/>
    <n v="1"/>
    <n v="0"/>
    <n v="0"/>
  </r>
  <r>
    <x v="340"/>
    <s v="USR-00635"/>
    <s v="SES-2511-50023"/>
    <x v="59"/>
    <s v="West Midlands"/>
    <s v="Coventry"/>
    <x v="3"/>
    <x v="4"/>
    <x v="1"/>
    <s v="Ios"/>
    <s v="Iphone"/>
    <s v="2+ years"/>
    <x v="2"/>
    <x v="5"/>
    <x v="1"/>
    <s v="Repeat Use"/>
    <s v="New Cta Copy"/>
    <s v="Treatment"/>
    <n v="4"/>
    <n v="4"/>
    <n v="102"/>
    <s v="No"/>
    <x v="0"/>
    <x v="1"/>
    <x v="1"/>
    <x v="0"/>
    <n v="171.3"/>
    <x v="6"/>
    <x v="2"/>
    <s v="No Support Contact"/>
    <s v="No"/>
    <s v="No Support Contact"/>
    <s v="Not Applicable"/>
    <m/>
    <s v="No drop-off"/>
    <n v="4"/>
    <n v="66"/>
    <n v="35"/>
    <x v="1"/>
    <n v="1"/>
    <n v="1"/>
    <n v="0"/>
    <n v="1"/>
  </r>
  <r>
    <x v="341"/>
    <s v="USR-00570"/>
    <s v="SES-2602-68843"/>
    <x v="256"/>
    <s v="Wales"/>
    <s v="Swansea"/>
    <x v="2"/>
    <x v="1"/>
    <x v="1"/>
    <s v="Android"/>
    <s v="Android Phone"/>
    <s v="1-2 years"/>
    <x v="0"/>
    <x v="5"/>
    <x v="7"/>
    <s v="Trial/Exploration"/>
    <s v="Simplified Onboarding"/>
    <s v="Control"/>
    <n v="4"/>
    <n v="3"/>
    <n v="156"/>
    <s v="Yes"/>
    <x v="0"/>
    <x v="1"/>
    <x v="1"/>
    <x v="0"/>
    <n v="87.78"/>
    <x v="29"/>
    <x v="0"/>
    <s v="No Support Contact"/>
    <s v="No"/>
    <s v="No Support Contact"/>
    <s v="Not Applicable"/>
    <m/>
    <s v="No drop-off"/>
    <n v="5"/>
    <n v="9"/>
    <n v="11"/>
    <x v="1"/>
    <n v="1"/>
    <n v="1"/>
    <n v="0"/>
    <n v="1"/>
  </r>
  <r>
    <x v="342"/>
    <s v="USR-00132"/>
    <s v="SES-2602-41790"/>
    <x v="161"/>
    <s v="Yorkshire &amp; Humber"/>
    <s v="Sheffield"/>
    <x v="0"/>
    <x v="0"/>
    <x v="1"/>
    <s v="Android"/>
    <s v="Android Tablet"/>
    <s v="1-2 years"/>
    <x v="3"/>
    <x v="5"/>
    <x v="7"/>
    <s v="Trial/Exploration"/>
    <s v="No Experiment"/>
    <s v="Control"/>
    <n v="4"/>
    <n v="4"/>
    <n v="98"/>
    <s v="No"/>
    <x v="0"/>
    <x v="1"/>
    <x v="1"/>
    <x v="0"/>
    <n v="21.35"/>
    <x v="23"/>
    <x v="0"/>
    <s v="No Support Contact"/>
    <s v="No"/>
    <s v="No Support Contact"/>
    <s v="Not Applicable"/>
    <m/>
    <s v="No drop-off"/>
    <n v="5"/>
    <n v="17"/>
    <s v="20 days"/>
    <x v="1"/>
    <n v="1"/>
    <n v="1"/>
    <n v="0"/>
    <n v="1"/>
  </r>
  <r>
    <x v="343"/>
    <s v="USR-00815"/>
    <s v="SES-2501-88001"/>
    <x v="257"/>
    <s v="Northern Ireland"/>
    <s v="Lisburn"/>
    <x v="5"/>
    <x v="1"/>
    <x v="0"/>
    <s v="Ios"/>
    <s v="Iphone"/>
    <s v="7-12 months"/>
    <x v="1"/>
    <x v="5"/>
    <x v="0"/>
    <s v="Trial/Exploration"/>
    <s v="Progress Indicator"/>
    <s v="Control"/>
    <n v="7"/>
    <n v="7"/>
    <n v="172"/>
    <s v="No"/>
    <x v="0"/>
    <x v="1"/>
    <x v="1"/>
    <x v="0"/>
    <n v="76.099999999999994"/>
    <x v="0"/>
    <x v="1"/>
    <s v="No Support Contact"/>
    <s v="No"/>
    <s v="No Support Contact"/>
    <s v="Not Applicable"/>
    <m/>
    <s v="No drop-off"/>
    <n v="4"/>
    <n v="12"/>
    <n v="51"/>
    <x v="1"/>
    <n v="1"/>
    <n v="1"/>
    <n v="0"/>
    <n v="1"/>
  </r>
  <r>
    <x v="344"/>
    <s v="USR-00355"/>
    <s v="SES-2502-67844"/>
    <x v="85"/>
    <s v="East Midlands"/>
    <s v="Lincoln"/>
    <x v="7"/>
    <x v="2"/>
    <x v="1"/>
    <s v="Android"/>
    <s v="Android Phone"/>
    <s v="2+ years"/>
    <x v="0"/>
    <x v="4"/>
    <x v="3"/>
    <s v="Repeat Use"/>
    <s v="Simplified Onboarding"/>
    <s v="Control"/>
    <n v="6"/>
    <n v="5"/>
    <n v="308"/>
    <s v="Yes"/>
    <x v="1"/>
    <x v="0"/>
    <x v="2"/>
    <x v="1"/>
    <n v="0"/>
    <x v="0"/>
    <x v="0"/>
    <s v="No Support Contact"/>
    <s v="No"/>
    <s v="No Support Contact"/>
    <s v="Not Applicable"/>
    <m/>
    <s v="Technical error"/>
    <n v="1"/>
    <n v="-2"/>
    <n v="42"/>
    <x v="0"/>
    <n v="0"/>
    <n v="0"/>
    <n v="1"/>
    <n v="0"/>
  </r>
  <r>
    <x v="345"/>
    <s v="USR-00502"/>
    <s v="SES-2507-68202"/>
    <x v="18"/>
    <s v="Yorkshire &amp; Humber"/>
    <s v="Sheffield"/>
    <x v="7"/>
    <x v="0"/>
    <x v="1"/>
    <s v="Android"/>
    <s v="Android Phone"/>
    <s v="3-6 months"/>
    <x v="1"/>
    <x v="1"/>
    <x v="5"/>
    <s v="Reactivated"/>
    <s v="No Experiment"/>
    <s v="Control"/>
    <s v="8 steps"/>
    <n v="8"/>
    <n v="164"/>
    <s v="Unknown"/>
    <x v="1"/>
    <x v="1"/>
    <x v="1"/>
    <x v="0"/>
    <n v="373.34"/>
    <x v="47"/>
    <x v="1"/>
    <s v="No Support Contact"/>
    <s v="No"/>
    <s v="No Support Contact"/>
    <s v="Not Applicable"/>
    <m/>
    <s v="Technical error"/>
    <n v="3"/>
    <n v="30"/>
    <n v="42"/>
    <x v="1"/>
    <n v="0"/>
    <n v="1"/>
    <n v="0"/>
    <n v="1"/>
  </r>
  <r>
    <x v="346"/>
    <s v="USR-00828"/>
    <s v="SES-2503-95588"/>
    <x v="96"/>
    <s v="South East"/>
    <s v="Brighton"/>
    <x v="2"/>
    <x v="3"/>
    <x v="3"/>
    <s v="Web"/>
    <s v="Desktop"/>
    <s v="1-2 years"/>
    <x v="0"/>
    <x v="1"/>
    <x v="10"/>
    <s v="Repeat Use"/>
    <s v="Fee Transparency Panel"/>
    <s v="Control"/>
    <s v="9 steps"/>
    <n v="9"/>
    <n v="266"/>
    <s v="No"/>
    <x v="1"/>
    <x v="0"/>
    <x v="9"/>
    <x v="1"/>
    <n v="0"/>
    <x v="0"/>
    <x v="0"/>
    <s v="No Support Contact"/>
    <s v="No"/>
    <s v="No Support Contact"/>
    <s v="Not Applicable"/>
    <m/>
    <s v="No drop-off"/>
    <n v="3"/>
    <n v="-14"/>
    <n v="28"/>
    <x v="1"/>
    <n v="0"/>
    <n v="0"/>
    <n v="1"/>
    <n v="1"/>
  </r>
  <r>
    <x v="347"/>
    <s v="USR-00286"/>
    <s v="SES-2510-23516"/>
    <x v="99"/>
    <s v="South West"/>
    <s v="Plymouth"/>
    <x v="1"/>
    <x v="0"/>
    <x v="1"/>
    <s v="Android"/>
    <s v="Android Phone"/>
    <s v="3-6 months"/>
    <x v="2"/>
    <x v="4"/>
    <x v="0"/>
    <s v="Reactivated"/>
    <s v="Fee Transparency Panel"/>
    <s v="Control"/>
    <s v="7 steps"/>
    <n v="6"/>
    <n v="281"/>
    <s v="Yes"/>
    <x v="1"/>
    <x v="1"/>
    <x v="1"/>
    <x v="0"/>
    <n v="0"/>
    <x v="0"/>
    <x v="2"/>
    <s v="No Support Contact"/>
    <s v="No"/>
    <s v="No Support Contact"/>
    <s v="Not Applicable"/>
    <m/>
    <s v="No drop-off"/>
    <n v="2"/>
    <n v="-15"/>
    <n v="57"/>
    <x v="1"/>
    <n v="0"/>
    <n v="1"/>
    <n v="0"/>
    <n v="1"/>
  </r>
  <r>
    <x v="348"/>
    <s v="USR-00078"/>
    <s v="SES-2601-96228"/>
    <x v="258"/>
    <s v="South West"/>
    <s v="Bristol"/>
    <x v="7"/>
    <x v="2"/>
    <x v="1"/>
    <s v="Ios"/>
    <s v="Iphone"/>
    <s v="2+ years"/>
    <x v="0"/>
    <x v="6"/>
    <x v="0"/>
    <s v="Trial/Exploration"/>
    <s v="No Experiment"/>
    <s v="Control"/>
    <n v="7"/>
    <n v="6"/>
    <n v="348"/>
    <s v="Yes"/>
    <x v="1"/>
    <x v="1"/>
    <x v="1"/>
    <x v="0"/>
    <n v="30.26"/>
    <x v="0"/>
    <x v="0"/>
    <s v="No Support Contact"/>
    <s v="No"/>
    <s v="No Support Contact"/>
    <s v="Not Applicable"/>
    <m/>
    <s v="Unexpected fee"/>
    <n v="2"/>
    <n v="-52"/>
    <n v="58"/>
    <x v="0"/>
    <n v="0"/>
    <n v="1"/>
    <n v="0"/>
    <n v="0"/>
  </r>
  <r>
    <x v="349"/>
    <s v="USR-00629"/>
    <s v="SES-2504-42814"/>
    <x v="73"/>
    <s v="East England"/>
    <s v="Cambridge"/>
    <x v="0"/>
    <x v="1"/>
    <x v="0"/>
    <s v="Ios"/>
    <s v="Iphone"/>
    <s v="1-2 years"/>
    <x v="3"/>
    <x v="5"/>
    <x v="5"/>
    <s v="Repeat Use"/>
    <s v="Progress Indicator"/>
    <s v="Control"/>
    <n v="8"/>
    <n v="4"/>
    <n v="252"/>
    <s v="Yes"/>
    <x v="0"/>
    <x v="1"/>
    <x v="1"/>
    <x v="0"/>
    <n v="451.41"/>
    <x v="48"/>
    <x v="0"/>
    <s v="No Support Contact"/>
    <s v="No"/>
    <s v="No Support Contact"/>
    <s v="Not Applicable"/>
    <m/>
    <s v="No drop-off"/>
    <n v="4"/>
    <n v="-38"/>
    <n v="22"/>
    <x v="1"/>
    <n v="1"/>
    <n v="1"/>
    <n v="0"/>
    <n v="1"/>
  </r>
  <r>
    <x v="350"/>
    <s v="USR-00302"/>
    <s v="SES-2512-19578"/>
    <x v="22"/>
    <s v="Yorkshire &amp; Humber"/>
    <s v="York"/>
    <x v="2"/>
    <x v="2"/>
    <x v="0"/>
    <s v="Ios"/>
    <s v="Iphone"/>
    <s v="7-12 months"/>
    <x v="0"/>
    <x v="4"/>
    <x v="7"/>
    <s v="Repeat Use"/>
    <s v="No Experiment"/>
    <s v="Control"/>
    <n v="4"/>
    <n v="3"/>
    <n v="211"/>
    <s v="Yes"/>
    <x v="0"/>
    <x v="1"/>
    <x v="1"/>
    <x v="0"/>
    <n v="101.21"/>
    <x v="23"/>
    <x v="0"/>
    <s v="No Support Contact"/>
    <s v="No"/>
    <s v="No Support Contact"/>
    <s v="Not Applicable"/>
    <m/>
    <s v="No drop-off"/>
    <n v="3"/>
    <n v="22"/>
    <n v="14"/>
    <x v="1"/>
    <n v="1"/>
    <n v="1"/>
    <n v="0"/>
    <n v="1"/>
  </r>
  <r>
    <x v="351"/>
    <s v="USR-00397"/>
    <s v="SES-2510-99275"/>
    <x v="146"/>
    <s v="Northern Ireland"/>
    <s v="Lisburn"/>
    <x v="3"/>
    <x v="2"/>
    <x v="0"/>
    <s v="Ios"/>
    <s v="Iphone"/>
    <s v="3-6 months"/>
    <x v="0"/>
    <x v="7"/>
    <x v="8"/>
    <s v="First Use"/>
    <s v="No Experiment"/>
    <s v="Control"/>
    <n v="5"/>
    <n v="5"/>
    <n v="158"/>
    <s v="No"/>
    <x v="0"/>
    <x v="1"/>
    <x v="1"/>
    <x v="0"/>
    <n v="152.24"/>
    <x v="0"/>
    <x v="0"/>
    <s v="No Support Contact"/>
    <s v="No"/>
    <s v="No Support Contact"/>
    <s v="Not Applicable"/>
    <m/>
    <s v="No drop-off"/>
    <n v="4"/>
    <n v="48"/>
    <n v="0"/>
    <x v="1"/>
    <n v="1"/>
    <n v="1"/>
    <n v="0"/>
    <n v="1"/>
  </r>
  <r>
    <x v="352"/>
    <s v="USR-00649"/>
    <s v="SES-2502-30590"/>
    <x v="9"/>
    <s v="North West"/>
    <s v="Manchester"/>
    <x v="6"/>
    <x v="2"/>
    <x v="1"/>
    <s v="Web"/>
    <s v="Desktop"/>
    <s v="7-12 months"/>
    <x v="1"/>
    <x v="0"/>
    <x v="2"/>
    <s v="First Use"/>
    <s v="No Experiment"/>
    <s v="Control"/>
    <n v="5"/>
    <n v="5"/>
    <n v="126"/>
    <s v="No"/>
    <x v="0"/>
    <x v="1"/>
    <x v="1"/>
    <x v="0"/>
    <n v="0.6"/>
    <x v="0"/>
    <x v="1"/>
    <s v="No Support Contact"/>
    <s v="No"/>
    <s v="No Support Contact"/>
    <s v="Not Applicable"/>
    <m/>
    <s v="No drop-off"/>
    <n v="4"/>
    <n v="46"/>
    <n v="0"/>
    <x v="0"/>
    <n v="1"/>
    <n v="1"/>
    <n v="0"/>
    <n v="0"/>
  </r>
  <r>
    <x v="353"/>
    <s v="USR-00055"/>
    <s v="SES-2511-31870"/>
    <x v="231"/>
    <s v="East Midlands"/>
    <s v="Leicester"/>
    <x v="0"/>
    <x v="3"/>
    <x v="1"/>
    <s v="Ios"/>
    <s v="Iphone"/>
    <s v="3-6 months"/>
    <x v="0"/>
    <x v="4"/>
    <x v="6"/>
    <s v="Repeat Use"/>
    <s v="No Experiment"/>
    <s v="Control"/>
    <n v="4"/>
    <n v="4"/>
    <n v="164"/>
    <s v="No"/>
    <x v="0"/>
    <x v="0"/>
    <x v="12"/>
    <x v="0"/>
    <n v="121.04"/>
    <x v="7"/>
    <x v="0"/>
    <s v="Card Issue"/>
    <s v="Yes"/>
    <s v="Card Issue"/>
    <s v="Resolved"/>
    <n v="26"/>
    <s v="No drop-off"/>
    <n v="4"/>
    <n v="12"/>
    <n v="23"/>
    <x v="0"/>
    <n v="1"/>
    <n v="1"/>
    <n v="1"/>
    <n v="0"/>
  </r>
  <r>
    <x v="354"/>
    <s v="USR-00258"/>
    <s v="SES-2501-65709"/>
    <x v="114"/>
    <s v="Yorkshire &amp; Humber"/>
    <s v="Sheffield"/>
    <x v="2"/>
    <x v="5"/>
    <x v="1"/>
    <s v="Ios"/>
    <s v="Iphone"/>
    <s v="1-2 years"/>
    <x v="0"/>
    <x v="3"/>
    <x v="5"/>
    <s v="Repeat Use"/>
    <s v="Simplified Onboarding"/>
    <s v="Control"/>
    <n v="8"/>
    <n v="5"/>
    <n v="211"/>
    <s v="Yes"/>
    <x v="1"/>
    <x v="1"/>
    <x v="1"/>
    <x v="1"/>
    <n v="0"/>
    <x v="0"/>
    <x v="0"/>
    <s v="No Support Contact"/>
    <s v="No"/>
    <s v="No Support Contact"/>
    <s v="Not Applicable"/>
    <m/>
    <s v="Privacy concern"/>
    <n v="3"/>
    <n v="-10"/>
    <n v="1"/>
    <x v="0"/>
    <n v="0"/>
    <n v="0"/>
    <n v="0"/>
    <n v="0"/>
  </r>
  <r>
    <x v="355"/>
    <s v="USR-00762"/>
    <s v="SES-2511-89808"/>
    <x v="32"/>
    <s v="West Midlands"/>
    <s v="Birmingham"/>
    <x v="4"/>
    <x v="3"/>
    <x v="0"/>
    <s v="Ios"/>
    <s v="Iphone"/>
    <s v="3-6 months"/>
    <x v="1"/>
    <x v="0"/>
    <x v="8"/>
    <s v="Repeat Use"/>
    <s v="Simplified Onboarding"/>
    <s v="Treatment"/>
    <n v="5"/>
    <n v="5"/>
    <n v="136"/>
    <s v="No"/>
    <x v="0"/>
    <x v="1"/>
    <x v="1"/>
    <x v="0"/>
    <n v="48.21"/>
    <x v="0"/>
    <x v="1"/>
    <s v="No Support Contact"/>
    <s v="No"/>
    <s v="No Support Contact"/>
    <s v="Not Applicable"/>
    <m/>
    <s v="No drop-off"/>
    <n v="5"/>
    <n v="47"/>
    <n v="56"/>
    <x v="1"/>
    <n v="1"/>
    <n v="1"/>
    <n v="0"/>
    <n v="1"/>
  </r>
  <r>
    <x v="356"/>
    <s v="USR-00009"/>
    <s v="SES-2503-37445"/>
    <x v="259"/>
    <s v="North East"/>
    <s v="Sunderland"/>
    <x v="2"/>
    <x v="0"/>
    <x v="0"/>
    <s v="Android"/>
    <s v="Android Phone"/>
    <s v="1-2 years"/>
    <x v="1"/>
    <x v="6"/>
    <x v="1"/>
    <s v="Repeat Use"/>
    <s v="No Experiment"/>
    <s v="Control"/>
    <n v="4"/>
    <n v="4"/>
    <n v="89"/>
    <s v="No"/>
    <x v="0"/>
    <x v="1"/>
    <x v="1"/>
    <x v="0"/>
    <n v="95.21"/>
    <x v="8"/>
    <x v="1"/>
    <s v="No Support Contact"/>
    <s v="No"/>
    <s v="No Support Contact"/>
    <s v="Not Applicable"/>
    <m/>
    <s v="No drop-off"/>
    <n v="4"/>
    <n v="26"/>
    <n v="19"/>
    <x v="1"/>
    <n v="1"/>
    <n v="1"/>
    <n v="0"/>
    <n v="1"/>
  </r>
  <r>
    <x v="357"/>
    <s v="USR-00569"/>
    <s v="SES-2512-45217"/>
    <x v="260"/>
    <s v="East England"/>
    <s v="Cambridge"/>
    <x v="5"/>
    <x v="0"/>
    <x v="1"/>
    <s v="Ios"/>
    <s v="Iphone"/>
    <s v="3-6 months"/>
    <x v="0"/>
    <x v="6"/>
    <x v="2"/>
    <s v="Reactivated"/>
    <s v="Simplified Onboarding"/>
    <s v="Control"/>
    <n v="5"/>
    <n v="5"/>
    <n v="180"/>
    <s v="No"/>
    <x v="0"/>
    <x v="0"/>
    <x v="21"/>
    <x v="0"/>
    <n v="46.88"/>
    <x v="0"/>
    <x v="0"/>
    <s v="Transaction Failure"/>
    <s v="Yes"/>
    <s v="Transaction Failure"/>
    <s v="Resolved"/>
    <n v="50"/>
    <s v="No drop-off"/>
    <n v="3"/>
    <n v="-14"/>
    <n v="57"/>
    <x v="1"/>
    <n v="1"/>
    <n v="1"/>
    <n v="1"/>
    <n v="1"/>
  </r>
  <r>
    <x v="358"/>
    <s v="USR-00746"/>
    <s v="SES-2504-68867"/>
    <x v="20"/>
    <s v="Wales"/>
    <s v="Cardiff"/>
    <x v="0"/>
    <x v="0"/>
    <x v="0"/>
    <s v="Web"/>
    <s v="Mobile Browser"/>
    <s v="1-2 years"/>
    <x v="0"/>
    <x v="0"/>
    <x v="5"/>
    <s v="Reactivated"/>
    <s v="No Experiment"/>
    <s v="Control"/>
    <n v="8"/>
    <n v="7"/>
    <n v="235"/>
    <s v="Yes"/>
    <x v="1"/>
    <x v="1"/>
    <x v="1"/>
    <x v="1"/>
    <n v="0"/>
    <x v="0"/>
    <x v="0"/>
    <s v="No Support Contact"/>
    <s v="No"/>
    <s v="No Support Contact"/>
    <s v="Not Applicable"/>
    <m/>
    <s v="Unexpected fee"/>
    <n v="1"/>
    <n v="-9"/>
    <n v="1"/>
    <x v="0"/>
    <n v="0"/>
    <n v="0"/>
    <n v="0"/>
    <n v="0"/>
  </r>
  <r>
    <x v="359"/>
    <s v="USR-00319"/>
    <s v="SES-2503-98037"/>
    <x v="261"/>
    <s v="Yorkshire &amp; Humber"/>
    <s v="York"/>
    <x v="7"/>
    <x v="0"/>
    <x v="1"/>
    <s v="Ios"/>
    <s v="Iphone"/>
    <s v="1-2 years"/>
    <x v="0"/>
    <x v="0"/>
    <x v="5"/>
    <s v="Reactivated"/>
    <s v="No Experiment"/>
    <s v="Control"/>
    <n v="8"/>
    <n v="8"/>
    <n v="239"/>
    <s v="No"/>
    <x v="0"/>
    <x v="1"/>
    <x v="1"/>
    <x v="0"/>
    <n v="440.34"/>
    <x v="48"/>
    <x v="0"/>
    <s v="Feature Navigation"/>
    <s v="Yes"/>
    <s v="Feature Navigation"/>
    <s v="Unresolved"/>
    <n v="48"/>
    <s v="No drop-off"/>
    <n v="3"/>
    <n v="11"/>
    <n v="11"/>
    <x v="1"/>
    <n v="1"/>
    <n v="1"/>
    <n v="0"/>
    <n v="1"/>
  </r>
  <r>
    <x v="360"/>
    <s v="USR-00549"/>
    <s v="SES-2512-53616"/>
    <x v="176"/>
    <s v="Northern Ireland"/>
    <s v="Belfast"/>
    <x v="2"/>
    <x v="0"/>
    <x v="1"/>
    <s v="Ios"/>
    <s v="Iphone"/>
    <s v="2+ years"/>
    <x v="2"/>
    <x v="2"/>
    <x v="0"/>
    <s v="First Use"/>
    <s v="No Experiment"/>
    <s v="Control"/>
    <n v="7"/>
    <n v="7"/>
    <n v="183"/>
    <s v="No"/>
    <x v="0"/>
    <x v="1"/>
    <x v="1"/>
    <x v="0"/>
    <n v="29.16"/>
    <x v="0"/>
    <x v="2"/>
    <s v="No Support Contact"/>
    <s v="No"/>
    <s v="No Support Contact"/>
    <s v="Not Applicable"/>
    <m/>
    <s v="No drop-off"/>
    <n v="3"/>
    <n v="2"/>
    <n v="0"/>
    <x v="1"/>
    <n v="1"/>
    <n v="1"/>
    <n v="0"/>
    <n v="1"/>
  </r>
  <r>
    <x v="361"/>
    <s v="USR-00731"/>
    <s v="SES-2501-43290"/>
    <x v="262"/>
    <s v="West Midlands"/>
    <s v="Solihull"/>
    <x v="1"/>
    <x v="0"/>
    <x v="0"/>
    <s v="Ios"/>
    <s v="Iphone"/>
    <s v="1-2 years"/>
    <x v="0"/>
    <x v="1"/>
    <x v="7"/>
    <s v="Repeat Use"/>
    <s v="No Experiment"/>
    <s v="Control"/>
    <n v="4"/>
    <n v="4"/>
    <n v="121"/>
    <s v="No"/>
    <x v="0"/>
    <x v="1"/>
    <x v="1"/>
    <x v="0"/>
    <n v="48.36"/>
    <x v="32"/>
    <x v="0"/>
    <s v="No Support Contact"/>
    <s v="No"/>
    <s v="No Support Contact"/>
    <s v="Not Applicable"/>
    <m/>
    <s v="No drop-off"/>
    <n v="4"/>
    <n v="45"/>
    <n v="11"/>
    <x v="1"/>
    <n v="1"/>
    <n v="1"/>
    <n v="0"/>
    <n v="1"/>
  </r>
  <r>
    <x v="362"/>
    <s v="USR-00110"/>
    <s v="SES-2602-72293"/>
    <x v="263"/>
    <s v="West Midlands"/>
    <s v="Birmingham"/>
    <x v="2"/>
    <x v="1"/>
    <x v="1"/>
    <s v="Web"/>
    <s v="Desktop"/>
    <s v="2+ years"/>
    <x v="2"/>
    <x v="0"/>
    <x v="9"/>
    <s v="Repeat Use"/>
    <s v="Simplified Onboarding"/>
    <s v="Treatment"/>
    <n v="5"/>
    <n v="5"/>
    <n v="143"/>
    <s v="No"/>
    <x v="0"/>
    <x v="1"/>
    <x v="1"/>
    <x v="0"/>
    <n v="118.63"/>
    <x v="0"/>
    <x v="2"/>
    <s v="No Support Contact"/>
    <s v="No"/>
    <s v="No Support Contact"/>
    <s v="Not Applicable"/>
    <m/>
    <s v="No drop-off"/>
    <n v="4"/>
    <n v="-7"/>
    <n v="49"/>
    <x v="1"/>
    <n v="1"/>
    <n v="1"/>
    <n v="0"/>
    <n v="1"/>
  </r>
  <r>
    <x v="363"/>
    <s v="USR-00434"/>
    <s v="SES-2502-97870"/>
    <x v="85"/>
    <s v="Scotland"/>
    <s v="Glasgow"/>
    <x v="5"/>
    <x v="1"/>
    <x v="0"/>
    <s v="Android"/>
    <s v="Android Phone"/>
    <s v="7-12 months"/>
    <x v="0"/>
    <x v="2"/>
    <x v="0"/>
    <s v="First Use"/>
    <s v="Fee Transparency Panel"/>
    <s v="Treatment"/>
    <n v="7"/>
    <n v="7"/>
    <n v="181"/>
    <s v="No"/>
    <x v="1"/>
    <x v="1"/>
    <x v="1"/>
    <x v="1"/>
    <n v="0"/>
    <x v="0"/>
    <x v="0"/>
    <s v="No Support Contact"/>
    <s v="No"/>
    <s v="No Support Contact"/>
    <s v="Not Applicable"/>
    <m/>
    <s v="Too many steps"/>
    <n v="4"/>
    <n v="8"/>
    <n v="0"/>
    <x v="0"/>
    <n v="0"/>
    <n v="0"/>
    <n v="0"/>
    <n v="0"/>
  </r>
  <r>
    <x v="364"/>
    <s v="USR-00423"/>
    <s v="SES-2512-63752"/>
    <x v="36"/>
    <s v="South East"/>
    <s v="Reading"/>
    <x v="7"/>
    <x v="0"/>
    <x v="0"/>
    <s v="Web"/>
    <s v="Mobile Browser"/>
    <s v="1-2 years"/>
    <x v="0"/>
    <x v="0"/>
    <x v="5"/>
    <s v="First Use"/>
    <s v="No Experiment"/>
    <s v="Control"/>
    <n v="8"/>
    <n v="8"/>
    <n v="294"/>
    <s v="No"/>
    <x v="0"/>
    <x v="0"/>
    <x v="24"/>
    <x v="0"/>
    <n v="328.7"/>
    <x v="24"/>
    <x v="0"/>
    <s v="No Support Contact"/>
    <s v="No"/>
    <s v="No Support Contact"/>
    <s v="Not Applicable"/>
    <m/>
    <s v="No drop-off"/>
    <n v="2"/>
    <n v="-26"/>
    <n v="0"/>
    <x v="0"/>
    <n v="1"/>
    <n v="1"/>
    <n v="1"/>
    <n v="0"/>
  </r>
  <r>
    <x v="365"/>
    <s v="USR-00095"/>
    <s v="SES-2501-20555"/>
    <x v="100"/>
    <s v="East Midlands"/>
    <s v="Derby"/>
    <x v="0"/>
    <x v="0"/>
    <x v="0"/>
    <s v="Android"/>
    <s v="Android Phone"/>
    <s v="2+ years"/>
    <x v="0"/>
    <x v="4"/>
    <x v="5"/>
    <s v="Reactivated"/>
    <s v="No Experiment"/>
    <s v="Control"/>
    <n v="8"/>
    <n v="6"/>
    <n v="243"/>
    <s v="Yes"/>
    <x v="1"/>
    <x v="0"/>
    <x v="10"/>
    <x v="1"/>
    <n v="0"/>
    <x v="0"/>
    <x v="0"/>
    <s v="Feature Navigation"/>
    <s v="Yes"/>
    <s v="Feature Navigation"/>
    <s v="Resolved"/>
    <n v="46"/>
    <s v="Instructions unclear"/>
    <n v="2"/>
    <n v="1"/>
    <n v="8"/>
    <x v="0"/>
    <n v="0"/>
    <n v="0"/>
    <n v="1"/>
    <n v="0"/>
  </r>
  <r>
    <x v="366"/>
    <s v="USR-00089"/>
    <s v="SES-2511-97852"/>
    <x v="264"/>
    <s v="South West"/>
    <s v="Exeter"/>
    <x v="0"/>
    <x v="1"/>
    <x v="1"/>
    <s v="Ios"/>
    <s v="Iphone"/>
    <s v="3-6 months"/>
    <x v="1"/>
    <x v="5"/>
    <x v="10"/>
    <s v="First Use"/>
    <s v="No Experiment"/>
    <s v="Control"/>
    <n v="9"/>
    <n v="9"/>
    <n v="170"/>
    <s v="No"/>
    <x v="1"/>
    <x v="1"/>
    <x v="1"/>
    <x v="1"/>
    <n v="0"/>
    <x v="0"/>
    <x v="0"/>
    <s v="No Support Contact"/>
    <s v="No"/>
    <s v="No Support Contact"/>
    <s v="Not Applicable"/>
    <m/>
    <s v="No drop-off"/>
    <n v="2"/>
    <n v="19"/>
    <n v="0"/>
    <x v="0"/>
    <n v="0"/>
    <n v="0"/>
    <n v="0"/>
    <n v="0"/>
  </r>
  <r>
    <x v="367"/>
    <s v="USR-00363"/>
    <s v="SES-2601-59025"/>
    <x v="265"/>
    <s v="Wales"/>
    <s v="Cardiff"/>
    <x v="0"/>
    <x v="2"/>
    <x v="0"/>
    <s v="Android"/>
    <s v="Android Phone"/>
    <s v="7-12 months"/>
    <x v="5"/>
    <x v="0"/>
    <x v="3"/>
    <s v="First Use"/>
    <s v="No Experiment"/>
    <s v="Control"/>
    <n v="6"/>
    <n v="4"/>
    <n v="306"/>
    <s v="Yes"/>
    <x v="1"/>
    <x v="0"/>
    <x v="2"/>
    <x v="1"/>
    <n v="0"/>
    <x v="0"/>
    <x v="0"/>
    <s v="No Support Contact"/>
    <s v="No"/>
    <s v="No Support Contact"/>
    <s v="Not Applicable"/>
    <m/>
    <s v="Too many steps"/>
    <n v="3"/>
    <n v="-33"/>
    <n v="0"/>
    <x v="0"/>
    <n v="0"/>
    <n v="0"/>
    <n v="1"/>
    <n v="0"/>
  </r>
  <r>
    <x v="368"/>
    <s v="USR-00014"/>
    <s v="SES-2605-46008"/>
    <x v="266"/>
    <s v="Scotland"/>
    <s v="Dundee"/>
    <x v="0"/>
    <x v="3"/>
    <x v="1"/>
    <s v="Ios"/>
    <s v="Iphone"/>
    <s v="2+ years"/>
    <x v="2"/>
    <x v="2"/>
    <x v="5"/>
    <s v="First Use"/>
    <s v="Simplified Onboarding"/>
    <s v="Treatment"/>
    <n v="8"/>
    <n v="8"/>
    <n v="205"/>
    <s v="No"/>
    <x v="0"/>
    <x v="1"/>
    <x v="1"/>
    <x v="0"/>
    <n v="357.29"/>
    <x v="49"/>
    <x v="2"/>
    <s v="Fees And Pricing"/>
    <s v="Yes"/>
    <s v="Fees And Pricing"/>
    <s v="Resolved"/>
    <n v="19"/>
    <s v="No drop-off"/>
    <n v="4"/>
    <n v="7"/>
    <s v="0 days"/>
    <x v="1"/>
    <n v="1"/>
    <n v="1"/>
    <n v="0"/>
    <n v="1"/>
  </r>
  <r>
    <x v="369"/>
    <s v="USR-00322"/>
    <s v="SES-2508-73315"/>
    <x v="267"/>
    <s v="South East"/>
    <s v="Reading"/>
    <x v="3"/>
    <x v="2"/>
    <x v="0"/>
    <s v="Ios"/>
    <s v="Iphone"/>
    <s v="1-2 years"/>
    <x v="0"/>
    <x v="2"/>
    <x v="9"/>
    <s v="Repeat Use"/>
    <s v="Progress Indicator"/>
    <s v="Treatment"/>
    <n v="5"/>
    <n v="5"/>
    <n v="116"/>
    <s v="No"/>
    <x v="0"/>
    <x v="1"/>
    <x v="1"/>
    <x v="0"/>
    <n v="145.80000000000001"/>
    <x v="0"/>
    <x v="0"/>
    <s v="No Support Contact"/>
    <s v="No"/>
    <s v="No Support Contact"/>
    <s v="Not Applicable"/>
    <m/>
    <s v="No drop-off"/>
    <n v="4"/>
    <n v="53"/>
    <n v="9"/>
    <x v="1"/>
    <n v="1"/>
    <n v="1"/>
    <n v="0"/>
    <n v="1"/>
  </r>
  <r>
    <x v="370"/>
    <s v="USR-00440"/>
    <s v="SES-2605-57060"/>
    <x v="268"/>
    <s v="North East"/>
    <s v="Sunderland"/>
    <x v="5"/>
    <x v="2"/>
    <x v="0"/>
    <s v="Android"/>
    <s v="Android Phone"/>
    <s v="&lt;3 months"/>
    <x v="1"/>
    <x v="1"/>
    <x v="3"/>
    <s v="Reactivated"/>
    <s v="New Cta Copy"/>
    <s v="Treatment"/>
    <n v="6"/>
    <n v="6"/>
    <n v="142"/>
    <s v="No"/>
    <x v="1"/>
    <x v="1"/>
    <x v="1"/>
    <x v="1"/>
    <n v="0"/>
    <x v="0"/>
    <x v="0"/>
    <s v="No Support Contact"/>
    <s v="No"/>
    <s v="No Support Contact"/>
    <s v="Not Applicable"/>
    <m/>
    <s v="Verification took too long"/>
    <n v="4"/>
    <n v="50"/>
    <n v="37"/>
    <x v="0"/>
    <n v="0"/>
    <n v="0"/>
    <n v="0"/>
    <n v="0"/>
  </r>
  <r>
    <x v="371"/>
    <s v="USR-00717"/>
    <s v="SES-2504-66653"/>
    <x v="236"/>
    <s v="Scotland"/>
    <s v="Edinburgh"/>
    <x v="4"/>
    <x v="1"/>
    <x v="0"/>
    <s v="Web"/>
    <s v="Desktop"/>
    <s v="1-2 years"/>
    <x v="2"/>
    <x v="3"/>
    <x v="1"/>
    <s v="Repeat Use"/>
    <s v="Fee Transparency Panel"/>
    <s v="Treatment"/>
    <n v="4"/>
    <n v="2"/>
    <n v="118"/>
    <s v="Yes"/>
    <x v="0"/>
    <x v="1"/>
    <x v="1"/>
    <x v="0"/>
    <n v="192.46"/>
    <x v="25"/>
    <x v="2"/>
    <s v="Other"/>
    <s v="Yes"/>
    <s v="Other"/>
    <s v="Resolved"/>
    <n v="48"/>
    <s v="No drop-off"/>
    <n v="3"/>
    <n v="18"/>
    <n v="13"/>
    <x v="1"/>
    <n v="1"/>
    <n v="1"/>
    <n v="0"/>
    <n v="1"/>
  </r>
  <r>
    <x v="372"/>
    <s v="USR-00674"/>
    <s v="SES-2505-47362"/>
    <x v="26"/>
    <s v="East Midlands"/>
    <s v="Derby"/>
    <x v="1"/>
    <x v="3"/>
    <x v="1"/>
    <s v="Android"/>
    <s v="Android Phone"/>
    <s v="&lt;3 months"/>
    <x v="0"/>
    <x v="3"/>
    <x v="5"/>
    <s v="Repeat Use"/>
    <s v="New Cta Copy"/>
    <s v="Control"/>
    <s v="8 steps"/>
    <n v="8"/>
    <n v="206"/>
    <s v="No"/>
    <x v="1"/>
    <x v="0"/>
    <x v="24"/>
    <x v="1"/>
    <n v="0"/>
    <x v="0"/>
    <x v="0"/>
    <s v="Transaction Failure"/>
    <s v="Yes"/>
    <s v="Transaction Failure"/>
    <s v="Resolved"/>
    <n v="6"/>
    <s v="No drop-off"/>
    <n v="3"/>
    <n v="18"/>
    <s v="4 days"/>
    <x v="0"/>
    <n v="0"/>
    <n v="0"/>
    <n v="1"/>
    <n v="0"/>
  </r>
  <r>
    <x v="373"/>
    <s v="USR-00006"/>
    <s v="SES-2602-88575"/>
    <x v="269"/>
    <s v="South West"/>
    <s v="Gloucester"/>
    <x v="5"/>
    <x v="0"/>
    <x v="0"/>
    <s v="Android"/>
    <s v="Android Tablet"/>
    <s v="3-6 months"/>
    <x v="0"/>
    <x v="2"/>
    <x v="7"/>
    <s v="Repeat Use"/>
    <s v="Progress Indicator"/>
    <s v="Treatment"/>
    <n v="4"/>
    <n v="3"/>
    <n v="148"/>
    <s v="Yes"/>
    <x v="0"/>
    <x v="1"/>
    <x v="1"/>
    <x v="0"/>
    <n v="141.78"/>
    <x v="50"/>
    <x v="0"/>
    <s v="No Support Contact"/>
    <s v="No"/>
    <s v="No Support Contact"/>
    <s v="Not Applicable"/>
    <m/>
    <s v="No drop-off"/>
    <n v="4"/>
    <n v="28"/>
    <n v="20"/>
    <x v="1"/>
    <n v="1"/>
    <n v="1"/>
    <n v="0"/>
    <n v="1"/>
  </r>
  <r>
    <x v="374"/>
    <s v="USR-00340"/>
    <s v="SES-2508-45210"/>
    <x v="42"/>
    <s v="Wales"/>
    <s v="Swansea"/>
    <x v="5"/>
    <x v="0"/>
    <x v="0"/>
    <s v="Android"/>
    <s v="Android Phone"/>
    <s v="7-12 months"/>
    <x v="0"/>
    <x v="2"/>
    <x v="0"/>
    <s v="Repeat Use"/>
    <s v="No Experiment"/>
    <s v="Control"/>
    <n v="7"/>
    <n v="6"/>
    <n v="191"/>
    <s v="Yes"/>
    <x v="1"/>
    <x v="1"/>
    <x v="1"/>
    <x v="0"/>
    <n v="24.05"/>
    <x v="0"/>
    <x v="0"/>
    <s v="No Support Contact"/>
    <s v="No"/>
    <s v="No Support Contact"/>
    <s v="Not Applicable"/>
    <m/>
    <s v="Privacy concern"/>
    <n v="2"/>
    <n v="-21"/>
    <n v="17"/>
    <x v="1"/>
    <n v="0"/>
    <n v="1"/>
    <n v="0"/>
    <n v="1"/>
  </r>
  <r>
    <x v="375"/>
    <s v="USR-00425"/>
    <s v="SES-2511-16066"/>
    <x v="132"/>
    <s v="South East"/>
    <s v="Canterbury"/>
    <x v="3"/>
    <x v="5"/>
    <x v="1"/>
    <s v="Android"/>
    <s v="Android Phone"/>
    <s v="&lt;3 months"/>
    <x v="0"/>
    <x v="7"/>
    <x v="4"/>
    <s v="First Use"/>
    <s v="No Experiment"/>
    <s v="Control"/>
    <n v="6"/>
    <n v="5"/>
    <n v="190"/>
    <s v="Yes"/>
    <x v="1"/>
    <x v="1"/>
    <x v="1"/>
    <x v="1"/>
    <n v="0"/>
    <x v="0"/>
    <x v="0"/>
    <s v="No Support Contact"/>
    <s v="No"/>
    <s v="No Support Contact"/>
    <s v="Not Applicable"/>
    <m/>
    <s v="Instructions unclear"/>
    <n v="3"/>
    <n v="-1"/>
    <n v="0"/>
    <x v="0"/>
    <n v="0"/>
    <n v="0"/>
    <n v="0"/>
    <n v="0"/>
  </r>
  <r>
    <x v="376"/>
    <s v="USR-00303"/>
    <s v="SES-2603-46257"/>
    <x v="270"/>
    <s v="Northern Ireland"/>
    <s v="Newry"/>
    <x v="1"/>
    <x v="3"/>
    <x v="2"/>
    <s v="Ios"/>
    <s v="Iphone"/>
    <s v="3-6 months"/>
    <x v="2"/>
    <x v="5"/>
    <x v="5"/>
    <s v="Repeat Use"/>
    <s v="No Experiment"/>
    <s v="Control"/>
    <s v="8 steps"/>
    <n v="8"/>
    <n v="215"/>
    <s v="No"/>
    <x v="0"/>
    <x v="0"/>
    <x v="7"/>
    <x v="1"/>
    <n v="0"/>
    <x v="0"/>
    <x v="0"/>
    <s v="Other"/>
    <s v="Yes"/>
    <s v="Other"/>
    <s v="Resolved"/>
    <n v="20"/>
    <s v="No drop-off"/>
    <n v="3"/>
    <n v="-40"/>
    <n v="45"/>
    <x v="1"/>
    <n v="1"/>
    <n v="0"/>
    <n v="1"/>
    <n v="1"/>
  </r>
  <r>
    <x v="377"/>
    <s v="USR-00447"/>
    <s v="SES-2605-81712"/>
    <x v="271"/>
    <s v="East Midlands"/>
    <s v="Derby"/>
    <x v="2"/>
    <x v="3"/>
    <x v="0"/>
    <s v="Web"/>
    <s v="Desktop"/>
    <s v="1-2 years"/>
    <x v="0"/>
    <x v="2"/>
    <x v="2"/>
    <s v="Repeat Use"/>
    <s v="Simplified Onboarding"/>
    <s v="Control"/>
    <n v="5"/>
    <n v="5"/>
    <n v="93"/>
    <s v="No"/>
    <x v="0"/>
    <x v="1"/>
    <x v="1"/>
    <x v="0"/>
    <n v="31.18"/>
    <x v="0"/>
    <x v="0"/>
    <s v="No Support Contact"/>
    <s v="No"/>
    <s v="No Support Contact"/>
    <s v="Not Applicable"/>
    <m/>
    <s v="No drop-off"/>
    <n v="4"/>
    <n v="24"/>
    <n v="40"/>
    <x v="1"/>
    <n v="1"/>
    <n v="1"/>
    <n v="0"/>
    <n v="1"/>
  </r>
  <r>
    <x v="378"/>
    <s v="USR-00346"/>
    <s v="SES-2503-28088"/>
    <x v="259"/>
    <s v="Scotland"/>
    <s v="Dundee"/>
    <x v="3"/>
    <x v="0"/>
    <x v="0"/>
    <s v="Web"/>
    <s v="Desktop"/>
    <s v="7-12 months"/>
    <x v="0"/>
    <x v="4"/>
    <x v="5"/>
    <s v="Repeat Use"/>
    <s v="No Experiment"/>
    <s v="Control"/>
    <n v="8"/>
    <n v="8"/>
    <n v="212"/>
    <s v="No"/>
    <x v="1"/>
    <x v="1"/>
    <x v="1"/>
    <x v="1"/>
    <n v="0"/>
    <x v="0"/>
    <x v="0"/>
    <s v="No Support Contact"/>
    <s v="No"/>
    <s v="No Support Contact"/>
    <s v="Not Applicable"/>
    <m/>
    <s v="Technical error"/>
    <n v="3"/>
    <n v="19"/>
    <n v="26"/>
    <x v="0"/>
    <n v="0"/>
    <n v="0"/>
    <n v="0"/>
    <n v="0"/>
  </r>
  <r>
    <x v="379"/>
    <s v="USR-00179"/>
    <s v="SES-2507-55207"/>
    <x v="272"/>
    <s v="South West"/>
    <s v="Plymouth"/>
    <x v="7"/>
    <x v="1"/>
    <x v="1"/>
    <s v="Android"/>
    <s v="Android Phone"/>
    <s v="&lt;3 months"/>
    <x v="1"/>
    <x v="2"/>
    <x v="2"/>
    <s v="Repeat Use"/>
    <s v="No Experiment"/>
    <s v="Control"/>
    <n v="5"/>
    <n v="4"/>
    <n v="183"/>
    <s v="Yes"/>
    <x v="1"/>
    <x v="1"/>
    <x v="1"/>
    <x v="0"/>
    <n v="140.65"/>
    <x v="0"/>
    <x v="1"/>
    <s v="No Support Contact"/>
    <s v="No"/>
    <s v="No Support Contact"/>
    <s v="Not Applicable"/>
    <m/>
    <s v="Privacy concern"/>
    <n v="4"/>
    <n v="47"/>
    <n v="1"/>
    <x v="0"/>
    <n v="0"/>
    <n v="1"/>
    <n v="0"/>
    <n v="0"/>
  </r>
  <r>
    <x v="380"/>
    <s v="USR-00250"/>
    <s v="SES-2512-26074"/>
    <x v="273"/>
    <s v="Yorkshire &amp; Humber"/>
    <s v="Sheffield"/>
    <x v="2"/>
    <x v="3"/>
    <x v="0"/>
    <s v="Android"/>
    <s v="Android Phone"/>
    <s v="&lt;3 months"/>
    <x v="0"/>
    <x v="1"/>
    <x v="1"/>
    <s v="First Use"/>
    <s v="No Experiment"/>
    <s v="Control"/>
    <n v="4"/>
    <n v="4"/>
    <n v="97"/>
    <s v="No"/>
    <x v="0"/>
    <x v="1"/>
    <x v="1"/>
    <x v="0"/>
    <n v="138.37"/>
    <x v="6"/>
    <x v="0"/>
    <s v="No Support Contact"/>
    <s v="No"/>
    <s v="No Support Contact"/>
    <s v="Not Applicable"/>
    <m/>
    <s v="No drop-off"/>
    <n v="3"/>
    <n v="-17"/>
    <n v="0"/>
    <x v="1"/>
    <n v="1"/>
    <n v="1"/>
    <n v="0"/>
    <n v="1"/>
  </r>
  <r>
    <x v="381"/>
    <s v="USR-00062"/>
    <s v="SES-2503-59936"/>
    <x v="274"/>
    <s v="London"/>
    <s v="Southwark"/>
    <x v="5"/>
    <x v="1"/>
    <x v="1"/>
    <s v="Ios"/>
    <s v="Iphone"/>
    <s v="1-2 years"/>
    <x v="0"/>
    <x v="4"/>
    <x v="2"/>
    <s v="Repeat Use"/>
    <s v="No Experiment"/>
    <s v="Control"/>
    <n v="5"/>
    <n v="4"/>
    <n v="186"/>
    <s v="Yes"/>
    <x v="0"/>
    <x v="1"/>
    <x v="1"/>
    <x v="1"/>
    <n v="0"/>
    <x v="0"/>
    <x v="0"/>
    <s v="No Support Contact"/>
    <s v="No"/>
    <s v="No Support Contact"/>
    <s v="Not Applicable"/>
    <m/>
    <s v="No drop-off"/>
    <n v="4"/>
    <n v="-7"/>
    <n v="25"/>
    <x v="1"/>
    <n v="1"/>
    <n v="0"/>
    <n v="0"/>
    <n v="1"/>
  </r>
  <r>
    <x v="382"/>
    <s v="USR-00336"/>
    <s v="SES-2503-30254"/>
    <x v="274"/>
    <s v="Northern Ireland"/>
    <s v="Derry"/>
    <x v="5"/>
    <x v="1"/>
    <x v="0"/>
    <s v="Android"/>
    <s v="Android Phone"/>
    <s v="1-2 years"/>
    <x v="2"/>
    <x v="4"/>
    <x v="0"/>
    <s v="Repeat Use"/>
    <s v="No Experiment"/>
    <s v="Control"/>
    <n v="7"/>
    <n v="7"/>
    <n v="194"/>
    <s v="No"/>
    <x v="0"/>
    <x v="1"/>
    <x v="1"/>
    <x v="0"/>
    <n v="0"/>
    <x v="0"/>
    <x v="2"/>
    <s v="No Support Contact"/>
    <s v="No"/>
    <s v="No Support Contact"/>
    <s v="Not Applicable"/>
    <m/>
    <s v="No drop-off"/>
    <n v="4"/>
    <n v="33"/>
    <n v="-5"/>
    <x v="1"/>
    <n v="1"/>
    <n v="1"/>
    <n v="0"/>
    <n v="1"/>
  </r>
  <r>
    <x v="383"/>
    <s v="USR-00547"/>
    <s v="SES-2504-70484"/>
    <x v="236"/>
    <s v="Northern Ireland"/>
    <s v="Newry"/>
    <x v="0"/>
    <x v="2"/>
    <x v="0"/>
    <s v="Android"/>
    <s v="Android Phone"/>
    <s v="1-2 years"/>
    <x v="0"/>
    <x v="6"/>
    <x v="0"/>
    <s v="Repeat Use"/>
    <s v="Progress Indicator"/>
    <s v="Control"/>
    <n v="7"/>
    <n v="5"/>
    <n v="256"/>
    <s v="Yes"/>
    <x v="1"/>
    <x v="1"/>
    <x v="1"/>
    <x v="1"/>
    <n v="0"/>
    <x v="51"/>
    <x v="0"/>
    <s v="Feature Navigation"/>
    <s v="Yes"/>
    <s v="Feature Navigation"/>
    <s v="Resolved"/>
    <n v="9"/>
    <s v="Too many steps"/>
    <n v="2"/>
    <n v="-22"/>
    <n v="13"/>
    <x v="1"/>
    <n v="0"/>
    <n v="0"/>
    <n v="0"/>
    <n v="1"/>
  </r>
  <r>
    <x v="384"/>
    <s v="USR-00209"/>
    <s v="SES-2503-97808"/>
    <x v="275"/>
    <s v="Scotland"/>
    <s v="Glasgow"/>
    <x v="5"/>
    <x v="2"/>
    <x v="0"/>
    <s v="Android"/>
    <s v="Android Phone"/>
    <s v="2+ years"/>
    <x v="1"/>
    <x v="1"/>
    <x v="1"/>
    <s v="Trial/Exploration"/>
    <s v="No Experiment"/>
    <s v="Control"/>
    <n v="4"/>
    <n v="4"/>
    <n v="120"/>
    <s v="No"/>
    <x v="0"/>
    <x v="1"/>
    <x v="1"/>
    <x v="0"/>
    <n v="142.9"/>
    <x v="7"/>
    <x v="1"/>
    <s v="No Support Contact"/>
    <s v="No"/>
    <s v="No Support Contact"/>
    <s v="Not Applicable"/>
    <m/>
    <s v="No drop-off"/>
    <n v="4"/>
    <n v="34"/>
    <n v="1"/>
    <x v="1"/>
    <n v="1"/>
    <n v="1"/>
    <n v="0"/>
    <n v="1"/>
  </r>
  <r>
    <x v="385"/>
    <s v="USR-00628"/>
    <s v="SES-2501-64104"/>
    <x v="219"/>
    <s v="West Midlands"/>
    <s v="Solihull"/>
    <x v="5"/>
    <x v="0"/>
    <x v="1"/>
    <s v="Web"/>
    <s v="Mobile Browser"/>
    <s v="7-12 months"/>
    <x v="0"/>
    <x v="5"/>
    <x v="1"/>
    <s v="First Use"/>
    <s v="Fee Transparency Panel"/>
    <s v="Treatment"/>
    <s v="4 steps"/>
    <n v="4"/>
    <n v="89"/>
    <s v="No"/>
    <x v="0"/>
    <x v="1"/>
    <x v="1"/>
    <x v="0"/>
    <n v="153.44999999999999"/>
    <x v="15"/>
    <x v="0"/>
    <s v="No Support Contact"/>
    <s v="No"/>
    <s v="No Support Contact"/>
    <s v="Not Applicable"/>
    <m/>
    <s v="No drop-off"/>
    <n v="5"/>
    <n v="17"/>
    <n v="0"/>
    <x v="1"/>
    <n v="1"/>
    <n v="1"/>
    <n v="0"/>
    <n v="1"/>
  </r>
  <r>
    <x v="386"/>
    <s v="USR-00209"/>
    <s v="SES-2503-25443"/>
    <x v="168"/>
    <s v="Northern Ireland"/>
    <s v="Derry"/>
    <x v="1"/>
    <x v="0"/>
    <x v="1"/>
    <s v="Android"/>
    <s v="Android Phone"/>
    <s v="3-6 months"/>
    <x v="0"/>
    <x v="2"/>
    <x v="3"/>
    <s v="First Use"/>
    <s v="Simplified Onboarding"/>
    <s v="Treatment"/>
    <n v="6"/>
    <n v="6"/>
    <n v="183"/>
    <s v="No"/>
    <x v="0"/>
    <x v="1"/>
    <x v="1"/>
    <x v="0"/>
    <n v="0"/>
    <x v="5"/>
    <x v="0"/>
    <s v="No Support Contact"/>
    <s v="No"/>
    <s v="No Support Contact"/>
    <s v="Not Applicable"/>
    <m/>
    <s v="No drop-off"/>
    <n v="5"/>
    <n v="37"/>
    <n v="0"/>
    <x v="1"/>
    <n v="1"/>
    <n v="1"/>
    <n v="0"/>
    <n v="1"/>
  </r>
  <r>
    <x v="387"/>
    <s v="USR-00453"/>
    <s v="SES-2605-61575"/>
    <x v="276"/>
    <s v="North East"/>
    <s v="Middlesbrough"/>
    <x v="1"/>
    <x v="0"/>
    <x v="0"/>
    <s v="Android"/>
    <s v="Android Phone"/>
    <s v="7-12 months"/>
    <x v="1"/>
    <x v="2"/>
    <x v="1"/>
    <s v="Repeat Use"/>
    <s v="No Experiment"/>
    <s v="Control"/>
    <s v="4 steps"/>
    <n v="4"/>
    <n v="126"/>
    <s v="No"/>
    <x v="0"/>
    <x v="1"/>
    <x v="1"/>
    <x v="0"/>
    <n v="141.36000000000001"/>
    <x v="25"/>
    <x v="1"/>
    <s v="Feature Navigation"/>
    <s v="Yes"/>
    <s v="Feature Navigation"/>
    <s v="Resolved"/>
    <n v="26"/>
    <s v="No drop-off"/>
    <n v="5"/>
    <n v="-19"/>
    <n v="50"/>
    <x v="1"/>
    <n v="1"/>
    <n v="1"/>
    <n v="0"/>
    <n v="1"/>
  </r>
  <r>
    <x v="388"/>
    <s v="USR-00584"/>
    <s v="SES-2511-17674"/>
    <x v="277"/>
    <s v="South West"/>
    <s v="Plymouth"/>
    <x v="0"/>
    <x v="2"/>
    <x v="1"/>
    <s v="Android"/>
    <s v="Android Phone"/>
    <s v="&lt;3 months"/>
    <x v="0"/>
    <x v="1"/>
    <x v="5"/>
    <s v="Repeat Use"/>
    <s v="No Experiment"/>
    <s v="Control"/>
    <n v="8"/>
    <n v="8"/>
    <n v="171"/>
    <s v="No"/>
    <x v="0"/>
    <x v="1"/>
    <x v="1"/>
    <x v="0"/>
    <n v="487.51"/>
    <x v="52"/>
    <x v="0"/>
    <s v="Account Verification"/>
    <s v="Yes"/>
    <s v="Account Verification"/>
    <s v="Resolved"/>
    <n v="44"/>
    <s v="No drop-off"/>
    <n v="3"/>
    <n v="4"/>
    <n v="68"/>
    <x v="1"/>
    <n v="1"/>
    <n v="1"/>
    <n v="0"/>
    <n v="1"/>
  </r>
  <r>
    <x v="389"/>
    <s v="USR-00436"/>
    <s v="SES-2506-67953"/>
    <x v="180"/>
    <s v="South West"/>
    <s v="Bristol"/>
    <x v="5"/>
    <x v="4"/>
    <x v="1"/>
    <s v="Ios"/>
    <s v="Iphone"/>
    <s v="7-12 months"/>
    <x v="1"/>
    <x v="1"/>
    <x v="9"/>
    <s v="Reactivated"/>
    <s v="No Experiment"/>
    <s v="Control"/>
    <n v="5"/>
    <n v="5"/>
    <n v="103"/>
    <s v="No"/>
    <x v="0"/>
    <x v="1"/>
    <x v="1"/>
    <x v="0"/>
    <n v="58.87"/>
    <x v="0"/>
    <x v="1"/>
    <s v="Account Verification"/>
    <s v="Yes"/>
    <s v="Account Verification"/>
    <s v="Resolved"/>
    <n v="23"/>
    <s v="No drop-off"/>
    <n v="5"/>
    <n v="67"/>
    <n v="41"/>
    <x v="1"/>
    <n v="1"/>
    <n v="1"/>
    <n v="0"/>
    <n v="1"/>
  </r>
  <r>
    <x v="390"/>
    <s v="USR-00473"/>
    <s v="SES-2507-29398"/>
    <x v="237"/>
    <s v="Wales"/>
    <s v="Swansea"/>
    <x v="2"/>
    <x v="2"/>
    <x v="0"/>
    <s v="Web"/>
    <s v="Mobile Browser"/>
    <s v="3-6 months"/>
    <x v="1"/>
    <x v="7"/>
    <x v="7"/>
    <s v="First Use"/>
    <s v="Simplified Onboarding"/>
    <s v="Control"/>
    <n v="4"/>
    <n v="4"/>
    <n v="112"/>
    <s v="No"/>
    <x v="0"/>
    <x v="1"/>
    <x v="1"/>
    <x v="0"/>
    <n v="71.64"/>
    <x v="20"/>
    <x v="1"/>
    <s v="No Support Contact"/>
    <s v="No"/>
    <s v="No Support Contact"/>
    <s v="Not Applicable"/>
    <m/>
    <s v="No drop-off"/>
    <n v="4"/>
    <n v="40"/>
    <n v="0"/>
    <x v="1"/>
    <n v="1"/>
    <n v="1"/>
    <n v="0"/>
    <n v="1"/>
  </r>
  <r>
    <x v="391"/>
    <s v="USR-00740"/>
    <s v="SES-2604-90888"/>
    <x v="278"/>
    <s v="South West"/>
    <s v="Bath"/>
    <x v="5"/>
    <x v="3"/>
    <x v="1"/>
    <s v="Ios"/>
    <s v="Iphone"/>
    <s v="2+ years"/>
    <x v="0"/>
    <x v="5"/>
    <x v="7"/>
    <s v="Repeat Use"/>
    <s v="Fee Transparency Panel"/>
    <s v="Control"/>
    <n v="4"/>
    <n v="4"/>
    <n v="97"/>
    <s v="No"/>
    <x v="0"/>
    <x v="1"/>
    <x v="1"/>
    <x v="0"/>
    <n v="97.2"/>
    <x v="28"/>
    <x v="0"/>
    <s v="No Support Contact"/>
    <s v="No"/>
    <s v="No Support Contact"/>
    <s v="Not Applicable"/>
    <m/>
    <s v="No drop-off"/>
    <n v="5"/>
    <n v="30"/>
    <n v="28"/>
    <x v="1"/>
    <n v="1"/>
    <n v="1"/>
    <n v="0"/>
    <n v="1"/>
  </r>
  <r>
    <x v="392"/>
    <s v="USR-00832"/>
    <s v="SES-2602-95110"/>
    <x v="263"/>
    <s v="East England"/>
    <s v="Norwich"/>
    <x v="2"/>
    <x v="3"/>
    <x v="0"/>
    <s v="Android"/>
    <s v="Android Tablet"/>
    <s v="7-12 months"/>
    <x v="0"/>
    <x v="2"/>
    <x v="1"/>
    <s v="Repeat Use"/>
    <s v="Simplified Onboarding"/>
    <s v="Control"/>
    <n v="4"/>
    <n v="4"/>
    <n v="75"/>
    <s v="No"/>
    <x v="0"/>
    <x v="1"/>
    <x v="1"/>
    <x v="0"/>
    <n v="152.51"/>
    <x v="1"/>
    <x v="0"/>
    <s v="No Support Contact"/>
    <s v="No"/>
    <s v="No Support Contact"/>
    <s v="Not Applicable"/>
    <m/>
    <s v="No drop-off"/>
    <n v="3"/>
    <n v="25"/>
    <n v="34"/>
    <x v="1"/>
    <n v="1"/>
    <n v="1"/>
    <n v="0"/>
    <n v="1"/>
  </r>
  <r>
    <x v="393"/>
    <s v="USR-00184"/>
    <s v="SES-2509-89421"/>
    <x v="148"/>
    <s v="East England"/>
    <s v="Norwich"/>
    <x v="0"/>
    <x v="2"/>
    <x v="1"/>
    <s v="Ios"/>
    <s v="Iphone"/>
    <s v="1-2 years"/>
    <x v="0"/>
    <x v="5"/>
    <x v="0"/>
    <s v="Repeat Use"/>
    <s v="No Experiment"/>
    <s v="Control"/>
    <n v="7"/>
    <n v="7"/>
    <n v="162"/>
    <s v="No"/>
    <x v="0"/>
    <x v="1"/>
    <x v="1"/>
    <x v="1"/>
    <n v="0"/>
    <x v="0"/>
    <x v="0"/>
    <s v="No Support Contact"/>
    <s v="No"/>
    <s v="No Support Contact"/>
    <s v="Not Applicable"/>
    <m/>
    <s v="No drop-off"/>
    <n v="5"/>
    <n v="31"/>
    <n v="24"/>
    <x v="1"/>
    <n v="1"/>
    <n v="0"/>
    <n v="0"/>
    <n v="1"/>
  </r>
  <r>
    <x v="394"/>
    <s v="USR-00013"/>
    <s v="SES-2603-64105"/>
    <x v="279"/>
    <s v="East England"/>
    <s v="Ipswich"/>
    <x v="0"/>
    <x v="0"/>
    <x v="0"/>
    <s v="Web"/>
    <s v="Desktop"/>
    <s v="&lt;3 months"/>
    <x v="0"/>
    <x v="7"/>
    <x v="2"/>
    <s v="First Use"/>
    <s v="Progress Indicator"/>
    <s v="Control"/>
    <n v="5"/>
    <n v="5"/>
    <n v="126"/>
    <s v="No"/>
    <x v="1"/>
    <x v="1"/>
    <x v="1"/>
    <x v="0"/>
    <n v="92.25"/>
    <x v="0"/>
    <x v="0"/>
    <s v="No Support Contact"/>
    <s v="No"/>
    <s v="No Support Contact"/>
    <s v="Not Applicable"/>
    <m/>
    <s v="Verification took too long"/>
    <n v="4"/>
    <n v="33"/>
    <n v="0"/>
    <x v="1"/>
    <n v="0"/>
    <n v="1"/>
    <n v="0"/>
    <n v="1"/>
  </r>
  <r>
    <x v="395"/>
    <s v="USR-00056"/>
    <s v="SES-2507-18550"/>
    <x v="280"/>
    <s v="North West"/>
    <s v="Preston"/>
    <x v="3"/>
    <x v="3"/>
    <x v="1"/>
    <s v="Android"/>
    <s v="Android Phone"/>
    <s v="7-12 months"/>
    <x v="0"/>
    <x v="3"/>
    <x v="5"/>
    <s v="Trial/Exploration"/>
    <s v="No Experiment"/>
    <s v="Control"/>
    <n v="8"/>
    <n v="8"/>
    <n v="236"/>
    <s v="No"/>
    <x v="1"/>
    <x v="0"/>
    <x v="24"/>
    <x v="1"/>
    <n v="0"/>
    <x v="0"/>
    <x v="0"/>
    <s v="No Support Contact"/>
    <s v="No"/>
    <s v="No Support Contact"/>
    <s v="Not Applicable"/>
    <m/>
    <s v="Unexpected fee"/>
    <n v="2"/>
    <n v="-29"/>
    <n v="1"/>
    <x v="0"/>
    <n v="0"/>
    <n v="0"/>
    <n v="1"/>
    <n v="0"/>
  </r>
  <r>
    <x v="396"/>
    <s v="USR-00456"/>
    <s v="SES-2512-19925"/>
    <x v="176"/>
    <s v="East Midlands"/>
    <s v="Lincoln"/>
    <x v="3"/>
    <x v="2"/>
    <x v="0"/>
    <s v="Ios"/>
    <s v="Iphone"/>
    <s v="2+ years"/>
    <x v="0"/>
    <x v="5"/>
    <x v="4"/>
    <s v="Reactivated"/>
    <s v="Progress Indicator"/>
    <s v="Control"/>
    <n v="6"/>
    <n v="6"/>
    <n v="236"/>
    <s v="No"/>
    <x v="0"/>
    <x v="0"/>
    <x v="25"/>
    <x v="1"/>
    <n v="0"/>
    <x v="0"/>
    <x v="0"/>
    <s v="No Support Contact"/>
    <s v="No"/>
    <s v="No Support Contact"/>
    <s v="Not Applicable"/>
    <m/>
    <s v="No drop-off"/>
    <n v="3"/>
    <n v="10"/>
    <n v="60"/>
    <x v="1"/>
    <n v="1"/>
    <n v="0"/>
    <n v="1"/>
    <n v="1"/>
  </r>
  <r>
    <x v="397"/>
    <s v="USR-00265"/>
    <s v="SES-2601-49356"/>
    <x v="281"/>
    <s v="Northern Ireland"/>
    <s v="Belfast"/>
    <x v="3"/>
    <x v="0"/>
    <x v="1"/>
    <s v="Web"/>
    <s v="Desktop"/>
    <s v="2+ years"/>
    <x v="0"/>
    <x v="0"/>
    <x v="0"/>
    <s v="Repeat Use"/>
    <s v="New Cta Copy"/>
    <s v="Treatment"/>
    <s v="7 steps"/>
    <n v="7"/>
    <n v="221"/>
    <s v="No"/>
    <x v="0"/>
    <x v="1"/>
    <x v="1"/>
    <x v="1"/>
    <n v="0"/>
    <x v="0"/>
    <x v="0"/>
    <s v="No Support Contact"/>
    <s v="No"/>
    <s v="No Support Contact"/>
    <s v="Not Applicable"/>
    <m/>
    <s v="No drop-off"/>
    <n v="4"/>
    <n v="7"/>
    <n v="16"/>
    <x v="0"/>
    <n v="1"/>
    <n v="0"/>
    <n v="0"/>
    <n v="0"/>
  </r>
  <r>
    <x v="398"/>
    <s v="USR-00510"/>
    <s v="SES-2501-71758"/>
    <x v="219"/>
    <s v="South East"/>
    <s v="Oxford"/>
    <x v="2"/>
    <x v="3"/>
    <x v="0"/>
    <s v="Web"/>
    <s v="Desktop"/>
    <s v="3-6 months"/>
    <x v="0"/>
    <x v="1"/>
    <x v="10"/>
    <s v="Repeat Use"/>
    <s v="New Cta Copy"/>
    <s v="Treatment"/>
    <n v="9"/>
    <n v="9"/>
    <n v="197"/>
    <s v="No"/>
    <x v="0"/>
    <x v="1"/>
    <x v="1"/>
    <x v="0"/>
    <n v="237.1"/>
    <x v="53"/>
    <x v="0"/>
    <s v="No Support Contact"/>
    <s v="No"/>
    <s v="No Support Contact"/>
    <s v="Not Applicable"/>
    <m/>
    <s v="No drop-off"/>
    <n v="3"/>
    <n v="36"/>
    <n v="55"/>
    <x v="0"/>
    <n v="1"/>
    <n v="1"/>
    <n v="0"/>
    <n v="0"/>
  </r>
  <r>
    <x v="399"/>
    <s v="USR-00477"/>
    <s v="SES-2603-87819"/>
    <x v="282"/>
    <s v="South West"/>
    <s v="Exeter"/>
    <x v="2"/>
    <x v="5"/>
    <x v="0"/>
    <s v="Android"/>
    <s v="Android Phone"/>
    <s v="7-12 months"/>
    <x v="0"/>
    <x v="4"/>
    <x v="1"/>
    <s v="Repeat Use"/>
    <s v="Progress Indicator"/>
    <s v="Treatment"/>
    <n v="4"/>
    <n v="4"/>
    <n v="89"/>
    <s v="No"/>
    <x v="0"/>
    <x v="1"/>
    <x v="1"/>
    <x v="0"/>
    <n v="171.17"/>
    <x v="1"/>
    <x v="0"/>
    <s v="No Support Contact"/>
    <s v="No"/>
    <s v="No Support Contact"/>
    <s v="Not Applicable"/>
    <m/>
    <s v="No drop-off"/>
    <n v="5"/>
    <n v="20"/>
    <n v="28"/>
    <x v="1"/>
    <n v="1"/>
    <n v="1"/>
    <n v="0"/>
    <n v="1"/>
  </r>
  <r>
    <x v="400"/>
    <s v="USR-00738"/>
    <s v="SES-2505-84303"/>
    <x v="72"/>
    <s v="East Midlands"/>
    <s v="Leicester"/>
    <x v="3"/>
    <x v="1"/>
    <x v="1"/>
    <s v="Ios"/>
    <s v="Iphone"/>
    <s v="7-12 months"/>
    <x v="1"/>
    <x v="5"/>
    <x v="4"/>
    <s v="Repeat Use"/>
    <s v="New Cta Copy"/>
    <s v="Control"/>
    <n v="6"/>
    <n v="4"/>
    <n v="244"/>
    <s v="Yes"/>
    <x v="1"/>
    <x v="1"/>
    <x v="1"/>
    <x v="1"/>
    <n v="0"/>
    <x v="0"/>
    <x v="0"/>
    <s v="Transaction Failure"/>
    <s v="Yes"/>
    <s v="Transaction Failure"/>
    <s v="Resolved"/>
    <n v="41"/>
    <s v="Instructions unclear"/>
    <n v="3"/>
    <n v="21"/>
    <n v="37"/>
    <x v="0"/>
    <n v="0"/>
    <n v="0"/>
    <n v="0"/>
    <n v="0"/>
  </r>
  <r>
    <x v="401"/>
    <s v="USR-00358"/>
    <s v="SES-2501-24537"/>
    <x v="283"/>
    <s v="East England"/>
    <s v="Luton"/>
    <x v="0"/>
    <x v="1"/>
    <x v="0"/>
    <s v="Android"/>
    <s v="Android Phone"/>
    <s v="7-12 months"/>
    <x v="2"/>
    <x v="5"/>
    <x v="2"/>
    <s v="Reactivated"/>
    <s v="Progress Indicator"/>
    <s v="Treatment"/>
    <s v="5 steps"/>
    <n v="5"/>
    <n v="101"/>
    <s v="No"/>
    <x v="0"/>
    <x v="1"/>
    <x v="1"/>
    <x v="0"/>
    <n v="117.03"/>
    <x v="0"/>
    <x v="2"/>
    <s v="No Support Contact"/>
    <s v="No"/>
    <s v="No Support Contact"/>
    <s v="Not Applicable"/>
    <m/>
    <s v="No drop-off"/>
    <n v="5"/>
    <n v="52"/>
    <n v="46"/>
    <x v="1"/>
    <n v="1"/>
    <n v="1"/>
    <n v="0"/>
    <n v="1"/>
  </r>
  <r>
    <x v="402"/>
    <s v="USR-00697"/>
    <s v="SES-2502-96617"/>
    <x v="147"/>
    <s v="North East"/>
    <s v="Middlesbrough"/>
    <x v="2"/>
    <x v="1"/>
    <x v="0"/>
    <s v="Ios"/>
    <s v="Ipad"/>
    <s v="1-2 years"/>
    <x v="1"/>
    <x v="1"/>
    <x v="9"/>
    <s v="Reactivated"/>
    <s v="Progress Indicator"/>
    <s v="Control"/>
    <n v="5"/>
    <s v="4 steps"/>
    <n v="178"/>
    <s v="Yes"/>
    <x v="1"/>
    <x v="1"/>
    <x v="1"/>
    <x v="1"/>
    <n v="0"/>
    <x v="0"/>
    <x v="0"/>
    <s v="No Support Contact"/>
    <s v="No"/>
    <s v="No Support Contact"/>
    <s v="Not Applicable"/>
    <m/>
    <s v="Privacy concern"/>
    <n v="2"/>
    <n v="54"/>
    <n v="31"/>
    <x v="0"/>
    <n v="0"/>
    <n v="0"/>
    <n v="0"/>
    <n v="0"/>
  </r>
  <r>
    <x v="403"/>
    <s v="USR-00088"/>
    <s v="SES-2511-82227"/>
    <x v="156"/>
    <s v="South East"/>
    <s v="Oxford"/>
    <x v="4"/>
    <x v="0"/>
    <x v="0"/>
    <s v="Ios"/>
    <s v="Ipad"/>
    <s v="7-12 months"/>
    <x v="1"/>
    <x v="1"/>
    <x v="2"/>
    <s v="First Use"/>
    <s v="No Experiment"/>
    <s v="Control"/>
    <n v="5"/>
    <n v="5"/>
    <n v="129"/>
    <s v="No"/>
    <x v="0"/>
    <x v="1"/>
    <x v="1"/>
    <x v="0"/>
    <n v="50.02"/>
    <x v="0"/>
    <x v="1"/>
    <s v="No Support Contact"/>
    <s v="No"/>
    <s v="No Support Contact"/>
    <s v="Not Applicable"/>
    <m/>
    <s v="No drop-off"/>
    <n v="4"/>
    <n v="16"/>
    <n v="0"/>
    <x v="0"/>
    <n v="1"/>
    <n v="1"/>
    <n v="0"/>
    <n v="0"/>
  </r>
  <r>
    <x v="404"/>
    <s v="USR-00550"/>
    <s v="SES-2505-38494"/>
    <x v="21"/>
    <s v="Northern Ireland"/>
    <s v="Derry"/>
    <x v="0"/>
    <x v="3"/>
    <x v="1"/>
    <s v="Web"/>
    <s v="Mobile Browser"/>
    <s v="3-6 months"/>
    <x v="0"/>
    <x v="4"/>
    <x v="9"/>
    <s v="Trial/Exploration"/>
    <s v="No Experiment"/>
    <s v="Control"/>
    <n v="5"/>
    <n v="5"/>
    <n v="96"/>
    <s v="No"/>
    <x v="0"/>
    <x v="1"/>
    <x v="1"/>
    <x v="0"/>
    <n v="156.19999999999999"/>
    <x v="0"/>
    <x v="0"/>
    <s v="No Support Contact"/>
    <s v="No"/>
    <s v="No Support Contact"/>
    <s v="Not Applicable"/>
    <m/>
    <s v="No drop-off"/>
    <n v="4"/>
    <n v="65"/>
    <n v="39"/>
    <x v="1"/>
    <n v="1"/>
    <n v="1"/>
    <n v="0"/>
    <n v="1"/>
  </r>
  <r>
    <x v="405"/>
    <s v="USR-00137"/>
    <s v="SES-2505-41127"/>
    <x v="72"/>
    <s v="Scotland"/>
    <s v="Edinburgh"/>
    <x v="4"/>
    <x v="0"/>
    <x v="0"/>
    <s v="Android"/>
    <s v="Android Phone"/>
    <s v="7-12 months"/>
    <x v="0"/>
    <x v="5"/>
    <x v="1"/>
    <s v="Repeat Use"/>
    <s v="No Experiment"/>
    <s v="Control"/>
    <n v="4"/>
    <s v="4 steps"/>
    <n v="87"/>
    <s v="No"/>
    <x v="0"/>
    <x v="1"/>
    <x v="1"/>
    <x v="1"/>
    <n v="0"/>
    <x v="0"/>
    <x v="0"/>
    <s v="No Support Contact"/>
    <s v="No"/>
    <s v="No Support Contact"/>
    <s v="Not Applicable"/>
    <m/>
    <s v="No drop-off"/>
    <n v="5"/>
    <n v="46"/>
    <n v="17"/>
    <x v="1"/>
    <n v="1"/>
    <n v="0"/>
    <n v="0"/>
    <n v="1"/>
  </r>
  <r>
    <x v="406"/>
    <s v="USR-00406"/>
    <s v="SES-2502-80648"/>
    <x v="9"/>
    <s v="East England"/>
    <s v="Luton"/>
    <x v="1"/>
    <x v="1"/>
    <x v="1"/>
    <s v="Android"/>
    <s v="Android Phone"/>
    <s v="2+ years"/>
    <x v="0"/>
    <x v="5"/>
    <x v="1"/>
    <s v="Reactivated"/>
    <s v="No Experiment"/>
    <s v="Control"/>
    <n v="4"/>
    <n v="2"/>
    <n v="174"/>
    <s v="Yes"/>
    <x v="0"/>
    <x v="1"/>
    <x v="1"/>
    <x v="0"/>
    <n v="80.790000000000006"/>
    <x v="1"/>
    <x v="0"/>
    <s v="No Support Contact"/>
    <s v="No"/>
    <s v="No Support Contact"/>
    <s v="Not Applicable"/>
    <m/>
    <s v="No drop-off"/>
    <n v="3"/>
    <n v="-3"/>
    <n v="12"/>
    <x v="1"/>
    <n v="1"/>
    <n v="1"/>
    <n v="0"/>
    <n v="1"/>
  </r>
  <r>
    <x v="407"/>
    <s v="USR-00454"/>
    <s v="SES-2509-16649"/>
    <x v="284"/>
    <s v="South West"/>
    <s v="Bath"/>
    <x v="0"/>
    <x v="0"/>
    <x v="0"/>
    <s v="Android"/>
    <s v="Android Phone"/>
    <s v="7-12 months"/>
    <x v="0"/>
    <x v="0"/>
    <x v="1"/>
    <s v="Repeat Use"/>
    <s v="Contextual Help"/>
    <s v="Control"/>
    <s v="4 steps"/>
    <n v="4"/>
    <n v="108"/>
    <s v="No"/>
    <x v="0"/>
    <x v="1"/>
    <x v="1"/>
    <x v="0"/>
    <n v="154.96"/>
    <x v="4"/>
    <x v="0"/>
    <s v="No Support Contact"/>
    <s v="No"/>
    <s v="No Support Contact"/>
    <s v="Not Applicable"/>
    <m/>
    <s v="No drop-off"/>
    <n v="3"/>
    <n v="20"/>
    <n v="1"/>
    <x v="0"/>
    <n v="1"/>
    <n v="1"/>
    <n v="0"/>
    <n v="0"/>
  </r>
  <r>
    <x v="408"/>
    <s v="USR-00218"/>
    <s v="SES-2512-78444"/>
    <x v="285"/>
    <s v="North East"/>
    <s v="Newcastle"/>
    <x v="0"/>
    <x v="4"/>
    <x v="0"/>
    <s v="Ios"/>
    <s v="Iphone"/>
    <s v="2+ years"/>
    <x v="0"/>
    <x v="6"/>
    <x v="7"/>
    <s v="Repeat Use"/>
    <s v="Contextual Help"/>
    <s v="Treatment"/>
    <n v="4"/>
    <n v="2"/>
    <n v="145"/>
    <s v="Yes"/>
    <x v="1"/>
    <x v="1"/>
    <x v="1"/>
    <x v="0"/>
    <n v="98.69"/>
    <x v="54"/>
    <x v="0"/>
    <s v="No Support Contact"/>
    <s v="No"/>
    <s v="No Support Contact"/>
    <s v="Not Applicable"/>
    <m/>
    <s v="No drop-off"/>
    <n v="4"/>
    <n v="17"/>
    <n v="59"/>
    <x v="1"/>
    <n v="0"/>
    <n v="1"/>
    <n v="0"/>
    <n v="1"/>
  </r>
  <r>
    <x v="409"/>
    <s v="USR-00031"/>
    <s v="SES-2502-36497"/>
    <x v="286"/>
    <s v="Yorkshire &amp; Humber"/>
    <s v="Hull"/>
    <x v="0"/>
    <x v="3"/>
    <x v="0"/>
    <s v="Android"/>
    <s v="Android Phone"/>
    <s v="3-6 months"/>
    <x v="1"/>
    <x v="1"/>
    <x v="3"/>
    <s v="Repeat Use"/>
    <s v="No Experiment"/>
    <s v="Control"/>
    <n v="6"/>
    <n v="6"/>
    <n v="184"/>
    <s v="Unknown"/>
    <x v="0"/>
    <x v="1"/>
    <x v="1"/>
    <x v="0"/>
    <n v="65.44"/>
    <x v="2"/>
    <x v="1"/>
    <s v="No Support Contact"/>
    <s v="No"/>
    <s v="No Support Contact"/>
    <s v="Not Applicable"/>
    <m/>
    <s v="No drop-off"/>
    <n v="4"/>
    <n v="8"/>
    <n v="41"/>
    <x v="1"/>
    <n v="1"/>
    <n v="1"/>
    <n v="0"/>
    <n v="1"/>
  </r>
  <r>
    <x v="410"/>
    <s v="USR-00251"/>
    <s v="SES-2506-57842"/>
    <x v="287"/>
    <s v="London"/>
    <s v="Croydon"/>
    <x v="4"/>
    <x v="1"/>
    <x v="0"/>
    <s v="Web"/>
    <s v="Desktop"/>
    <s v="2+ years"/>
    <x v="0"/>
    <x v="1"/>
    <x v="9"/>
    <s v="Repeat Use"/>
    <s v="Simplified Onboarding"/>
    <s v="Treatment"/>
    <n v="5"/>
    <s v="5 steps"/>
    <n v="143"/>
    <s v="No"/>
    <x v="0"/>
    <x v="1"/>
    <x v="1"/>
    <x v="0"/>
    <n v="80.64"/>
    <x v="0"/>
    <x v="0"/>
    <s v="No Support Contact"/>
    <s v="No"/>
    <s v="No Support Contact"/>
    <s v="Not Applicable"/>
    <m/>
    <s v="No drop-off"/>
    <n v="5"/>
    <n v="57"/>
    <n v="33"/>
    <x v="1"/>
    <n v="1"/>
    <n v="1"/>
    <n v="0"/>
    <n v="1"/>
  </r>
  <r>
    <x v="411"/>
    <s v="USR-00628"/>
    <s v="SES-2507-81080"/>
    <x v="288"/>
    <s v="Scotland"/>
    <s v="Aberdeen"/>
    <x v="0"/>
    <x v="4"/>
    <x v="1"/>
    <s v="Ios"/>
    <s v="Iphone"/>
    <s v="3-6 months"/>
    <x v="0"/>
    <x v="4"/>
    <x v="7"/>
    <s v="Repeat Use"/>
    <s v="No Experiment"/>
    <s v="Control"/>
    <n v="4"/>
    <n v="3"/>
    <n v="180"/>
    <s v="Yes"/>
    <x v="0"/>
    <x v="1"/>
    <x v="1"/>
    <x v="0"/>
    <n v="74.209999999999994"/>
    <x v="9"/>
    <x v="0"/>
    <s v="Feature Navigation"/>
    <s v="Yes"/>
    <s v="Feature Navigation"/>
    <s v="Unresolved"/>
    <n v="17"/>
    <s v="No drop-off"/>
    <n v="3"/>
    <n v="22"/>
    <n v="46"/>
    <x v="1"/>
    <n v="1"/>
    <n v="1"/>
    <n v="0"/>
    <n v="1"/>
  </r>
  <r>
    <x v="412"/>
    <s v="USR-00292"/>
    <s v="SES-2509-18951"/>
    <x v="225"/>
    <s v="Yorkshire &amp; Humber"/>
    <s v="Leeds"/>
    <x v="2"/>
    <x v="1"/>
    <x v="0"/>
    <s v="Ios"/>
    <s v="Iphone"/>
    <s v="7-12 months"/>
    <x v="0"/>
    <x v="1"/>
    <x v="7"/>
    <s v="Repeat Use"/>
    <s v="New Cta Copy"/>
    <s v="Control"/>
    <n v="4"/>
    <n v="2"/>
    <n v="109"/>
    <s v="Yes"/>
    <x v="0"/>
    <x v="1"/>
    <x v="1"/>
    <x v="0"/>
    <n v="80.12"/>
    <x v="31"/>
    <x v="0"/>
    <s v="No Support Contact"/>
    <s v="No"/>
    <s v="No Support Contact"/>
    <s v="Not Applicable"/>
    <m/>
    <s v="No drop-off"/>
    <n v="3"/>
    <n v="-24"/>
    <n v="31"/>
    <x v="0"/>
    <n v="1"/>
    <n v="1"/>
    <n v="0"/>
    <n v="0"/>
  </r>
  <r>
    <x v="413"/>
    <s v="USR-00468"/>
    <s v="SES-2603-84802"/>
    <x v="195"/>
    <s v="South West"/>
    <s v="Exeter"/>
    <x v="7"/>
    <x v="1"/>
    <x v="0"/>
    <s v="Android"/>
    <s v="Android Phone"/>
    <s v="1-2 years"/>
    <x v="0"/>
    <x v="3"/>
    <x v="1"/>
    <s v="Repeat Use"/>
    <s v="Simplified Onboarding"/>
    <s v="Treatment"/>
    <n v="4"/>
    <n v="2"/>
    <n v="199"/>
    <s v="Yes"/>
    <x v="0"/>
    <x v="0"/>
    <x v="3"/>
    <x v="0"/>
    <n v="171.32"/>
    <x v="15"/>
    <x v="0"/>
    <s v="Account Verification"/>
    <s v="Yes"/>
    <s v="Account Verification"/>
    <s v="Resolved"/>
    <n v="62"/>
    <s v="No drop-off"/>
    <n v="3"/>
    <n v="-18"/>
    <s v="24 days"/>
    <x v="0"/>
    <n v="1"/>
    <n v="1"/>
    <n v="1"/>
    <n v="0"/>
  </r>
  <r>
    <x v="414"/>
    <s v="USR-00406"/>
    <s v="SES-2510-36244"/>
    <x v="289"/>
    <s v="Scotland"/>
    <s v="Edinburgh"/>
    <x v="1"/>
    <x v="4"/>
    <x v="0"/>
    <s v="Ios"/>
    <s v="Iphone"/>
    <s v="1-2 years"/>
    <x v="0"/>
    <x v="1"/>
    <x v="1"/>
    <s v="Repeat Use"/>
    <s v="No Experiment"/>
    <s v="Control"/>
    <n v="4"/>
    <n v="4"/>
    <n v="101"/>
    <s v="No"/>
    <x v="0"/>
    <x v="1"/>
    <x v="1"/>
    <x v="1"/>
    <n v="0"/>
    <x v="0"/>
    <x v="0"/>
    <s v="No Support Contact"/>
    <s v="No"/>
    <s v="No Support Contact"/>
    <s v="Not Applicable"/>
    <m/>
    <s v="No drop-off"/>
    <n v="4"/>
    <n v="54"/>
    <n v="26"/>
    <x v="0"/>
    <n v="1"/>
    <n v="0"/>
    <n v="0"/>
    <n v="0"/>
  </r>
  <r>
    <x v="415"/>
    <s v="USR-00031"/>
    <s v="SES-2506-76366"/>
    <x v="170"/>
    <s v="Wales"/>
    <s v="Newport"/>
    <x v="5"/>
    <x v="1"/>
    <x v="0"/>
    <s v="Android"/>
    <s v="Android Phone"/>
    <s v="&lt;3 months"/>
    <x v="0"/>
    <x v="6"/>
    <x v="4"/>
    <s v="Repeat Use"/>
    <s v="No Experiment"/>
    <s v="Control"/>
    <n v="6"/>
    <n v="6"/>
    <n v="190"/>
    <s v="No"/>
    <x v="0"/>
    <x v="1"/>
    <x v="1"/>
    <x v="1"/>
    <n v="0"/>
    <x v="0"/>
    <x v="0"/>
    <s v="No Support Contact"/>
    <s v="No"/>
    <s v="No Support Contact"/>
    <s v="Not Applicable"/>
    <m/>
    <s v="No drop-off"/>
    <n v="3"/>
    <n v="-17"/>
    <n v="44"/>
    <x v="1"/>
    <n v="1"/>
    <n v="0"/>
    <n v="0"/>
    <n v="1"/>
  </r>
  <r>
    <x v="416"/>
    <s v="USR-00696"/>
    <s v="SES-2601-50527"/>
    <x v="290"/>
    <s v="Yorkshire &amp; Humber"/>
    <s v="York"/>
    <x v="7"/>
    <x v="1"/>
    <x v="0"/>
    <s v="Ios"/>
    <s v="Iphone"/>
    <s v="3-6 months"/>
    <x v="0"/>
    <x v="0"/>
    <x v="1"/>
    <s v="Trial/Exploration"/>
    <s v="Simplified Onboarding"/>
    <s v="Control"/>
    <n v="4"/>
    <s v="4 steps"/>
    <n v="102"/>
    <s v="No"/>
    <x v="1"/>
    <x v="1"/>
    <x v="1"/>
    <x v="1"/>
    <n v="0"/>
    <x v="0"/>
    <x v="0"/>
    <s v="No Support Contact"/>
    <s v="No"/>
    <s v="No Support Contact"/>
    <s v="Not Applicable"/>
    <m/>
    <s v="No drop-off"/>
    <n v="3"/>
    <n v="20"/>
    <n v="17"/>
    <x v="1"/>
    <n v="0"/>
    <n v="0"/>
    <n v="0"/>
    <n v="1"/>
  </r>
  <r>
    <x v="417"/>
    <s v="USR-00242"/>
    <s v="SES-2511-73515"/>
    <x v="291"/>
    <s v="Wales"/>
    <s v="Cardiff"/>
    <x v="0"/>
    <x v="2"/>
    <x v="0"/>
    <s v="Ios"/>
    <s v="Ipad"/>
    <s v="7-12 months"/>
    <x v="1"/>
    <x v="3"/>
    <x v="5"/>
    <s v="Reactivated"/>
    <s v="No Experiment"/>
    <s v="Control"/>
    <n v="8"/>
    <n v="6"/>
    <n v="224"/>
    <s v="Yes"/>
    <x v="1"/>
    <x v="1"/>
    <x v="1"/>
    <x v="0"/>
    <n v="419.88"/>
    <x v="55"/>
    <x v="1"/>
    <s v="No Support Contact"/>
    <s v="No"/>
    <s v="No Support Contact"/>
    <s v="Not Applicable"/>
    <m/>
    <s v="Too many steps"/>
    <n v="2"/>
    <n v="9"/>
    <n v="36"/>
    <x v="0"/>
    <n v="0"/>
    <n v="1"/>
    <n v="0"/>
    <n v="0"/>
  </r>
  <r>
    <x v="418"/>
    <s v="USR-00634"/>
    <s v="SES-2505-58963"/>
    <x v="292"/>
    <s v="East Midlands"/>
    <s v="NOTTINGHAM"/>
    <x v="4"/>
    <x v="2"/>
    <x v="2"/>
    <s v="Ios"/>
    <s v="Iphone"/>
    <s v="1-2 years"/>
    <x v="3"/>
    <x v="3"/>
    <x v="7"/>
    <s v="Repeat Use"/>
    <s v="No Experiment"/>
    <s v="Control"/>
    <n v="4"/>
    <n v="4"/>
    <n v="87"/>
    <s v="No"/>
    <x v="1"/>
    <x v="1"/>
    <x v="1"/>
    <x v="0"/>
    <n v="88.52"/>
    <x v="9"/>
    <x v="0"/>
    <s v="No Support Contact"/>
    <s v="No"/>
    <s v="No Support Contact"/>
    <s v="Not Applicable"/>
    <m/>
    <s v="No drop-off"/>
    <n v="4"/>
    <n v="30"/>
    <n v="26"/>
    <x v="0"/>
    <n v="0"/>
    <n v="1"/>
    <n v="0"/>
    <n v="0"/>
  </r>
  <r>
    <x v="419"/>
    <s v="USR-00037"/>
    <s v="SES-2508-19277"/>
    <x v="5"/>
    <s v="Scotland"/>
    <s v="Glasgow"/>
    <x v="2"/>
    <x v="1"/>
    <x v="0"/>
    <s v="Ios"/>
    <s v="Iphone"/>
    <s v="&lt;3 months"/>
    <x v="1"/>
    <x v="1"/>
    <x v="3"/>
    <s v="Repeat Use"/>
    <s v="Fee Transparency Panel"/>
    <s v="Treatment"/>
    <n v="6"/>
    <n v="6"/>
    <n v="179"/>
    <s v="No"/>
    <x v="0"/>
    <x v="2"/>
    <x v="15"/>
    <x v="1"/>
    <n v="0"/>
    <x v="0"/>
    <x v="0"/>
    <s v="No Support Contact"/>
    <s v="No"/>
    <s v="No Support Contact"/>
    <s v="Not Applicable"/>
    <m/>
    <s v="No drop-off"/>
    <n v="3"/>
    <n v="8"/>
    <n v="1"/>
    <x v="1"/>
    <n v="1"/>
    <n v="0"/>
    <n v="0"/>
    <n v="1"/>
  </r>
  <r>
    <x v="420"/>
    <s v="USR-00595"/>
    <s v="SES-2604-87676"/>
    <x v="293"/>
    <s v="South East"/>
    <s v="Brighton"/>
    <x v="1"/>
    <x v="2"/>
    <x v="0"/>
    <s v="Web"/>
    <s v="Tablet Browser"/>
    <s v="3-6 months"/>
    <x v="1"/>
    <x v="4"/>
    <x v="3"/>
    <s v="Repeat Use"/>
    <s v="Simplified Onboarding"/>
    <s v="Treatment"/>
    <n v="6"/>
    <n v="6"/>
    <n v="134"/>
    <s v="No"/>
    <x v="1"/>
    <x v="1"/>
    <x v="1"/>
    <x v="1"/>
    <n v="0"/>
    <x v="0"/>
    <x v="0"/>
    <s v="No Support Contact"/>
    <s v="No"/>
    <s v="No Support Contact"/>
    <s v="Not Applicable"/>
    <m/>
    <s v="No drop-off"/>
    <n v="4"/>
    <n v="32"/>
    <n v="54"/>
    <x v="0"/>
    <n v="0"/>
    <n v="0"/>
    <n v="0"/>
    <n v="0"/>
  </r>
  <r>
    <x v="421"/>
    <s v="USR-00600"/>
    <s v="SES-2511-92740"/>
    <x v="59"/>
    <s v="East Midlands"/>
    <s v="Leicester"/>
    <x v="0"/>
    <x v="0"/>
    <x v="0"/>
    <s v="Android"/>
    <s v="Android Phone"/>
    <s v="3-6 months"/>
    <x v="1"/>
    <x v="4"/>
    <x v="3"/>
    <s v="Repeat Use"/>
    <s v="Simplified Onboarding"/>
    <s v="Treatment"/>
    <n v="6"/>
    <s v="4 steps"/>
    <n v="184"/>
    <s v="Yes"/>
    <x v="0"/>
    <x v="1"/>
    <x v="1"/>
    <x v="0"/>
    <n v="0.59"/>
    <x v="2"/>
    <x v="1"/>
    <s v="No Support Contact"/>
    <s v="No"/>
    <s v="No Support Contact"/>
    <s v="Not Applicable"/>
    <m/>
    <s v="No drop-off"/>
    <n v="4"/>
    <n v="1"/>
    <n v="30"/>
    <x v="1"/>
    <n v="1"/>
    <n v="1"/>
    <n v="0"/>
    <n v="1"/>
  </r>
  <r>
    <x v="422"/>
    <s v="USR-00126"/>
    <s v="SES-2503-89678"/>
    <x v="294"/>
    <s v="East England"/>
    <s v="Cambridge"/>
    <x v="0"/>
    <x v="3"/>
    <x v="0"/>
    <s v="Android"/>
    <s v="Android Tablet"/>
    <s v="1-2 years"/>
    <x v="0"/>
    <x v="1"/>
    <x v="1"/>
    <s v="Repeat Use"/>
    <s v="Fee Transparency Panel"/>
    <s v="Treatment"/>
    <n v="4"/>
    <n v="4"/>
    <n v="100"/>
    <s v="No"/>
    <x v="0"/>
    <x v="1"/>
    <x v="1"/>
    <x v="0"/>
    <n v="192.03"/>
    <x v="25"/>
    <x v="0"/>
    <s v="Feature Navigation"/>
    <s v="Yes"/>
    <s v="Feature Navigation"/>
    <s v="Resolved"/>
    <n v="37"/>
    <s v="No drop-off"/>
    <n v="4"/>
    <n v="12"/>
    <n v="14"/>
    <x v="1"/>
    <n v="1"/>
    <n v="1"/>
    <n v="0"/>
    <n v="1"/>
  </r>
  <r>
    <x v="423"/>
    <s v="USR-00200"/>
    <s v="SES-2504-90100"/>
    <x v="63"/>
    <s v="North West"/>
    <s v="Liverpool"/>
    <x v="3"/>
    <x v="2"/>
    <x v="1"/>
    <s v="Android"/>
    <s v="Android Phone"/>
    <s v="3-6 months"/>
    <x v="0"/>
    <x v="1"/>
    <x v="5"/>
    <s v="Reactivated"/>
    <s v="No Experiment"/>
    <s v="Control"/>
    <n v="8"/>
    <n v="8"/>
    <n v="192"/>
    <s v="No"/>
    <x v="1"/>
    <x v="1"/>
    <x v="1"/>
    <x v="1"/>
    <n v="0"/>
    <x v="0"/>
    <x v="0"/>
    <s v="No Support Contact"/>
    <s v="No"/>
    <s v="No Support Contact"/>
    <s v="Not Applicable"/>
    <m/>
    <s v="Too many steps"/>
    <n v="3"/>
    <n v="-16"/>
    <n v="43"/>
    <x v="1"/>
    <n v="0"/>
    <n v="0"/>
    <n v="0"/>
    <n v="1"/>
  </r>
  <r>
    <x v="424"/>
    <s v="USR-00231"/>
    <s v="SES-2604-78508"/>
    <x v="295"/>
    <s v="Yorkshire &amp; Humber"/>
    <s v="Hull"/>
    <x v="2"/>
    <x v="5"/>
    <x v="0"/>
    <s v="Ios"/>
    <s v="Iphone"/>
    <s v="7-12 months"/>
    <x v="0"/>
    <x v="5"/>
    <x v="7"/>
    <s v="Repeat Use"/>
    <s v="Simplified Onboarding"/>
    <s v="Control"/>
    <n v="4"/>
    <n v="4"/>
    <n v="115"/>
    <s v="No"/>
    <x v="0"/>
    <x v="0"/>
    <x v="26"/>
    <x v="0"/>
    <n v="110.88"/>
    <x v="42"/>
    <x v="0"/>
    <s v="Transaction Failure"/>
    <s v="Unknown"/>
    <s v="Transaction Failure"/>
    <s v="Resolved"/>
    <n v="11"/>
    <s v="No drop-off"/>
    <n v="3"/>
    <n v="-23"/>
    <n v="49"/>
    <x v="0"/>
    <n v="1"/>
    <n v="1"/>
    <n v="1"/>
    <n v="0"/>
  </r>
  <r>
    <x v="425"/>
    <s v="USR-00055"/>
    <s v="SES-2602-22305"/>
    <x v="16"/>
    <s v="London"/>
    <s v="Croydon"/>
    <x v="7"/>
    <x v="1"/>
    <x v="3"/>
    <s v="Ios"/>
    <s v="Iphone"/>
    <s v="&lt;3 months"/>
    <x v="0"/>
    <x v="1"/>
    <x v="0"/>
    <s v="Repeat Use"/>
    <s v="No Experiment"/>
    <s v="Control"/>
    <n v="7"/>
    <n v="7"/>
    <n v="154"/>
    <s v="No"/>
    <x v="0"/>
    <x v="1"/>
    <x v="1"/>
    <x v="0"/>
    <n v="0"/>
    <x v="0"/>
    <x v="0"/>
    <s v="Card Issue"/>
    <s v="Yes"/>
    <s v="Card Issue"/>
    <s v="Resolved"/>
    <n v="33"/>
    <s v="No drop-off"/>
    <n v="0"/>
    <n v="0"/>
    <n v="40"/>
    <x v="1"/>
    <n v="1"/>
    <n v="1"/>
    <n v="0"/>
    <n v="1"/>
  </r>
  <r>
    <x v="426"/>
    <s v="USR-00442"/>
    <s v="SES-2601-88155"/>
    <x v="296"/>
    <s v="Yorkshire &amp; Humber"/>
    <s v="Sheffield"/>
    <x v="3"/>
    <x v="2"/>
    <x v="1"/>
    <s v="Android"/>
    <s v="Android Phone"/>
    <s v="7-12 months"/>
    <x v="0"/>
    <x v="0"/>
    <x v="7"/>
    <s v="First Use"/>
    <s v="No Experiment"/>
    <s v="Control"/>
    <n v="4"/>
    <n v="4"/>
    <n v="104"/>
    <s v="No"/>
    <x v="0"/>
    <x v="1"/>
    <x v="1"/>
    <x v="0"/>
    <n v="37.19"/>
    <x v="9"/>
    <x v="0"/>
    <s v="No Support Contact"/>
    <s v="No"/>
    <s v="No Support Contact"/>
    <s v="Not Applicable"/>
    <m/>
    <s v="No drop-off"/>
    <n v="5"/>
    <n v="26"/>
    <n v="0"/>
    <x v="0"/>
    <n v="1"/>
    <n v="1"/>
    <n v="0"/>
    <n v="0"/>
  </r>
  <r>
    <x v="427"/>
    <s v="USR-00049"/>
    <s v="SES-2508-46112"/>
    <x v="297"/>
    <s v="East England"/>
    <s v="Norwich"/>
    <x v="0"/>
    <x v="0"/>
    <x v="0"/>
    <s v="Web"/>
    <s v="Mobile Browser"/>
    <s v="7-12 months"/>
    <x v="1"/>
    <x v="2"/>
    <x v="4"/>
    <s v="Repeat Use"/>
    <s v="Simplified Onboarding"/>
    <s v="Treatment"/>
    <n v="6"/>
    <n v="6"/>
    <n v="123"/>
    <s v="No"/>
    <x v="1"/>
    <x v="1"/>
    <x v="1"/>
    <x v="0"/>
    <n v="0"/>
    <x v="0"/>
    <x v="1"/>
    <s v="Feature Navigation"/>
    <s v="Yes"/>
    <s v="Feature Navigation"/>
    <s v="Resolved"/>
    <n v="18"/>
    <s v="No drop-off"/>
    <n v="3"/>
    <n v="0"/>
    <n v="11"/>
    <x v="1"/>
    <n v="0"/>
    <n v="1"/>
    <n v="0"/>
    <n v="1"/>
  </r>
  <r>
    <x v="428"/>
    <s v="USR-00160"/>
    <s v="SES-2511-21441"/>
    <x v="298"/>
    <s v="North West"/>
    <s v="Liverpool"/>
    <x v="0"/>
    <x v="3"/>
    <x v="0"/>
    <s v="Ios"/>
    <s v="Iphone"/>
    <s v="1-2 years"/>
    <x v="0"/>
    <x v="5"/>
    <x v="0"/>
    <s v="Repeat Use"/>
    <s v="Simplified Onboarding"/>
    <s v="Control"/>
    <n v="7"/>
    <n v="4"/>
    <n v="352"/>
    <s v="Yes"/>
    <x v="1"/>
    <x v="1"/>
    <x v="1"/>
    <x v="0"/>
    <n v="0"/>
    <x v="0"/>
    <x v="0"/>
    <s v="No Support Contact"/>
    <s v="No"/>
    <s v="No Support Contact"/>
    <s v="Not Applicable"/>
    <m/>
    <s v="Unexpected fee"/>
    <n v="4"/>
    <n v="-32"/>
    <n v="21"/>
    <x v="0"/>
    <n v="0"/>
    <n v="1"/>
    <n v="0"/>
    <n v="0"/>
  </r>
  <r>
    <x v="429"/>
    <s v="usr-00064"/>
    <s v="SES-2503-14068"/>
    <x v="208"/>
    <s v="North West"/>
    <s v="Chester"/>
    <x v="4"/>
    <x v="0"/>
    <x v="1"/>
    <s v="Ios"/>
    <s v="Iphone"/>
    <s v="1-2 years"/>
    <x v="1"/>
    <x v="2"/>
    <x v="9"/>
    <s v="Repeat Use"/>
    <s v="No Experiment"/>
    <s v="Control"/>
    <n v="5"/>
    <n v="3"/>
    <n v="210"/>
    <s v="Yes"/>
    <x v="0"/>
    <x v="1"/>
    <x v="1"/>
    <x v="0"/>
    <n v="133.18"/>
    <x v="0"/>
    <x v="1"/>
    <s v="No Support Contact"/>
    <s v="No"/>
    <s v="No Support Contact"/>
    <s v="Not Applicable"/>
    <m/>
    <s v="No drop-off"/>
    <n v="4"/>
    <n v="-9"/>
    <n v="67"/>
    <x v="0"/>
    <n v="1"/>
    <n v="1"/>
    <n v="0"/>
    <n v="0"/>
  </r>
  <r>
    <x v="430"/>
    <s v="USR-00413"/>
    <s v="SES-2501-29929"/>
    <x v="299"/>
    <s v="South West"/>
    <s v="Plymouth"/>
    <x v="0"/>
    <x v="0"/>
    <x v="1"/>
    <s v="Android"/>
    <s v="Android Phone"/>
    <s v="2+ years"/>
    <x v="1"/>
    <x v="1"/>
    <x v="7"/>
    <s v="Repeat Use"/>
    <s v="No Experiment"/>
    <s v="Control"/>
    <s v="4 steps"/>
    <n v="4"/>
    <n v="86"/>
    <s v="No"/>
    <x v="0"/>
    <x v="1"/>
    <x v="1"/>
    <x v="0"/>
    <n v="69.73"/>
    <x v="31"/>
    <x v="1"/>
    <s v="No Support Contact"/>
    <s v="No"/>
    <s v="No Support Contact"/>
    <s v="Not Applicable"/>
    <m/>
    <s v="No drop-off"/>
    <n v="4"/>
    <n v="11"/>
    <s v="13 days"/>
    <x v="1"/>
    <n v="1"/>
    <n v="1"/>
    <n v="0"/>
    <n v="1"/>
  </r>
  <r>
    <x v="431"/>
    <s v="USR-00621"/>
    <s v="SES-2512-86156"/>
    <x v="176"/>
    <s v="South West"/>
    <s v="Bristol"/>
    <x v="3"/>
    <x v="2"/>
    <x v="1"/>
    <s v="Ios"/>
    <s v="Iphone"/>
    <s v="3-6 months"/>
    <x v="0"/>
    <x v="3"/>
    <x v="5"/>
    <s v="First Use"/>
    <s v="No Experiment"/>
    <s v="Control"/>
    <n v="8"/>
    <n v="8"/>
    <n v="168"/>
    <s v="No"/>
    <x v="1"/>
    <x v="1"/>
    <x v="1"/>
    <x v="0"/>
    <n v="303.89"/>
    <x v="56"/>
    <x v="0"/>
    <s v="No Support Contact"/>
    <s v="No"/>
    <s v="No Support Contact"/>
    <s v="Not Applicable"/>
    <m/>
    <s v="No drop-off"/>
    <n v="4"/>
    <n v="-3"/>
    <n v="0"/>
    <x v="0"/>
    <n v="0"/>
    <n v="1"/>
    <n v="0"/>
    <n v="0"/>
  </r>
  <r>
    <x v="432"/>
    <s v="USR-00305"/>
    <s v="SES-2507-44453"/>
    <x v="237"/>
    <s v="Scotland"/>
    <s v="Dundee"/>
    <x v="2"/>
    <x v="4"/>
    <x v="0"/>
    <s v="Ios"/>
    <s v="Iphone"/>
    <s v="2+ years"/>
    <x v="0"/>
    <x v="0"/>
    <x v="0"/>
    <s v="Reactivated"/>
    <s v="Progress Indicator"/>
    <s v="Treatment"/>
    <n v="7"/>
    <n v="7"/>
    <n v="244"/>
    <s v="No"/>
    <x v="0"/>
    <x v="0"/>
    <x v="0"/>
    <x v="0"/>
    <n v="0"/>
    <x v="0"/>
    <x v="0"/>
    <s v="No Support Contact"/>
    <s v="No"/>
    <s v="No Support Contact"/>
    <s v="Not Applicable"/>
    <m/>
    <s v="No drop-off"/>
    <n v="4"/>
    <n v="-31"/>
    <n v="33"/>
    <x v="1"/>
    <n v="1"/>
    <n v="1"/>
    <n v="1"/>
    <n v="1"/>
  </r>
  <r>
    <x v="433"/>
    <s v="USR-00304"/>
    <s v="SES-2503-62319"/>
    <x v="39"/>
    <s v="Yorkshire &amp; Humber"/>
    <s v="York"/>
    <x v="0"/>
    <x v="2"/>
    <x v="1"/>
    <s v="Ios"/>
    <s v="Iphone"/>
    <s v="2+ years"/>
    <x v="1"/>
    <x v="6"/>
    <x v="8"/>
    <s v="Repeat Use"/>
    <s v="Simplified Onboarding"/>
    <s v="Treatment"/>
    <n v="5"/>
    <n v="4"/>
    <n v="239"/>
    <s v="Yes"/>
    <x v="0"/>
    <x v="1"/>
    <x v="1"/>
    <x v="0"/>
    <n v="0"/>
    <x v="0"/>
    <x v="1"/>
    <s v="Transaction Failure"/>
    <s v="Yes"/>
    <s v="Transaction Failure"/>
    <s v="Resolved"/>
    <n v="31"/>
    <s v="No drop-off"/>
    <n v="3"/>
    <n v="67"/>
    <n v="49"/>
    <x v="0"/>
    <n v="1"/>
    <n v="1"/>
    <n v="0"/>
    <n v="0"/>
  </r>
  <r>
    <x v="434"/>
    <s v="USR-00021"/>
    <s v="SES-2512-81479"/>
    <x v="176"/>
    <s v="Yorkshire &amp; Humber"/>
    <s v="Leeds"/>
    <x v="2"/>
    <x v="1"/>
    <x v="0"/>
    <s v="Ios"/>
    <s v="Iphone"/>
    <s v="7-12 months"/>
    <x v="0"/>
    <x v="0"/>
    <x v="7"/>
    <s v="Trial/Exploration"/>
    <s v="No Experiment"/>
    <s v="Control"/>
    <n v="4"/>
    <n v="4"/>
    <n v="86"/>
    <s v="No"/>
    <x v="0"/>
    <x v="1"/>
    <x v="1"/>
    <x v="0"/>
    <n v="68.91"/>
    <x v="20"/>
    <x v="0"/>
    <s v="No Support Contact"/>
    <s v="No"/>
    <s v="No Support Contact"/>
    <s v="Not Applicable"/>
    <m/>
    <s v="No drop-off"/>
    <n v="3"/>
    <n v="73"/>
    <n v="29"/>
    <x v="1"/>
    <n v="1"/>
    <n v="1"/>
    <n v="0"/>
    <n v="1"/>
  </r>
  <r>
    <x v="435"/>
    <s v="USR-00243"/>
    <s v="SES-2512-25603"/>
    <x v="31"/>
    <s v="Scotland"/>
    <s v="Dundee"/>
    <x v="5"/>
    <x v="0"/>
    <x v="0"/>
    <s v="Web"/>
    <s v="Mobile Browser"/>
    <s v="3-6 months"/>
    <x v="0"/>
    <x v="5"/>
    <x v="5"/>
    <s v="Repeat Use"/>
    <s v="No Experiment"/>
    <s v="Control"/>
    <n v="8"/>
    <n v="8"/>
    <n v="261"/>
    <s v="No"/>
    <x v="1"/>
    <x v="0"/>
    <x v="10"/>
    <x v="1"/>
    <n v="0"/>
    <x v="0"/>
    <x v="0"/>
    <s v="Transaction Failure"/>
    <s v="Yes"/>
    <s v="Transaction Failure"/>
    <s v="Resolved"/>
    <n v="27"/>
    <s v="Technical error"/>
    <n v="3"/>
    <n v="-39"/>
    <n v="11"/>
    <x v="0"/>
    <n v="0"/>
    <n v="0"/>
    <n v="1"/>
    <n v="0"/>
  </r>
  <r>
    <x v="436"/>
    <s v="USR-00827"/>
    <s v="SES-2504-28155"/>
    <x v="122"/>
    <s v="South West"/>
    <s v="Bath"/>
    <x v="3"/>
    <x v="0"/>
    <x v="1"/>
    <s v="Ios"/>
    <s v="Iphone"/>
    <s v="1-2 years"/>
    <x v="0"/>
    <x v="7"/>
    <x v="2"/>
    <s v="First Use"/>
    <s v="Simplified Onboarding"/>
    <s v="Control"/>
    <s v="5 steps"/>
    <n v="5"/>
    <n v="101"/>
    <s v="No"/>
    <x v="1"/>
    <x v="1"/>
    <x v="1"/>
    <x v="0"/>
    <n v="63.33"/>
    <x v="0"/>
    <x v="0"/>
    <s v="No Support Contact"/>
    <s v="No"/>
    <s v="No Support Contact"/>
    <s v="Not Applicable"/>
    <m/>
    <s v="Instructions unclear"/>
    <n v="4"/>
    <n v="2"/>
    <n v="0"/>
    <x v="1"/>
    <n v="0"/>
    <n v="1"/>
    <n v="0"/>
    <n v="1"/>
  </r>
  <r>
    <x v="437"/>
    <s v="USR-00281"/>
    <s v="SES-2503-49973"/>
    <x v="4"/>
    <s v="North East"/>
    <s v="Middlesbrough"/>
    <x v="3"/>
    <x v="0"/>
    <x v="1"/>
    <s v="Android"/>
    <s v="Android Phone"/>
    <s v="7-12 months"/>
    <x v="2"/>
    <x v="5"/>
    <x v="7"/>
    <s v="First Use"/>
    <s v="Progress Indicator"/>
    <s v="Control"/>
    <n v="4"/>
    <n v="4"/>
    <n v="73"/>
    <s v="No"/>
    <x v="0"/>
    <x v="1"/>
    <x v="1"/>
    <x v="0"/>
    <n v="17.29"/>
    <x v="9"/>
    <x v="2"/>
    <s v="No Support Contact"/>
    <s v="No"/>
    <s v="No Support Contact"/>
    <s v="Not Applicable"/>
    <m/>
    <s v="No drop-off"/>
    <n v="4"/>
    <n v="9"/>
    <n v="0"/>
    <x v="1"/>
    <n v="1"/>
    <n v="1"/>
    <n v="0"/>
    <n v="1"/>
  </r>
  <r>
    <x v="438"/>
    <s v="USR-00412"/>
    <s v="SES-2604-41935"/>
    <x v="89"/>
    <s v="South West"/>
    <s v="Bristol"/>
    <x v="5"/>
    <x v="2"/>
    <x v="2"/>
    <s v="Android"/>
    <s v="Android Phone"/>
    <s v="1-2 years"/>
    <x v="0"/>
    <x v="0"/>
    <x v="0"/>
    <s v="Trial/Exploration"/>
    <s v="Progress Indicator"/>
    <s v="Treatment"/>
    <n v="7"/>
    <n v="7"/>
    <n v="181"/>
    <s v="No"/>
    <x v="1"/>
    <x v="1"/>
    <x v="1"/>
    <x v="0"/>
    <n v="75.069999999999993"/>
    <x v="0"/>
    <x v="0"/>
    <s v="No Support Contact"/>
    <s v="No"/>
    <s v="No Support Contact"/>
    <s v="Not Applicable"/>
    <m/>
    <s v="Instructions unclear"/>
    <n v="3"/>
    <n v="-12"/>
    <n v="45"/>
    <x v="0"/>
    <n v="0"/>
    <n v="1"/>
    <n v="0"/>
    <n v="0"/>
  </r>
  <r>
    <x v="439"/>
    <s v="USR-00578"/>
    <s v="SES-2501-46972"/>
    <x v="300"/>
    <s v="London"/>
    <s v="Camden"/>
    <x v="7"/>
    <x v="1"/>
    <x v="0"/>
    <s v="Web"/>
    <s v="Mobile Browser"/>
    <s v="&lt;3 months"/>
    <x v="1"/>
    <x v="1"/>
    <x v="3"/>
    <s v="First Use"/>
    <s v="No Experiment"/>
    <s v="Control"/>
    <n v="6"/>
    <n v="4"/>
    <n v="304"/>
    <s v="Yes"/>
    <x v="1"/>
    <x v="1"/>
    <x v="1"/>
    <x v="0"/>
    <n v="26"/>
    <x v="17"/>
    <x v="1"/>
    <s v="No Support Contact"/>
    <s v="No"/>
    <s v="No Support Contact"/>
    <s v="Not Applicable"/>
    <m/>
    <s v="Too many steps"/>
    <n v="3"/>
    <n v="30"/>
    <n v="0"/>
    <x v="1"/>
    <n v="0"/>
    <n v="1"/>
    <n v="0"/>
    <n v="1"/>
  </r>
  <r>
    <x v="440"/>
    <s v="USR-00296"/>
    <s v="SES-2604-29613"/>
    <x v="301"/>
    <s v="London"/>
    <s v="Southwark"/>
    <x v="1"/>
    <x v="4"/>
    <x v="1"/>
    <s v="Ios"/>
    <s v="Iphone"/>
    <s v="1-2 years"/>
    <x v="0"/>
    <x v="7"/>
    <x v="4"/>
    <s v="Repeat Use"/>
    <s v="New Cta Copy"/>
    <s v="Control"/>
    <n v="6"/>
    <n v="6"/>
    <n v="207"/>
    <s v="No"/>
    <x v="0"/>
    <x v="0"/>
    <x v="27"/>
    <x v="0"/>
    <n v="13.73"/>
    <x v="0"/>
    <x v="0"/>
    <s v="Feature Navigation"/>
    <s v="Yes"/>
    <s v="Feature Navigation"/>
    <s v="Resolved"/>
    <n v="21"/>
    <s v="No drop-off"/>
    <n v="3"/>
    <n v="-73"/>
    <n v="34"/>
    <x v="0"/>
    <n v="1"/>
    <n v="1"/>
    <n v="1"/>
    <n v="0"/>
  </r>
  <r>
    <x v="441"/>
    <s v="USR-00531"/>
    <s v="SES-2603-20195"/>
    <x v="25"/>
    <s v="North East"/>
    <s v="Durham"/>
    <x v="0"/>
    <x v="3"/>
    <x v="1"/>
    <s v="Android"/>
    <s v="Android Phone"/>
    <s v="&lt;3 months"/>
    <x v="0"/>
    <x v="1"/>
    <x v="9"/>
    <s v="Repeat Use"/>
    <s v="No Experiment"/>
    <s v="Control"/>
    <n v="5"/>
    <n v="5"/>
    <n v="155"/>
    <s v="No"/>
    <x v="0"/>
    <x v="1"/>
    <x v="1"/>
    <x v="0"/>
    <n v="24.79"/>
    <x v="0"/>
    <x v="0"/>
    <s v="No Support Contact"/>
    <s v="No"/>
    <s v="No Support Contact"/>
    <s v="Not Applicable"/>
    <m/>
    <s v="No drop-off"/>
    <n v="4"/>
    <n v="60"/>
    <n v="17"/>
    <x v="1"/>
    <n v="1"/>
    <n v="1"/>
    <n v="0"/>
    <n v="1"/>
  </r>
  <r>
    <x v="442"/>
    <s v="USR-00100"/>
    <s v="SES-2507-11873"/>
    <x v="280"/>
    <s v="Yorkshire &amp; Humber"/>
    <s v="York"/>
    <x v="3"/>
    <x v="3"/>
    <x v="0"/>
    <s v="Web"/>
    <s v="Desktop"/>
    <s v="2+ years"/>
    <x v="0"/>
    <x v="6"/>
    <x v="9"/>
    <s v="Trial/Exploration"/>
    <s v="Fee Transparency Panel"/>
    <s v="Treatment"/>
    <n v="5"/>
    <n v="5"/>
    <n v="143"/>
    <s v="No"/>
    <x v="0"/>
    <x v="1"/>
    <x v="1"/>
    <x v="0"/>
    <n v="1.69"/>
    <x v="0"/>
    <x v="0"/>
    <s v="No Support Contact"/>
    <s v="No"/>
    <s v="No Support Contact"/>
    <s v="Not Applicable"/>
    <m/>
    <s v="No drop-off"/>
    <n v="4"/>
    <n v="38"/>
    <n v="26"/>
    <x v="1"/>
    <n v="1"/>
    <n v="1"/>
    <n v="0"/>
    <n v="1"/>
  </r>
  <r>
    <x v="443"/>
    <s v="USR-00600"/>
    <s v="SES-2603-24723"/>
    <x v="302"/>
    <s v="North East"/>
    <s v="Sunderland"/>
    <x v="5"/>
    <x v="3"/>
    <x v="1"/>
    <s v="Android"/>
    <s v="Android Phone"/>
    <s v="&lt;3 months"/>
    <x v="1"/>
    <x v="3"/>
    <x v="4"/>
    <s v="Reactivated"/>
    <s v="New Cta Copy"/>
    <s v="Treatment"/>
    <n v="6"/>
    <n v="4"/>
    <n v="195"/>
    <s v="Yes"/>
    <x v="1"/>
    <x v="1"/>
    <x v="1"/>
    <x v="0"/>
    <n v="37.979999999999997"/>
    <x v="0"/>
    <x v="1"/>
    <s v="No Support Contact"/>
    <s v="No"/>
    <s v="No Support Contact"/>
    <s v="Not Applicable"/>
    <m/>
    <s v="Instructions unclear"/>
    <n v="3"/>
    <n v="12"/>
    <n v="22"/>
    <x v="0"/>
    <n v="0"/>
    <n v="1"/>
    <n v="0"/>
    <n v="0"/>
  </r>
  <r>
    <x v="444"/>
    <s v="USR-00011"/>
    <s v="SES-2603-80514"/>
    <x v="123"/>
    <s v="North East"/>
    <s v="Middlesbrough"/>
    <x v="2"/>
    <x v="0"/>
    <x v="0"/>
    <s v="Ios"/>
    <s v="Iphone"/>
    <s v="2+ years"/>
    <x v="1"/>
    <x v="2"/>
    <x v="5"/>
    <s v="Reactivated"/>
    <s v="Progress Indicator"/>
    <s v="Treatment"/>
    <n v="8"/>
    <n v="8"/>
    <n v="201"/>
    <s v="No"/>
    <x v="0"/>
    <x v="0"/>
    <x v="24"/>
    <x v="1"/>
    <n v="0"/>
    <x v="0"/>
    <x v="0"/>
    <s v="Feature Navigation"/>
    <s v="Yes"/>
    <s v="Feature Navigation"/>
    <s v="Unresolved"/>
    <n v="33"/>
    <s v="No drop-off"/>
    <n v="1"/>
    <n v="-3"/>
    <n v="38"/>
    <x v="1"/>
    <n v="1"/>
    <n v="0"/>
    <n v="1"/>
    <n v="1"/>
  </r>
  <r>
    <x v="445"/>
    <s v="USR-00172"/>
    <s v="SES-2508-10620"/>
    <x v="199"/>
    <s v="Yorkshire &amp; Humber"/>
    <s v="Sheffield"/>
    <x v="5"/>
    <x v="0"/>
    <x v="0"/>
    <s v="Ios"/>
    <s v="Iphone"/>
    <s v="1-2 years"/>
    <x v="0"/>
    <x v="2"/>
    <x v="2"/>
    <s v="First Use"/>
    <s v="New Cta Copy"/>
    <s v="Treatment"/>
    <n v="5"/>
    <n v="5"/>
    <n v="104"/>
    <s v="No"/>
    <x v="0"/>
    <x v="1"/>
    <x v="1"/>
    <x v="1"/>
    <n v="0"/>
    <x v="0"/>
    <x v="0"/>
    <s v="No Support Contact"/>
    <s v="No"/>
    <s v="No Support Contact"/>
    <s v="Not Applicable"/>
    <m/>
    <s v="No drop-off"/>
    <n v="4"/>
    <n v="37"/>
    <n v="0"/>
    <x v="1"/>
    <n v="1"/>
    <n v="0"/>
    <n v="0"/>
    <n v="1"/>
  </r>
  <r>
    <x v="446"/>
    <s v="USR-00165"/>
    <s v="SES-2502-60448"/>
    <x v="303"/>
    <s v="East Midlands"/>
    <s v="Lincoln"/>
    <x v="0"/>
    <x v="0"/>
    <x v="1"/>
    <s v="Ios"/>
    <s v="Iphone"/>
    <s v="1-2 years"/>
    <x v="0"/>
    <x v="2"/>
    <x v="0"/>
    <s v="Repeat Use"/>
    <s v="No Experiment"/>
    <s v="Control"/>
    <s v="7 steps"/>
    <n v="7"/>
    <n v="271"/>
    <s v="No"/>
    <x v="1"/>
    <x v="0"/>
    <x v="0"/>
    <x v="1"/>
    <n v="0"/>
    <x v="0"/>
    <x v="0"/>
    <s v="No Support Contact"/>
    <s v="No"/>
    <s v="No Support Contact"/>
    <s v="Not Applicable"/>
    <m/>
    <s v="Technical error"/>
    <n v="3"/>
    <n v="19"/>
    <n v="16"/>
    <x v="0"/>
    <n v="0"/>
    <n v="0"/>
    <n v="1"/>
    <n v="0"/>
  </r>
  <r>
    <x v="447"/>
    <s v="USR-00284"/>
    <s v="SES-2503-12680"/>
    <x v="304"/>
    <s v="East England"/>
    <s v="Luton"/>
    <x v="4"/>
    <x v="3"/>
    <x v="1"/>
    <s v="Ios"/>
    <s v="Iphone"/>
    <s v="2+ years"/>
    <x v="0"/>
    <x v="8"/>
    <x v="5"/>
    <s v="First Use"/>
    <s v="Simplified Onboarding"/>
    <s v="Treatment"/>
    <n v="8"/>
    <n v="8"/>
    <n v="156"/>
    <s v="No"/>
    <x v="0"/>
    <x v="1"/>
    <x v="1"/>
    <x v="0"/>
    <n v="426.51"/>
    <x v="57"/>
    <x v="0"/>
    <s v="No Support Contact"/>
    <s v="No"/>
    <s v="No Support Contact"/>
    <s v="Not Applicable"/>
    <m/>
    <s v="No drop-off"/>
    <n v="4"/>
    <n v="-18"/>
    <n v="0"/>
    <x v="0"/>
    <n v="1"/>
    <n v="1"/>
    <n v="0"/>
    <n v="0"/>
  </r>
  <r>
    <x v="448"/>
    <s v="USR-00354"/>
    <s v="SES-2502-11617"/>
    <x v="178"/>
    <s v="East Midlands"/>
    <s v="LINCOLN"/>
    <x v="5"/>
    <x v="3"/>
    <x v="1"/>
    <s v="Ios"/>
    <s v="Iphone"/>
    <s v="1-2 years"/>
    <x v="0"/>
    <x v="7"/>
    <x v="2"/>
    <s v="First Use"/>
    <s v="No Experiment"/>
    <s v="Control"/>
    <n v="5"/>
    <n v="5"/>
    <n v="137"/>
    <s v="No"/>
    <x v="1"/>
    <x v="1"/>
    <x v="1"/>
    <x v="1"/>
    <n v="0"/>
    <x v="0"/>
    <x v="0"/>
    <s v="No Support Contact"/>
    <s v="No"/>
    <s v="No Support Contact"/>
    <s v="Not Applicable"/>
    <m/>
    <s v="No drop-off"/>
    <n v="4"/>
    <n v="46"/>
    <n v="0"/>
    <x v="0"/>
    <n v="0"/>
    <n v="0"/>
    <n v="0"/>
    <n v="0"/>
  </r>
  <r>
    <x v="449"/>
    <s v="USR-00458"/>
    <s v="SES-2507-18784"/>
    <x v="237"/>
    <s v="Wales"/>
    <s v="Wrexham"/>
    <x v="2"/>
    <x v="2"/>
    <x v="0"/>
    <s v="Web"/>
    <s v="Desktop"/>
    <s v="3-6 months"/>
    <x v="0"/>
    <x v="1"/>
    <x v="1"/>
    <s v="Reactivated"/>
    <s v="No Experiment"/>
    <s v="Control"/>
    <n v="4"/>
    <n v="4"/>
    <n v="73"/>
    <s v="No"/>
    <x v="0"/>
    <x v="1"/>
    <x v="1"/>
    <x v="0"/>
    <n v="130.63999999999999"/>
    <x v="6"/>
    <x v="0"/>
    <s v="No Support Contact"/>
    <s v="No"/>
    <s v="No Support Contact"/>
    <s v="Not Applicable"/>
    <m/>
    <s v="No drop-off"/>
    <n v="3"/>
    <n v="49"/>
    <n v="42"/>
    <x v="1"/>
    <n v="1"/>
    <n v="1"/>
    <n v="0"/>
    <n v="1"/>
  </r>
  <r>
    <x v="450"/>
    <s v="USR-00708"/>
    <s v="SES-2503-13878"/>
    <x v="275"/>
    <s v="North East"/>
    <s v="Durham"/>
    <x v="5"/>
    <x v="3"/>
    <x v="0"/>
    <s v="Ios"/>
    <s v="Iphone"/>
    <s v="7-12 months"/>
    <x v="0"/>
    <x v="1"/>
    <x v="3"/>
    <s v="Reactivated"/>
    <s v="New Cta Copy"/>
    <s v="Control"/>
    <n v="6"/>
    <n v="6"/>
    <n v="173"/>
    <s v="No"/>
    <x v="0"/>
    <x v="1"/>
    <x v="1"/>
    <x v="0"/>
    <n v="40.18"/>
    <x v="5"/>
    <x v="0"/>
    <s v="No Support Contact"/>
    <s v="No"/>
    <s v="No Support Contact"/>
    <s v="N/A"/>
    <m/>
    <s v="No drop-off"/>
    <n v="4"/>
    <n v="59"/>
    <n v="24"/>
    <x v="1"/>
    <n v="1"/>
    <n v="1"/>
    <n v="0"/>
    <n v="1"/>
  </r>
  <r>
    <x v="451"/>
    <s v="USR-00475"/>
    <s v="SES-2503-52612"/>
    <x v="305"/>
    <s v="Scotland"/>
    <s v="Aberdeen"/>
    <x v="2"/>
    <x v="0"/>
    <x v="1"/>
    <s v="Ios"/>
    <s v="Iphone"/>
    <s v="1-2 years"/>
    <x v="1"/>
    <x v="0"/>
    <x v="2"/>
    <s v="First Use"/>
    <s v="No Experiment"/>
    <s v="Control"/>
    <n v="5"/>
    <n v="5"/>
    <n v="108"/>
    <s v="No"/>
    <x v="0"/>
    <x v="1"/>
    <x v="1"/>
    <x v="1"/>
    <n v="0"/>
    <x v="0"/>
    <x v="0"/>
    <s v="No Support Contact"/>
    <s v="No"/>
    <s v="No Support Contact"/>
    <s v="Not Applicable"/>
    <m/>
    <s v="No drop-off"/>
    <n v="5"/>
    <n v="15"/>
    <n v="0"/>
    <x v="1"/>
    <n v="1"/>
    <n v="0"/>
    <n v="0"/>
    <n v="1"/>
  </r>
  <r>
    <x v="452"/>
    <s v="USR-00823"/>
    <s v="SES-2604-67227"/>
    <x v="295"/>
    <s v="East England"/>
    <s v="Norwich"/>
    <x v="5"/>
    <x v="2"/>
    <x v="1"/>
    <s v="Ios"/>
    <s v="Iphone"/>
    <s v="&lt;3 months"/>
    <x v="0"/>
    <x v="4"/>
    <x v="10"/>
    <s v="Reactivated"/>
    <s v="Simplified Onboarding"/>
    <s v="Treatment"/>
    <n v="9"/>
    <n v="9"/>
    <n v="243"/>
    <s v="No"/>
    <x v="0"/>
    <x v="1"/>
    <x v="1"/>
    <x v="0"/>
    <n v="165.03"/>
    <x v="58"/>
    <x v="0"/>
    <s v="No Support Contact"/>
    <s v="No"/>
    <s v="No Support Contact"/>
    <s v="Not Applicable"/>
    <m/>
    <s v="No drop-off"/>
    <n v="4"/>
    <n v="5"/>
    <n v="40"/>
    <x v="1"/>
    <n v="1"/>
    <n v="1"/>
    <n v="0"/>
    <n v="1"/>
  </r>
  <r>
    <x v="453"/>
    <s v="USR-00586"/>
    <s v="SES-2606-78286"/>
    <x v="248"/>
    <s v="Wales"/>
    <s v="Newport"/>
    <x v="7"/>
    <x v="4"/>
    <x v="1"/>
    <s v="Ios"/>
    <s v="Iphone"/>
    <s v="1-2 years"/>
    <x v="1"/>
    <x v="0"/>
    <x v="7"/>
    <s v="Repeat Use"/>
    <s v="No Experiment"/>
    <s v="Control"/>
    <n v="4"/>
    <n v="4"/>
    <n v="83"/>
    <s v="No"/>
    <x v="1"/>
    <x v="1"/>
    <x v="1"/>
    <x v="1"/>
    <n v="0"/>
    <x v="0"/>
    <x v="0"/>
    <s v="No Support Contact"/>
    <s v="No"/>
    <s v="No Support Contact"/>
    <s v="Not Applicable"/>
    <m/>
    <s v="No drop-off"/>
    <n v="3"/>
    <n v="-13"/>
    <n v="55"/>
    <x v="0"/>
    <n v="0"/>
    <n v="0"/>
    <n v="0"/>
    <n v="0"/>
  </r>
  <r>
    <x v="454"/>
    <s v="USR-00764"/>
    <s v="SES-2504-52856"/>
    <x v="63"/>
    <s v="Scotland"/>
    <s v="Glasgow"/>
    <x v="2"/>
    <x v="1"/>
    <x v="1"/>
    <s v="Android"/>
    <s v="Android Phone"/>
    <s v="&lt;3 months"/>
    <x v="0"/>
    <x v="0"/>
    <x v="3"/>
    <s v="Repeat Use"/>
    <s v="No Experiment"/>
    <s v="Control"/>
    <n v="6"/>
    <n v="6"/>
    <n v="202"/>
    <s v="No"/>
    <x v="0"/>
    <x v="0"/>
    <x v="15"/>
    <x v="1"/>
    <n v="0"/>
    <x v="0"/>
    <x v="0"/>
    <s v="Account Verification"/>
    <s v="Yes"/>
    <s v="Account Verification"/>
    <s v="Unresolved"/>
    <n v="32"/>
    <s v="No drop-off"/>
    <n v="4"/>
    <n v="-13"/>
    <s v="8 days"/>
    <x v="1"/>
    <n v="1"/>
    <n v="0"/>
    <n v="1"/>
    <n v="1"/>
  </r>
  <r>
    <x v="455"/>
    <s v="USR-00487"/>
    <s v="SES-2508-62248"/>
    <x v="50"/>
    <s v="London"/>
    <s v="Southwark"/>
    <x v="1"/>
    <x v="4"/>
    <x v="1"/>
    <s v="Ios"/>
    <s v="Iphone"/>
    <s v="1-2 years"/>
    <x v="1"/>
    <x v="4"/>
    <x v="1"/>
    <s v="Repeat Use"/>
    <s v="Simplified Onboarding"/>
    <s v="Treatment"/>
    <n v="4"/>
    <n v="4"/>
    <n v="113"/>
    <s v="No"/>
    <x v="0"/>
    <x v="1"/>
    <x v="1"/>
    <x v="0"/>
    <n v="212.63"/>
    <x v="4"/>
    <x v="1"/>
    <s v="No Support Contact"/>
    <s v="No"/>
    <s v="No Support Contact"/>
    <s v="Not Applicable"/>
    <m/>
    <s v="No drop-off"/>
    <n v="5"/>
    <n v="44"/>
    <n v="47"/>
    <x v="1"/>
    <n v="1"/>
    <n v="1"/>
    <n v="0"/>
    <n v="1"/>
  </r>
  <r>
    <x v="456"/>
    <s v="USR-00030"/>
    <s v="SES-2511-24351"/>
    <x v="32"/>
    <s v="East Midlands"/>
    <s v="Lincoln"/>
    <x v="3"/>
    <x v="4"/>
    <x v="0"/>
    <s v="Ios"/>
    <s v="Iphone"/>
    <s v="2+ years"/>
    <x v="0"/>
    <x v="2"/>
    <x v="1"/>
    <s v="Repeat Use"/>
    <s v="Fee Transparency Panel"/>
    <s v="Treatment"/>
    <n v="4"/>
    <n v="4"/>
    <n v="166"/>
    <s v="No"/>
    <x v="0"/>
    <x v="0"/>
    <x v="3"/>
    <x v="0"/>
    <n v="77.12"/>
    <x v="25"/>
    <x v="0"/>
    <s v="Transaction Failure"/>
    <s v="Yes"/>
    <s v="Transaction Failure"/>
    <s v="Resolved"/>
    <n v="2"/>
    <s v="No drop-off"/>
    <n v="5"/>
    <n v="-26"/>
    <n v="33"/>
    <x v="1"/>
    <n v="1"/>
    <n v="1"/>
    <n v="1"/>
    <n v="1"/>
  </r>
  <r>
    <x v="457"/>
    <s v="USR-00851"/>
    <s v="SES-2502-57160"/>
    <x v="171"/>
    <s v="East Midlands"/>
    <s v="Nottingham"/>
    <x v="0"/>
    <x v="2"/>
    <x v="0"/>
    <s v="Ios"/>
    <s v="Iphone"/>
    <s v="3-6 months"/>
    <x v="1"/>
    <x v="6"/>
    <x v="1"/>
    <s v="Repeat Use"/>
    <s v="No Experiment"/>
    <s v="Control"/>
    <n v="4"/>
    <n v="4"/>
    <n v="106"/>
    <s v="No"/>
    <x v="0"/>
    <x v="1"/>
    <x v="1"/>
    <x v="0"/>
    <n v="47.13"/>
    <x v="7"/>
    <x v="1"/>
    <s v="No Support Contact"/>
    <s v="No"/>
    <s v="No Support Contact"/>
    <s v="Not Applicable"/>
    <m/>
    <s v="No drop-off"/>
    <n v="4"/>
    <n v="49"/>
    <s v="33 days"/>
    <x v="1"/>
    <n v="1"/>
    <n v="1"/>
    <n v="0"/>
    <n v="1"/>
  </r>
  <r>
    <x v="458"/>
    <s v="USR-00366"/>
    <s v="SES-2511-40685"/>
    <x v="264"/>
    <s v="North West"/>
    <s v="Manchester"/>
    <x v="3"/>
    <x v="4"/>
    <x v="1"/>
    <s v="Web"/>
    <s v="Desktop"/>
    <s v="7-12 months"/>
    <x v="0"/>
    <x v="0"/>
    <x v="2"/>
    <s v="Reactivated"/>
    <s v="No Experiment"/>
    <s v="Control"/>
    <n v="5"/>
    <n v="5"/>
    <n v="117"/>
    <s v="No"/>
    <x v="0"/>
    <x v="1"/>
    <x v="1"/>
    <x v="0"/>
    <n v="97.42"/>
    <x v="0"/>
    <x v="0"/>
    <s v="No Support Contact"/>
    <s v="No"/>
    <s v="No Support Contact"/>
    <s v="Not Applicable"/>
    <m/>
    <s v="No drop-off"/>
    <n v="4"/>
    <n v="20"/>
    <n v="29"/>
    <x v="1"/>
    <n v="1"/>
    <n v="1"/>
    <n v="0"/>
    <n v="1"/>
  </r>
  <r>
    <x v="459"/>
    <s v="USR-00603"/>
    <s v="SES-2504-44500"/>
    <x v="306"/>
    <s v="West Midlands"/>
    <s v="Birmingham"/>
    <x v="1"/>
    <x v="2"/>
    <x v="1"/>
    <s v="Android"/>
    <s v="Android Phone"/>
    <s v="1-2 years"/>
    <x v="0"/>
    <x v="1"/>
    <x v="9"/>
    <s v="Repeat Use"/>
    <s v="Fee Transparency Panel"/>
    <s v="Control"/>
    <n v="5"/>
    <n v="5"/>
    <n v="127"/>
    <s v="No"/>
    <x v="0"/>
    <x v="1"/>
    <x v="1"/>
    <x v="0"/>
    <n v="39.78"/>
    <x v="0"/>
    <x v="0"/>
    <s v="No Support Contact"/>
    <s v="No"/>
    <s v="No Support Contact"/>
    <s v="Not Applicable"/>
    <m/>
    <s v="No drop-off"/>
    <n v="4"/>
    <n v="19"/>
    <n v="24"/>
    <x v="1"/>
    <n v="1"/>
    <n v="1"/>
    <n v="0"/>
    <n v="1"/>
  </r>
  <r>
    <x v="460"/>
    <s v="USR-00470"/>
    <s v="SES-2509-92782"/>
    <x v="128"/>
    <s v="East England"/>
    <s v="Cambridge"/>
    <x v="5"/>
    <x v="2"/>
    <x v="1"/>
    <s v="Web"/>
    <s v="Desktop"/>
    <s v="1-2 years"/>
    <x v="0"/>
    <x v="1"/>
    <x v="9"/>
    <s v="Repeat Use"/>
    <s v="Progress Indicator"/>
    <s v="Treatment"/>
    <n v="5"/>
    <n v="5"/>
    <n v="122"/>
    <s v="No"/>
    <x v="0"/>
    <x v="1"/>
    <x v="1"/>
    <x v="0"/>
    <n v="50.55"/>
    <x v="0"/>
    <x v="0"/>
    <s v="No Support Contact"/>
    <s v="No"/>
    <s v="No Support Contact"/>
    <s v="Not Applicable"/>
    <m/>
    <s v="No drop-off"/>
    <n v="3"/>
    <n v="64"/>
    <n v="38"/>
    <x v="0"/>
    <n v="1"/>
    <n v="1"/>
    <n v="0"/>
    <n v="0"/>
  </r>
  <r>
    <x v="461"/>
    <s v="USR-00199"/>
    <s v="SES-2604-35883"/>
    <x v="307"/>
    <s v="North East"/>
    <s v="Sunderland"/>
    <x v="1"/>
    <x v="3"/>
    <x v="0"/>
    <s v="Android"/>
    <s v="Android Tablet"/>
    <s v="3-6 months"/>
    <x v="0"/>
    <x v="1"/>
    <x v="1"/>
    <s v="Trial/Exploration"/>
    <s v="No Experiment"/>
    <s v="Control"/>
    <n v="4"/>
    <n v="4"/>
    <n v="106"/>
    <s v="No"/>
    <x v="0"/>
    <x v="0"/>
    <x v="14"/>
    <x v="0"/>
    <n v="138.97"/>
    <x v="4"/>
    <x v="0"/>
    <s v="No Support Contact"/>
    <s v="No"/>
    <s v="No Support Contact"/>
    <s v="Not Applicable"/>
    <m/>
    <s v="No drop-off"/>
    <n v="4"/>
    <n v="4"/>
    <n v="45"/>
    <x v="1"/>
    <n v="1"/>
    <n v="1"/>
    <n v="1"/>
    <n v="1"/>
  </r>
  <r>
    <x v="462"/>
    <s v="USR-00325"/>
    <s v="SES-2603-81340"/>
    <x v="205"/>
    <s v="East Midlands"/>
    <s v="Derby"/>
    <x v="2"/>
    <x v="1"/>
    <x v="0"/>
    <s v="Ios"/>
    <s v="Iphone"/>
    <s v="2+ years"/>
    <x v="0"/>
    <x v="3"/>
    <x v="1"/>
    <s v="Trial/Exploration"/>
    <s v="Fee Transparency Panel"/>
    <s v="Treatment"/>
    <n v="4"/>
    <n v="4"/>
    <n v="79"/>
    <s v="No"/>
    <x v="0"/>
    <x v="1"/>
    <x v="1"/>
    <x v="0"/>
    <n v="143.65"/>
    <x v="4"/>
    <x v="0"/>
    <s v="No Support Contact"/>
    <s v="No"/>
    <s v="No Support Contact"/>
    <s v="Not Applicable"/>
    <m/>
    <s v="No drop-off"/>
    <n v="5"/>
    <n v="-12"/>
    <n v="29"/>
    <x v="1"/>
    <n v="1"/>
    <n v="1"/>
    <n v="0"/>
    <n v="1"/>
  </r>
  <r>
    <x v="463"/>
    <s v="USR-00110"/>
    <s v="SES-2501-40526"/>
    <x v="234"/>
    <s v="North West"/>
    <s v="Manchester"/>
    <x v="0"/>
    <x v="1"/>
    <x v="0"/>
    <s v="Android"/>
    <s v="Android Phone"/>
    <s v="&lt;3 months"/>
    <x v="2"/>
    <x v="5"/>
    <x v="2"/>
    <s v="Repeat Use"/>
    <s v="No Experiment"/>
    <s v="Control"/>
    <n v="5"/>
    <n v="5"/>
    <n v="119"/>
    <s v="No"/>
    <x v="0"/>
    <x v="1"/>
    <x v="1"/>
    <x v="0"/>
    <n v="80.849999999999994"/>
    <x v="0"/>
    <x v="2"/>
    <s v="No Support Contact"/>
    <s v="No"/>
    <s v="No Support Contact"/>
    <s v="Not Applicable"/>
    <m/>
    <s v="No drop-off"/>
    <n v="4"/>
    <n v="31"/>
    <n v="32"/>
    <x v="1"/>
    <n v="1"/>
    <n v="1"/>
    <n v="0"/>
    <n v="1"/>
  </r>
  <r>
    <x v="464"/>
    <s v="USR-00726"/>
    <s v="SES-2603-45995"/>
    <x v="302"/>
    <s v="Northern Ireland"/>
    <s v="NEWRY"/>
    <x v="3"/>
    <x v="1"/>
    <x v="1"/>
    <s v="Ios"/>
    <s v="Iphone"/>
    <s v="3-6 months"/>
    <x v="0"/>
    <x v="1"/>
    <x v="2"/>
    <s v="Trial/Exploration"/>
    <s v="No Experiment"/>
    <s v="Control"/>
    <s v="5 steps"/>
    <n v="3"/>
    <n v="132"/>
    <s v="Yes"/>
    <x v="0"/>
    <x v="1"/>
    <x v="1"/>
    <x v="0"/>
    <n v="23.67"/>
    <x v="0"/>
    <x v="0"/>
    <s v="No Support Contact"/>
    <s v="No"/>
    <s v="No Support Contact"/>
    <s v="Not Applicable"/>
    <m/>
    <s v="No drop-off"/>
    <n v="3"/>
    <n v="10"/>
    <n v="34"/>
    <x v="0"/>
    <n v="1"/>
    <n v="1"/>
    <n v="0"/>
    <n v="0"/>
  </r>
  <r>
    <x v="465"/>
    <s v="USR-00153"/>
    <s v="SES-2603-13673"/>
    <x v="183"/>
    <s v="Scotland"/>
    <s v="Glasgow"/>
    <x v="2"/>
    <x v="2"/>
    <x v="0"/>
    <s v="Ios"/>
    <s v="Iphone"/>
    <s v="2+ years"/>
    <x v="0"/>
    <x v="1"/>
    <x v="8"/>
    <s v="First Use"/>
    <s v="No Experiment"/>
    <s v="Control"/>
    <n v="5"/>
    <n v="5"/>
    <n v="186"/>
    <s v="No"/>
    <x v="0"/>
    <x v="0"/>
    <x v="28"/>
    <x v="0"/>
    <n v="47.54"/>
    <x v="0"/>
    <x v="0"/>
    <s v="No Support Contact"/>
    <s v="No"/>
    <s v="No Support Contact"/>
    <s v="Not Applicable"/>
    <m/>
    <s v="No drop-off"/>
    <n v="4"/>
    <n v="-18"/>
    <s v="0 days"/>
    <x v="1"/>
    <n v="1"/>
    <n v="1"/>
    <n v="1"/>
    <n v="1"/>
  </r>
  <r>
    <x v="466"/>
    <s v="USR-00819"/>
    <s v="SES-2506-52847"/>
    <x v="308"/>
    <s v="Scotland"/>
    <s v="Glasgow"/>
    <x v="1"/>
    <x v="0"/>
    <x v="1"/>
    <s v="Ios"/>
    <s v="Iphone"/>
    <s v="2+ years"/>
    <x v="0"/>
    <x v="1"/>
    <x v="7"/>
    <s v="Repeat Use"/>
    <s v="Simplified Onboarding"/>
    <s v="Treatment"/>
    <n v="4"/>
    <n v="4"/>
    <n v="113"/>
    <s v="No"/>
    <x v="0"/>
    <x v="1"/>
    <x v="1"/>
    <x v="0"/>
    <n v="20.190000000000001"/>
    <x v="0"/>
    <x v="0"/>
    <s v="No Support Contact"/>
    <s v="No"/>
    <s v="No Support Contact"/>
    <s v="Not Applicable"/>
    <m/>
    <s v="No drop-off"/>
    <n v="5"/>
    <n v="66"/>
    <n v="50"/>
    <x v="1"/>
    <n v="1"/>
    <n v="1"/>
    <n v="0"/>
    <n v="1"/>
  </r>
  <r>
    <x v="467"/>
    <s v="USR-00229"/>
    <s v="SES-2601-58471"/>
    <x v="40"/>
    <s v="Northern Ireland"/>
    <s v="Newry"/>
    <x v="2"/>
    <x v="2"/>
    <x v="0"/>
    <s v="Android"/>
    <s v="Android Phone"/>
    <s v="7-12 months"/>
    <x v="0"/>
    <x v="4"/>
    <x v="1"/>
    <s v="Repeat Use"/>
    <s v="Simplified Onboarding"/>
    <s v="Control"/>
    <n v="4"/>
    <n v="3"/>
    <n v="143"/>
    <s v="Yes"/>
    <x v="0"/>
    <x v="1"/>
    <x v="1"/>
    <x v="0"/>
    <n v="152.06"/>
    <x v="4"/>
    <x v="0"/>
    <s v="No Support Contact"/>
    <s v="No"/>
    <s v="No Support Contact"/>
    <s v="Not Applicable"/>
    <m/>
    <s v="No drop-off"/>
    <n v="5"/>
    <n v="3"/>
    <n v="42"/>
    <x v="1"/>
    <n v="1"/>
    <n v="1"/>
    <n v="0"/>
    <n v="1"/>
  </r>
  <r>
    <x v="468"/>
    <s v="USR-00309"/>
    <s v="SES-2506-31196"/>
    <x v="121"/>
    <s v="East Midlands"/>
    <s v="NOTTINGHAM"/>
    <x v="0"/>
    <x v="4"/>
    <x v="0"/>
    <s v="Ios"/>
    <s v="Iphone"/>
    <s v="1-2 years"/>
    <x v="0"/>
    <x v="7"/>
    <x v="7"/>
    <s v="First Use"/>
    <s v="No Experiment"/>
    <s v="Control"/>
    <s v="4 steps"/>
    <n v="4"/>
    <n v="83"/>
    <s v="No"/>
    <x v="0"/>
    <x v="1"/>
    <x v="1"/>
    <x v="0"/>
    <n v="31.09"/>
    <x v="50"/>
    <x v="0"/>
    <s v="No Support Contact"/>
    <s v="No"/>
    <s v="No Support Contact"/>
    <s v="Not Applicable"/>
    <m/>
    <s v="No drop-off"/>
    <n v="5"/>
    <n v="13"/>
    <n v="0"/>
    <x v="1"/>
    <n v="1"/>
    <n v="1"/>
    <n v="0"/>
    <n v="1"/>
  </r>
  <r>
    <x v="469"/>
    <s v="USR-00428"/>
    <s v="SES-2512-13551"/>
    <x v="235"/>
    <s v="East England"/>
    <s v="Ipswich"/>
    <x v="0"/>
    <x v="4"/>
    <x v="0"/>
    <s v="Android"/>
    <s v="Android Phone"/>
    <s v="1-2 years"/>
    <x v="0"/>
    <x v="1"/>
    <x v="3"/>
    <s v="Reactivated"/>
    <s v="No Experiment"/>
    <s v="Control"/>
    <n v="6"/>
    <n v="6"/>
    <n v="153"/>
    <s v="No"/>
    <x v="0"/>
    <x v="1"/>
    <x v="1"/>
    <x v="0"/>
    <n v="58.69"/>
    <x v="17"/>
    <x v="0"/>
    <s v="No Support Contact"/>
    <s v="No"/>
    <s v="No Support Contact"/>
    <s v="Not Applicable"/>
    <m/>
    <s v="No drop-off"/>
    <n v="2"/>
    <n v="39"/>
    <n v="13"/>
    <x v="1"/>
    <n v="1"/>
    <n v="1"/>
    <n v="0"/>
    <n v="1"/>
  </r>
  <r>
    <x v="470"/>
    <s v="USR-00741"/>
    <s v="SES-2508-26331"/>
    <x v="309"/>
    <s v="North West"/>
    <s v="Manchester"/>
    <x v="0"/>
    <x v="1"/>
    <x v="1"/>
    <s v="Android"/>
    <s v="Android Phone"/>
    <s v="7-12 months"/>
    <x v="1"/>
    <x v="0"/>
    <x v="3"/>
    <s v="Reactivated"/>
    <s v="No Experiment"/>
    <s v="Control"/>
    <n v="6"/>
    <n v="6"/>
    <n v="183"/>
    <s v="No"/>
    <x v="1"/>
    <x v="0"/>
    <x v="8"/>
    <x v="1"/>
    <n v="0"/>
    <x v="0"/>
    <x v="0"/>
    <s v="Transaction Failure"/>
    <s v="Yes"/>
    <s v="Transaction Failure"/>
    <s v="Resolved"/>
    <n v="32"/>
    <s v="Technical error"/>
    <n v="2"/>
    <n v="-7"/>
    <n v="16"/>
    <x v="0"/>
    <n v="0"/>
    <n v="0"/>
    <n v="1"/>
    <n v="0"/>
  </r>
  <r>
    <x v="471"/>
    <s v="USR-00400"/>
    <s v="SES-2501-44697"/>
    <x v="262"/>
    <s v="North West"/>
    <s v="Preston"/>
    <x v="2"/>
    <x v="2"/>
    <x v="1"/>
    <s v="Android"/>
    <s v="Android Phone"/>
    <s v="1-2 years"/>
    <x v="0"/>
    <x v="2"/>
    <x v="0"/>
    <s v="Trial/Exploration"/>
    <s v="No Experiment"/>
    <s v="Control"/>
    <n v="7"/>
    <n v="7"/>
    <n v="181"/>
    <s v="No"/>
    <x v="1"/>
    <x v="1"/>
    <x v="1"/>
    <x v="1"/>
    <n v="0"/>
    <x v="0"/>
    <x v="0"/>
    <s v="No Support Contact"/>
    <s v="No"/>
    <s v="No Support Contact"/>
    <s v="Not Applicable"/>
    <m/>
    <s v="Verification took too long"/>
    <n v="3"/>
    <n v="27"/>
    <n v="15"/>
    <x v="0"/>
    <n v="0"/>
    <n v="0"/>
    <n v="0"/>
    <n v="0"/>
  </r>
  <r>
    <x v="472"/>
    <s v="USR-00648"/>
    <s v="SES-2504-78418"/>
    <x v="137"/>
    <s v="East England"/>
    <s v="Luton"/>
    <x v="0"/>
    <x v="1"/>
    <x v="0"/>
    <s v="Web"/>
    <s v="Desktop"/>
    <s v="1-2 years"/>
    <x v="0"/>
    <x v="0"/>
    <x v="7"/>
    <s v="Repeat Use"/>
    <s v="No Experiment"/>
    <s v="Control"/>
    <n v="4"/>
    <n v="4"/>
    <n v="107"/>
    <s v="No"/>
    <x v="0"/>
    <x v="1"/>
    <x v="1"/>
    <x v="0"/>
    <n v="121.33"/>
    <x v="50"/>
    <x v="0"/>
    <s v="No Support Contact"/>
    <s v="No"/>
    <s v="No Support Contact"/>
    <s v="Not Applicable"/>
    <m/>
    <s v="No drop-off"/>
    <n v="4"/>
    <n v="21"/>
    <n v="1"/>
    <x v="1"/>
    <n v="1"/>
    <n v="1"/>
    <n v="0"/>
    <n v="1"/>
  </r>
  <r>
    <x v="473"/>
    <s v="USR-00712"/>
    <s v="SES-2601-11683"/>
    <x v="310"/>
    <s v="Northern Ireland"/>
    <s v="Lisburn"/>
    <x v="7"/>
    <x v="0"/>
    <x v="0"/>
    <s v="Web"/>
    <s v="Desktop"/>
    <s v="1-2 years"/>
    <x v="0"/>
    <x v="2"/>
    <x v="10"/>
    <s v="Reactivated"/>
    <s v="No Experiment"/>
    <s v="Control"/>
    <n v="9"/>
    <n v="9"/>
    <n v="254"/>
    <s v="No"/>
    <x v="0"/>
    <x v="1"/>
    <x v="1"/>
    <x v="1"/>
    <n v="0"/>
    <x v="0"/>
    <x v="0"/>
    <s v="Feature Navigation"/>
    <s v="Yes"/>
    <s v="Feature Navigation"/>
    <s v="Unresolved"/>
    <n v="45"/>
    <s v="No drop-off"/>
    <n v="4"/>
    <n v="13"/>
    <n v="13"/>
    <x v="1"/>
    <n v="1"/>
    <n v="0"/>
    <n v="0"/>
    <n v="1"/>
  </r>
  <r>
    <x v="474"/>
    <s v="USR-00302"/>
    <s v="SES-2511-57424"/>
    <x v="311"/>
    <s v="West Midlands"/>
    <s v="Coventry"/>
    <x v="0"/>
    <x v="0"/>
    <x v="0"/>
    <s v="Android"/>
    <s v="Android Phone"/>
    <s v="7-12 months"/>
    <x v="0"/>
    <x v="3"/>
    <x v="2"/>
    <s v="Repeat Use"/>
    <s v="Fee Transparency Panel"/>
    <s v="Treatment"/>
    <n v="5"/>
    <n v="5"/>
    <n v="155"/>
    <s v="No"/>
    <x v="0"/>
    <x v="1"/>
    <x v="1"/>
    <x v="0"/>
    <n v="4.82"/>
    <x v="0"/>
    <x v="0"/>
    <s v="No Support Contact"/>
    <s v="No"/>
    <s v="No Support Contact"/>
    <s v="Not Applicable"/>
    <m/>
    <s v="No drop-off"/>
    <n v="5"/>
    <n v="62"/>
    <n v="1"/>
    <x v="0"/>
    <n v="1"/>
    <n v="1"/>
    <n v="0"/>
    <n v="0"/>
  </r>
  <r>
    <x v="475"/>
    <s v="USR-00403"/>
    <s v="SES-2506-89826"/>
    <x v="134"/>
    <s v="Northern Ireland"/>
    <s v="Newry"/>
    <x v="5"/>
    <x v="2"/>
    <x v="1"/>
    <s v="Ios"/>
    <s v="Iphone"/>
    <s v="7-12 months"/>
    <x v="0"/>
    <x v="6"/>
    <x v="3"/>
    <s v="Repeat Use"/>
    <s v="No Experiment"/>
    <s v="Control"/>
    <n v="6"/>
    <n v="6"/>
    <n v="167"/>
    <s v="No"/>
    <x v="0"/>
    <x v="1"/>
    <x v="1"/>
    <x v="0"/>
    <n v="0"/>
    <x v="2"/>
    <x v="0"/>
    <s v="No Support Contact"/>
    <s v="No"/>
    <s v="No Support Contact"/>
    <s v="Not Applicable"/>
    <m/>
    <s v="No drop-off"/>
    <n v="3"/>
    <n v="29"/>
    <n v="57"/>
    <x v="1"/>
    <n v="1"/>
    <n v="1"/>
    <n v="0"/>
    <n v="1"/>
  </r>
  <r>
    <x v="476"/>
    <s v="USR-00366"/>
    <s v="SES-2603-45367"/>
    <x v="123"/>
    <s v="West Midlands"/>
    <s v="Solihull"/>
    <x v="0"/>
    <x v="0"/>
    <x v="0"/>
    <s v="Android"/>
    <s v="Android Phone"/>
    <s v="7-12 months"/>
    <x v="0"/>
    <x v="5"/>
    <x v="1"/>
    <s v="First Use"/>
    <s v="No Experiment"/>
    <s v="Control"/>
    <n v="4"/>
    <n v="4"/>
    <n v="114"/>
    <s v="No"/>
    <x v="0"/>
    <x v="1"/>
    <x v="1"/>
    <x v="0"/>
    <n v="130.12"/>
    <x v="1"/>
    <x v="0"/>
    <s v="Transaction Failure"/>
    <s v="Yes"/>
    <s v="Transaction Failure"/>
    <s v="Resolved"/>
    <n v="31"/>
    <s v="No drop-off"/>
    <n v="5"/>
    <n v="25"/>
    <n v="0"/>
    <x v="1"/>
    <n v="1"/>
    <n v="1"/>
    <n v="0"/>
    <n v="1"/>
  </r>
  <r>
    <x v="477"/>
    <s v="USR-00489"/>
    <s v="SES-2504-59950"/>
    <x v="182"/>
    <s v="Northern Ireland"/>
    <s v="Derry"/>
    <x v="0"/>
    <x v="0"/>
    <x v="0"/>
    <s v="Android"/>
    <s v="Android Phone"/>
    <s v="2+ years"/>
    <x v="0"/>
    <x v="7"/>
    <x v="5"/>
    <s v="Trial/Exploration"/>
    <s v="Contextual Help"/>
    <s v="Treatment"/>
    <n v="8"/>
    <n v="8"/>
    <n v="166"/>
    <s v="No"/>
    <x v="1"/>
    <x v="1"/>
    <x v="1"/>
    <x v="1"/>
    <n v="0"/>
    <x v="0"/>
    <x v="0"/>
    <s v="No Support Contact"/>
    <s v="No"/>
    <s v="No Support Contact"/>
    <s v="Not Applicable"/>
    <m/>
    <s v="No drop-off"/>
    <n v="5"/>
    <n v="17"/>
    <n v="55"/>
    <x v="1"/>
    <n v="0"/>
    <n v="0"/>
    <n v="0"/>
    <n v="1"/>
  </r>
  <r>
    <x v="478"/>
    <s v="USR-00714"/>
    <s v="SES-2502-81276"/>
    <x v="60"/>
    <s v="South East"/>
    <s v="Guildford"/>
    <x v="4"/>
    <x v="1"/>
    <x v="1"/>
    <s v="Web"/>
    <s v="Mobile Browser"/>
    <s v="&lt;3 months"/>
    <x v="0"/>
    <x v="4"/>
    <x v="4"/>
    <s v="Repeat Use"/>
    <s v="Fee Transparency Panel"/>
    <s v="Treatment"/>
    <s v="6 steps"/>
    <n v="6"/>
    <n v="179"/>
    <s v="No"/>
    <x v="1"/>
    <x v="0"/>
    <x v="25"/>
    <x v="1"/>
    <n v="0"/>
    <x v="0"/>
    <x v="0"/>
    <s v="Account Verification"/>
    <s v="Yes"/>
    <s v="Account Verification"/>
    <s v="Resolved"/>
    <n v="47"/>
    <s v="Technical error"/>
    <n v="3"/>
    <n v="-13"/>
    <n v="26"/>
    <x v="0"/>
    <n v="0"/>
    <n v="0"/>
    <n v="1"/>
    <n v="0"/>
  </r>
  <r>
    <x v="479"/>
    <s v="USR-00739"/>
    <s v="SES-2504-19276"/>
    <x v="20"/>
    <s v="East England"/>
    <s v="Ipswich"/>
    <x v="0"/>
    <x v="1"/>
    <x v="0"/>
    <s v="Ios"/>
    <s v="Iphone"/>
    <s v="3-6 months"/>
    <x v="3"/>
    <x v="4"/>
    <x v="9"/>
    <s v="First Use"/>
    <s v="Fee Transparency Panel"/>
    <s v="Treatment"/>
    <n v="5"/>
    <n v="5"/>
    <n v="101"/>
    <s v="No"/>
    <x v="0"/>
    <x v="1"/>
    <x v="1"/>
    <x v="0"/>
    <n v="104.93"/>
    <x v="0"/>
    <x v="0"/>
    <s v="No Support Contact"/>
    <s v="No"/>
    <s v="No Support Contact"/>
    <s v="Not Applicable"/>
    <m/>
    <s v="No drop-off"/>
    <n v="3"/>
    <n v="56"/>
    <s v="0 days"/>
    <x v="1"/>
    <n v="1"/>
    <n v="1"/>
    <n v="0"/>
    <n v="1"/>
  </r>
  <r>
    <x v="480"/>
    <s v="USR-00169"/>
    <s v="SES-2505-98890"/>
    <x v="144"/>
    <s v="Northern Ireland"/>
    <s v="Derry"/>
    <x v="1"/>
    <x v="3"/>
    <x v="1"/>
    <s v="Ios"/>
    <s v="Iphone"/>
    <s v="&lt;3 months"/>
    <x v="2"/>
    <x v="3"/>
    <x v="9"/>
    <s v="Trial/Exploration"/>
    <s v="No Experiment"/>
    <s v="Control"/>
    <s v="5 steps"/>
    <n v="5"/>
    <n v="155"/>
    <s v="No"/>
    <x v="0"/>
    <x v="1"/>
    <x v="1"/>
    <x v="0"/>
    <n v="97.69"/>
    <x v="0"/>
    <x v="2"/>
    <s v="Other"/>
    <s v="Yes"/>
    <s v="Other"/>
    <s v="Unresolved"/>
    <n v="3"/>
    <s v="No drop-off"/>
    <n v="3"/>
    <n v="18"/>
    <s v="19 days"/>
    <x v="1"/>
    <n v="1"/>
    <n v="1"/>
    <n v="0"/>
    <n v="1"/>
  </r>
  <r>
    <x v="481"/>
    <s v="USR-00540"/>
    <s v="SES-2508-95865"/>
    <x v="42"/>
    <s v="Yorkshire &amp; Humber"/>
    <s v="York"/>
    <x v="7"/>
    <x v="0"/>
    <x v="0"/>
    <s v="Android"/>
    <s v="Android Phone"/>
    <s v="7-12 months"/>
    <x v="0"/>
    <x v="4"/>
    <x v="2"/>
    <s v="Repeat Use"/>
    <s v="Simplified Onboarding"/>
    <s v="Control"/>
    <n v="5"/>
    <s v="3 steps"/>
    <n v="185"/>
    <s v="Yes"/>
    <x v="0"/>
    <x v="1"/>
    <x v="1"/>
    <x v="0"/>
    <n v="52.87"/>
    <x v="0"/>
    <x v="0"/>
    <s v="No Support Contact"/>
    <s v="No"/>
    <s v="No Support Contact"/>
    <s v="Not Applicable"/>
    <m/>
    <s v="No drop-off"/>
    <n v="3"/>
    <n v="40"/>
    <n v="69"/>
    <x v="0"/>
    <n v="1"/>
    <n v="1"/>
    <n v="0"/>
    <n v="0"/>
  </r>
  <r>
    <x v="482"/>
    <s v="USR-00503"/>
    <s v="SES-2512-74176"/>
    <x v="312"/>
    <s v="East England"/>
    <s v="Ipswich"/>
    <x v="0"/>
    <x v="1"/>
    <x v="0"/>
    <s v="Ios"/>
    <s v="Iphone"/>
    <s v="2+ years"/>
    <x v="1"/>
    <x v="0"/>
    <x v="5"/>
    <s v="First Use"/>
    <s v="No Experiment"/>
    <s v="Control"/>
    <n v="8"/>
    <n v="8"/>
    <n v="178"/>
    <s v="No"/>
    <x v="0"/>
    <x v="1"/>
    <x v="1"/>
    <x v="0"/>
    <n v="364.35"/>
    <x v="59"/>
    <x v="1"/>
    <s v="No Support Contact"/>
    <s v="No"/>
    <s v="No Support Contact"/>
    <s v="Not Applicable"/>
    <m/>
    <s v="No drop-off"/>
    <n v="3"/>
    <n v="22"/>
    <n v="0"/>
    <x v="1"/>
    <n v="1"/>
    <n v="1"/>
    <n v="0"/>
    <n v="1"/>
  </r>
  <r>
    <x v="483"/>
    <s v="USR-00370"/>
    <s v="SES-2509-24367"/>
    <x v="284"/>
    <s v="South East"/>
    <s v="Canterbury"/>
    <x v="2"/>
    <x v="0"/>
    <x v="0"/>
    <s v="Ios"/>
    <s v="Iphone"/>
    <s v="2+ years"/>
    <x v="1"/>
    <x v="4"/>
    <x v="1"/>
    <s v="Reactivated"/>
    <s v="No Experiment"/>
    <s v="Control"/>
    <n v="4"/>
    <n v="4"/>
    <n v="98"/>
    <s v="No"/>
    <x v="0"/>
    <x v="1"/>
    <x v="1"/>
    <x v="0"/>
    <n v="114.48"/>
    <x v="8"/>
    <x v="1"/>
    <s v="No Support Contact"/>
    <s v="No"/>
    <s v="No Support Contact"/>
    <s v="Not Applicable"/>
    <m/>
    <s v="No drop-off"/>
    <n v="5"/>
    <n v="52"/>
    <n v="51"/>
    <x v="1"/>
    <n v="1"/>
    <n v="1"/>
    <n v="0"/>
    <n v="1"/>
  </r>
  <r>
    <x v="484"/>
    <s v="USR-00776"/>
    <s v="SES-2506-82325"/>
    <x v="120"/>
    <s v="East England"/>
    <s v="Luton"/>
    <x v="0"/>
    <x v="0"/>
    <x v="1"/>
    <s v="Android"/>
    <s v="Android Phone"/>
    <s v="2+ years"/>
    <x v="0"/>
    <x v="0"/>
    <x v="2"/>
    <s v="First Use"/>
    <s v="Progress Indicator"/>
    <s v="Treatment"/>
    <n v="5"/>
    <n v="5"/>
    <n v="107"/>
    <s v="No"/>
    <x v="0"/>
    <x v="1"/>
    <x v="1"/>
    <x v="0"/>
    <n v="8.27"/>
    <x v="0"/>
    <x v="0"/>
    <s v="No Support Contact"/>
    <s v="No"/>
    <s v="No Support Contact"/>
    <s v="Not Applicable"/>
    <m/>
    <s v="No drop-off"/>
    <n v="5"/>
    <n v="22"/>
    <n v="0"/>
    <x v="1"/>
    <n v="1"/>
    <n v="1"/>
    <n v="0"/>
    <n v="1"/>
  </r>
  <r>
    <x v="485"/>
    <s v="USR-00619"/>
    <s v="SES-2508-53118"/>
    <x v="126"/>
    <s v="West Midlands"/>
    <s v="Solihull"/>
    <x v="1"/>
    <x v="4"/>
    <x v="0"/>
    <s v="Android"/>
    <s v="Android Phone"/>
    <s v="2+ years"/>
    <x v="3"/>
    <x v="1"/>
    <x v="5"/>
    <s v="Repeat Use"/>
    <s v="Simplified Onboarding"/>
    <s v="Unknown"/>
    <n v="8"/>
    <n v="8"/>
    <n v="207"/>
    <s v="No"/>
    <x v="1"/>
    <x v="1"/>
    <x v="1"/>
    <x v="1"/>
    <n v="0"/>
    <x v="0"/>
    <x v="0"/>
    <s v="No Support Contact"/>
    <s v="No"/>
    <s v="No Support Contact"/>
    <s v="Not Applicable"/>
    <m/>
    <s v="Verification took too long"/>
    <n v="3"/>
    <n v="1"/>
    <n v="12"/>
    <x v="1"/>
    <n v="0"/>
    <n v="0"/>
    <n v="0"/>
    <n v="1"/>
  </r>
  <r>
    <x v="486"/>
    <s v="USR-00667"/>
    <s v="SES-2502-66173"/>
    <x v="238"/>
    <s v="North West"/>
    <s v="Liverpool"/>
    <x v="3"/>
    <x v="1"/>
    <x v="1"/>
    <s v="Ios"/>
    <s v="Iphone"/>
    <s v="1-2 years"/>
    <x v="0"/>
    <x v="2"/>
    <x v="4"/>
    <s v="Repeat Use"/>
    <s v="No Experiment"/>
    <s v="Control"/>
    <n v="6"/>
    <n v="6"/>
    <n v="152"/>
    <s v="No"/>
    <x v="0"/>
    <x v="1"/>
    <x v="1"/>
    <x v="1"/>
    <n v="0"/>
    <x v="0"/>
    <x v="0"/>
    <s v="No Support Contact"/>
    <s v="No"/>
    <s v="No Support Contact"/>
    <s v="Not Applicable"/>
    <m/>
    <s v="No drop-off"/>
    <n v="3"/>
    <n v="37"/>
    <n v="37"/>
    <x v="0"/>
    <n v="1"/>
    <n v="0"/>
    <n v="0"/>
    <n v="0"/>
  </r>
  <r>
    <x v="487"/>
    <s v="USR-00026"/>
    <s v="SES-2508-56244"/>
    <x v="74"/>
    <s v="East England"/>
    <s v="Norwich"/>
    <x v="0"/>
    <x v="3"/>
    <x v="0"/>
    <s v="Ios"/>
    <s v="Iphone"/>
    <s v="7-12 months"/>
    <x v="0"/>
    <x v="8"/>
    <x v="4"/>
    <s v="Trial/Exploration"/>
    <s v="No Experiment"/>
    <s v="Control"/>
    <n v="6"/>
    <n v="6"/>
    <n v="181"/>
    <s v="No"/>
    <x v="0"/>
    <x v="1"/>
    <x v="1"/>
    <x v="0"/>
    <n v="0"/>
    <x v="0"/>
    <x v="0"/>
    <s v="No Support Contact"/>
    <s v="No"/>
    <s v="No Support Contact"/>
    <s v="Not Applicable"/>
    <m/>
    <s v="No drop-off"/>
    <n v="4"/>
    <n v="20"/>
    <s v="59 days"/>
    <x v="1"/>
    <n v="1"/>
    <n v="1"/>
    <n v="0"/>
    <n v="1"/>
  </r>
  <r>
    <x v="488"/>
    <s v="USR-00503"/>
    <s v="SES-2503-66731"/>
    <x v="145"/>
    <s v="East England"/>
    <s v="Cambridge"/>
    <x v="3"/>
    <x v="1"/>
    <x v="1"/>
    <s v="Ios"/>
    <s v="Iphone"/>
    <s v="2+ years"/>
    <x v="0"/>
    <x v="1"/>
    <x v="1"/>
    <s v="Repeat Use"/>
    <s v="Fee Transparency Panel"/>
    <s v="Treatment"/>
    <s v="4 steps"/>
    <n v="4"/>
    <n v="125"/>
    <s v="No"/>
    <x v="0"/>
    <x v="1"/>
    <x v="1"/>
    <x v="0"/>
    <n v="202.68"/>
    <x v="7"/>
    <x v="0"/>
    <s v="No Support Contact"/>
    <s v="No"/>
    <s v="No Support Contact"/>
    <s v="Not Applicable"/>
    <m/>
    <s v="No drop-off"/>
    <n v="5"/>
    <n v="66"/>
    <n v="1"/>
    <x v="1"/>
    <n v="1"/>
    <n v="1"/>
    <n v="0"/>
    <n v="1"/>
  </r>
  <r>
    <x v="489"/>
    <s v="USR-00108"/>
    <s v="SES-2602-77556"/>
    <x v="313"/>
    <s v="Northern Ireland"/>
    <s v="Belfast"/>
    <x v="2"/>
    <x v="0"/>
    <x v="1"/>
    <s v="Android"/>
    <s v="Android Phone"/>
    <s v="3-6 months"/>
    <x v="2"/>
    <x v="1"/>
    <x v="2"/>
    <s v="First Use"/>
    <s v="Contextual Help"/>
    <s v="Treatment"/>
    <n v="5"/>
    <n v="3"/>
    <n v="154"/>
    <s v="Yes"/>
    <x v="0"/>
    <x v="1"/>
    <x v="1"/>
    <x v="0"/>
    <n v="124.4"/>
    <x v="0"/>
    <x v="2"/>
    <s v="No Support Contact"/>
    <s v="No"/>
    <s v="No Support Contact"/>
    <s v="Not Applicable"/>
    <m/>
    <s v="No drop-off"/>
    <n v="4"/>
    <n v="14"/>
    <n v="0"/>
    <x v="1"/>
    <n v="1"/>
    <n v="1"/>
    <n v="0"/>
    <n v="1"/>
  </r>
  <r>
    <x v="490"/>
    <s v="USR-00704"/>
    <s v="SES-2603-53869"/>
    <x v="314"/>
    <s v="Yorkshire &amp; Humber"/>
    <s v="York"/>
    <x v="1"/>
    <x v="2"/>
    <x v="0"/>
    <s v="Ios"/>
    <s v="Ipad"/>
    <s v="&lt;3 months"/>
    <x v="2"/>
    <x v="1"/>
    <x v="5"/>
    <s v="Trial/Exploration"/>
    <s v="No Experiment"/>
    <s v="Control"/>
    <n v="8"/>
    <n v="8"/>
    <n v="295"/>
    <s v="No"/>
    <x v="0"/>
    <x v="0"/>
    <x v="24"/>
    <x v="1"/>
    <n v="0"/>
    <x v="0"/>
    <x v="0"/>
    <s v="No Support Contact"/>
    <s v="No"/>
    <s v="No Support Contact"/>
    <s v="Not Applicable"/>
    <m/>
    <s v="No drop-off"/>
    <n v="4"/>
    <n v="-20"/>
    <n v="39"/>
    <x v="1"/>
    <n v="1"/>
    <n v="0"/>
    <n v="1"/>
    <n v="1"/>
  </r>
  <r>
    <x v="491"/>
    <s v="USR-00542"/>
    <s v="SES-2511-61404"/>
    <x v="35"/>
    <s v="South West"/>
    <s v="Bath"/>
    <x v="7"/>
    <x v="2"/>
    <x v="1"/>
    <s v="Ios"/>
    <s v="Iphone"/>
    <s v="1-2 years"/>
    <x v="3"/>
    <x v="4"/>
    <x v="4"/>
    <s v="Trial/Exploration"/>
    <s v="New Cta Copy"/>
    <s v="Treatment"/>
    <n v="6"/>
    <n v="3"/>
    <n v="277"/>
    <s v="Yes"/>
    <x v="1"/>
    <x v="1"/>
    <x v="1"/>
    <x v="0"/>
    <n v="0"/>
    <x v="0"/>
    <x v="0"/>
    <s v="No Support Contact"/>
    <s v="No"/>
    <s v="No Support Contact"/>
    <s v="Not Applicable"/>
    <m/>
    <s v="Too many steps"/>
    <n v="2"/>
    <n v="7"/>
    <n v="26"/>
    <x v="0"/>
    <n v="0"/>
    <n v="1"/>
    <n v="0"/>
    <n v="0"/>
  </r>
  <r>
    <x v="492"/>
    <s v="USR-00674"/>
    <s v="SES-2502-55243"/>
    <x v="315"/>
    <s v="Northern Ireland"/>
    <s v="Lisburn"/>
    <x v="3"/>
    <x v="2"/>
    <x v="0"/>
    <s v="Android"/>
    <s v="Android Phone"/>
    <s v="7-12 months"/>
    <x v="0"/>
    <x v="0"/>
    <x v="1"/>
    <s v="Repeat Use"/>
    <s v="Contextual Help"/>
    <s v="Treatment"/>
    <n v="4"/>
    <n v="4"/>
    <n v="107"/>
    <s v="No"/>
    <x v="0"/>
    <x v="1"/>
    <x v="1"/>
    <x v="0"/>
    <n v="124.35"/>
    <x v="7"/>
    <x v="0"/>
    <s v="Transaction Failure"/>
    <s v="Yes"/>
    <s v="Transaction Failure"/>
    <s v="Resolved"/>
    <n v="9"/>
    <s v="No drop-off"/>
    <n v="5"/>
    <n v="58"/>
    <n v="36"/>
    <x v="1"/>
    <n v="1"/>
    <n v="1"/>
    <n v="0"/>
    <n v="1"/>
  </r>
  <r>
    <x v="493"/>
    <s v="USR-00739"/>
    <s v="SES-2504-79243"/>
    <x v="125"/>
    <s v="Scotland"/>
    <s v="Edinburgh"/>
    <x v="3"/>
    <x v="0"/>
    <x v="3"/>
    <s v="Ios"/>
    <s v="Iphone"/>
    <s v="&lt;3 months"/>
    <x v="0"/>
    <x v="4"/>
    <x v="4"/>
    <s v="Repeat Use"/>
    <s v="New Cta Copy"/>
    <s v="Treatment"/>
    <n v="6"/>
    <n v="6"/>
    <n v="174"/>
    <s v="No"/>
    <x v="1"/>
    <x v="1"/>
    <x v="1"/>
    <x v="0"/>
    <n v="82.88"/>
    <x v="0"/>
    <x v="0"/>
    <s v="No Support Contact"/>
    <s v="No"/>
    <s v="No Support Contact"/>
    <s v="Not Applicable"/>
    <m/>
    <s v="No drop-off"/>
    <n v="4"/>
    <n v="32"/>
    <n v="42"/>
    <x v="0"/>
    <n v="0"/>
    <n v="1"/>
    <n v="0"/>
    <n v="0"/>
  </r>
  <r>
    <x v="494"/>
    <s v="USR-00484"/>
    <s v="SES-2505-93524"/>
    <x v="144"/>
    <s v="Scotland"/>
    <s v="Glasgow"/>
    <x v="2"/>
    <x v="0"/>
    <x v="0"/>
    <s v="Android"/>
    <s v="Android Phone"/>
    <s v="2+ years"/>
    <x v="0"/>
    <x v="4"/>
    <x v="1"/>
    <s v="Repeat Use"/>
    <s v="Fee Transparency Panel"/>
    <s v="Control"/>
    <n v="4"/>
    <n v="4"/>
    <n v="107"/>
    <s v="No"/>
    <x v="0"/>
    <x v="1"/>
    <x v="1"/>
    <x v="0"/>
    <n v="90.17"/>
    <x v="25"/>
    <x v="0"/>
    <s v="No Support Contact"/>
    <s v="No"/>
    <s v="No Support Contact"/>
    <s v="Not Applicable"/>
    <m/>
    <s v="No drop-off"/>
    <n v="5"/>
    <n v="23"/>
    <n v="18"/>
    <x v="1"/>
    <n v="1"/>
    <n v="1"/>
    <n v="0"/>
    <n v="1"/>
  </r>
  <r>
    <x v="495"/>
    <s v="USR-00050"/>
    <s v="SES-2511-47946"/>
    <x v="156"/>
    <s v="Northern Ireland"/>
    <s v="Belfast"/>
    <x v="1"/>
    <x v="0"/>
    <x v="1"/>
    <s v="Android"/>
    <s v="Android Phone"/>
    <s v="1-2 years"/>
    <x v="0"/>
    <x v="4"/>
    <x v="1"/>
    <s v="Reactivated"/>
    <s v="New Cta Copy"/>
    <s v="Treatment"/>
    <n v="4"/>
    <n v="4"/>
    <n v="77"/>
    <s v="No"/>
    <x v="0"/>
    <x v="1"/>
    <x v="1"/>
    <x v="0"/>
    <n v="148.16999999999999"/>
    <x v="1"/>
    <x v="0"/>
    <s v="No Support Contact"/>
    <s v="No"/>
    <s v="No Support Contact"/>
    <s v="Not Applicable"/>
    <m/>
    <s v="No drop-off"/>
    <n v="4"/>
    <n v="61"/>
    <n v="37"/>
    <x v="1"/>
    <n v="1"/>
    <n v="1"/>
    <n v="0"/>
    <n v="1"/>
  </r>
  <r>
    <x v="496"/>
    <s v="USR-00759"/>
    <s v="SES-2503-86508"/>
    <x v="245"/>
    <s v="Yorkshire &amp; Humber"/>
    <s v="Leeds"/>
    <x v="0"/>
    <x v="0"/>
    <x v="1"/>
    <s v="Ios"/>
    <s v="Iphone"/>
    <s v="1-2 years"/>
    <x v="1"/>
    <x v="5"/>
    <x v="0"/>
    <s v="Repeat Use"/>
    <s v="No Experiment"/>
    <s v="Control"/>
    <n v="7"/>
    <n v="6"/>
    <n v="325"/>
    <s v="Yes"/>
    <x v="1"/>
    <x v="1"/>
    <x v="1"/>
    <x v="1"/>
    <n v="0"/>
    <x v="0"/>
    <x v="0"/>
    <s v="Feature Navigation"/>
    <s v="Yes"/>
    <s v="Feature Navigation"/>
    <s v="Resolved"/>
    <n v="28"/>
    <s v="Instructions unclear"/>
    <n v="3"/>
    <n v="-12"/>
    <n v="5"/>
    <x v="1"/>
    <n v="0"/>
    <n v="0"/>
    <n v="0"/>
    <n v="1"/>
  </r>
  <r>
    <x v="497"/>
    <s v="USR-00772"/>
    <s v="SES-2512-11750"/>
    <x v="235"/>
    <s v="Northern Ireland"/>
    <s v="Belfast"/>
    <x v="1"/>
    <x v="0"/>
    <x v="1"/>
    <s v="Ios"/>
    <s v="Iphone"/>
    <s v="3-6 months"/>
    <x v="2"/>
    <x v="5"/>
    <x v="2"/>
    <s v="Trial/Exploration"/>
    <s v="Fee Transparency Panel"/>
    <s v="Treatment"/>
    <n v="5"/>
    <n v="5"/>
    <n v="161"/>
    <s v="No"/>
    <x v="0"/>
    <x v="0"/>
    <x v="19"/>
    <x v="0"/>
    <n v="91.82"/>
    <x v="0"/>
    <x v="2"/>
    <s v="Transaction Failure"/>
    <s v="Yes"/>
    <s v="Transaction Failure"/>
    <s v="Unresolved"/>
    <n v="58"/>
    <s v="No drop-off"/>
    <n v="4"/>
    <n v="37"/>
    <n v="68"/>
    <x v="1"/>
    <n v="1"/>
    <n v="1"/>
    <n v="1"/>
    <n v="1"/>
  </r>
  <r>
    <x v="498"/>
    <s v="USR-00781"/>
    <s v="SES-2603-29419"/>
    <x v="15"/>
    <s v="South West"/>
    <s v="Plymouth"/>
    <x v="2"/>
    <x v="3"/>
    <x v="0"/>
    <s v="Ios"/>
    <s v="Iphone"/>
    <s v="1-2 years"/>
    <x v="1"/>
    <x v="2"/>
    <x v="1"/>
    <s v="Repeat Use"/>
    <s v="No Experiment"/>
    <s v="Control"/>
    <n v="4"/>
    <n v="4"/>
    <n v="100"/>
    <s v="No"/>
    <x v="0"/>
    <x v="1"/>
    <x v="1"/>
    <x v="0"/>
    <n v="105.16"/>
    <x v="1"/>
    <x v="1"/>
    <s v="No Support Contact"/>
    <s v="No"/>
    <s v="No Support Contact"/>
    <s v="Not Applicable"/>
    <m/>
    <s v="No drop-off"/>
    <n v="3"/>
    <n v="-1"/>
    <n v="33"/>
    <x v="1"/>
    <n v="1"/>
    <n v="1"/>
    <n v="0"/>
    <n v="1"/>
  </r>
  <r>
    <x v="499"/>
    <s v="USR-00438"/>
    <s v="SES-2508-20577"/>
    <x v="5"/>
    <s v="South West"/>
    <s v="Bristol"/>
    <x v="5"/>
    <x v="2"/>
    <x v="0"/>
    <s v="Ios"/>
    <s v="Iphone"/>
    <s v="3-6 months"/>
    <x v="0"/>
    <x v="4"/>
    <x v="5"/>
    <s v="Repeat Use"/>
    <s v="Fee Transparency Panel"/>
    <s v="Control"/>
    <n v="8"/>
    <n v="4"/>
    <n v="261"/>
    <s v="Yes"/>
    <x v="1"/>
    <x v="1"/>
    <x v="1"/>
    <x v="1"/>
    <n v="0"/>
    <x v="0"/>
    <x v="0"/>
    <s v="No Support Contact"/>
    <s v="No"/>
    <s v="No Support Contact"/>
    <s v="Not Applicable"/>
    <m/>
    <s v="Too many steps"/>
    <n v="2"/>
    <n v="-5"/>
    <n v="11"/>
    <x v="1"/>
    <n v="0"/>
    <n v="0"/>
    <n v="0"/>
    <n v="1"/>
  </r>
  <r>
    <x v="500"/>
    <s v="USR-00584"/>
    <s v="SES-2501-71986"/>
    <x v="299"/>
    <s v="Yorkshire &amp; Humber"/>
    <s v="York"/>
    <x v="1"/>
    <x v="1"/>
    <x v="1"/>
    <s v="Android"/>
    <s v="Android Phone"/>
    <s v="&lt;3 months"/>
    <x v="2"/>
    <x v="5"/>
    <x v="1"/>
    <s v="Repeat Use"/>
    <s v="No Experiment"/>
    <s v="Control"/>
    <s v="4 steps"/>
    <n v="4"/>
    <n v="109"/>
    <s v="No"/>
    <x v="0"/>
    <x v="1"/>
    <x v="1"/>
    <x v="0"/>
    <n v="24.95"/>
    <x v="15"/>
    <x v="2"/>
    <s v="No Support Contact"/>
    <s v="No"/>
    <s v="No Support Contact"/>
    <s v="Not Applicable"/>
    <m/>
    <s v="No drop-off"/>
    <n v="4"/>
    <n v="44"/>
    <n v="6"/>
    <x v="1"/>
    <n v="1"/>
    <n v="1"/>
    <n v="0"/>
    <n v="1"/>
  </r>
  <r>
    <x v="501"/>
    <s v="USR-00061"/>
    <s v="SES-2511-44513"/>
    <x v="316"/>
    <s v="Yorkshire &amp; Humber"/>
    <s v="Leeds"/>
    <x v="1"/>
    <x v="5"/>
    <x v="0"/>
    <s v="Android"/>
    <s v="Android Phone"/>
    <s v="3-6 months"/>
    <x v="0"/>
    <x v="3"/>
    <x v="9"/>
    <s v="Repeat Use"/>
    <s v="No Experiment"/>
    <s v="Control"/>
    <n v="5"/>
    <n v="5"/>
    <n v="94"/>
    <s v="No"/>
    <x v="0"/>
    <x v="1"/>
    <x v="1"/>
    <x v="0"/>
    <n v="116.29"/>
    <x v="0"/>
    <x v="0"/>
    <s v="No Support Contact"/>
    <s v="No"/>
    <s v="No Support Contact"/>
    <s v="Not Applicable"/>
    <m/>
    <s v="No drop-off"/>
    <n v="3"/>
    <n v="28"/>
    <n v="22"/>
    <x v="1"/>
    <n v="1"/>
    <n v="1"/>
    <n v="0"/>
    <n v="1"/>
  </r>
  <r>
    <x v="502"/>
    <s v="USR-00292"/>
    <s v="SES-2512-56047"/>
    <x v="317"/>
    <s v="South West"/>
    <s v="Bath"/>
    <x v="0"/>
    <x v="0"/>
    <x v="0"/>
    <s v="Android"/>
    <s v="Android Phone"/>
    <s v="1-2 years"/>
    <x v="3"/>
    <x v="0"/>
    <x v="5"/>
    <s v="First Use"/>
    <s v="Fee Transparency Panel"/>
    <s v="Control"/>
    <s v="many"/>
    <n v="8"/>
    <n v="173"/>
    <s v="No"/>
    <x v="1"/>
    <x v="1"/>
    <x v="1"/>
    <x v="1"/>
    <n v="0"/>
    <x v="0"/>
    <x v="0"/>
    <s v="No Support Contact"/>
    <s v="No"/>
    <s v="No Support Contact"/>
    <s v="Not Applicable"/>
    <m/>
    <s v="Instructions unclear"/>
    <n v="3"/>
    <n v="-1"/>
    <n v="0"/>
    <x v="0"/>
    <n v="0"/>
    <n v="0"/>
    <n v="0"/>
    <n v="0"/>
  </r>
  <r>
    <x v="503"/>
    <s v="USR-00540"/>
    <s v="SES-2507-22781"/>
    <x v="288"/>
    <s v="West Midlands"/>
    <s v="Solihull"/>
    <x v="0"/>
    <x v="1"/>
    <x v="0"/>
    <s v="Android"/>
    <s v="Android Phone"/>
    <s v="2+ years"/>
    <x v="0"/>
    <x v="4"/>
    <x v="2"/>
    <s v="Trial/Exploration"/>
    <s v="No Experiment"/>
    <s v="Control"/>
    <n v="5"/>
    <n v="5"/>
    <n v="164"/>
    <s v="No"/>
    <x v="0"/>
    <x v="0"/>
    <x v="19"/>
    <x v="0"/>
    <n v="165.13"/>
    <x v="0"/>
    <x v="0"/>
    <s v="Account Verification"/>
    <s v="Yes"/>
    <s v="Account Verification"/>
    <s v="Resolved"/>
    <n v="13"/>
    <s v="No drop-off"/>
    <n v="4"/>
    <n v="5"/>
    <n v="30"/>
    <x v="1"/>
    <n v="1"/>
    <n v="1"/>
    <n v="1"/>
    <n v="1"/>
  </r>
  <r>
    <x v="504"/>
    <s v="USR-00611"/>
    <s v="SES-2503-28980"/>
    <x v="259"/>
    <s v="Northern Ireland"/>
    <s v="Lisburn"/>
    <x v="0"/>
    <x v="0"/>
    <x v="1"/>
    <s v="Ios"/>
    <s v="Iphone"/>
    <s v="2+ years"/>
    <x v="0"/>
    <x v="3"/>
    <x v="1"/>
    <s v="Trial/Exploration"/>
    <s v="Fee Transparency Panel"/>
    <s v="Treatment"/>
    <n v="4"/>
    <n v="4"/>
    <n v="143"/>
    <s v="No"/>
    <x v="0"/>
    <x v="0"/>
    <x v="29"/>
    <x v="1"/>
    <n v="0"/>
    <x v="0"/>
    <x v="0"/>
    <s v="No Support Contact"/>
    <s v="No"/>
    <s v="No Support Contact"/>
    <s v="Not Applicable"/>
    <m/>
    <s v="No drop-off"/>
    <n v="4"/>
    <n v="26"/>
    <n v="20"/>
    <x v="1"/>
    <n v="1"/>
    <n v="0"/>
    <n v="1"/>
    <n v="1"/>
  </r>
  <r>
    <x v="505"/>
    <s v="USR-00075"/>
    <s v="SES-2604-60779"/>
    <x v="307"/>
    <s v="Yorkshire &amp; Humber"/>
    <s v="York"/>
    <x v="7"/>
    <x v="0"/>
    <x v="0"/>
    <s v="Ios"/>
    <s v="Iphone"/>
    <s v="2+ years"/>
    <x v="0"/>
    <x v="1"/>
    <x v="1"/>
    <s v="Repeat Use"/>
    <s v="Fee Transparency Panel"/>
    <s v="Treatment"/>
    <n v="4"/>
    <s v="4 steps"/>
    <n v="95"/>
    <s v="No"/>
    <x v="0"/>
    <x v="1"/>
    <x v="1"/>
    <x v="0"/>
    <n v="59.16"/>
    <x v="25"/>
    <x v="0"/>
    <s v="Feature Navigation"/>
    <s v="Yes"/>
    <s v="Feature Navigation"/>
    <s v="Resolved"/>
    <n v="29"/>
    <s v="No drop-off"/>
    <n v="5"/>
    <n v="30"/>
    <s v="25 days"/>
    <x v="1"/>
    <n v="1"/>
    <n v="1"/>
    <n v="0"/>
    <n v="1"/>
  </r>
  <r>
    <x v="506"/>
    <s v="USR-00189"/>
    <s v="SES-2504-73522"/>
    <x v="33"/>
    <s v="East Midlands"/>
    <s v="Nottingham"/>
    <x v="5"/>
    <x v="3"/>
    <x v="1"/>
    <s v="Android"/>
    <s v="Android Phone"/>
    <s v="3-6 months"/>
    <x v="0"/>
    <x v="6"/>
    <x v="1"/>
    <s v="Repeat Use"/>
    <s v="No Experiment"/>
    <s v="Control"/>
    <n v="4"/>
    <n v="3"/>
    <n v="162"/>
    <s v="Yes"/>
    <x v="1"/>
    <x v="1"/>
    <x v="1"/>
    <x v="1"/>
    <n v="0"/>
    <x v="0"/>
    <x v="0"/>
    <s v="Feature Navigation"/>
    <s v="Yes"/>
    <s v="Feature Navigation"/>
    <s v="Resolved"/>
    <n v="23"/>
    <s v="Instructions unclear"/>
    <n v="3"/>
    <n v="-12"/>
    <n v="9"/>
    <x v="1"/>
    <n v="0"/>
    <n v="0"/>
    <n v="0"/>
    <n v="1"/>
  </r>
  <r>
    <x v="507"/>
    <s v="USR-00375"/>
    <s v="SES-2507-21237"/>
    <x v="133"/>
    <s v="South West"/>
    <s v="Bristol"/>
    <x v="3"/>
    <x v="0"/>
    <x v="2"/>
    <s v="Android"/>
    <s v="Android Phone"/>
    <s v="7-12 months"/>
    <x v="1"/>
    <x v="1"/>
    <x v="2"/>
    <s v="Reactivated"/>
    <s v="No Experiment"/>
    <s v="Control"/>
    <n v="5"/>
    <s v="5 steps"/>
    <n v="153"/>
    <s v="No"/>
    <x v="0"/>
    <x v="1"/>
    <x v="1"/>
    <x v="0"/>
    <n v="0"/>
    <x v="0"/>
    <x v="1"/>
    <s v="No Support Contact"/>
    <s v="No"/>
    <s v="No Support Contact"/>
    <s v="Not Applicable"/>
    <m/>
    <s v="No drop-off"/>
    <n v="5"/>
    <n v="48"/>
    <n v="47"/>
    <x v="1"/>
    <n v="1"/>
    <n v="1"/>
    <n v="0"/>
    <n v="1"/>
  </r>
  <r>
    <x v="508"/>
    <s v="USR-00735"/>
    <s v="SES-2506-60997"/>
    <x v="318"/>
    <s v="Scotland"/>
    <s v="Edinburgh"/>
    <x v="2"/>
    <x v="3"/>
    <x v="3"/>
    <s v="Ios"/>
    <s v="Iphone"/>
    <s v="7-12 months"/>
    <x v="1"/>
    <x v="0"/>
    <x v="1"/>
    <s v="Repeat Use"/>
    <s v="Contextual Help"/>
    <s v="Control"/>
    <n v="4"/>
    <n v="2"/>
    <n v="155"/>
    <s v="Yes"/>
    <x v="0"/>
    <x v="1"/>
    <x v="1"/>
    <x v="0"/>
    <n v="158.82"/>
    <x v="7"/>
    <x v="1"/>
    <s v="No Support Contact"/>
    <s v="No"/>
    <s v="No Support Contact"/>
    <s v="Not Applicable"/>
    <m/>
    <s v="No drop-off"/>
    <n v="4"/>
    <n v="38"/>
    <n v="26"/>
    <x v="1"/>
    <n v="1"/>
    <n v="1"/>
    <n v="0"/>
    <n v="1"/>
  </r>
  <r>
    <x v="509"/>
    <s v="USR-00851"/>
    <s v="SES-2512-24890"/>
    <x v="319"/>
    <s v="Northern Ireland"/>
    <s v="Belfast"/>
    <x v="2"/>
    <x v="5"/>
    <x v="0"/>
    <s v="Ios"/>
    <s v="Ipad"/>
    <s v="2+ years"/>
    <x v="1"/>
    <x v="2"/>
    <x v="2"/>
    <s v="Repeat Use"/>
    <s v="No Experiment"/>
    <s v="Control"/>
    <n v="5"/>
    <s v="5 steps"/>
    <n v="235"/>
    <s v="No"/>
    <x v="1"/>
    <x v="0"/>
    <x v="19"/>
    <x v="1"/>
    <n v="0"/>
    <x v="0"/>
    <x v="0"/>
    <s v="Transaction Failure"/>
    <s v="Yes"/>
    <s v="Transaction Failure"/>
    <s v="Resolved"/>
    <n v="17"/>
    <s v="No drop-off"/>
    <n v="3"/>
    <n v="5"/>
    <n v="49"/>
    <x v="0"/>
    <n v="0"/>
    <n v="0"/>
    <n v="1"/>
    <n v="0"/>
  </r>
  <r>
    <x v="510"/>
    <s v="USR-00650"/>
    <s v="SES-2504-60649"/>
    <x v="320"/>
    <s v="West Midlands"/>
    <s v="Solihull"/>
    <x v="2"/>
    <x v="2"/>
    <x v="0"/>
    <s v="Ios"/>
    <s v="Iphone"/>
    <s v="2+ years"/>
    <x v="1"/>
    <x v="5"/>
    <x v="10"/>
    <s v="Trial/Exploration"/>
    <s v="No Experiment"/>
    <s v="Control"/>
    <n v="9"/>
    <s v="9 steps"/>
    <n v="272"/>
    <s v="No"/>
    <x v="1"/>
    <x v="0"/>
    <x v="6"/>
    <x v="1"/>
    <n v="0"/>
    <x v="0"/>
    <x v="0"/>
    <s v="No Support Contact"/>
    <s v="No"/>
    <s v="No Support Contact"/>
    <s v="Not Applicable"/>
    <m/>
    <s v="Too many steps"/>
    <n v="3"/>
    <n v="-39"/>
    <n v="36"/>
    <x v="0"/>
    <n v="0"/>
    <n v="0"/>
    <n v="1"/>
    <n v="0"/>
  </r>
  <r>
    <x v="511"/>
    <s v="USR-00087"/>
    <s v="SES-2502-24778"/>
    <x v="321"/>
    <s v="London"/>
    <s v="Southwark"/>
    <x v="1"/>
    <x v="4"/>
    <x v="1"/>
    <s v="Ios"/>
    <s v="Iphone"/>
    <s v="&lt;3 months"/>
    <x v="0"/>
    <x v="5"/>
    <x v="9"/>
    <s v="First Use"/>
    <s v="No Experiment"/>
    <s v="Control"/>
    <n v="5"/>
    <n v="5"/>
    <n v="112"/>
    <s v="No"/>
    <x v="0"/>
    <x v="0"/>
    <x v="22"/>
    <x v="0"/>
    <n v="20.91"/>
    <x v="0"/>
    <x v="0"/>
    <s v="Transaction Failure"/>
    <s v="Yes"/>
    <s v="Transaction Failure"/>
    <s v="Resolved"/>
    <n v="22"/>
    <s v="No drop-off"/>
    <n v="4"/>
    <n v="37"/>
    <n v="0"/>
    <x v="1"/>
    <n v="1"/>
    <n v="1"/>
    <n v="1"/>
    <n v="1"/>
  </r>
  <r>
    <x v="512"/>
    <s v="USR-00675"/>
    <s v="SES-2508-18394"/>
    <x v="5"/>
    <s v="North East"/>
    <s v="Durham"/>
    <x v="1"/>
    <x v="0"/>
    <x v="1"/>
    <s v="Android"/>
    <s v="Android Tablet"/>
    <s v="&lt;3 months"/>
    <x v="3"/>
    <x v="0"/>
    <x v="1"/>
    <s v="Repeat Use"/>
    <s v="No Experiment"/>
    <s v="Control"/>
    <n v="4"/>
    <n v="4"/>
    <n v="78"/>
    <s v="No"/>
    <x v="1"/>
    <x v="1"/>
    <x v="1"/>
    <x v="0"/>
    <n v="97.55"/>
    <x v="8"/>
    <x v="0"/>
    <s v="No Support Contact"/>
    <s v="Unknown"/>
    <s v="No Support Contact"/>
    <s v="Not Applicable"/>
    <m/>
    <s v="Unexpected fee"/>
    <n v="3"/>
    <n v="19"/>
    <n v="48"/>
    <x v="1"/>
    <n v="0"/>
    <n v="1"/>
    <n v="0"/>
    <n v="1"/>
  </r>
  <r>
    <x v="513"/>
    <s v="USR-00419"/>
    <s v="SES-2510-54869"/>
    <x v="55"/>
    <s v="East England"/>
    <s v="Ipswich"/>
    <x v="2"/>
    <x v="1"/>
    <x v="1"/>
    <s v="Android"/>
    <s v="Android Phone"/>
    <s v="&lt;3 months"/>
    <x v="0"/>
    <x v="6"/>
    <x v="7"/>
    <s v="First Use"/>
    <s v="No Experiment"/>
    <s v="Control"/>
    <n v="4"/>
    <n v="4"/>
    <n v="139"/>
    <s v="No"/>
    <x v="1"/>
    <x v="0"/>
    <x v="30"/>
    <x v="1"/>
    <n v="0"/>
    <x v="0"/>
    <x v="0"/>
    <s v="No Support Contact"/>
    <s v="No"/>
    <s v="No Support Contact"/>
    <s v="Not Applicable"/>
    <m/>
    <s v="Too many steps"/>
    <n v="3"/>
    <n v="34"/>
    <n v="0"/>
    <x v="1"/>
    <n v="0"/>
    <n v="0"/>
    <n v="1"/>
    <n v="1"/>
  </r>
  <r>
    <x v="514"/>
    <s v="USR-00718"/>
    <s v="SES-2503-10478"/>
    <x v="198"/>
    <s v="East England"/>
    <s v="Ipswich"/>
    <x v="0"/>
    <x v="3"/>
    <x v="0"/>
    <s v="Ios"/>
    <s v="Iphone"/>
    <s v="3-6 months"/>
    <x v="0"/>
    <x v="1"/>
    <x v="3"/>
    <s v="Reactivated"/>
    <s v="Progress Indicator"/>
    <s v="Control"/>
    <n v="6"/>
    <n v="6"/>
    <n v="130"/>
    <s v="No"/>
    <x v="1"/>
    <x v="1"/>
    <x v="1"/>
    <x v="1"/>
    <n v="0"/>
    <x v="0"/>
    <x v="0"/>
    <s v="No Support Contact"/>
    <s v="No"/>
    <s v="No Support Contact"/>
    <s v="Not Applicable"/>
    <m/>
    <s v="Unexpected fee"/>
    <n v="3"/>
    <n v="29"/>
    <n v="10"/>
    <x v="1"/>
    <n v="0"/>
    <n v="0"/>
    <n v="0"/>
    <n v="1"/>
  </r>
  <r>
    <x v="515"/>
    <s v="USR-00417"/>
    <s v="SES-2511-21569"/>
    <x v="322"/>
    <s v="East England"/>
    <s v="Cambridge"/>
    <x v="3"/>
    <x v="3"/>
    <x v="1"/>
    <s v="Ios"/>
    <s v="Iphone"/>
    <s v="3-6 months"/>
    <x v="1"/>
    <x v="1"/>
    <x v="9"/>
    <s v="Trial/Exploration"/>
    <s v="Simplified Onboarding"/>
    <s v="Treatment"/>
    <n v="5"/>
    <n v="3"/>
    <n v="185"/>
    <s v="Yes"/>
    <x v="0"/>
    <x v="1"/>
    <x v="1"/>
    <x v="0"/>
    <n v="87.66"/>
    <x v="0"/>
    <x v="1"/>
    <s v="No Support Contact"/>
    <s v="No"/>
    <s v="No Support Contact"/>
    <s v="Not Applicable"/>
    <m/>
    <s v="No drop-off"/>
    <n v="5"/>
    <n v="-10"/>
    <n v="44"/>
    <x v="1"/>
    <n v="1"/>
    <n v="1"/>
    <n v="0"/>
    <n v="1"/>
  </r>
  <r>
    <x v="516"/>
    <s v="USR-00055"/>
    <s v="SES-2510-21139"/>
    <x v="187"/>
    <s v="North East"/>
    <s v="Middlesbrough"/>
    <x v="5"/>
    <x v="0"/>
    <x v="1"/>
    <s v="Android"/>
    <s v="Android Phone"/>
    <s v="1-2 years"/>
    <x v="0"/>
    <x v="5"/>
    <x v="2"/>
    <s v="Repeat Use"/>
    <s v="Fee Transparency Panel"/>
    <s v="Control"/>
    <n v="5"/>
    <n v="5"/>
    <n v="95"/>
    <s v="No"/>
    <x v="0"/>
    <x v="1"/>
    <x v="1"/>
    <x v="0"/>
    <n v="34.24"/>
    <x v="0"/>
    <x v="0"/>
    <s v="No Support Contact"/>
    <s v="No"/>
    <s v="No Support Contact"/>
    <s v="Not Applicable"/>
    <m/>
    <s v="No drop-off"/>
    <n v="3"/>
    <n v="15"/>
    <n v="42"/>
    <x v="1"/>
    <n v="1"/>
    <n v="1"/>
    <n v="0"/>
    <n v="1"/>
  </r>
  <r>
    <x v="517"/>
    <s v="USR-00629"/>
    <s v="SES-2501-61196"/>
    <x v="114"/>
    <s v="London"/>
    <s v="Hammersmith"/>
    <x v="4"/>
    <x v="0"/>
    <x v="1"/>
    <s v="Ios"/>
    <s v="Iphone"/>
    <s v="3-6 months"/>
    <x v="2"/>
    <x v="0"/>
    <x v="9"/>
    <s v="Repeat Use"/>
    <s v="Contextual Help"/>
    <s v="Treatment"/>
    <n v="5"/>
    <n v="4"/>
    <n v="231"/>
    <s v="Yes"/>
    <x v="0"/>
    <x v="1"/>
    <x v="1"/>
    <x v="0"/>
    <n v="82.2"/>
    <x v="0"/>
    <x v="2"/>
    <s v="Account Verification"/>
    <s v="Yes"/>
    <s v="Account Verification"/>
    <s v="Resolved"/>
    <n v="43"/>
    <s v="No drop-off"/>
    <n v="4"/>
    <n v="45"/>
    <n v="19"/>
    <x v="1"/>
    <n v="1"/>
    <n v="1"/>
    <n v="0"/>
    <n v="1"/>
  </r>
  <r>
    <x v="518"/>
    <s v="USR-00717"/>
    <s v="SES-2510-66139"/>
    <x v="221"/>
    <s v="South West"/>
    <s v="Bath"/>
    <x v="0"/>
    <x v="2"/>
    <x v="0"/>
    <s v="Web"/>
    <s v="Desktop"/>
    <s v="3-6 months"/>
    <x v="2"/>
    <x v="6"/>
    <x v="2"/>
    <s v="First Use"/>
    <s v="Progress Indicator"/>
    <s v="Control"/>
    <n v="5"/>
    <n v="5"/>
    <n v="129"/>
    <s v="No"/>
    <x v="0"/>
    <x v="1"/>
    <x v="1"/>
    <x v="0"/>
    <n v="110.73"/>
    <x v="0"/>
    <x v="2"/>
    <s v="No Support Contact"/>
    <s v="No"/>
    <s v="No Support Contact"/>
    <s v="Not Applicable"/>
    <m/>
    <s v="No drop-off"/>
    <n v="4"/>
    <n v="-8"/>
    <s v="0 days"/>
    <x v="1"/>
    <n v="1"/>
    <n v="1"/>
    <n v="0"/>
    <n v="1"/>
  </r>
  <r>
    <x v="519"/>
    <s v="USR-00536"/>
    <s v="SES-2603-65518"/>
    <x v="91"/>
    <s v="East Midlands"/>
    <s v="Leicester"/>
    <x v="1"/>
    <x v="0"/>
    <x v="1"/>
    <s v="Ios"/>
    <s v="Iphone"/>
    <s v="3-6 months"/>
    <x v="1"/>
    <x v="1"/>
    <x v="0"/>
    <s v="Reactivated"/>
    <s v="No Experiment"/>
    <s v="Control"/>
    <n v="7"/>
    <n v="7"/>
    <n v="210"/>
    <s v="No"/>
    <x v="1"/>
    <x v="1"/>
    <x v="1"/>
    <x v="1"/>
    <n v="0"/>
    <x v="0"/>
    <x v="0"/>
    <s v="No Support Contact"/>
    <s v="No"/>
    <s v="No Support Contact"/>
    <s v="Not Applicable"/>
    <m/>
    <s v="No drop-off"/>
    <n v="3"/>
    <n v="20"/>
    <n v="5"/>
    <x v="0"/>
    <n v="0"/>
    <n v="0"/>
    <n v="0"/>
    <n v="0"/>
  </r>
  <r>
    <x v="520"/>
    <s v="USR-00435"/>
    <s v="SES-2503-40458"/>
    <x v="304"/>
    <s v="North West"/>
    <s v="Manchester"/>
    <x v="5"/>
    <x v="0"/>
    <x v="1"/>
    <s v="Ios"/>
    <s v="Iphone"/>
    <s v="7-12 months"/>
    <x v="1"/>
    <x v="4"/>
    <x v="9"/>
    <s v="First Use"/>
    <s v="New Cta Copy"/>
    <s v="Treatment"/>
    <n v="5"/>
    <n v="3"/>
    <n v="179"/>
    <s v="Yes"/>
    <x v="0"/>
    <x v="1"/>
    <x v="1"/>
    <x v="0"/>
    <n v="172.27"/>
    <x v="0"/>
    <x v="1"/>
    <s v="No Support Contact"/>
    <s v="No"/>
    <s v="No Support Contact"/>
    <s v="Not Applicable"/>
    <m/>
    <s v="No drop-off"/>
    <n v="4"/>
    <n v="15"/>
    <n v="0"/>
    <x v="0"/>
    <n v="1"/>
    <n v="1"/>
    <n v="0"/>
    <n v="0"/>
  </r>
  <r>
    <x v="521"/>
    <s v="USR-00542"/>
    <s v="SES-2510-69732"/>
    <x v="165"/>
    <s v="North East"/>
    <s v="Durham"/>
    <x v="1"/>
    <x v="1"/>
    <x v="1"/>
    <s v="Web"/>
    <s v="Desktop"/>
    <s v="7-12 months"/>
    <x v="1"/>
    <x v="4"/>
    <x v="1"/>
    <s v="First Use"/>
    <s v="Fee Transparency Panel"/>
    <s v="Control"/>
    <n v="4"/>
    <n v="4"/>
    <n v="75"/>
    <s v="No"/>
    <x v="0"/>
    <x v="1"/>
    <x v="1"/>
    <x v="0"/>
    <n v="135.56"/>
    <x v="8"/>
    <x v="1"/>
    <s v="Account Verification"/>
    <s v="Yes"/>
    <s v="Account Verification"/>
    <s v="Resolved"/>
    <n v="29"/>
    <s v="No drop-off"/>
    <n v="4"/>
    <n v="-3"/>
    <n v="0"/>
    <x v="1"/>
    <n v="1"/>
    <n v="1"/>
    <n v="0"/>
    <n v="1"/>
  </r>
  <r>
    <x v="522"/>
    <s v="USR-00227"/>
    <s v="SES-2501-48605"/>
    <x v="323"/>
    <s v="Northern Ireland"/>
    <s v="Belfast"/>
    <x v="3"/>
    <x v="0"/>
    <x v="1"/>
    <s v="Web"/>
    <s v="Desktop"/>
    <s v="7-12 months"/>
    <x v="2"/>
    <x v="6"/>
    <x v="1"/>
    <s v="First Use"/>
    <s v="New Cta Copy"/>
    <s v="Control"/>
    <n v="4"/>
    <n v="99"/>
    <n v="88"/>
    <s v="No"/>
    <x v="0"/>
    <x v="1"/>
    <x v="1"/>
    <x v="1"/>
    <n v="0"/>
    <x v="0"/>
    <x v="0"/>
    <s v="No Support Contact"/>
    <s v="No"/>
    <s v="No Support Contact"/>
    <s v="Not Applicable"/>
    <m/>
    <s v="No drop-off"/>
    <n v="4"/>
    <n v="54"/>
    <n v="0"/>
    <x v="0"/>
    <n v="1"/>
    <n v="0"/>
    <n v="0"/>
    <n v="0"/>
  </r>
  <r>
    <x v="523"/>
    <s v="USR-00776"/>
    <s v="SES-2508-66125"/>
    <x v="324"/>
    <s v="Scotland"/>
    <s v="Dundee"/>
    <x v="0"/>
    <x v="5"/>
    <x v="1"/>
    <s v="Android"/>
    <s v="Android Phone"/>
    <s v="3-6 months"/>
    <x v="0"/>
    <x v="0"/>
    <x v="5"/>
    <s v="Reactivated"/>
    <s v="Simplified Onboarding"/>
    <s v="Control"/>
    <n v="8"/>
    <n v="7"/>
    <n v="272"/>
    <s v="Yes"/>
    <x v="0"/>
    <x v="1"/>
    <x v="1"/>
    <x v="0"/>
    <n v="343.8"/>
    <x v="60"/>
    <x v="0"/>
    <s v="No Support Contact"/>
    <s v="No"/>
    <s v="No Support Contact"/>
    <s v="Not Applicable"/>
    <m/>
    <s v="No drop-off"/>
    <n v="3"/>
    <n v="-37"/>
    <n v="14"/>
    <x v="0"/>
    <n v="1"/>
    <n v="1"/>
    <n v="0"/>
    <n v="0"/>
  </r>
  <r>
    <x v="524"/>
    <s v="USR-00552"/>
    <s v="SES-2601-24990"/>
    <x v="325"/>
    <s v="South East"/>
    <s v="Reading"/>
    <x v="5"/>
    <x v="0"/>
    <x v="0"/>
    <s v="Android"/>
    <s v="Android Phone"/>
    <s v="&lt;3 months"/>
    <x v="0"/>
    <x v="3"/>
    <x v="2"/>
    <s v="Repeat Use"/>
    <s v="New Cta Copy"/>
    <s v="Control"/>
    <n v="5"/>
    <n v="5"/>
    <n v="104"/>
    <s v="No"/>
    <x v="0"/>
    <x v="1"/>
    <x v="1"/>
    <x v="0"/>
    <n v="152.69999999999999"/>
    <x v="0"/>
    <x v="0"/>
    <s v="No Support Contact"/>
    <s v="No"/>
    <s v="No Support Contact"/>
    <s v="Not Applicable"/>
    <m/>
    <s v="No drop-off"/>
    <n v="3"/>
    <n v="33"/>
    <n v="50"/>
    <x v="0"/>
    <n v="1"/>
    <n v="1"/>
    <n v="0"/>
    <n v="0"/>
  </r>
  <r>
    <x v="525"/>
    <s v="USR-00356"/>
    <s v="SES-2509-63466"/>
    <x v="326"/>
    <s v="North East"/>
    <s v="Sunderland"/>
    <x v="0"/>
    <x v="1"/>
    <x v="1"/>
    <s v="Ios"/>
    <s v="Ipad"/>
    <s v="2+ years"/>
    <x v="0"/>
    <x v="2"/>
    <x v="10"/>
    <s v="Reactivated"/>
    <s v="Progress Indicator"/>
    <s v="Treatment"/>
    <n v="9"/>
    <n v="9"/>
    <n v="250"/>
    <s v="No"/>
    <x v="0"/>
    <x v="1"/>
    <x v="1"/>
    <x v="1"/>
    <n v="0"/>
    <x v="0"/>
    <x v="0"/>
    <s v="No Support Contact"/>
    <s v="No"/>
    <s v="No Support Contact"/>
    <s v="Not Applicable"/>
    <m/>
    <s v="No drop-off"/>
    <n v="4"/>
    <n v="-21"/>
    <n v="40"/>
    <x v="1"/>
    <n v="1"/>
    <n v="0"/>
    <n v="0"/>
    <n v="1"/>
  </r>
  <r>
    <x v="526"/>
    <s v="USR-00490"/>
    <s v="SES-2604-37483"/>
    <x v="293"/>
    <s v="North West"/>
    <s v="Liverpool"/>
    <x v="2"/>
    <x v="4"/>
    <x v="0"/>
    <s v="Android"/>
    <s v="Android Phone"/>
    <s v="7-12 months"/>
    <x v="0"/>
    <x v="6"/>
    <x v="7"/>
    <s v="Reactivated"/>
    <s v="No Experiment"/>
    <s v="Control"/>
    <n v="4"/>
    <n v="4"/>
    <n v="103"/>
    <s v="No"/>
    <x v="1"/>
    <x v="1"/>
    <x v="1"/>
    <x v="1"/>
    <n v="0"/>
    <x v="0"/>
    <x v="0"/>
    <s v="No Support Contact"/>
    <s v="No"/>
    <s v="No Support Contact"/>
    <s v="Not Applicable"/>
    <m/>
    <s v="Instructions unclear"/>
    <n v="5"/>
    <n v="55"/>
    <n v="37"/>
    <x v="0"/>
    <n v="0"/>
    <n v="0"/>
    <n v="0"/>
    <n v="0"/>
  </r>
  <r>
    <x v="527"/>
    <s v="USR-00249"/>
    <s v="SES-2510-57213"/>
    <x v="327"/>
    <s v="South West"/>
    <s v="Gloucester"/>
    <x v="7"/>
    <x v="0"/>
    <x v="2"/>
    <s v="Android"/>
    <s v="Android Phone"/>
    <s v="7-12 months"/>
    <x v="1"/>
    <x v="1"/>
    <x v="3"/>
    <s v="Trial/Exploration"/>
    <s v="Fee Transparency Panel"/>
    <s v="Treatment"/>
    <n v="6"/>
    <n v="6"/>
    <n v="149"/>
    <s v="No"/>
    <x v="1"/>
    <x v="1"/>
    <x v="1"/>
    <x v="1"/>
    <n v="0"/>
    <x v="0"/>
    <x v="0"/>
    <s v="No Support Contact"/>
    <s v="No"/>
    <s v="No Support Contact"/>
    <s v="Not Applicable"/>
    <m/>
    <s v="Too many steps"/>
    <n v="3"/>
    <n v="50"/>
    <s v="19 days"/>
    <x v="0"/>
    <n v="0"/>
    <n v="0"/>
    <n v="0"/>
    <n v="0"/>
  </r>
  <r>
    <x v="528"/>
    <s v="USR-00160"/>
    <s v="SES-2507-74996"/>
    <x v="328"/>
    <s v="East Midlands"/>
    <s v="Leicester"/>
    <x v="0"/>
    <x v="0"/>
    <x v="1"/>
    <s v="Ios"/>
    <s v="Iphone"/>
    <s v="1-2 years"/>
    <x v="3"/>
    <x v="3"/>
    <x v="0"/>
    <s v="Repeat Use"/>
    <s v="No Experiment"/>
    <s v="Control"/>
    <n v="7"/>
    <s v="7 steps"/>
    <n v="257"/>
    <s v="No"/>
    <x v="0"/>
    <x v="0"/>
    <x v="18"/>
    <x v="0"/>
    <n v="0"/>
    <x v="0"/>
    <x v="0"/>
    <s v="No Support Contact"/>
    <s v="No"/>
    <s v="No Support Contact"/>
    <s v="Not Applicable"/>
    <m/>
    <s v="No drop-off"/>
    <n v="3"/>
    <n v="52"/>
    <n v="5"/>
    <x v="0"/>
    <n v="1"/>
    <n v="1"/>
    <n v="1"/>
    <n v="0"/>
  </r>
  <r>
    <x v="529"/>
    <s v="USR-00185"/>
    <s v="SES-2501-47303"/>
    <x v="114"/>
    <s v="Scotland"/>
    <s v="Glasgow"/>
    <x v="4"/>
    <x v="1"/>
    <x v="1"/>
    <s v="Web"/>
    <s v="Tablet Browser"/>
    <s v="7-12 months"/>
    <x v="0"/>
    <x v="4"/>
    <x v="1"/>
    <s v="Reactivated"/>
    <s v="Simplified Onboarding"/>
    <s v="Treatment"/>
    <n v="4"/>
    <n v="4"/>
    <n v="92"/>
    <s v="No"/>
    <x v="0"/>
    <x v="1"/>
    <x v="1"/>
    <x v="0"/>
    <n v="138.51"/>
    <x v="25"/>
    <x v="0"/>
    <s v="No Support Contact"/>
    <s v="No"/>
    <s v="No Support Contact"/>
    <s v="Not Applicable"/>
    <m/>
    <s v="No drop-off"/>
    <n v="4"/>
    <n v="74"/>
    <n v="15"/>
    <x v="1"/>
    <n v="1"/>
    <n v="1"/>
    <n v="0"/>
    <n v="1"/>
  </r>
  <r>
    <x v="530"/>
    <s v="USR-00122"/>
    <s v="SES-2503-39404"/>
    <x v="275"/>
    <s v="North East"/>
    <s v="Durham"/>
    <x v="1"/>
    <x v="3"/>
    <x v="0"/>
    <s v="Android"/>
    <s v="Android Phone"/>
    <s v="3-6 months"/>
    <x v="2"/>
    <x v="6"/>
    <x v="4"/>
    <s v="Repeat Use"/>
    <s v="Simplified Onboarding"/>
    <s v="Treatment"/>
    <n v="6"/>
    <n v="6"/>
    <n v="174"/>
    <s v="No"/>
    <x v="1"/>
    <x v="1"/>
    <x v="1"/>
    <x v="0"/>
    <n v="7.83"/>
    <x v="0"/>
    <x v="2"/>
    <s v="No Support Contact"/>
    <s v="No"/>
    <s v="No Support Contact"/>
    <s v="Not Applicable"/>
    <m/>
    <s v="No drop-off"/>
    <n v="4"/>
    <n v="28"/>
    <n v="18"/>
    <x v="1"/>
    <n v="0"/>
    <n v="1"/>
    <n v="0"/>
    <n v="1"/>
  </r>
  <r>
    <x v="531"/>
    <s v="USR-00429"/>
    <s v="SES-2503-98033"/>
    <x v="198"/>
    <s v="Wales"/>
    <s v="Cardiff"/>
    <x v="2"/>
    <x v="1"/>
    <x v="0"/>
    <s v="Android"/>
    <s v="Android Phone"/>
    <s v="3-6 months"/>
    <x v="0"/>
    <x v="3"/>
    <x v="9"/>
    <s v="Trial/Exploration"/>
    <s v="No Experiment"/>
    <s v="Control"/>
    <n v="5"/>
    <n v="5"/>
    <n v="97"/>
    <s v="No"/>
    <x v="0"/>
    <x v="1"/>
    <x v="1"/>
    <x v="0"/>
    <n v="149.76"/>
    <x v="0"/>
    <x v="0"/>
    <s v="No Support Contact"/>
    <s v="No"/>
    <s v="No Support Contact"/>
    <s v="Not Applicable"/>
    <m/>
    <s v="No drop-off"/>
    <n v="4"/>
    <n v="31"/>
    <n v="45"/>
    <x v="2"/>
    <n v="1"/>
    <n v="1"/>
    <n v="0"/>
    <n v="0"/>
  </r>
  <r>
    <x v="532"/>
    <s v="USR-00437"/>
    <s v="SES-2512-47272"/>
    <x v="106"/>
    <s v="South East"/>
    <s v="Oxford"/>
    <x v="2"/>
    <x v="0"/>
    <x v="1"/>
    <s v="Ios"/>
    <s v="Iphone"/>
    <s v="1-2 years"/>
    <x v="2"/>
    <x v="4"/>
    <x v="9"/>
    <s v="First Use"/>
    <s v="Simplified Onboarding"/>
    <s v="Control"/>
    <n v="5"/>
    <n v="5"/>
    <n v="127"/>
    <s v="No"/>
    <x v="0"/>
    <x v="1"/>
    <x v="1"/>
    <x v="0"/>
    <n v="121.25"/>
    <x v="0"/>
    <x v="2"/>
    <s v="No Support Contact"/>
    <s v="No"/>
    <s v="No Support Contact"/>
    <s v="Not Applicable"/>
    <m/>
    <s v="No drop-off"/>
    <n v="4"/>
    <n v="16"/>
    <n v="0"/>
    <x v="2"/>
    <n v="1"/>
    <n v="1"/>
    <n v="0"/>
    <n v="0"/>
  </r>
  <r>
    <x v="533"/>
    <s v="USR-00591"/>
    <s v="SES-2505-44283"/>
    <x v="329"/>
    <s v="North West"/>
    <s v="Preston"/>
    <x v="3"/>
    <x v="1"/>
    <x v="1"/>
    <s v="Android"/>
    <s v="Android Phone"/>
    <s v="&lt;3 months"/>
    <x v="2"/>
    <x v="5"/>
    <x v="1"/>
    <s v="Trial/Exploration"/>
    <s v="Simplified Onboarding"/>
    <s v="Control"/>
    <n v="4"/>
    <n v="4"/>
    <n v="91"/>
    <s v="No"/>
    <x v="0"/>
    <x v="1"/>
    <x v="1"/>
    <x v="1"/>
    <n v="0"/>
    <x v="0"/>
    <x v="0"/>
    <s v="No Support Contact"/>
    <s v="No"/>
    <s v="No Support Contact"/>
    <s v="Not Applicable"/>
    <m/>
    <s v="No drop-off"/>
    <n v="4"/>
    <n v="47"/>
    <n v="38"/>
    <x v="1"/>
    <n v="1"/>
    <n v="0"/>
    <n v="0"/>
    <n v="1"/>
  </r>
  <r>
    <x v="534"/>
    <s v="USR-00790"/>
    <s v="SES-2604-47816"/>
    <x v="330"/>
    <s v="South East"/>
    <s v="Brighton"/>
    <x v="7"/>
    <x v="2"/>
    <x v="1"/>
    <s v="Android"/>
    <s v="Android Phone"/>
    <s v="2+ years"/>
    <x v="1"/>
    <x v="2"/>
    <x v="7"/>
    <s v="Repeat Use"/>
    <s v="No Experiment"/>
    <s v="Control"/>
    <n v="4"/>
    <n v="4"/>
    <n v="81"/>
    <s v="No"/>
    <x v="0"/>
    <x v="1"/>
    <x v="1"/>
    <x v="1"/>
    <n v="0"/>
    <x v="0"/>
    <x v="0"/>
    <s v="Feature Navigation"/>
    <s v="Yes"/>
    <s v="Feature Navigation"/>
    <s v="Resolved"/>
    <n v="33"/>
    <s v="No drop-off"/>
    <n v="5"/>
    <n v="20"/>
    <n v="75"/>
    <x v="0"/>
    <n v="1"/>
    <n v="0"/>
    <n v="0"/>
    <n v="0"/>
  </r>
  <r>
    <x v="535"/>
    <s v="USR-00096"/>
    <s v="SES-2501-85116"/>
    <x v="331"/>
    <s v="Scotland"/>
    <s v="Edinburgh"/>
    <x v="2"/>
    <x v="4"/>
    <x v="0"/>
    <s v="Web"/>
    <s v="Desktop"/>
    <s v="7-12 months"/>
    <x v="0"/>
    <x v="4"/>
    <x v="1"/>
    <s v="Repeat Use"/>
    <s v="Simplified Onboarding"/>
    <s v="Control"/>
    <n v="4"/>
    <n v="4"/>
    <n v="85"/>
    <s v="No"/>
    <x v="0"/>
    <x v="1"/>
    <x v="1"/>
    <x v="0"/>
    <n v="179.22"/>
    <x v="25"/>
    <x v="0"/>
    <s v="No Support Contact"/>
    <s v="No"/>
    <s v="No Support Contact"/>
    <s v="Not Applicable"/>
    <m/>
    <s v="No drop-off"/>
    <n v="4"/>
    <n v="63"/>
    <n v="13"/>
    <x v="1"/>
    <n v="1"/>
    <n v="1"/>
    <n v="0"/>
    <n v="1"/>
  </r>
  <r>
    <x v="536"/>
    <s v="USR-00845"/>
    <s v="SES-2507-14002"/>
    <x v="332"/>
    <s v="North West"/>
    <s v="Liverpool"/>
    <x v="2"/>
    <x v="1"/>
    <x v="1"/>
    <s v="Ios"/>
    <s v="Iphone"/>
    <s v="1-2 years"/>
    <x v="0"/>
    <x v="0"/>
    <x v="10"/>
    <s v="First Use"/>
    <s v="No Experiment"/>
    <s v="Control"/>
    <n v="9"/>
    <n v="7"/>
    <n v="326"/>
    <s v="Yes"/>
    <x v="1"/>
    <x v="1"/>
    <x v="1"/>
    <x v="1"/>
    <n v="0"/>
    <x v="0"/>
    <x v="0"/>
    <s v="No Support Contact"/>
    <s v="No"/>
    <s v="No Support Contact"/>
    <s v="Not Applicable"/>
    <m/>
    <s v="Unexpected fee"/>
    <n v="2"/>
    <n v="-29"/>
    <n v="0"/>
    <x v="2"/>
    <n v="0"/>
    <n v="0"/>
    <n v="0"/>
    <n v="0"/>
  </r>
  <r>
    <x v="537"/>
    <s v="USR-00221"/>
    <s v="SES-2504-49537"/>
    <x v="137"/>
    <s v="Northern Ireland"/>
    <s v="Lisburn"/>
    <x v="5"/>
    <x v="2"/>
    <x v="1"/>
    <s v="Web"/>
    <s v="Desktop"/>
    <s v="7-12 months"/>
    <x v="1"/>
    <x v="5"/>
    <x v="9"/>
    <s v="Repeat Use"/>
    <s v="Progress Indicator"/>
    <s v="Control"/>
    <n v="5"/>
    <n v="5"/>
    <n v="90"/>
    <s v="No"/>
    <x v="1"/>
    <x v="1"/>
    <x v="1"/>
    <x v="0"/>
    <n v="108.38"/>
    <x v="0"/>
    <x v="1"/>
    <s v="No Support Contact"/>
    <s v="No"/>
    <s v="No Support Contact"/>
    <s v="Not Applicable"/>
    <m/>
    <s v="Instructions unclear"/>
    <n v="3"/>
    <n v="25"/>
    <n v="45"/>
    <x v="1"/>
    <n v="0"/>
    <n v="1"/>
    <n v="0"/>
    <n v="1"/>
  </r>
  <r>
    <x v="538"/>
    <s v="USR-00807"/>
    <s v="SES-2507-69879"/>
    <x v="333"/>
    <s v="Northern Ireland"/>
    <s v="Lisburn"/>
    <x v="3"/>
    <x v="2"/>
    <x v="1"/>
    <s v="Web"/>
    <s v="Desktop"/>
    <s v="7-12 months"/>
    <x v="0"/>
    <x v="5"/>
    <x v="0"/>
    <s v="Repeat Use"/>
    <s v="Simplified Onboarding"/>
    <s v="Control"/>
    <n v="7"/>
    <n v="7"/>
    <n v="206"/>
    <s v="No"/>
    <x v="0"/>
    <x v="1"/>
    <x v="1"/>
    <x v="1"/>
    <n v="0"/>
    <x v="0"/>
    <x v="0"/>
    <s v="No Support Contact"/>
    <s v="No"/>
    <s v="No Support Contact"/>
    <s v="Not Applicable"/>
    <m/>
    <s v="No drop-off"/>
    <n v="3"/>
    <n v="-25"/>
    <n v="39"/>
    <x v="1"/>
    <n v="1"/>
    <n v="0"/>
    <n v="0"/>
    <n v="1"/>
  </r>
  <r>
    <x v="539"/>
    <s v="USR-00162"/>
    <s v="SES-2601-34015"/>
    <x v="334"/>
    <s v="West Midlands"/>
    <s v="Birmingham"/>
    <x v="3"/>
    <x v="0"/>
    <x v="1"/>
    <s v="Web"/>
    <s v="Mobile Browser"/>
    <s v="1-2 years"/>
    <x v="0"/>
    <x v="0"/>
    <x v="2"/>
    <s v="First Use"/>
    <s v="Fee Transparency Panel"/>
    <s v="Treatment"/>
    <n v="5"/>
    <n v="4"/>
    <n v="190"/>
    <s v="Yes"/>
    <x v="0"/>
    <x v="1"/>
    <x v="1"/>
    <x v="0"/>
    <n v="80.11"/>
    <x v="0"/>
    <x v="0"/>
    <s v="No Support Contact"/>
    <s v="No"/>
    <s v="No Support Contact"/>
    <s v="Not Applicable"/>
    <m/>
    <s v="No drop-off"/>
    <n v="4"/>
    <n v="15"/>
    <n v="0"/>
    <x v="1"/>
    <n v="1"/>
    <n v="1"/>
    <n v="0"/>
    <n v="1"/>
  </r>
  <r>
    <x v="540"/>
    <s v="USR-00479"/>
    <s v="SES-2505-21229"/>
    <x v="167"/>
    <s v="London"/>
    <s v="Hackney"/>
    <x v="1"/>
    <x v="1"/>
    <x v="2"/>
    <s v="Android"/>
    <s v="Android Phone"/>
    <s v="3-6 months"/>
    <x v="0"/>
    <x v="6"/>
    <x v="5"/>
    <s v="Repeat Use"/>
    <s v="No Experiment"/>
    <s v="Control"/>
    <n v="8"/>
    <n v="5"/>
    <n v="392"/>
    <s v="Yes"/>
    <x v="1"/>
    <x v="1"/>
    <x v="1"/>
    <x v="0"/>
    <n v="395.75"/>
    <x v="61"/>
    <x v="0"/>
    <s v="No Support Contact"/>
    <s v="No"/>
    <s v="No Support Contact"/>
    <s v="Not Applicable"/>
    <m/>
    <s v="Too many steps"/>
    <n v="3"/>
    <n v="-31"/>
    <s v="1 days"/>
    <x v="0"/>
    <n v="0"/>
    <n v="1"/>
    <n v="0"/>
    <n v="0"/>
  </r>
  <r>
    <x v="541"/>
    <s v="USR-00278"/>
    <s v="SES-2602-26284"/>
    <x v="335"/>
    <s v="North East"/>
    <s v="Newcastle"/>
    <x v="0"/>
    <x v="0"/>
    <x v="1"/>
    <s v="Ios"/>
    <s v="Iphone"/>
    <s v="1-2 years"/>
    <x v="0"/>
    <x v="1"/>
    <x v="2"/>
    <s v="Reactivated"/>
    <s v="Contextual Help"/>
    <s v="Treatment"/>
    <n v="5"/>
    <n v="5"/>
    <n v="140"/>
    <s v="No"/>
    <x v="0"/>
    <x v="1"/>
    <x v="1"/>
    <x v="0"/>
    <n v="70.349999999999994"/>
    <x v="0"/>
    <x v="0"/>
    <s v="No Support Contact"/>
    <s v="No"/>
    <s v="No Support Contact"/>
    <s v="Not Applicable"/>
    <m/>
    <s v="No drop-off"/>
    <n v="3"/>
    <n v="3"/>
    <n v="55"/>
    <x v="0"/>
    <n v="1"/>
    <n v="1"/>
    <n v="0"/>
    <n v="0"/>
  </r>
  <r>
    <x v="542"/>
    <s v="USR-00542"/>
    <s v="SES-2506-11222"/>
    <x v="336"/>
    <s v="East Midlands"/>
    <s v="Derby"/>
    <x v="0"/>
    <x v="0"/>
    <x v="1"/>
    <s v="Android"/>
    <s v="Android Phone"/>
    <s v="3-6 months"/>
    <x v="0"/>
    <x v="1"/>
    <x v="2"/>
    <s v="First Use"/>
    <s v="No Experiment"/>
    <s v="Control"/>
    <n v="5"/>
    <n v="5"/>
    <n v="158"/>
    <s v="No"/>
    <x v="0"/>
    <x v="1"/>
    <x v="1"/>
    <x v="0"/>
    <n v="54.51"/>
    <x v="0"/>
    <x v="0"/>
    <s v="No Support Contact"/>
    <s v="No"/>
    <s v="No Support Contact"/>
    <s v="Not Applicable"/>
    <m/>
    <s v="No drop-off"/>
    <n v="5"/>
    <n v="1"/>
    <n v="0"/>
    <x v="1"/>
    <n v="1"/>
    <n v="1"/>
    <n v="0"/>
    <n v="1"/>
  </r>
  <r>
    <x v="543"/>
    <s v="USR-00216"/>
    <s v="SES-2507-27577"/>
    <x v="337"/>
    <s v="North East"/>
    <s v="Middlesbrough"/>
    <x v="0"/>
    <x v="0"/>
    <x v="1"/>
    <s v="Android"/>
    <s v="Android Phone"/>
    <s v="1-2 years"/>
    <x v="1"/>
    <x v="6"/>
    <x v="0"/>
    <s v="Trial/Exploration"/>
    <s v="No Experiment"/>
    <s v="Control"/>
    <n v="7"/>
    <n v="7"/>
    <n v="174"/>
    <s v="No"/>
    <x v="0"/>
    <x v="1"/>
    <x v="1"/>
    <x v="0"/>
    <n v="39.479999999999997"/>
    <x v="0"/>
    <x v="1"/>
    <s v="No Support Contact"/>
    <s v="No"/>
    <s v="No Support Contact"/>
    <s v="Not Applicable"/>
    <m/>
    <s v="No drop-off"/>
    <n v="4"/>
    <n v="14"/>
    <n v="33"/>
    <x v="0"/>
    <n v="1"/>
    <n v="1"/>
    <n v="0"/>
    <n v="0"/>
  </r>
  <r>
    <x v="544"/>
    <s v="USR-00680"/>
    <s v="SES-2505-57421"/>
    <x v="338"/>
    <s v="East England"/>
    <s v="Norwich"/>
    <x v="5"/>
    <x v="1"/>
    <x v="1"/>
    <s v="Ios"/>
    <s v="Iphone"/>
    <s v="2+ years"/>
    <x v="0"/>
    <x v="6"/>
    <x v="2"/>
    <s v="Reactivated"/>
    <s v="No Experiment"/>
    <s v="Control"/>
    <n v="5"/>
    <n v="5"/>
    <n v="103"/>
    <s v="No"/>
    <x v="0"/>
    <x v="1"/>
    <x v="1"/>
    <x v="0"/>
    <n v="24.87"/>
    <x v="0"/>
    <x v="0"/>
    <s v="No Support Contact"/>
    <s v="No"/>
    <s v="No Support Contact"/>
    <s v="Not Applicable"/>
    <m/>
    <s v="No drop-off"/>
    <n v="3"/>
    <n v="6"/>
    <n v="31"/>
    <x v="1"/>
    <n v="1"/>
    <n v="1"/>
    <n v="0"/>
    <n v="1"/>
  </r>
  <r>
    <x v="545"/>
    <s v="USR-00345"/>
    <s v="SES-2505-51457"/>
    <x v="339"/>
    <s v="Yorkshire &amp; Humber"/>
    <s v="Sheffield"/>
    <x v="2"/>
    <x v="0"/>
    <x v="0"/>
    <s v="Ios"/>
    <s v="Iphone"/>
    <s v="1-2 years"/>
    <x v="4"/>
    <x v="0"/>
    <x v="3"/>
    <s v="First Use"/>
    <s v="New Cta Copy"/>
    <s v="Treatment"/>
    <n v="6"/>
    <n v="6"/>
    <n v="122"/>
    <s v="No"/>
    <x v="0"/>
    <x v="1"/>
    <x v="1"/>
    <x v="0"/>
    <n v="27.96"/>
    <x v="5"/>
    <x v="2"/>
    <s v="No Support Contact"/>
    <s v="No"/>
    <s v="No Support Contact"/>
    <s v="Not Applicable"/>
    <m/>
    <s v="No drop-off"/>
    <n v="5"/>
    <n v="58"/>
    <n v="0"/>
    <x v="1"/>
    <n v="1"/>
    <n v="1"/>
    <n v="0"/>
    <n v="1"/>
  </r>
  <r>
    <x v="546"/>
    <s v="USR-00808"/>
    <s v="SES-2507-44279"/>
    <x v="272"/>
    <s v="London"/>
    <s v="Hammersmith"/>
    <x v="7"/>
    <x v="2"/>
    <x v="2"/>
    <s v="Android"/>
    <s v="Android Phone"/>
    <s v="2+ years"/>
    <x v="0"/>
    <x v="3"/>
    <x v="2"/>
    <s v="Repeat Use"/>
    <s v="No Experiment"/>
    <s v="Control"/>
    <n v="5"/>
    <s v="5 steps"/>
    <n v="144"/>
    <s v="No"/>
    <x v="1"/>
    <x v="1"/>
    <x v="1"/>
    <x v="0"/>
    <n v="92.43"/>
    <x v="0"/>
    <x v="0"/>
    <s v="No Support Contact"/>
    <s v="No"/>
    <s v="No Support Contact"/>
    <s v="Not Applicable"/>
    <m/>
    <s v="Unexpected fee"/>
    <n v="4"/>
    <n v="24"/>
    <n v="19"/>
    <x v="0"/>
    <n v="0"/>
    <n v="1"/>
    <n v="0"/>
    <n v="0"/>
  </r>
  <r>
    <x v="547"/>
    <s v="USR-00834"/>
    <s v="SES-2503-54426"/>
    <x v="340"/>
    <s v="London"/>
    <s v="Croydon"/>
    <x v="3"/>
    <x v="0"/>
    <x v="1"/>
    <s v="Android"/>
    <s v="Android Phone"/>
    <s v="1-2 years"/>
    <x v="1"/>
    <x v="4"/>
    <x v="5"/>
    <s v="Repeat Use"/>
    <s v="Fee Transparency Panel"/>
    <s v="Treatment"/>
    <n v="8"/>
    <n v="8"/>
    <n v="238"/>
    <s v="No"/>
    <x v="0"/>
    <x v="1"/>
    <x v="1"/>
    <x v="0"/>
    <n v="417.01"/>
    <x v="11"/>
    <x v="1"/>
    <s v="No Support Contact"/>
    <s v="No"/>
    <s v="No Support Contact"/>
    <s v="Not Applicable"/>
    <m/>
    <s v="No drop-off"/>
    <n v="3"/>
    <n v="17"/>
    <n v="22"/>
    <x v="1"/>
    <n v="1"/>
    <n v="1"/>
    <n v="0"/>
    <n v="1"/>
  </r>
  <r>
    <x v="548"/>
    <s v="USR-00659"/>
    <s v="SES-2603-60710"/>
    <x v="341"/>
    <s v="North West"/>
    <s v="Chester"/>
    <x v="7"/>
    <x v="0"/>
    <x v="0"/>
    <s v="Android"/>
    <s v="Android Phone"/>
    <s v="1-2 years"/>
    <x v="0"/>
    <x v="5"/>
    <x v="4"/>
    <s v="Repeat Use"/>
    <s v="Fee Transparency Panel"/>
    <s v="Control"/>
    <n v="6"/>
    <n v="6"/>
    <n v="207"/>
    <s v="No"/>
    <x v="1"/>
    <x v="0"/>
    <x v="5"/>
    <x v="1"/>
    <n v="0"/>
    <x v="0"/>
    <x v="0"/>
    <s v="Feature Navigation"/>
    <s v="Yes"/>
    <s v="Feature Navigation"/>
    <s v="Resolved"/>
    <n v="9"/>
    <s v="Instructions unclear"/>
    <n v="4"/>
    <n v="-13"/>
    <n v="32"/>
    <x v="1"/>
    <n v="0"/>
    <n v="0"/>
    <n v="1"/>
    <n v="1"/>
  </r>
  <r>
    <x v="549"/>
    <s v="USR-00781"/>
    <s v="SES-2501-76738"/>
    <x v="234"/>
    <s v="Yorkshire &amp; Humber"/>
    <s v="Hull"/>
    <x v="4"/>
    <x v="4"/>
    <x v="1"/>
    <s v="Ios"/>
    <s v="Iphone"/>
    <s v="3-6 months"/>
    <x v="1"/>
    <x v="6"/>
    <x v="3"/>
    <s v="Repeat Use"/>
    <s v="Simplified Onboarding"/>
    <s v="Treatment"/>
    <n v="6"/>
    <n v="6"/>
    <n v="181"/>
    <s v="No"/>
    <x v="0"/>
    <x v="1"/>
    <x v="1"/>
    <x v="0"/>
    <n v="102.44"/>
    <x v="2"/>
    <x v="1"/>
    <s v="No Support Contact"/>
    <s v="No"/>
    <s v="No Support Contact"/>
    <s v="Not Applicable"/>
    <m/>
    <s v="No drop-off"/>
    <n v="4"/>
    <n v="35"/>
    <n v="22"/>
    <x v="0"/>
    <n v="1"/>
    <n v="1"/>
    <n v="0"/>
    <n v="0"/>
  </r>
  <r>
    <x v="550"/>
    <s v="USR-00567"/>
    <s v="SES-2510-35955"/>
    <x v="342"/>
    <s v="East England"/>
    <s v="Luton"/>
    <x v="1"/>
    <x v="3"/>
    <x v="0"/>
    <s v="Ios"/>
    <s v="Iphone"/>
    <s v="3-6 months"/>
    <x v="2"/>
    <x v="3"/>
    <x v="5"/>
    <s v="Repeat Use"/>
    <s v="No Experiment"/>
    <s v="Control"/>
    <n v="8"/>
    <n v="6"/>
    <n v="249"/>
    <s v="Yes"/>
    <x v="0"/>
    <x v="1"/>
    <x v="1"/>
    <x v="0"/>
    <n v="471.65"/>
    <x v="48"/>
    <x v="2"/>
    <s v="No Support Contact"/>
    <s v="No"/>
    <s v="No Support Contact"/>
    <s v="Not Applicable"/>
    <m/>
    <s v="No drop-off"/>
    <n v="3"/>
    <n v="-24"/>
    <n v="62"/>
    <x v="1"/>
    <n v="1"/>
    <n v="1"/>
    <n v="0"/>
    <n v="1"/>
  </r>
  <r>
    <x v="551"/>
    <s v="usr-00390"/>
    <s v="SES-2507-50433"/>
    <x v="343"/>
    <s v="East Midlands"/>
    <s v="Derby"/>
    <x v="5"/>
    <x v="1"/>
    <x v="1"/>
    <s v="Ios"/>
    <s v="Iphone"/>
    <s v="3-6 months"/>
    <x v="0"/>
    <x v="0"/>
    <x v="4"/>
    <s v="Repeat Use"/>
    <s v="No Experiment"/>
    <s v="Control"/>
    <n v="6"/>
    <n v="6"/>
    <n v="170"/>
    <s v="No"/>
    <x v="1"/>
    <x v="1"/>
    <x v="1"/>
    <x v="0"/>
    <n v="0"/>
    <x v="0"/>
    <x v="0"/>
    <s v="No Support Contact"/>
    <s v="No"/>
    <s v="No Support Contact"/>
    <s v="Not Applicable"/>
    <m/>
    <s v="Unexpected fee"/>
    <n v="3"/>
    <n v="31"/>
    <s v="24 days"/>
    <x v="0"/>
    <n v="0"/>
    <n v="1"/>
    <n v="0"/>
    <n v="0"/>
  </r>
  <r>
    <x v="552"/>
    <s v="USR-00665"/>
    <s v="SES-2505-14381"/>
    <x v="244"/>
    <s v="Yorkshire &amp; Humber"/>
    <s v="Hull"/>
    <x v="1"/>
    <x v="0"/>
    <x v="1"/>
    <s v="Ios"/>
    <s v="Iphone"/>
    <s v="7-12 months"/>
    <x v="0"/>
    <x v="6"/>
    <x v="0"/>
    <s v="First Use"/>
    <s v="Fee Transparency Panel"/>
    <s v="Control"/>
    <n v="7"/>
    <n v="7"/>
    <n v="182"/>
    <s v="No"/>
    <x v="1"/>
    <x v="1"/>
    <x v="1"/>
    <x v="0"/>
    <n v="9.35"/>
    <x v="0"/>
    <x v="0"/>
    <s v="No Support Contact"/>
    <s v="No"/>
    <s v="No Support Contact"/>
    <s v="Not Applicable"/>
    <m/>
    <s v="No drop-off"/>
    <n v="2"/>
    <n v="10"/>
    <n v="0"/>
    <x v="0"/>
    <n v="0"/>
    <n v="1"/>
    <n v="0"/>
    <n v="0"/>
  </r>
  <r>
    <x v="553"/>
    <s v="USR-00651"/>
    <s v="SES-2505-95169"/>
    <x v="67"/>
    <s v="East Midlands"/>
    <s v="Leicester"/>
    <x v="0"/>
    <x v="0"/>
    <x v="1"/>
    <s v="Android"/>
    <s v="Android Phone"/>
    <s v="2+ years"/>
    <x v="0"/>
    <x v="2"/>
    <x v="7"/>
    <s v="Repeat Use"/>
    <s v="Progress Indicator"/>
    <s v="Treatment"/>
    <n v="4"/>
    <s v="4 steps"/>
    <n v="91"/>
    <s v="No"/>
    <x v="0"/>
    <x v="1"/>
    <x v="1"/>
    <x v="0"/>
    <n v="135.52000000000001"/>
    <x v="50"/>
    <x v="0"/>
    <s v="No Support Contact"/>
    <s v="No"/>
    <s v="No Support Contact"/>
    <s v="Not Applicable"/>
    <m/>
    <s v="No drop-off"/>
    <n v="5"/>
    <n v="76"/>
    <s v="38 days"/>
    <x v="0"/>
    <n v="1"/>
    <n v="1"/>
    <n v="0"/>
    <n v="0"/>
  </r>
  <r>
    <x v="427"/>
    <s v="USR-00049"/>
    <s v="SES-2508-46112"/>
    <x v="297"/>
    <s v="East England"/>
    <s v="Norwich"/>
    <x v="0"/>
    <x v="0"/>
    <x v="0"/>
    <s v="Web"/>
    <s v="Mobile Browser"/>
    <s v="7-12 months"/>
    <x v="1"/>
    <x v="2"/>
    <x v="4"/>
    <s v="Repeat Use"/>
    <s v="Simplified Onboarding"/>
    <s v="Treatment"/>
    <n v="6"/>
    <n v="6"/>
    <n v="123"/>
    <s v="No"/>
    <x v="1"/>
    <x v="1"/>
    <x v="1"/>
    <x v="0"/>
    <n v="0"/>
    <x v="0"/>
    <x v="1"/>
    <s v="Feature Navigation"/>
    <s v="Unknown"/>
    <s v="Feature Navigation"/>
    <s v="Resolved"/>
    <n v="18"/>
    <s v="No drop-off"/>
    <n v="3"/>
    <n v="0"/>
    <n v="11"/>
    <x v="1"/>
    <n v="0"/>
    <n v="1"/>
    <n v="0"/>
    <n v="1"/>
  </r>
  <r>
    <x v="554"/>
    <s v="USR-00554"/>
    <s v="SES-2601-39953"/>
    <x v="310"/>
    <s v="East England"/>
    <s v="Ipswich"/>
    <x v="3"/>
    <x v="4"/>
    <x v="0"/>
    <s v="Android"/>
    <s v="Android Phone"/>
    <s v="2+ years"/>
    <x v="2"/>
    <x v="4"/>
    <x v="10"/>
    <s v="Repeat Use"/>
    <s v="No Experiment"/>
    <s v="Control"/>
    <s v="9 steps"/>
    <n v="9"/>
    <n v="181"/>
    <s v="No"/>
    <x v="0"/>
    <x v="1"/>
    <x v="1"/>
    <x v="1"/>
    <n v="0"/>
    <x v="0"/>
    <x v="0"/>
    <s v="No Support Contact"/>
    <s v="No"/>
    <s v="No Support Contact"/>
    <s v="Not Applicable"/>
    <m/>
    <s v="No drop-off"/>
    <n v="4"/>
    <n v="37"/>
    <n v="31"/>
    <x v="1"/>
    <n v="1"/>
    <n v="0"/>
    <n v="0"/>
    <n v="1"/>
  </r>
  <r>
    <x v="555"/>
    <s v="USR-00397"/>
    <s v="SES-2511-18022"/>
    <x v="316"/>
    <s v="Wales"/>
    <s v="Newport"/>
    <x v="2"/>
    <x v="0"/>
    <x v="1"/>
    <s v="Ios"/>
    <s v="Iphone"/>
    <s v="1-2 years"/>
    <x v="1"/>
    <x v="1"/>
    <x v="2"/>
    <s v="Repeat Use"/>
    <s v="No Experiment"/>
    <s v="Control"/>
    <s v="5 steps"/>
    <n v="5"/>
    <n v="101"/>
    <s v="No"/>
    <x v="0"/>
    <x v="1"/>
    <x v="1"/>
    <x v="0"/>
    <n v="102.09"/>
    <x v="0"/>
    <x v="1"/>
    <s v="No Support Contact"/>
    <s v="No"/>
    <s v="No Support Contact"/>
    <s v="Not Applicable"/>
    <m/>
    <s v="No drop-off"/>
    <n v="5"/>
    <n v="3"/>
    <n v="38"/>
    <x v="0"/>
    <n v="1"/>
    <n v="1"/>
    <n v="0"/>
    <n v="0"/>
  </r>
  <r>
    <x v="556"/>
    <s v="USR-00784"/>
    <s v="SES-2603-32248"/>
    <x v="344"/>
    <s v="South East"/>
    <s v="Oxford"/>
    <x v="0"/>
    <x v="0"/>
    <x v="1"/>
    <s v="Android"/>
    <s v="Android Phone"/>
    <s v="3-6 months"/>
    <x v="0"/>
    <x v="6"/>
    <x v="0"/>
    <s v="First Use"/>
    <s v="Progress Indicator"/>
    <s v="Treatment"/>
    <n v="7"/>
    <n v="4"/>
    <n v="392"/>
    <s v="Yes"/>
    <x v="1"/>
    <x v="0"/>
    <x v="0"/>
    <x v="1"/>
    <n v="0"/>
    <x v="0"/>
    <x v="0"/>
    <s v="No Support Contact"/>
    <s v="No"/>
    <s v="No Support Contact"/>
    <s v="Not Applicable"/>
    <m/>
    <s v="Too many steps"/>
    <n v="3"/>
    <n v="-57"/>
    <n v="0"/>
    <x v="0"/>
    <n v="0"/>
    <n v="0"/>
    <n v="1"/>
    <n v="0"/>
  </r>
  <r>
    <x v="557"/>
    <s v="USR-00052"/>
    <s v="SES-2605-10043"/>
    <x v="345"/>
    <s v="South East"/>
    <s v="Canterbury"/>
    <x v="0"/>
    <x v="1"/>
    <x v="0"/>
    <s v="Ios"/>
    <s v="Iphone"/>
    <s v="&lt;3 months"/>
    <x v="0"/>
    <x v="7"/>
    <x v="10"/>
    <s v="Reactivated"/>
    <s v="No Experiment"/>
    <s v="Control"/>
    <n v="9"/>
    <n v="5"/>
    <n v="335"/>
    <s v="Yes"/>
    <x v="1"/>
    <x v="0"/>
    <x v="9"/>
    <x v="1"/>
    <n v="0"/>
    <x v="0"/>
    <x v="0"/>
    <s v="No Support Contact"/>
    <s v="No"/>
    <s v="No Support Contact"/>
    <s v="Not Applicable"/>
    <m/>
    <s v="Technical error"/>
    <n v="1"/>
    <n v="-42"/>
    <n v="49"/>
    <x v="0"/>
    <n v="0"/>
    <n v="0"/>
    <n v="1"/>
    <n v="0"/>
  </r>
  <r>
    <x v="558"/>
    <s v="USR-00712"/>
    <s v="SES-2506-89003"/>
    <x v="346"/>
    <s v="South East"/>
    <s v="Reading"/>
    <x v="5"/>
    <x v="1"/>
    <x v="1"/>
    <s v="Ios"/>
    <s v="Iphone"/>
    <s v="7-12 months"/>
    <x v="1"/>
    <x v="1"/>
    <x v="9"/>
    <s v="First Use"/>
    <s v="Simplified Onboarding"/>
    <s v="Treatment"/>
    <n v="-1"/>
    <n v="5"/>
    <n v="107"/>
    <s v="No"/>
    <x v="0"/>
    <x v="1"/>
    <x v="1"/>
    <x v="0"/>
    <n v="14.49"/>
    <x v="0"/>
    <x v="1"/>
    <s v="No Support Contact"/>
    <s v="No"/>
    <s v="No Support Contact"/>
    <s v="Not Applicable"/>
    <m/>
    <s v="No drop-off"/>
    <n v="5"/>
    <n v="32"/>
    <n v="0"/>
    <x v="1"/>
    <n v="1"/>
    <n v="1"/>
    <n v="0"/>
    <n v="1"/>
  </r>
  <r>
    <x v="559"/>
    <s v="USR-00518"/>
    <s v="SES-2510-95243"/>
    <x v="211"/>
    <s v="South East"/>
    <s v="Reading"/>
    <x v="3"/>
    <x v="1"/>
    <x v="0"/>
    <s v="Ios"/>
    <s v="Ipad"/>
    <s v="3-6 months"/>
    <x v="1"/>
    <x v="5"/>
    <x v="2"/>
    <s v="First Use"/>
    <s v="Simplified Onboarding"/>
    <s v="Control"/>
    <n v="5"/>
    <n v="5"/>
    <n v="125"/>
    <s v="No"/>
    <x v="0"/>
    <x v="1"/>
    <x v="1"/>
    <x v="0"/>
    <n v="0"/>
    <x v="0"/>
    <x v="1"/>
    <s v="No Support Contact"/>
    <s v="No"/>
    <s v="No Support Contact"/>
    <s v="Not Applicable"/>
    <m/>
    <s v="No drop-off"/>
    <n v="4"/>
    <n v="-2"/>
    <n v="999"/>
    <x v="0"/>
    <n v="1"/>
    <n v="1"/>
    <n v="0"/>
    <n v="0"/>
  </r>
  <r>
    <x v="560"/>
    <s v="USR-00273"/>
    <s v="SES-2606-62339"/>
    <x v="347"/>
    <s v="Northern Ireland"/>
    <s v="Belfast"/>
    <x v="4"/>
    <x v="5"/>
    <x v="0"/>
    <s v="Android"/>
    <s v="Android Phone"/>
    <s v="1-2 years"/>
    <x v="0"/>
    <x v="7"/>
    <x v="7"/>
    <s v="Trial/Exploration"/>
    <s v="New Cta Copy"/>
    <s v="Treatment"/>
    <n v="4"/>
    <n v="4"/>
    <n v="90"/>
    <s v="No"/>
    <x v="0"/>
    <x v="1"/>
    <x v="1"/>
    <x v="0"/>
    <n v="16.12"/>
    <x v="32"/>
    <x v="0"/>
    <s v="No Support Contact"/>
    <s v="No"/>
    <s v="No Support Contact"/>
    <s v="Not Applicable"/>
    <m/>
    <s v="No drop-off"/>
    <n v="5"/>
    <n v="4"/>
    <n v="44"/>
    <x v="1"/>
    <n v="1"/>
    <n v="1"/>
    <n v="0"/>
    <n v="1"/>
  </r>
  <r>
    <x v="561"/>
    <s v="USR-00413"/>
    <s v="SES-2509-91340"/>
    <x v="148"/>
    <s v="North West"/>
    <s v="Manchester"/>
    <x v="2"/>
    <x v="2"/>
    <x v="0"/>
    <s v="Ios"/>
    <s v="Iphone"/>
    <s v="2+ years"/>
    <x v="0"/>
    <x v="1"/>
    <x v="0"/>
    <s v="Repeat Use"/>
    <s v="No Experiment"/>
    <s v="Control"/>
    <n v="7"/>
    <n v="7"/>
    <n v="272"/>
    <s v="No"/>
    <x v="0"/>
    <x v="0"/>
    <x v="0"/>
    <x v="1"/>
    <n v="0"/>
    <x v="0"/>
    <x v="0"/>
    <s v="Transaction Failure"/>
    <s v="Yes"/>
    <s v="Transaction Failure"/>
    <s v="Resolved"/>
    <n v="42"/>
    <s v="No drop-off"/>
    <n v="4"/>
    <n v="-5"/>
    <n v="7"/>
    <x v="1"/>
    <n v="1"/>
    <n v="0"/>
    <n v="1"/>
    <n v="1"/>
  </r>
  <r>
    <x v="562"/>
    <s v="USR-00023"/>
    <s v="SES-2502-73447"/>
    <x v="60"/>
    <s v="North West"/>
    <s v="LIVERPOOL"/>
    <x v="0"/>
    <x v="2"/>
    <x v="1"/>
    <s v="Android"/>
    <s v="Android Phone"/>
    <s v="2+ years"/>
    <x v="0"/>
    <x v="0"/>
    <x v="3"/>
    <s v="Repeat Use"/>
    <s v="Simplified Onboarding"/>
    <s v="Treatment"/>
    <n v="6"/>
    <n v="4"/>
    <n v="214"/>
    <s v="Yes"/>
    <x v="0"/>
    <x v="1"/>
    <x v="1"/>
    <x v="0"/>
    <n v="35.479999999999997"/>
    <x v="2"/>
    <x v="0"/>
    <s v="No Support Contact"/>
    <s v="No"/>
    <s v="No Support Contact"/>
    <s v="Not Applicable"/>
    <m/>
    <s v="No drop-off"/>
    <n v="3"/>
    <n v="15"/>
    <s v="22 days"/>
    <x v="1"/>
    <n v="1"/>
    <n v="1"/>
    <n v="0"/>
    <n v="1"/>
  </r>
  <r>
    <x v="505"/>
    <s v="USR-00075"/>
    <s v="SES-2604-60779"/>
    <x v="307"/>
    <s v="Yorkshire &amp; Humber"/>
    <s v="York"/>
    <x v="7"/>
    <x v="0"/>
    <x v="0"/>
    <s v="Ios"/>
    <s v="Iphone"/>
    <s v="2+ years"/>
    <x v="0"/>
    <x v="1"/>
    <x v="1"/>
    <s v="Repeat Use"/>
    <s v="Fee Transparency Panel"/>
    <s v="Treatment"/>
    <n v="4"/>
    <n v="4"/>
    <n v="95"/>
    <s v="No"/>
    <x v="0"/>
    <x v="1"/>
    <x v="1"/>
    <x v="0"/>
    <n v="59.16"/>
    <x v="25"/>
    <x v="0"/>
    <s v="Feature Navigation"/>
    <s v="Yes"/>
    <s v="Feature Navigation"/>
    <s v="Resolved"/>
    <n v="29"/>
    <s v="No drop-off"/>
    <n v="5"/>
    <n v="30"/>
    <s v="25 days"/>
    <x v="1"/>
    <n v="1"/>
    <n v="1"/>
    <n v="0"/>
    <n v="1"/>
  </r>
  <r>
    <x v="563"/>
    <s v="USR-00285"/>
    <s v="SES-2504-41392"/>
    <x v="153"/>
    <s v="Yorkshire &amp; Humber"/>
    <s v="York"/>
    <x v="5"/>
    <x v="0"/>
    <x v="1"/>
    <s v="Ios"/>
    <s v="Ipad"/>
    <s v="1-2 years"/>
    <x v="0"/>
    <x v="2"/>
    <x v="1"/>
    <s v="Repeat Use"/>
    <s v="Fee Transparency Panel"/>
    <s v="Control"/>
    <n v="4"/>
    <n v="4"/>
    <n v="108"/>
    <s v="No"/>
    <x v="0"/>
    <x v="1"/>
    <x v="1"/>
    <x v="0"/>
    <n v="199.7"/>
    <x v="7"/>
    <x v="0"/>
    <s v="No Support Contact"/>
    <s v="No"/>
    <s v="No Support Contact"/>
    <s v="Not Applicable"/>
    <m/>
    <s v="No drop-off"/>
    <n v="4"/>
    <n v="59"/>
    <n v="10"/>
    <x v="1"/>
    <n v="1"/>
    <n v="1"/>
    <n v="0"/>
    <n v="1"/>
  </r>
  <r>
    <x v="564"/>
    <s v="USR-00226"/>
    <s v="SES-2507-41680"/>
    <x v="348"/>
    <s v="East Midlands"/>
    <s v="Leicester"/>
    <x v="2"/>
    <x v="0"/>
    <x v="1"/>
    <s v="Ios"/>
    <s v="Iphone"/>
    <s v="&lt;3 months"/>
    <x v="1"/>
    <x v="2"/>
    <x v="1"/>
    <s v="Repeat Use"/>
    <s v="Simplified Onboarding"/>
    <s v="Control"/>
    <n v="4"/>
    <n v="3"/>
    <n v="96"/>
    <s v="Yes"/>
    <x v="0"/>
    <x v="1"/>
    <x v="1"/>
    <x v="0"/>
    <n v="118.07"/>
    <x v="6"/>
    <x v="1"/>
    <s v="No Support Contact"/>
    <s v="No"/>
    <s v="No Support Contact"/>
    <s v="Not Applicable"/>
    <m/>
    <s v="No drop-off"/>
    <n v="4"/>
    <n v="-15"/>
    <s v="11 days"/>
    <x v="1"/>
    <n v="1"/>
    <n v="1"/>
    <n v="0"/>
    <n v="1"/>
  </r>
  <r>
    <x v="565"/>
    <s v="USR-00779"/>
    <s v="SES-2603-31092"/>
    <x v="91"/>
    <s v="North West"/>
    <s v="Preston"/>
    <x v="3"/>
    <x v="0"/>
    <x v="0"/>
    <s v="Ios"/>
    <s v="Ipad"/>
    <s v="2+ years"/>
    <x v="0"/>
    <x v="1"/>
    <x v="4"/>
    <s v="First Use"/>
    <s v="No Experiment"/>
    <s v="Control"/>
    <n v="6"/>
    <n v="6"/>
    <n v="175"/>
    <s v="No"/>
    <x v="0"/>
    <x v="1"/>
    <x v="1"/>
    <x v="0"/>
    <n v="57.49"/>
    <x v="0"/>
    <x v="0"/>
    <s v="No Support Contact"/>
    <s v="No"/>
    <s v="No Support Contact"/>
    <s v="Not Applicable"/>
    <m/>
    <s v="No drop-off"/>
    <n v="4"/>
    <n v="2"/>
    <n v="0"/>
    <x v="0"/>
    <n v="1"/>
    <n v="1"/>
    <n v="0"/>
    <n v="0"/>
  </r>
  <r>
    <x v="566"/>
    <s v="USR-00503"/>
    <s v="SES-2510-32132"/>
    <x v="55"/>
    <s v="South East"/>
    <s v="Oxford"/>
    <x v="0"/>
    <x v="3"/>
    <x v="0"/>
    <s v="Android"/>
    <s v="Android Phone"/>
    <s v="3-6 months"/>
    <x v="0"/>
    <x v="1"/>
    <x v="5"/>
    <s v="Repeat Use"/>
    <s v="No Experiment"/>
    <s v="Control"/>
    <s v="8 steps"/>
    <n v="8"/>
    <n v="163"/>
    <s v="No"/>
    <x v="1"/>
    <x v="1"/>
    <x v="1"/>
    <x v="1"/>
    <n v="0"/>
    <x v="0"/>
    <x v="0"/>
    <s v="No Support Contact"/>
    <s v="No"/>
    <s v="No Support Contact"/>
    <s v="Not Applicable"/>
    <m/>
    <s v="Privacy concern"/>
    <n v="3"/>
    <n v="8"/>
    <n v="36"/>
    <x v="1"/>
    <n v="0"/>
    <n v="0"/>
    <n v="0"/>
    <n v="1"/>
  </r>
  <r>
    <x v="567"/>
    <s v="USR-00773"/>
    <s v="SES-2512-93625"/>
    <x v="349"/>
    <s v="West Midlands"/>
    <s v="Wolverhampton"/>
    <x v="2"/>
    <x v="0"/>
    <x v="0"/>
    <s v="Android"/>
    <s v="Android Phone"/>
    <s v="&lt;3 months"/>
    <x v="0"/>
    <x v="3"/>
    <x v="9"/>
    <s v="Repeat Use"/>
    <s v="New Cta Copy"/>
    <s v="Control"/>
    <n v="5"/>
    <n v="5"/>
    <n v="98"/>
    <s v="No"/>
    <x v="0"/>
    <x v="1"/>
    <x v="1"/>
    <x v="0"/>
    <n v="84.54"/>
    <x v="0"/>
    <x v="0"/>
    <s v="No Support Contact"/>
    <s v="No"/>
    <s v="No Support Contact"/>
    <s v="Not Applicable"/>
    <m/>
    <s v="No drop-off"/>
    <n v="5"/>
    <n v="-13"/>
    <n v="24"/>
    <x v="1"/>
    <n v="1"/>
    <n v="1"/>
    <n v="0"/>
    <n v="1"/>
  </r>
  <r>
    <x v="568"/>
    <s v="USR-00242"/>
    <s v="SES-2512-54407"/>
    <x v="2"/>
    <s v="West Midlands"/>
    <s v="Solihull"/>
    <x v="0"/>
    <x v="0"/>
    <x v="1"/>
    <s v="Android"/>
    <s v="Android Phone"/>
    <s v="1-2 years"/>
    <x v="0"/>
    <x v="7"/>
    <x v="3"/>
    <s v="Repeat Use"/>
    <s v="Simplified Onboarding"/>
    <s v="Treatment"/>
    <n v="6"/>
    <n v="6"/>
    <n v="160"/>
    <s v="No"/>
    <x v="0"/>
    <x v="1"/>
    <x v="1"/>
    <x v="1"/>
    <n v="0"/>
    <x v="0"/>
    <x v="0"/>
    <s v="No Support Contact"/>
    <s v="No"/>
    <s v="No Support Contact"/>
    <s v="Not Applicable"/>
    <m/>
    <s v="No drop-off"/>
    <n v="4"/>
    <n v="-3"/>
    <n v="44"/>
    <x v="1"/>
    <n v="1"/>
    <n v="0"/>
    <n v="0"/>
    <n v="1"/>
  </r>
  <r>
    <x v="569"/>
    <s v="USR-00179"/>
    <s v="SES-2511-95238"/>
    <x v="350"/>
    <s v="North West"/>
    <s v="Preston"/>
    <x v="2"/>
    <x v="0"/>
    <x v="1"/>
    <s v="Ios"/>
    <s v="Iphone"/>
    <s v="1-2 years"/>
    <x v="0"/>
    <x v="1"/>
    <x v="10"/>
    <s v="Repeat Use"/>
    <s v="No Experiment"/>
    <s v="Control"/>
    <n v="9"/>
    <n v="9"/>
    <n v="276"/>
    <s v="No"/>
    <x v="1"/>
    <x v="1"/>
    <x v="1"/>
    <x v="0"/>
    <n v="228.04"/>
    <x v="62"/>
    <x v="0"/>
    <s v="No Support Contact"/>
    <s v="Unknown"/>
    <s v="No Support Contact"/>
    <s v="Not Applicable"/>
    <m/>
    <s v="Too many steps"/>
    <n v="3"/>
    <n v="-7"/>
    <n v="18"/>
    <x v="0"/>
    <n v="0"/>
    <n v="1"/>
    <n v="0"/>
    <n v="0"/>
  </r>
  <r>
    <x v="570"/>
    <s v="USR-00088"/>
    <s v="SES-2504-39546"/>
    <x v="351"/>
    <s v="Scotland"/>
    <s v="Edinburgh"/>
    <x v="2"/>
    <x v="2"/>
    <x v="1"/>
    <s v="Web"/>
    <s v="Desktop"/>
    <s v="&lt;3 months"/>
    <x v="0"/>
    <x v="1"/>
    <x v="7"/>
    <s v="Repeat Use"/>
    <s v="Simplified Onboarding"/>
    <s v="Control"/>
    <n v="4"/>
    <n v="4"/>
    <n v="124"/>
    <s v="No"/>
    <x v="0"/>
    <x v="1"/>
    <x v="1"/>
    <x v="0"/>
    <n v="70.790000000000006"/>
    <x v="29"/>
    <x v="0"/>
    <s v="No Support Contact"/>
    <s v="No"/>
    <s v="No Support Contact"/>
    <s v="Not Applicable"/>
    <m/>
    <s v="No drop-off"/>
    <n v="3"/>
    <n v="37"/>
    <n v="48"/>
    <x v="1"/>
    <n v="1"/>
    <n v="1"/>
    <n v="0"/>
    <n v="1"/>
  </r>
  <r>
    <x v="571"/>
    <s v="USR-00701"/>
    <s v="SES-2502-47089"/>
    <x v="352"/>
    <s v="East England"/>
    <s v="Norwich"/>
    <x v="2"/>
    <x v="2"/>
    <x v="0"/>
    <s v="Android"/>
    <s v="Android Phone"/>
    <s v="7-12 months"/>
    <x v="0"/>
    <x v="1"/>
    <x v="4"/>
    <s v="Repeat Use"/>
    <s v="No Experiment"/>
    <s v="Control"/>
    <n v="6"/>
    <n v="6"/>
    <n v="157"/>
    <s v="No"/>
    <x v="1"/>
    <x v="1"/>
    <x v="1"/>
    <x v="1"/>
    <n v="0"/>
    <x v="0"/>
    <x v="0"/>
    <s v="No Support Contact"/>
    <s v="No"/>
    <s v="No Support Contact"/>
    <s v="Not Applicable"/>
    <m/>
    <s v="No drop-off"/>
    <n v="4"/>
    <n v="-13"/>
    <n v="51"/>
    <x v="1"/>
    <n v="0"/>
    <n v="0"/>
    <n v="0"/>
    <n v="1"/>
  </r>
  <r>
    <x v="572"/>
    <s v="USR-00462"/>
    <s v="SES-2505-34073"/>
    <x v="353"/>
    <s v="West Midlands"/>
    <s v="Solihull"/>
    <x v="5"/>
    <x v="2"/>
    <x v="0"/>
    <s v="Ios"/>
    <s v="Iphone"/>
    <s v="7-12 months"/>
    <x v="3"/>
    <x v="0"/>
    <x v="1"/>
    <s v="Repeat Use"/>
    <s v="Fee Transparency Panel"/>
    <s v="Treatment"/>
    <n v="4"/>
    <n v="4"/>
    <n v="92"/>
    <s v="No"/>
    <x v="0"/>
    <x v="0"/>
    <x v="12"/>
    <x v="0"/>
    <n v="173.68"/>
    <x v="7"/>
    <x v="0"/>
    <s v="No Support Contact"/>
    <s v="No"/>
    <s v="No Support Contact"/>
    <s v="Not Applicable"/>
    <m/>
    <s v="No drop-off"/>
    <n v="4"/>
    <n v="30"/>
    <n v="27"/>
    <x v="1"/>
    <n v="1"/>
    <n v="1"/>
    <n v="1"/>
    <n v="1"/>
  </r>
  <r>
    <x v="573"/>
    <s v="USR-00252"/>
    <s v="SES-2506-21058"/>
    <x v="170"/>
    <s v="East England"/>
    <s v="Norwich"/>
    <x v="0"/>
    <x v="3"/>
    <x v="0"/>
    <s v="Ios"/>
    <s v="Iphone"/>
    <s v="7-12 months"/>
    <x v="2"/>
    <x v="7"/>
    <x v="7"/>
    <s v="Repeat Use"/>
    <s v="No Experiment"/>
    <s v="Control"/>
    <n v="4"/>
    <s v="4 steps"/>
    <n v="125"/>
    <s v="No"/>
    <x v="0"/>
    <x v="1"/>
    <x v="1"/>
    <x v="0"/>
    <n v="36.1"/>
    <x v="50"/>
    <x v="2"/>
    <s v="No Support Contact"/>
    <s v="No"/>
    <s v="No Support Contact"/>
    <s v="Not Applicable"/>
    <m/>
    <s v="No drop-off"/>
    <n v="3"/>
    <n v="-3"/>
    <n v="1"/>
    <x v="1"/>
    <n v="1"/>
    <n v="1"/>
    <n v="0"/>
    <n v="1"/>
  </r>
  <r>
    <x v="574"/>
    <s v="USR-00137"/>
    <s v="SES-2506-46276"/>
    <x v="61"/>
    <s v="East Midlands"/>
    <s v="Nottingham"/>
    <x v="5"/>
    <x v="1"/>
    <x v="1"/>
    <s v="Ios"/>
    <s v="Iphone"/>
    <s v="2+ years"/>
    <x v="0"/>
    <x v="1"/>
    <x v="4"/>
    <s v="Repeat Use"/>
    <s v="Fee Transparency Panel"/>
    <s v="Treatment"/>
    <n v="6"/>
    <n v="6"/>
    <n v="150"/>
    <s v="No"/>
    <x v="0"/>
    <x v="1"/>
    <x v="1"/>
    <x v="1"/>
    <n v="0"/>
    <x v="0"/>
    <x v="0"/>
    <s v="No Support Contact"/>
    <s v="No"/>
    <s v="No Support Contact"/>
    <s v="Not Applicable"/>
    <m/>
    <s v="No drop-off"/>
    <n v="3"/>
    <n v="49"/>
    <n v="1"/>
    <x v="1"/>
    <n v="1"/>
    <n v="0"/>
    <n v="0"/>
    <n v="1"/>
  </r>
  <r>
    <x v="575"/>
    <s v="USR-00540"/>
    <s v="SES-2604-92218"/>
    <x v="293"/>
    <s v="North East"/>
    <s v="Durham"/>
    <x v="3"/>
    <x v="0"/>
    <x v="2"/>
    <s v="Ios"/>
    <s v="Iphone"/>
    <s v="1-2 years"/>
    <x v="1"/>
    <x v="0"/>
    <x v="2"/>
    <s v="First Use"/>
    <s v="Progress Indicator"/>
    <s v="Treatment"/>
    <n v="5"/>
    <n v="4"/>
    <n v="142"/>
    <s v="Yes"/>
    <x v="1"/>
    <x v="1"/>
    <x v="1"/>
    <x v="1"/>
    <n v="0"/>
    <x v="0"/>
    <x v="0"/>
    <s v="No Support Contact"/>
    <s v="No"/>
    <s v="No Support Contact"/>
    <s v="Not Applicable"/>
    <m/>
    <s v="Too many steps"/>
    <n v="4"/>
    <n v="14"/>
    <n v="0"/>
    <x v="1"/>
    <n v="0"/>
    <n v="0"/>
    <n v="0"/>
    <n v="1"/>
  </r>
  <r>
    <x v="576"/>
    <s v="USR-00382"/>
    <s v="SES-2506-72673"/>
    <x v="354"/>
    <s v="South West"/>
    <s v="Exeter"/>
    <x v="1"/>
    <x v="2"/>
    <x v="1"/>
    <s v="Android"/>
    <s v="Android Phone"/>
    <s v="1-2 years"/>
    <x v="1"/>
    <x v="1"/>
    <x v="9"/>
    <s v="Repeat Use"/>
    <s v="Progress Indicator"/>
    <s v="Treatment"/>
    <n v="5"/>
    <s v="3 steps"/>
    <n v="137"/>
    <s v="Yes"/>
    <x v="0"/>
    <x v="1"/>
    <x v="1"/>
    <x v="0"/>
    <n v="96.68"/>
    <x v="0"/>
    <x v="1"/>
    <s v="No Support Contact"/>
    <s v="No"/>
    <s v="No Support Contact"/>
    <s v="Not Applicable"/>
    <m/>
    <s v="No drop-off"/>
    <n v="5"/>
    <n v="4"/>
    <n v="19"/>
    <x v="1"/>
    <n v="1"/>
    <n v="1"/>
    <n v="0"/>
    <n v="1"/>
  </r>
  <r>
    <x v="577"/>
    <s v="USR-00782"/>
    <s v="SES-2506-38900"/>
    <x v="131"/>
    <s v="South West"/>
    <s v="Exeter"/>
    <x v="2"/>
    <x v="0"/>
    <x v="0"/>
    <s v="Android"/>
    <s v="Android Phone"/>
    <s v="2+ years"/>
    <x v="0"/>
    <x v="0"/>
    <x v="4"/>
    <s v="Trial/Exploration"/>
    <s v="Simplified Onboarding"/>
    <s v="Control"/>
    <n v="6"/>
    <n v="6"/>
    <n v="247"/>
    <s v="No"/>
    <x v="1"/>
    <x v="0"/>
    <x v="27"/>
    <x v="1"/>
    <n v="0"/>
    <x v="0"/>
    <x v="0"/>
    <s v="No Support Contact"/>
    <s v="No"/>
    <s v="No Support Contact"/>
    <s v="Not Applicable"/>
    <m/>
    <s v="Technical error"/>
    <n v="3"/>
    <n v="7"/>
    <n v="26"/>
    <x v="0"/>
    <n v="0"/>
    <n v="0"/>
    <n v="1"/>
    <n v="0"/>
  </r>
  <r>
    <x v="578"/>
    <s v="USR-00510"/>
    <s v="SES-2505-34749"/>
    <x v="144"/>
    <s v="East Midlands"/>
    <s v="Lincoln"/>
    <x v="3"/>
    <x v="0"/>
    <x v="1"/>
    <s v="Android"/>
    <s v="Android Phone"/>
    <s v="3-6 months"/>
    <x v="0"/>
    <x v="5"/>
    <x v="2"/>
    <s v="Repeat Use"/>
    <s v="No Experiment"/>
    <s v="Control"/>
    <s v="5 steps"/>
    <s v="5 steps"/>
    <n v="94"/>
    <s v="No"/>
    <x v="0"/>
    <x v="1"/>
    <x v="1"/>
    <x v="0"/>
    <n v="97.69"/>
    <x v="0"/>
    <x v="0"/>
    <s v="No Support Contact"/>
    <s v="No"/>
    <s v="No Support Contact"/>
    <s v="Not Applicable"/>
    <m/>
    <s v="No drop-off"/>
    <n v="3"/>
    <n v="55"/>
    <n v="13"/>
    <x v="0"/>
    <n v="1"/>
    <n v="1"/>
    <n v="0"/>
    <n v="0"/>
  </r>
  <r>
    <x v="579"/>
    <s v="USR-00259"/>
    <s v="SES-2510-64051"/>
    <x v="355"/>
    <s v="South West"/>
    <s v="Gloucester"/>
    <x v="7"/>
    <x v="0"/>
    <x v="1"/>
    <s v="Ios"/>
    <s v="Iphone"/>
    <s v="&lt;3 months"/>
    <x v="0"/>
    <x v="0"/>
    <x v="10"/>
    <s v="Repeat Use"/>
    <s v="No Experiment"/>
    <s v="Control"/>
    <n v="99"/>
    <n v="9"/>
    <n v="180"/>
    <s v="No"/>
    <x v="1"/>
    <x v="1"/>
    <x v="1"/>
    <x v="1"/>
    <n v="0"/>
    <x v="0"/>
    <x v="0"/>
    <s v="No Support Contact"/>
    <s v="No"/>
    <s v="No Support Contact"/>
    <s v="Not Applicable"/>
    <m/>
    <s v="No drop-off"/>
    <n v="4"/>
    <n v="-18"/>
    <n v="1"/>
    <x v="0"/>
    <n v="0"/>
    <n v="0"/>
    <n v="0"/>
    <n v="0"/>
  </r>
  <r>
    <x v="580"/>
    <s v="USR-00275"/>
    <s v="SES-2510-67262"/>
    <x v="93"/>
    <s v="London"/>
    <s v="Hackney"/>
    <x v="5"/>
    <x v="0"/>
    <x v="0"/>
    <s v="Android"/>
    <s v="Android Phone"/>
    <s v="3-6 months"/>
    <x v="0"/>
    <x v="4"/>
    <x v="8"/>
    <s v="Reactivated"/>
    <s v="No Experiment"/>
    <s v="Control"/>
    <n v="5"/>
    <n v="5"/>
    <n v="114"/>
    <s v="No"/>
    <x v="1"/>
    <x v="1"/>
    <x v="1"/>
    <x v="1"/>
    <n v="0"/>
    <x v="0"/>
    <x v="0"/>
    <s v="No Support Contact"/>
    <s v="No"/>
    <s v="No Support Contact"/>
    <s v="Not Applicable"/>
    <m/>
    <s v="No drop-off"/>
    <n v="4"/>
    <n v="44"/>
    <n v="46"/>
    <x v="1"/>
    <n v="0"/>
    <n v="0"/>
    <n v="0"/>
    <n v="1"/>
  </r>
  <r>
    <x v="581"/>
    <s v="USR-00673"/>
    <s v="SES-2510-76366"/>
    <x v="356"/>
    <s v="Yorkshire &amp; Humber"/>
    <s v="Sheffield"/>
    <x v="7"/>
    <x v="2"/>
    <x v="2"/>
    <s v="Web"/>
    <s v="Desktop"/>
    <s v="&lt;3 months"/>
    <x v="2"/>
    <x v="1"/>
    <x v="3"/>
    <s v="Repeat Use"/>
    <s v="Contextual Help"/>
    <s v="Control"/>
    <n v="6"/>
    <n v="3"/>
    <n v="252"/>
    <s v="Yes"/>
    <x v="1"/>
    <x v="1"/>
    <x v="1"/>
    <x v="0"/>
    <n v="5.59"/>
    <x v="5"/>
    <x v="2"/>
    <s v="No Support Contact"/>
    <s v="No"/>
    <s v="No Support Contact"/>
    <s v="Not Applicable"/>
    <m/>
    <s v="Instructions unclear"/>
    <n v="4"/>
    <n v="27"/>
    <n v="20"/>
    <x v="0"/>
    <n v="0"/>
    <n v="1"/>
    <n v="0"/>
    <n v="0"/>
  </r>
  <r>
    <x v="582"/>
    <s v="USR-00564"/>
    <s v="SES-2504-23691"/>
    <x v="182"/>
    <s v="London"/>
    <s v="HAMMERSMITH"/>
    <x v="1"/>
    <x v="2"/>
    <x v="1"/>
    <s v="Web"/>
    <s v="Desktop"/>
    <s v="1-2 years"/>
    <x v="0"/>
    <x v="2"/>
    <x v="2"/>
    <s v="First Use"/>
    <s v="Simplified Onboarding"/>
    <s v="Treatment"/>
    <n v="5"/>
    <n v="5"/>
    <n v="123"/>
    <s v="No"/>
    <x v="0"/>
    <x v="1"/>
    <x v="1"/>
    <x v="0"/>
    <n v="58.18"/>
    <x v="0"/>
    <x v="0"/>
    <s v="No Support Contact"/>
    <s v="No"/>
    <s v="No Support Contact"/>
    <s v="Not Applicable"/>
    <m/>
    <s v="No drop-off"/>
    <n v="4"/>
    <n v="20"/>
    <s v="0 days"/>
    <x v="1"/>
    <n v="1"/>
    <n v="1"/>
    <n v="0"/>
    <n v="1"/>
  </r>
  <r>
    <x v="583"/>
    <s v="USR-00568"/>
    <s v="SES-2507-42396"/>
    <x v="357"/>
    <s v="East Midlands"/>
    <s v="Derby"/>
    <x v="0"/>
    <x v="1"/>
    <x v="0"/>
    <s v="Ios"/>
    <s v="Iphone"/>
    <s v="2+ years"/>
    <x v="1"/>
    <x v="6"/>
    <x v="5"/>
    <s v="Repeat Use"/>
    <s v="No Experiment"/>
    <s v="Control"/>
    <n v="8"/>
    <n v="8"/>
    <n v="222"/>
    <s v="No"/>
    <x v="1"/>
    <x v="0"/>
    <x v="7"/>
    <x v="1"/>
    <n v="0"/>
    <x v="0"/>
    <x v="0"/>
    <s v="No Support Contact"/>
    <s v="No"/>
    <s v="No Support Contact"/>
    <s v="Not Applicable"/>
    <m/>
    <s v="Technical error"/>
    <n v="3"/>
    <n v="-7"/>
    <n v="1"/>
    <x v="0"/>
    <n v="0"/>
    <n v="0"/>
    <n v="1"/>
    <n v="0"/>
  </r>
  <r>
    <x v="584"/>
    <s v="USR-00539"/>
    <s v="SES-2511-75650"/>
    <x v="127"/>
    <s v="South East"/>
    <s v="Reading"/>
    <x v="0"/>
    <x v="2"/>
    <x v="1"/>
    <s v="Web"/>
    <s v="Mobile Browser"/>
    <s v="3-6 months"/>
    <x v="2"/>
    <x v="5"/>
    <x v="2"/>
    <s v="Trial/Exploration"/>
    <s v="Fee Transparency Panel"/>
    <s v="Treatment"/>
    <n v="5"/>
    <n v="3"/>
    <n v="218"/>
    <s v="Yes"/>
    <x v="1"/>
    <x v="1"/>
    <x v="1"/>
    <x v="1"/>
    <n v="0"/>
    <x v="0"/>
    <x v="0"/>
    <s v="No Support Contact"/>
    <s v="No"/>
    <s v="No Support Contact"/>
    <s v="Not Applicable"/>
    <m/>
    <s v="Too many steps"/>
    <n v="4"/>
    <n v="12"/>
    <s v="37 days"/>
    <x v="1"/>
    <n v="0"/>
    <n v="0"/>
    <n v="0"/>
    <n v="1"/>
  </r>
  <r>
    <x v="585"/>
    <s v="USR-00644"/>
    <s v="SES-2508-86604"/>
    <x v="324"/>
    <s v="South East"/>
    <s v="Reading"/>
    <x v="1"/>
    <x v="0"/>
    <x v="0"/>
    <s v="Android"/>
    <s v="Android Tablet"/>
    <s v="7-12 months"/>
    <x v="0"/>
    <x v="7"/>
    <x v="7"/>
    <s v="First Use"/>
    <s v="No Experiment"/>
    <s v="Control"/>
    <n v="4"/>
    <n v="4"/>
    <n v="77"/>
    <s v="No"/>
    <x v="0"/>
    <x v="1"/>
    <x v="1"/>
    <x v="1"/>
    <n v="0"/>
    <x v="0"/>
    <x v="0"/>
    <s v="No Support Contact"/>
    <s v="No"/>
    <s v="No Support Contact"/>
    <s v="Not Applicable"/>
    <m/>
    <s v="No drop-off"/>
    <n v="4"/>
    <n v="-15"/>
    <n v="0"/>
    <x v="1"/>
    <n v="1"/>
    <n v="0"/>
    <n v="0"/>
    <n v="1"/>
  </r>
  <r>
    <x v="586"/>
    <s v="USR-00591"/>
    <s v="SES-2605-53005"/>
    <x v="358"/>
    <s v="South East"/>
    <s v="Brighton"/>
    <x v="3"/>
    <x v="2"/>
    <x v="0"/>
    <s v="Android"/>
    <s v="Android Phone"/>
    <s v="1-2 years"/>
    <x v="0"/>
    <x v="5"/>
    <x v="2"/>
    <s v="Repeat Use"/>
    <s v="No Experiment"/>
    <s v="Control"/>
    <n v="5"/>
    <n v="5"/>
    <n v="121"/>
    <s v="No"/>
    <x v="0"/>
    <x v="1"/>
    <x v="1"/>
    <x v="0"/>
    <n v="7.14"/>
    <x v="0"/>
    <x v="0"/>
    <s v="No Support Contact"/>
    <s v="No"/>
    <s v="No Support Contact"/>
    <s v="Not Applicable"/>
    <m/>
    <s v="No drop-off"/>
    <n v="4"/>
    <n v="30"/>
    <n v="66"/>
    <x v="1"/>
    <n v="1"/>
    <n v="1"/>
    <n v="0"/>
    <n v="1"/>
  </r>
  <r>
    <x v="587"/>
    <s v="USR-00373"/>
    <s v="SES-2506-72587"/>
    <x v="359"/>
    <s v="North East"/>
    <s v="Newcastle"/>
    <x v="1"/>
    <x v="0"/>
    <x v="0"/>
    <s v="Ios"/>
    <s v="Iphone"/>
    <s v="2+ years"/>
    <x v="0"/>
    <x v="0"/>
    <x v="2"/>
    <s v="Repeat Use"/>
    <s v="Fee Transparency Panel"/>
    <s v="Treatment"/>
    <n v="5"/>
    <n v="3"/>
    <n v="188"/>
    <s v="Yes"/>
    <x v="0"/>
    <x v="0"/>
    <x v="19"/>
    <x v="0"/>
    <n v="78.88"/>
    <x v="0"/>
    <x v="0"/>
    <s v="No Support Contact"/>
    <s v="No"/>
    <s v="No Support Contact"/>
    <s v="Not Applicable"/>
    <m/>
    <s v="No drop-off"/>
    <n v="2"/>
    <n v="-35"/>
    <n v="6"/>
    <x v="1"/>
    <n v="1"/>
    <n v="1"/>
    <n v="1"/>
    <n v="1"/>
  </r>
  <r>
    <x v="588"/>
    <s v="USR-00600"/>
    <s v="SES-2502-78124"/>
    <x v="360"/>
    <s v="West Midlands"/>
    <s v="SOLIHULL"/>
    <x v="7"/>
    <x v="4"/>
    <x v="1"/>
    <s v="Android"/>
    <s v="Android Phone"/>
    <s v="3-6 months"/>
    <x v="0"/>
    <x v="5"/>
    <x v="8"/>
    <s v="First Use"/>
    <s v="No Experiment"/>
    <s v="Control"/>
    <n v="5"/>
    <n v="5"/>
    <n v="142"/>
    <s v="No"/>
    <x v="0"/>
    <x v="1"/>
    <x v="1"/>
    <x v="0"/>
    <n v="145.30000000000001"/>
    <x v="0"/>
    <x v="0"/>
    <s v="No Support Contact"/>
    <s v="No"/>
    <s v="No Support Contact"/>
    <s v="Not Applicable"/>
    <m/>
    <s v="No drop-off"/>
    <n v="5"/>
    <n v="48"/>
    <n v="0"/>
    <x v="1"/>
    <n v="1"/>
    <n v="1"/>
    <n v="0"/>
    <n v="1"/>
  </r>
  <r>
    <x v="589"/>
    <s v="USR-00716"/>
    <s v="SES-2506-89913"/>
    <x v="308"/>
    <s v="East Midlands"/>
    <s v="Nottingham"/>
    <x v="5"/>
    <x v="3"/>
    <x v="1"/>
    <s v="Web"/>
    <s v="Desktop"/>
    <s v="7-12 months"/>
    <x v="0"/>
    <x v="3"/>
    <x v="4"/>
    <s v="Reactivated"/>
    <s v="No Experiment"/>
    <s v="Control"/>
    <n v="6"/>
    <n v="5"/>
    <n v="159"/>
    <s v="Yes"/>
    <x v="0"/>
    <x v="1"/>
    <x v="1"/>
    <x v="0"/>
    <n v="0"/>
    <x v="0"/>
    <x v="0"/>
    <s v="No Support Contact"/>
    <s v="No"/>
    <s v="No Support Contact"/>
    <s v="Not Applicable"/>
    <m/>
    <s v="No drop-off"/>
    <n v="2"/>
    <n v="6"/>
    <s v="18 days"/>
    <x v="0"/>
    <n v="1"/>
    <n v="1"/>
    <n v="0"/>
    <n v="0"/>
  </r>
  <r>
    <x v="590"/>
    <s v="USR-00855"/>
    <s v="SES-2601-14884"/>
    <x v="265"/>
    <s v="South East"/>
    <s v="Oxford"/>
    <x v="3"/>
    <x v="3"/>
    <x v="1"/>
    <s v="Android"/>
    <s v="Android Tablet"/>
    <s v="1-2 years"/>
    <x v="0"/>
    <x v="5"/>
    <x v="1"/>
    <s v="First Use"/>
    <s v="Fee Transparency Panel"/>
    <s v="Treatment"/>
    <n v="4"/>
    <n v="4"/>
    <n v="95"/>
    <s v="No"/>
    <x v="0"/>
    <x v="1"/>
    <x v="1"/>
    <x v="0"/>
    <n v="185.72"/>
    <x v="25"/>
    <x v="0"/>
    <s v="No Support Contact"/>
    <s v="No"/>
    <s v="No Support Contact"/>
    <s v="Not Applicable"/>
    <m/>
    <s v="No drop-off"/>
    <n v="4"/>
    <n v="22"/>
    <n v="0"/>
    <x v="1"/>
    <n v="1"/>
    <n v="1"/>
    <n v="0"/>
    <n v="1"/>
  </r>
  <r>
    <x v="591"/>
    <s v="USR-00112"/>
    <s v="SES-2509-28636"/>
    <x v="252"/>
    <s v="Yorkshire &amp; Humber"/>
    <s v="Sheffield"/>
    <x v="7"/>
    <x v="3"/>
    <x v="0"/>
    <s v="Web"/>
    <s v="Desktop"/>
    <s v="1-2 years"/>
    <x v="3"/>
    <x v="2"/>
    <x v="10"/>
    <s v="Repeat Use"/>
    <s v="Fee Transparency Panel"/>
    <s v="Control"/>
    <n v="9"/>
    <n v="9"/>
    <n v="174"/>
    <s v="No"/>
    <x v="1"/>
    <x v="1"/>
    <x v="1"/>
    <x v="1"/>
    <n v="0"/>
    <x v="0"/>
    <x v="0"/>
    <s v="No Support Contact"/>
    <s v="No"/>
    <s v="No Support Contact"/>
    <s v="Not Applicable"/>
    <m/>
    <s v="No drop-off"/>
    <n v="2"/>
    <n v="6"/>
    <n v="34"/>
    <x v="0"/>
    <n v="0"/>
    <n v="0"/>
    <n v="0"/>
    <n v="0"/>
  </r>
  <r>
    <x v="592"/>
    <s v="USR-00106"/>
    <s v="SES-2506-25700"/>
    <x v="361"/>
    <s v="Scotland"/>
    <s v="DUNDEE"/>
    <x v="0"/>
    <x v="1"/>
    <x v="0"/>
    <s v="Android"/>
    <s v="Android Phone"/>
    <s v="2+ years"/>
    <x v="0"/>
    <x v="5"/>
    <x v="1"/>
    <s v="Repeat Use"/>
    <s v="No Experiment"/>
    <s v="Control"/>
    <n v="4"/>
    <n v="4"/>
    <n v="94"/>
    <s v="No"/>
    <x v="1"/>
    <x v="1"/>
    <x v="1"/>
    <x v="0"/>
    <n v="229.65"/>
    <x v="7"/>
    <x v="0"/>
    <s v="No Support Contact"/>
    <s v="No"/>
    <s v="No Support Contact"/>
    <s v="Not Applicable"/>
    <m/>
    <s v="Too many steps"/>
    <n v="3"/>
    <n v="-9"/>
    <n v="24"/>
    <x v="1"/>
    <n v="0"/>
    <n v="1"/>
    <n v="0"/>
    <n v="1"/>
  </r>
  <r>
    <x v="593"/>
    <s v="USR-00149"/>
    <s v="SES-2508-50625"/>
    <x v="297"/>
    <s v="East Midlands"/>
    <s v="Nottingham"/>
    <x v="7"/>
    <x v="0"/>
    <x v="1"/>
    <s v="Android"/>
    <s v="Android Phone"/>
    <s v="3-6 months"/>
    <x v="0"/>
    <x v="4"/>
    <x v="4"/>
    <s v="First Use"/>
    <s v="No Experiment"/>
    <s v="Control"/>
    <n v="6"/>
    <n v="6"/>
    <n v="176"/>
    <s v="No"/>
    <x v="1"/>
    <x v="1"/>
    <x v="1"/>
    <x v="1"/>
    <n v="0"/>
    <x v="0"/>
    <x v="0"/>
    <s v="No Support Contact"/>
    <s v="No"/>
    <s v="No Support Contact"/>
    <s v="Not Applicable"/>
    <m/>
    <s v="No drop-off"/>
    <n v="3"/>
    <n v="-6"/>
    <n v="0"/>
    <x v="0"/>
    <n v="0"/>
    <n v="0"/>
    <n v="0"/>
    <n v="0"/>
  </r>
  <r>
    <x v="594"/>
    <s v="USR-00289"/>
    <s v="SES-2508-95288"/>
    <x v="42"/>
    <s v="North West"/>
    <s v="Preston"/>
    <x v="7"/>
    <x v="5"/>
    <x v="0"/>
    <s v="Ios"/>
    <s v="Iphone"/>
    <s v="&lt;3 months"/>
    <x v="2"/>
    <x v="0"/>
    <x v="1"/>
    <s v="Repeat Use"/>
    <s v="New Cta Copy"/>
    <s v="Treatment"/>
    <n v="4"/>
    <n v="3"/>
    <n v="165"/>
    <s v="Yes"/>
    <x v="1"/>
    <x v="1"/>
    <x v="1"/>
    <x v="0"/>
    <n v="83.34"/>
    <x v="6"/>
    <x v="2"/>
    <s v="No Support Contact"/>
    <s v="No"/>
    <s v="No Support Contact"/>
    <s v="Not Applicable"/>
    <m/>
    <s v="Instructions unclear"/>
    <n v="3"/>
    <n v="4"/>
    <n v="32"/>
    <x v="0"/>
    <n v="0"/>
    <n v="1"/>
    <n v="0"/>
    <n v="0"/>
  </r>
  <r>
    <x v="595"/>
    <s v="USR-00780"/>
    <s v="SES-2509-60994"/>
    <x v="362"/>
    <s v="Yorkshire &amp; Humber"/>
    <s v="Leeds"/>
    <x v="7"/>
    <x v="3"/>
    <x v="1"/>
    <s v="Ios"/>
    <s v="Iphone"/>
    <s v="1-2 years"/>
    <x v="1"/>
    <x v="1"/>
    <x v="2"/>
    <s v="Repeat Use"/>
    <s v="No Experiment"/>
    <s v="Control"/>
    <n v="5"/>
    <n v="5"/>
    <n v="163"/>
    <s v="No"/>
    <x v="0"/>
    <x v="0"/>
    <x v="19"/>
    <x v="2"/>
    <n v="1.1100000000000001"/>
    <x v="0"/>
    <x v="1"/>
    <s v="No Support Contact"/>
    <s v="No"/>
    <s v="No Support Contact"/>
    <s v="Not Applicable"/>
    <m/>
    <s v="No drop-off"/>
    <n v="3"/>
    <n v="-11"/>
    <n v="39"/>
    <x v="1"/>
    <n v="1"/>
    <n v="0"/>
    <n v="1"/>
    <n v="1"/>
  </r>
  <r>
    <x v="596"/>
    <s v="USR-00071"/>
    <s v="SES-2501-82214"/>
    <x v="323"/>
    <s v="South East"/>
    <s v="Guildford"/>
    <x v="0"/>
    <x v="2"/>
    <x v="1"/>
    <s v="Android"/>
    <s v="Android Phone"/>
    <s v="7-12 months"/>
    <x v="0"/>
    <x v="1"/>
    <x v="0"/>
    <s v="First Use"/>
    <s v="No Experiment"/>
    <s v="Control"/>
    <n v="7"/>
    <s v="7 steps"/>
    <n v="179"/>
    <s v="No"/>
    <x v="0"/>
    <x v="1"/>
    <x v="1"/>
    <x v="0"/>
    <n v="88.37"/>
    <x v="0"/>
    <x v="0"/>
    <s v="No Support Contact"/>
    <s v="No"/>
    <s v="No Support Contact"/>
    <s v="Not Applicable"/>
    <m/>
    <s v="No drop-off"/>
    <n v="4"/>
    <n v="33"/>
    <n v="0"/>
    <x v="1"/>
    <n v="1"/>
    <n v="1"/>
    <n v="0"/>
    <n v="1"/>
  </r>
  <r>
    <x v="597"/>
    <s v="USR-00450"/>
    <s v="SES-2508-92025"/>
    <x v="363"/>
    <s v="Northern Ireland"/>
    <s v="Lisburn"/>
    <x v="3"/>
    <x v="2"/>
    <x v="1"/>
    <s v="Android"/>
    <s v="Android Phone"/>
    <s v="7-12 months"/>
    <x v="2"/>
    <x v="7"/>
    <x v="5"/>
    <s v="Trial/Exploration"/>
    <s v="No Experiment"/>
    <s v="Control"/>
    <n v="8"/>
    <n v="8"/>
    <n v="190"/>
    <s v="No"/>
    <x v="0"/>
    <x v="1"/>
    <x v="1"/>
    <x v="1"/>
    <n v="0"/>
    <x v="0"/>
    <x v="0"/>
    <s v="No Support Contact"/>
    <s v="No"/>
    <s v="No Support Contact"/>
    <s v="Not Applicable"/>
    <m/>
    <s v="No drop-off"/>
    <n v="4"/>
    <n v="-4"/>
    <n v="27"/>
    <x v="1"/>
    <n v="1"/>
    <n v="0"/>
    <n v="0"/>
    <n v="1"/>
  </r>
  <r>
    <x v="598"/>
    <s v="USR-00550"/>
    <s v="SES-2605-82102"/>
    <x v="364"/>
    <s v="Northern Ireland"/>
    <s v="Belfast"/>
    <x v="1"/>
    <x v="3"/>
    <x v="0"/>
    <s v="Android"/>
    <s v="Android Tablet"/>
    <s v="3-6 months"/>
    <x v="2"/>
    <x v="1"/>
    <x v="4"/>
    <s v="First Use"/>
    <s v="New Cta Copy"/>
    <s v="Control"/>
    <n v="6"/>
    <n v="5"/>
    <n v="216"/>
    <s v="Yes"/>
    <x v="1"/>
    <x v="1"/>
    <x v="1"/>
    <x v="1"/>
    <n v="0"/>
    <x v="0"/>
    <x v="0"/>
    <s v="No Support Contact"/>
    <s v="No"/>
    <s v="No Support Contact"/>
    <s v="Not Applicable"/>
    <m/>
    <s v="Too many steps"/>
    <n v="2"/>
    <n v="-30"/>
    <n v="0"/>
    <x v="1"/>
    <n v="0"/>
    <n v="0"/>
    <n v="0"/>
    <n v="1"/>
  </r>
  <r>
    <x v="599"/>
    <s v="USR-00620"/>
    <s v="SES-2507-32694"/>
    <x v="237"/>
    <s v="Scotland"/>
    <s v="Aberdeen"/>
    <x v="7"/>
    <x v="2"/>
    <x v="1"/>
    <s v="Ios"/>
    <s v="Iphone"/>
    <s v="&lt;3 months"/>
    <x v="0"/>
    <x v="0"/>
    <x v="2"/>
    <s v="Reactivated"/>
    <s v="No Experiment"/>
    <s v="Control"/>
    <n v="5"/>
    <n v="4"/>
    <n v="328"/>
    <s v="Yes"/>
    <x v="1"/>
    <x v="0"/>
    <x v="21"/>
    <x v="1"/>
    <n v="0"/>
    <x v="0"/>
    <x v="0"/>
    <s v="No Support Contact"/>
    <s v="No"/>
    <s v="No Support Contact"/>
    <s v="Not Applicable"/>
    <m/>
    <s v="Too many steps"/>
    <n v="1"/>
    <n v="-150"/>
    <n v="8"/>
    <x v="1"/>
    <n v="0"/>
    <n v="0"/>
    <n v="1"/>
    <n v="1"/>
  </r>
  <r>
    <x v="600"/>
    <s v="USR-00544"/>
    <s v="SES-2606-62811"/>
    <x v="248"/>
    <s v="South East"/>
    <s v="Reading"/>
    <x v="0"/>
    <x v="2"/>
    <x v="1"/>
    <s v="Web"/>
    <s v="Desktop"/>
    <s v="7-12 months"/>
    <x v="1"/>
    <x v="5"/>
    <x v="10"/>
    <s v="Repeat Use"/>
    <s v="Simplified Onboarding"/>
    <s v="Control"/>
    <n v="9"/>
    <n v="9"/>
    <n v="273"/>
    <s v="No"/>
    <x v="0"/>
    <x v="1"/>
    <x v="1"/>
    <x v="0"/>
    <n v="178.22"/>
    <x v="63"/>
    <x v="1"/>
    <s v="No Support Contact"/>
    <s v="No"/>
    <s v="No Support Contact"/>
    <s v="Not Applicable"/>
    <m/>
    <s v="No drop-off"/>
    <n v="4"/>
    <n v="-32"/>
    <n v="16"/>
    <x v="1"/>
    <n v="1"/>
    <n v="1"/>
    <n v="0"/>
    <n v="1"/>
  </r>
  <r>
    <x v="601"/>
    <s v="USR-00821"/>
    <s v="SES-2502-16031"/>
    <x v="85"/>
    <s v="South East"/>
    <s v="Guildford"/>
    <x v="3"/>
    <x v="2"/>
    <x v="1"/>
    <s v="Ios"/>
    <s v="Iphone"/>
    <s v="7-12 months"/>
    <x v="0"/>
    <x v="3"/>
    <x v="5"/>
    <s v="Repeat Use"/>
    <s v="Simplified Onboarding"/>
    <s v="Control"/>
    <n v="8"/>
    <n v="4"/>
    <n v="422"/>
    <s v="Yes"/>
    <x v="1"/>
    <x v="0"/>
    <x v="7"/>
    <x v="1"/>
    <n v="0"/>
    <x v="0"/>
    <x v="0"/>
    <s v="Transaction Failure"/>
    <s v="Yes"/>
    <s v="Transaction Failure"/>
    <s v="Resolved"/>
    <n v="14"/>
    <s v="Technical error"/>
    <n v="1"/>
    <n v="-11"/>
    <n v="31"/>
    <x v="0"/>
    <n v="0"/>
    <n v="0"/>
    <n v="1"/>
    <n v="0"/>
  </r>
  <r>
    <x v="602"/>
    <s v="USR-00372"/>
    <s v="SES-2507-69759"/>
    <x v="337"/>
    <s v="London"/>
    <s v="Croydon"/>
    <x v="2"/>
    <x v="4"/>
    <x v="1"/>
    <s v="Android"/>
    <s v="Android Phone"/>
    <s v="1-2 years"/>
    <x v="0"/>
    <x v="0"/>
    <x v="0"/>
    <s v="First Use"/>
    <s v="No Experiment"/>
    <s v="Control"/>
    <n v="7"/>
    <n v="4"/>
    <n v="197"/>
    <s v="Yes"/>
    <x v="0"/>
    <x v="1"/>
    <x v="1"/>
    <x v="1"/>
    <n v="0"/>
    <x v="0"/>
    <x v="0"/>
    <s v="No Support Contact"/>
    <s v="No"/>
    <s v="No Support Contact"/>
    <s v="Not Applicable"/>
    <m/>
    <s v="No drop-off"/>
    <n v="2"/>
    <n v="-24"/>
    <n v="0"/>
    <x v="0"/>
    <n v="1"/>
    <n v="0"/>
    <n v="0"/>
    <n v="0"/>
  </r>
  <r>
    <x v="603"/>
    <s v="USR-00778"/>
    <s v="SES-2503-45073"/>
    <x v="168"/>
    <s v="South East"/>
    <s v="Canterbury"/>
    <x v="2"/>
    <x v="2"/>
    <x v="1"/>
    <s v="Ios"/>
    <s v="Iphone"/>
    <s v="1-2 years"/>
    <x v="0"/>
    <x v="6"/>
    <x v="5"/>
    <s v="Reactivated"/>
    <s v="No Experiment"/>
    <s v="Control"/>
    <n v="8"/>
    <n v="6"/>
    <n v="346"/>
    <s v="Yes"/>
    <x v="0"/>
    <x v="0"/>
    <x v="10"/>
    <x v="0"/>
    <n v="481.72"/>
    <x v="64"/>
    <x v="0"/>
    <s v="Transaction Failure"/>
    <s v="Yes"/>
    <s v="Transaction Failure"/>
    <s v="Resolved"/>
    <n v="28"/>
    <s v="No drop-off"/>
    <n v="2"/>
    <n v="-69"/>
    <n v="22"/>
    <x v="0"/>
    <n v="1"/>
    <n v="1"/>
    <n v="1"/>
    <n v="0"/>
  </r>
  <r>
    <x v="604"/>
    <s v="USR-00172"/>
    <s v="SES-2509-36273"/>
    <x v="83"/>
    <s v="West Midlands"/>
    <s v="Wolverhampton"/>
    <x v="3"/>
    <x v="3"/>
    <x v="0"/>
    <s v="Android"/>
    <s v="Android Phone"/>
    <s v="7-12 months"/>
    <x v="2"/>
    <x v="4"/>
    <x v="5"/>
    <s v="Reactivated"/>
    <s v="Fee Transparency Panel"/>
    <s v="Treatment"/>
    <n v="8"/>
    <n v="8"/>
    <n v="170"/>
    <s v="No"/>
    <x v="0"/>
    <x v="1"/>
    <x v="1"/>
    <x v="0"/>
    <n v="400.8"/>
    <x v="65"/>
    <x v="2"/>
    <s v="No Support Contact"/>
    <s v="No"/>
    <s v="No Support Contact"/>
    <s v="Not Applicable"/>
    <m/>
    <s v="No drop-off"/>
    <n v="4"/>
    <n v="47"/>
    <n v="37"/>
    <x v="1"/>
    <n v="1"/>
    <n v="1"/>
    <n v="0"/>
    <n v="1"/>
  </r>
  <r>
    <x v="605"/>
    <s v="USR-00489"/>
    <s v="SES-2509-52988"/>
    <x v="130"/>
    <s v="Yorkshire &amp; Humber"/>
    <s v="Sheffield"/>
    <x v="0"/>
    <x v="1"/>
    <x v="1"/>
    <s v="Ios"/>
    <s v="Iphone"/>
    <s v="7-12 months"/>
    <x v="0"/>
    <x v="4"/>
    <x v="8"/>
    <s v="First Use"/>
    <s v="New Cta Copy"/>
    <s v="Control"/>
    <n v="5"/>
    <n v="5"/>
    <n v="105"/>
    <s v="No"/>
    <x v="1"/>
    <x v="1"/>
    <x v="1"/>
    <x v="1"/>
    <n v="0"/>
    <x v="0"/>
    <x v="0"/>
    <s v="No Support Contact"/>
    <s v="No"/>
    <s v="No Support Contact"/>
    <s v="Not Applicable"/>
    <m/>
    <s v="Too many steps"/>
    <n v="3"/>
    <n v="27"/>
    <n v="0"/>
    <x v="0"/>
    <n v="0"/>
    <n v="0"/>
    <n v="0"/>
    <n v="0"/>
  </r>
  <r>
    <x v="606"/>
    <s v="USR-00489"/>
    <s v="SES-2510-24425"/>
    <x v="249"/>
    <s v="London"/>
    <s v="Hammersmith"/>
    <x v="2"/>
    <x v="2"/>
    <x v="0"/>
    <s v="Android"/>
    <s v="Android Phone"/>
    <s v="3-6 months"/>
    <x v="0"/>
    <x v="2"/>
    <x v="2"/>
    <s v="First Use"/>
    <s v="No Experiment"/>
    <s v="Control"/>
    <n v="5"/>
    <n v="5"/>
    <n v="133"/>
    <s v="No"/>
    <x v="0"/>
    <x v="1"/>
    <x v="1"/>
    <x v="0"/>
    <n v="80.53"/>
    <x v="0"/>
    <x v="0"/>
    <s v="No Support Contact"/>
    <s v="No"/>
    <s v="No Support Contact"/>
    <s v="Not Applicable"/>
    <m/>
    <s v="No drop-off"/>
    <n v="4"/>
    <n v="49"/>
    <n v="0"/>
    <x v="0"/>
    <n v="1"/>
    <n v="1"/>
    <n v="0"/>
    <n v="0"/>
  </r>
  <r>
    <x v="607"/>
    <s v="USR-00168"/>
    <s v="SES-2501-75013"/>
    <x v="71"/>
    <s v="South East"/>
    <s v="Reading"/>
    <x v="0"/>
    <x v="0"/>
    <x v="1"/>
    <s v="Android"/>
    <s v="Android Phone"/>
    <s v="2+ years"/>
    <x v="0"/>
    <x v="4"/>
    <x v="3"/>
    <s v="Reactivated"/>
    <s v="No Experiment"/>
    <s v="Control"/>
    <n v="6"/>
    <n v="6"/>
    <n v="131"/>
    <s v="No"/>
    <x v="1"/>
    <x v="1"/>
    <x v="1"/>
    <x v="1"/>
    <n v="0"/>
    <x v="0"/>
    <x v="0"/>
    <s v="Transaction Failure"/>
    <s v="Yes"/>
    <s v="Transaction Failure"/>
    <s v="Resolved"/>
    <n v="50"/>
    <s v="Too many steps"/>
    <n v="4"/>
    <n v="25"/>
    <n v="41"/>
    <x v="1"/>
    <n v="0"/>
    <n v="0"/>
    <n v="0"/>
    <n v="1"/>
  </r>
  <r>
    <x v="608"/>
    <s v="USR-00098"/>
    <s v="SES-2505-61527"/>
    <x v="81"/>
    <s v="Northern Ireland"/>
    <s v="Newry"/>
    <x v="1"/>
    <x v="0"/>
    <x v="1"/>
    <s v="Ios"/>
    <s v="Iphone"/>
    <s v="3-6 months"/>
    <x v="2"/>
    <x v="4"/>
    <x v="0"/>
    <s v="Reactivated"/>
    <s v="No Experiment"/>
    <s v="Control"/>
    <n v="7"/>
    <n v="7"/>
    <n v="206"/>
    <s v="No"/>
    <x v="0"/>
    <x v="1"/>
    <x v="1"/>
    <x v="0"/>
    <n v="18.100000000000001"/>
    <x v="0"/>
    <x v="2"/>
    <s v="No Support Contact"/>
    <s v="No"/>
    <s v="No Support Contact"/>
    <s v="Not Applicable"/>
    <m/>
    <s v="No drop-off"/>
    <n v="3"/>
    <n v="27"/>
    <n v="26"/>
    <x v="0"/>
    <n v="1"/>
    <n v="1"/>
    <n v="0"/>
    <n v="0"/>
  </r>
  <r>
    <x v="609"/>
    <s v="USR-00592"/>
    <s v="SES-2602-59157"/>
    <x v="204"/>
    <s v="South West"/>
    <s v="Bristol"/>
    <x v="3"/>
    <x v="2"/>
    <x v="1"/>
    <s v="Web"/>
    <s v="Desktop"/>
    <s v="7-12 months"/>
    <x v="0"/>
    <x v="0"/>
    <x v="1"/>
    <s v="Reactivated"/>
    <s v="Progress Indicator"/>
    <s v="Treatment"/>
    <n v="4"/>
    <n v="4"/>
    <n v="101"/>
    <s v="No"/>
    <x v="0"/>
    <x v="1"/>
    <x v="1"/>
    <x v="0"/>
    <n v="123.8"/>
    <x v="4"/>
    <x v="0"/>
    <s v="No Support Contact"/>
    <s v="No"/>
    <s v="No Support Contact"/>
    <s v="Not Applicable"/>
    <m/>
    <s v="No drop-off"/>
    <n v="5"/>
    <n v="37"/>
    <n v="33"/>
    <x v="1"/>
    <n v="1"/>
    <n v="1"/>
    <n v="0"/>
    <n v="1"/>
  </r>
  <r>
    <x v="610"/>
    <s v="USR-00716"/>
    <s v="SES-2603-97350"/>
    <x v="314"/>
    <s v="Scotland"/>
    <s v="Edinburgh"/>
    <x v="3"/>
    <x v="0"/>
    <x v="1"/>
    <s v="Android"/>
    <s v="Android Phone"/>
    <s v="2+ years"/>
    <x v="3"/>
    <x v="7"/>
    <x v="10"/>
    <s v="Repeat Use"/>
    <s v="No Experiment"/>
    <s v="Control"/>
    <n v="9"/>
    <n v="9"/>
    <n v="266"/>
    <s v="No"/>
    <x v="1"/>
    <x v="1"/>
    <x v="1"/>
    <x v="1"/>
    <n v="0"/>
    <x v="0"/>
    <x v="0"/>
    <s v="No Support Contact"/>
    <s v="No"/>
    <s v="No Support Contact"/>
    <s v="Not Applicable"/>
    <m/>
    <s v="Technical error"/>
    <n v="3"/>
    <n v="-61"/>
    <n v="34"/>
    <x v="1"/>
    <n v="0"/>
    <n v="0"/>
    <n v="0"/>
    <n v="1"/>
  </r>
  <r>
    <x v="611"/>
    <s v="USR-00760"/>
    <s v="SES-2506-95914"/>
    <x v="365"/>
    <s v="Scotland"/>
    <s v="Aberdeen"/>
    <x v="7"/>
    <x v="0"/>
    <x v="1"/>
    <s v="Ios"/>
    <s v="Iphone"/>
    <s v="1-2 years"/>
    <x v="0"/>
    <x v="1"/>
    <x v="5"/>
    <s v="Trial/Exploration"/>
    <s v="No Experiment"/>
    <s v="Control"/>
    <n v="8"/>
    <n v="8"/>
    <n v="216"/>
    <s v="No"/>
    <x v="0"/>
    <x v="0"/>
    <x v="24"/>
    <x v="1"/>
    <n v="0"/>
    <x v="0"/>
    <x v="0"/>
    <s v="No Support Contact"/>
    <s v="No"/>
    <s v="No Support Contact"/>
    <s v="Not Applicable"/>
    <m/>
    <s v="No drop-off"/>
    <n v="2"/>
    <n v="-12"/>
    <n v="18"/>
    <x v="1"/>
    <n v="1"/>
    <n v="0"/>
    <n v="1"/>
    <n v="1"/>
  </r>
  <r>
    <x v="612"/>
    <s v="USR-00671"/>
    <s v="SES-2503-18009"/>
    <x v="37"/>
    <s v="North West"/>
    <s v="Manchester"/>
    <x v="1"/>
    <x v="2"/>
    <x v="1"/>
    <s v="Web"/>
    <s v="Desktop"/>
    <s v="1-2 years"/>
    <x v="0"/>
    <x v="5"/>
    <x v="5"/>
    <s v="First Use"/>
    <s v="No Experiment"/>
    <s v="Control"/>
    <n v="8"/>
    <n v="8"/>
    <n v="234"/>
    <s v="No"/>
    <x v="0"/>
    <x v="1"/>
    <x v="1"/>
    <x v="1"/>
    <n v="0"/>
    <x v="0"/>
    <x v="0"/>
    <s v="No Support Contact"/>
    <s v="No"/>
    <s v="No Support Contact"/>
    <s v="Not Applicable"/>
    <m/>
    <s v="No drop-off"/>
    <n v="3"/>
    <n v="33"/>
    <n v="0"/>
    <x v="0"/>
    <n v="1"/>
    <n v="0"/>
    <n v="0"/>
    <n v="0"/>
  </r>
  <r>
    <x v="613"/>
    <s v="USR-00107"/>
    <s v="SES-2512-54378"/>
    <x v="366"/>
    <s v="London"/>
    <s v="Camden"/>
    <x v="7"/>
    <x v="2"/>
    <x v="0"/>
    <s v="Web"/>
    <s v="Desktop"/>
    <s v="&lt;3 months"/>
    <x v="2"/>
    <x v="1"/>
    <x v="7"/>
    <s v="Repeat Use"/>
    <s v="New Cta Copy"/>
    <s v="Treatment"/>
    <n v="4"/>
    <n v="4"/>
    <n v="108"/>
    <s v="No"/>
    <x v="0"/>
    <x v="1"/>
    <x v="1"/>
    <x v="0"/>
    <n v="21.88"/>
    <x v="23"/>
    <x v="2"/>
    <s v="No Support Contact"/>
    <s v="No"/>
    <s v="No Support Contact"/>
    <s v="Not Applicable"/>
    <m/>
    <s v="No drop-off"/>
    <n v="5"/>
    <n v="7"/>
    <s v="18 days"/>
    <x v="1"/>
    <n v="1"/>
    <n v="1"/>
    <n v="0"/>
    <n v="1"/>
  </r>
  <r>
    <x v="614"/>
    <s v="USR-00553"/>
    <s v="SES-2504-76434"/>
    <x v="367"/>
    <s v="East England"/>
    <s v="Luton"/>
    <x v="2"/>
    <x v="4"/>
    <x v="1"/>
    <s v="Ios"/>
    <s v="Iphone"/>
    <s v="3-6 months"/>
    <x v="2"/>
    <x v="3"/>
    <x v="0"/>
    <s v="Repeat Use"/>
    <s v="No Experiment"/>
    <s v="Control"/>
    <n v="7"/>
    <n v="7"/>
    <n v="312"/>
    <s v="No"/>
    <x v="1"/>
    <x v="0"/>
    <x v="18"/>
    <x v="1"/>
    <n v="0"/>
    <x v="0"/>
    <x v="0"/>
    <s v="Transaction Failure"/>
    <s v="Yes"/>
    <s v="Transaction Failure"/>
    <s v="Resolved"/>
    <n v="20"/>
    <s v="Technical error"/>
    <n v="3"/>
    <n v="-8"/>
    <n v="37"/>
    <x v="1"/>
    <n v="0"/>
    <n v="0"/>
    <n v="1"/>
    <n v="1"/>
  </r>
  <r>
    <x v="615"/>
    <s v="USR-00415"/>
    <s v="SES-2602-81949"/>
    <x v="269"/>
    <s v="North West"/>
    <s v="Manchester"/>
    <x v="5"/>
    <x v="0"/>
    <x v="0"/>
    <s v="Ios"/>
    <s v="Iphone"/>
    <s v="2+ years"/>
    <x v="0"/>
    <x v="5"/>
    <x v="0"/>
    <s v="Repeat Use"/>
    <s v="No Experiment"/>
    <s v="Control"/>
    <n v="7"/>
    <n v="5"/>
    <n v="254"/>
    <s v="Yes"/>
    <x v="0"/>
    <x v="1"/>
    <x v="1"/>
    <x v="1"/>
    <n v="0"/>
    <x v="0"/>
    <x v="0"/>
    <s v="Fees And Pricing"/>
    <s v="Yes"/>
    <s v="Fees And Pricing"/>
    <s v="Unresolved"/>
    <n v="16"/>
    <s v="No drop-off"/>
    <n v="2"/>
    <n v="-32"/>
    <n v="46"/>
    <x v="1"/>
    <n v="1"/>
    <n v="0"/>
    <n v="0"/>
    <n v="1"/>
  </r>
  <r>
    <x v="616"/>
    <s v="USR-00643"/>
    <s v="SES-2502-69701"/>
    <x v="14"/>
    <s v="East Midlands"/>
    <s v="Nottingham"/>
    <x v="0"/>
    <x v="1"/>
    <x v="1"/>
    <s v="Ios"/>
    <s v="Iphone"/>
    <s v="2+ years"/>
    <x v="0"/>
    <x v="5"/>
    <x v="2"/>
    <s v="Repeat Use"/>
    <s v="Unknown"/>
    <s v="Control"/>
    <n v="5"/>
    <n v="5"/>
    <n v="176"/>
    <s v="No"/>
    <x v="0"/>
    <x v="0"/>
    <x v="19"/>
    <x v="0"/>
    <n v="44.85"/>
    <x v="0"/>
    <x v="0"/>
    <s v="No Support Contact"/>
    <s v="No"/>
    <s v="No Support Contact"/>
    <s v="Not Applicable"/>
    <m/>
    <s v="No drop-off"/>
    <n v="4"/>
    <n v="-12"/>
    <n v="38"/>
    <x v="1"/>
    <n v="1"/>
    <n v="1"/>
    <n v="1"/>
    <n v="1"/>
  </r>
  <r>
    <x v="617"/>
    <s v="USR-00245"/>
    <s v="SES-2509-13861"/>
    <x v="128"/>
    <s v="Scotland"/>
    <s v="Aberdeen"/>
    <x v="0"/>
    <x v="0"/>
    <x v="1"/>
    <s v="Android"/>
    <s v="Android Phone"/>
    <s v="2+ years"/>
    <x v="2"/>
    <x v="0"/>
    <x v="1"/>
    <s v="Repeat Use"/>
    <s v="Simplified Onboarding"/>
    <s v="Treatment"/>
    <n v="4"/>
    <n v="4"/>
    <n v="108"/>
    <s v="No"/>
    <x v="0"/>
    <x v="1"/>
    <x v="1"/>
    <x v="0"/>
    <n v="67.489999999999995"/>
    <x v="7"/>
    <x v="2"/>
    <s v="No Support Contact"/>
    <s v="No"/>
    <s v="No Support Contact"/>
    <s v="Not Applicable"/>
    <m/>
    <s v="No drop-off"/>
    <n v="5"/>
    <n v="17"/>
    <n v="5"/>
    <x v="1"/>
    <n v="1"/>
    <n v="1"/>
    <n v="0"/>
    <n v="1"/>
  </r>
  <r>
    <x v="618"/>
    <s v="USR-00690"/>
    <s v="SES-2602-56058"/>
    <x v="368"/>
    <s v="Wales"/>
    <s v="Swansea"/>
    <x v="5"/>
    <x v="2"/>
    <x v="0"/>
    <s v="Android"/>
    <s v="Android Phone"/>
    <s v="7-12 months"/>
    <x v="1"/>
    <x v="0"/>
    <x v="4"/>
    <s v="Repeat Use"/>
    <s v="No Experiment"/>
    <s v="Control"/>
    <n v="99"/>
    <n v="6"/>
    <n v="180"/>
    <s v="No"/>
    <x v="0"/>
    <x v="0"/>
    <x v="25"/>
    <x v="0"/>
    <n v="17.260000000000002"/>
    <x v="0"/>
    <x v="1"/>
    <s v="No Support Contact"/>
    <s v="No"/>
    <s v="No Support Contact"/>
    <s v="Not Applicable"/>
    <m/>
    <s v="No drop-off"/>
    <n v="3"/>
    <n v="150"/>
    <n v="80"/>
    <x v="1"/>
    <n v="1"/>
    <n v="1"/>
    <n v="1"/>
    <n v="1"/>
  </r>
  <r>
    <x v="619"/>
    <s v="USR-00811"/>
    <s v="SES-2503-53142"/>
    <x v="340"/>
    <s v="Yorkshire &amp; Humber"/>
    <s v="Sheffield"/>
    <x v="0"/>
    <x v="2"/>
    <x v="1"/>
    <s v="Android"/>
    <s v="Android Phone"/>
    <s v="1-2 years"/>
    <x v="1"/>
    <x v="0"/>
    <x v="7"/>
    <s v="First Use"/>
    <s v="New Cta Copy"/>
    <s v="Control"/>
    <n v="4"/>
    <n v="4"/>
    <n v="116"/>
    <s v="No"/>
    <x v="0"/>
    <x v="1"/>
    <x v="1"/>
    <x v="0"/>
    <n v="23.4"/>
    <x v="10"/>
    <x v="1"/>
    <s v="No Support Contact"/>
    <s v="No"/>
    <s v="No Support Contact"/>
    <s v="Not Applicable"/>
    <m/>
    <s v="No drop-off"/>
    <n v="5"/>
    <n v="-8"/>
    <n v="0"/>
    <x v="1"/>
    <n v="1"/>
    <n v="1"/>
    <n v="0"/>
    <n v="1"/>
  </r>
  <r>
    <x v="620"/>
    <s v="USR-00782"/>
    <s v="SES-2501-45817"/>
    <x v="108"/>
    <s v="East Midlands"/>
    <s v="LINCOLN"/>
    <x v="7"/>
    <x v="2"/>
    <x v="0"/>
    <s v="Android"/>
    <s v="Android Phone"/>
    <s v="7-12 months"/>
    <x v="2"/>
    <x v="0"/>
    <x v="10"/>
    <s v="First Use"/>
    <s v="No Experiment"/>
    <s v="Control"/>
    <n v="9"/>
    <n v="9"/>
    <n v="281"/>
    <s v="No"/>
    <x v="0"/>
    <x v="1"/>
    <x v="1"/>
    <x v="0"/>
    <n v="87.14"/>
    <x v="66"/>
    <x v="2"/>
    <s v="No Support Contact"/>
    <s v="No"/>
    <s v="No Support Contact"/>
    <s v="Not Applicable"/>
    <m/>
    <s v="No drop-off"/>
    <n v="2"/>
    <n v="44"/>
    <n v="0"/>
    <x v="1"/>
    <n v="1"/>
    <n v="1"/>
    <n v="0"/>
    <n v="1"/>
  </r>
  <r>
    <x v="621"/>
    <s v="USR-00294"/>
    <s v="SES-2601-31092"/>
    <x v="369"/>
    <s v="London"/>
    <s v="Hammersmith"/>
    <x v="0"/>
    <x v="4"/>
    <x v="2"/>
    <s v="Android"/>
    <s v="Android Phone"/>
    <s v="7-12 months"/>
    <x v="0"/>
    <x v="0"/>
    <x v="2"/>
    <s v="Reactivated"/>
    <s v="No Experiment"/>
    <s v="Control"/>
    <s v="N/A"/>
    <n v="5"/>
    <n v="113"/>
    <s v="No"/>
    <x v="0"/>
    <x v="1"/>
    <x v="1"/>
    <x v="1"/>
    <n v="0"/>
    <x v="0"/>
    <x v="0"/>
    <s v="No Support Contact"/>
    <s v="No"/>
    <s v="No Support Contact"/>
    <s v="Not Applicable"/>
    <m/>
    <s v="No drop-off"/>
    <n v="5"/>
    <n v="46"/>
    <n v="56"/>
    <x v="1"/>
    <n v="1"/>
    <n v="0"/>
    <n v="0"/>
    <n v="1"/>
  </r>
  <r>
    <x v="622"/>
    <s v="USR-00856"/>
    <s v="SES-2508-62695"/>
    <x v="241"/>
    <s v="Wales"/>
    <s v="Swansea"/>
    <x v="0"/>
    <x v="3"/>
    <x v="1"/>
    <s v="Ios"/>
    <s v="Iphone"/>
    <s v="1-2 years"/>
    <x v="0"/>
    <x v="0"/>
    <x v="8"/>
    <s v="Repeat Use"/>
    <s v="Simplified Onboarding"/>
    <s v="Treatment"/>
    <n v="5"/>
    <n v="5"/>
    <n v="144"/>
    <s v="No"/>
    <x v="1"/>
    <x v="1"/>
    <x v="1"/>
    <x v="1"/>
    <n v="0"/>
    <x v="0"/>
    <x v="0"/>
    <s v="No Support Contact"/>
    <s v="No"/>
    <s v="No Support Contact"/>
    <s v="Not Applicable"/>
    <m/>
    <s v="Technical error"/>
    <n v="4"/>
    <n v="77"/>
    <n v="12"/>
    <x v="0"/>
    <n v="0"/>
    <n v="0"/>
    <n v="0"/>
    <n v="0"/>
  </r>
  <r>
    <x v="623"/>
    <s v="USR-00604"/>
    <s v="SES-2604-53879"/>
    <x v="124"/>
    <s v="Wales"/>
    <s v="Newport"/>
    <x v="0"/>
    <x v="4"/>
    <x v="0"/>
    <s v="Ios"/>
    <s v="Iphone"/>
    <s v="3-6 months"/>
    <x v="0"/>
    <x v="4"/>
    <x v="10"/>
    <s v="Trial/Exploration"/>
    <s v="No Experiment"/>
    <s v="Control"/>
    <n v="9"/>
    <n v="9"/>
    <n v="239"/>
    <s v="No"/>
    <x v="1"/>
    <x v="1"/>
    <x v="1"/>
    <x v="1"/>
    <n v="0"/>
    <x v="0"/>
    <x v="0"/>
    <s v="No Support Contact"/>
    <s v="No"/>
    <s v="No Support Contact"/>
    <s v="Not Applicable"/>
    <m/>
    <s v="No drop-off"/>
    <n v="2"/>
    <n v="24"/>
    <n v="1"/>
    <x v="0"/>
    <n v="0"/>
    <n v="0"/>
    <n v="0"/>
    <n v="0"/>
  </r>
  <r>
    <x v="624"/>
    <s v="USR-00599"/>
    <s v="SES-2502-93723"/>
    <x v="370"/>
    <s v="West Midlands"/>
    <s v="Coventry"/>
    <x v="4"/>
    <x v="4"/>
    <x v="3"/>
    <s v="Ios"/>
    <s v="Iphone"/>
    <s v="&lt;3 months"/>
    <x v="0"/>
    <x v="7"/>
    <x v="8"/>
    <s v="Repeat Use"/>
    <s v="No Experiment"/>
    <s v="Control"/>
    <n v="5"/>
    <n v="3"/>
    <n v="195"/>
    <s v="Yes"/>
    <x v="1"/>
    <x v="1"/>
    <x v="1"/>
    <x v="0"/>
    <n v="46.76"/>
    <x v="0"/>
    <x v="0"/>
    <s v="No Support Contact"/>
    <s v="No"/>
    <s v="No Support Contact"/>
    <s v="Not Applicable"/>
    <m/>
    <s v="Instructions unclear"/>
    <n v="4"/>
    <n v="-13"/>
    <n v="4"/>
    <x v="1"/>
    <n v="0"/>
    <n v="1"/>
    <n v="0"/>
    <n v="1"/>
  </r>
  <r>
    <x v="625"/>
    <s v="USR-00136"/>
    <s v="SES-2502-48866"/>
    <x v="60"/>
    <s v="London"/>
    <s v="HAMMERSMITH"/>
    <x v="5"/>
    <x v="3"/>
    <x v="0"/>
    <s v="Ios"/>
    <s v="Iphone"/>
    <s v="7-12 months"/>
    <x v="2"/>
    <x v="7"/>
    <x v="1"/>
    <s v="Repeat Use"/>
    <s v="Progress Indicator"/>
    <s v="Control"/>
    <n v="4"/>
    <n v="4"/>
    <n v="113"/>
    <s v="No"/>
    <x v="0"/>
    <x v="1"/>
    <x v="1"/>
    <x v="0"/>
    <n v="155.9"/>
    <x v="4"/>
    <x v="2"/>
    <s v="No Support Contact"/>
    <s v="No"/>
    <s v="No Support Contact"/>
    <s v="Not Applicable"/>
    <m/>
    <s v="No drop-off"/>
    <n v="3"/>
    <n v="10"/>
    <n v="4"/>
    <x v="1"/>
    <n v="1"/>
    <n v="1"/>
    <n v="0"/>
    <n v="1"/>
  </r>
  <r>
    <x v="626"/>
    <s v="USR-00298"/>
    <s v="SES-2602-87345"/>
    <x v="371"/>
    <s v="London"/>
    <s v="Camden"/>
    <x v="7"/>
    <x v="3"/>
    <x v="1"/>
    <s v="Android"/>
    <s v="Android Phone"/>
    <s v="2+ years"/>
    <x v="0"/>
    <x v="1"/>
    <x v="5"/>
    <s v="First Use"/>
    <s v="New Cta Copy"/>
    <s v="Treatment"/>
    <n v="8"/>
    <n v="7"/>
    <n v="0"/>
    <s v="Yes"/>
    <x v="0"/>
    <x v="1"/>
    <x v="1"/>
    <x v="0"/>
    <n v="461.24"/>
    <x v="67"/>
    <x v="0"/>
    <s v="No Support Contact"/>
    <s v="No"/>
    <s v="No Support Contact"/>
    <s v="Not Applicable"/>
    <m/>
    <s v="No drop-off"/>
    <n v="4"/>
    <n v="21"/>
    <n v="0"/>
    <x v="1"/>
    <n v="1"/>
    <n v="1"/>
    <n v="0"/>
    <n v="1"/>
  </r>
  <r>
    <x v="627"/>
    <s v="USR-00204"/>
    <s v="SES-2603-13122"/>
    <x v="372"/>
    <s v="West Midlands"/>
    <s v="Wolverhampton"/>
    <x v="0"/>
    <x v="2"/>
    <x v="0"/>
    <s v="Ios"/>
    <s v="Iphone"/>
    <s v="1-2 years"/>
    <x v="2"/>
    <x v="2"/>
    <x v="7"/>
    <s v="Repeat Use"/>
    <s v="No Experiment"/>
    <s v="Control"/>
    <n v="4"/>
    <n v="4"/>
    <n v="73"/>
    <s v="No"/>
    <x v="1"/>
    <x v="1"/>
    <x v="1"/>
    <x v="1"/>
    <n v="0"/>
    <x v="0"/>
    <x v="0"/>
    <s v="No Support Contact"/>
    <s v="No"/>
    <s v="No Support Contact"/>
    <s v="Not Applicable"/>
    <m/>
    <s v="No drop-off"/>
    <n v="4"/>
    <n v="8"/>
    <n v="25"/>
    <x v="0"/>
    <n v="0"/>
    <n v="0"/>
    <n v="0"/>
    <n v="0"/>
  </r>
  <r>
    <x v="628"/>
    <s v="USR-00792"/>
    <s v="SES-2509-76811"/>
    <x v="148"/>
    <s v="Yorkshire &amp; Humber"/>
    <s v="Sheffield"/>
    <x v="2"/>
    <x v="2"/>
    <x v="1"/>
    <s v="Ios"/>
    <s v="Ipad"/>
    <s v="&lt;3 months"/>
    <x v="0"/>
    <x v="4"/>
    <x v="2"/>
    <s v="Repeat Use"/>
    <s v="Fee Transparency Panel"/>
    <s v="Treatment"/>
    <n v="5"/>
    <n v="4"/>
    <n v="171"/>
    <s v="Yes"/>
    <x v="1"/>
    <x v="0"/>
    <x v="23"/>
    <x v="1"/>
    <n v="0"/>
    <x v="0"/>
    <x v="0"/>
    <s v="Feature Navigation"/>
    <s v="Yes"/>
    <s v="Feature Navigation"/>
    <s v="Resolved"/>
    <n v="32"/>
    <s v="Too many steps"/>
    <n v="3"/>
    <n v="-13"/>
    <n v="49"/>
    <x v="0"/>
    <n v="0"/>
    <n v="0"/>
    <n v="1"/>
    <n v="0"/>
  </r>
  <r>
    <x v="629"/>
    <s v="USR-00254"/>
    <s v="SES-2602-38676"/>
    <x v="313"/>
    <s v="Scotland"/>
    <s v="Aberdeen"/>
    <x v="0"/>
    <x v="3"/>
    <x v="0"/>
    <s v="Android"/>
    <s v="Android Phone"/>
    <s v="3-6 months"/>
    <x v="0"/>
    <x v="2"/>
    <x v="5"/>
    <s v="Repeat Use"/>
    <s v="Simplified Onboarding"/>
    <s v="Treatment"/>
    <n v="8"/>
    <n v="8"/>
    <n v="177"/>
    <s v="No"/>
    <x v="0"/>
    <x v="1"/>
    <x v="1"/>
    <x v="1"/>
    <n v="0"/>
    <x v="0"/>
    <x v="0"/>
    <s v="Feature Navigation"/>
    <s v="Yes"/>
    <s v="Feature Navigation"/>
    <s v="Resolved"/>
    <n v="42"/>
    <s v="No drop-off"/>
    <n v="5"/>
    <n v="3"/>
    <n v="38"/>
    <x v="1"/>
    <n v="1"/>
    <n v="0"/>
    <n v="0"/>
    <n v="1"/>
  </r>
  <r>
    <x v="630"/>
    <s v="USR-00759"/>
    <s v="SES-2507-72424"/>
    <x v="272"/>
    <s v="Northern Ireland"/>
    <s v="Newry"/>
    <x v="3"/>
    <x v="2"/>
    <x v="0"/>
    <s v="Android"/>
    <s v="Android Phone"/>
    <s v="2+ years"/>
    <x v="0"/>
    <x v="1"/>
    <x v="8"/>
    <s v="Trial/Exploration"/>
    <s v="Simplified Onboarding"/>
    <s v="Control"/>
    <n v="5"/>
    <n v="4"/>
    <n v="0"/>
    <s v="Yes"/>
    <x v="0"/>
    <x v="1"/>
    <x v="1"/>
    <x v="0"/>
    <n v="54.39"/>
    <x v="0"/>
    <x v="0"/>
    <s v="No Support Contact"/>
    <s v="No"/>
    <s v="No Support Contact"/>
    <s v="Not Applicable"/>
    <m/>
    <s v="No drop-off"/>
    <n v="4"/>
    <n v="25"/>
    <n v="47"/>
    <x v="1"/>
    <n v="1"/>
    <n v="1"/>
    <n v="0"/>
    <n v="1"/>
  </r>
  <r>
    <x v="631"/>
    <s v="USR-00174"/>
    <s v="SES-2505-75717"/>
    <x v="88"/>
    <s v="South West"/>
    <s v="BATH"/>
    <x v="5"/>
    <x v="3"/>
    <x v="0"/>
    <s v="Android"/>
    <s v="Android Phone"/>
    <s v="7-12 months"/>
    <x v="0"/>
    <x v="4"/>
    <x v="5"/>
    <s v="Repeat Use"/>
    <s v="Progress Indicator"/>
    <s v="Control"/>
    <n v="8"/>
    <n v="8"/>
    <n v="191"/>
    <s v="No"/>
    <x v="0"/>
    <x v="1"/>
    <x v="1"/>
    <x v="0"/>
    <n v="441.16"/>
    <x v="68"/>
    <x v="0"/>
    <s v="No Support Contact"/>
    <s v="No"/>
    <s v="No Support Contact"/>
    <s v="Not Applicable"/>
    <m/>
    <s v="No drop-off"/>
    <n v="4"/>
    <n v="-26"/>
    <n v="23"/>
    <x v="1"/>
    <n v="1"/>
    <n v="1"/>
    <n v="0"/>
    <n v="1"/>
  </r>
  <r>
    <x v="632"/>
    <s v="USR-00105"/>
    <s v="SES-2509-97821"/>
    <x v="373"/>
    <s v="East Midlands"/>
    <s v="Leicester"/>
    <x v="0"/>
    <x v="1"/>
    <x v="0"/>
    <s v="Ios"/>
    <s v="Iphone"/>
    <s v="7-12 months"/>
    <x v="1"/>
    <x v="1"/>
    <x v="5"/>
    <s v="Reactivated"/>
    <s v="No Experiment"/>
    <s v="Control"/>
    <n v="8"/>
    <n v="8"/>
    <n v="206"/>
    <s v="No"/>
    <x v="0"/>
    <x v="0"/>
    <x v="7"/>
    <x v="0"/>
    <n v="323.94"/>
    <x v="34"/>
    <x v="1"/>
    <s v="No Support Contact"/>
    <s v="No"/>
    <s v="No Support Contact"/>
    <s v="Not Applicable"/>
    <m/>
    <s v="No drop-off"/>
    <n v="2"/>
    <n v="-24"/>
    <n v="16"/>
    <x v="0"/>
    <n v="1"/>
    <n v="1"/>
    <n v="1"/>
    <n v="0"/>
  </r>
  <r>
    <x v="633"/>
    <s v="USR-00206"/>
    <s v="SES-2501-65120"/>
    <x v="374"/>
    <s v="Wales"/>
    <s v="Wrexham"/>
    <x v="2"/>
    <x v="4"/>
    <x v="1"/>
    <s v="Ios"/>
    <s v="Iphone"/>
    <s v="&lt;3 months"/>
    <x v="0"/>
    <x v="0"/>
    <x v="7"/>
    <s v="First Use"/>
    <s v="Simplified Onboarding"/>
    <s v="Control"/>
    <n v="99"/>
    <n v="4"/>
    <n v="95"/>
    <s v="No"/>
    <x v="0"/>
    <x v="1"/>
    <x v="1"/>
    <x v="0"/>
    <n v="89.68"/>
    <x v="29"/>
    <x v="0"/>
    <s v="No Support Contact"/>
    <s v="No"/>
    <s v="No Support Contact"/>
    <s v="Not Applicable"/>
    <m/>
    <s v="No drop-off"/>
    <n v="4"/>
    <n v="49"/>
    <n v="0"/>
    <x v="1"/>
    <n v="1"/>
    <n v="1"/>
    <n v="0"/>
    <n v="1"/>
  </r>
  <r>
    <x v="634"/>
    <s v="USR-00761"/>
    <s v="SES-2504-11076"/>
    <x v="375"/>
    <s v="Wales"/>
    <s v="Wrexham"/>
    <x v="5"/>
    <x v="4"/>
    <x v="0"/>
    <s v="Android"/>
    <s v="Android Tablet"/>
    <s v="&lt;3 months"/>
    <x v="0"/>
    <x v="4"/>
    <x v="0"/>
    <s v="Repeat Use"/>
    <s v="No Experiment"/>
    <s v="Control"/>
    <n v="7"/>
    <n v="7"/>
    <n v="204"/>
    <s v="No"/>
    <x v="0"/>
    <x v="1"/>
    <x v="1"/>
    <x v="0"/>
    <n v="0"/>
    <x v="0"/>
    <x v="0"/>
    <s v="No Support Contact"/>
    <s v="No"/>
    <s v="No Support Contact"/>
    <s v="Not Applicable"/>
    <m/>
    <s v="No drop-off"/>
    <n v="5"/>
    <n v="22"/>
    <n v="7"/>
    <x v="1"/>
    <n v="1"/>
    <n v="1"/>
    <n v="0"/>
    <n v="1"/>
  </r>
  <r>
    <x v="635"/>
    <s v="USR-00304"/>
    <s v="SES-2510-85076"/>
    <x v="376"/>
    <s v="Yorkshire &amp; Humber"/>
    <s v="Hull"/>
    <x v="0"/>
    <x v="3"/>
    <x v="0"/>
    <s v="Android"/>
    <s v="Android Phone"/>
    <s v="2+ years"/>
    <x v="0"/>
    <x v="4"/>
    <x v="3"/>
    <s v="Repeat Use"/>
    <s v="Contextual Help"/>
    <s v="Treatment"/>
    <n v="6"/>
    <n v="6"/>
    <n v="170"/>
    <s v="No"/>
    <x v="1"/>
    <x v="1"/>
    <x v="1"/>
    <x v="1"/>
    <n v="0"/>
    <x v="0"/>
    <x v="0"/>
    <s v="No Support Contact"/>
    <s v="No"/>
    <s v="No Support Contact"/>
    <s v="Not Applicable"/>
    <m/>
    <s v="No drop-off"/>
    <n v="3"/>
    <n v="3"/>
    <n v="69"/>
    <x v="0"/>
    <n v="0"/>
    <n v="0"/>
    <n v="0"/>
    <n v="0"/>
  </r>
  <r>
    <x v="636"/>
    <s v="USR-00076"/>
    <s v="SES-2507-34469"/>
    <x v="377"/>
    <s v="East Midlands"/>
    <s v="Lincoln"/>
    <x v="0"/>
    <x v="0"/>
    <x v="0"/>
    <s v="Android"/>
    <s v="Android Phone"/>
    <s v="1-2 years"/>
    <x v="3"/>
    <x v="2"/>
    <x v="3"/>
    <s v="First Use"/>
    <s v="Simplified Onboarding"/>
    <s v="Control"/>
    <n v="6"/>
    <n v="4"/>
    <n v="179"/>
    <s v="Yes"/>
    <x v="1"/>
    <x v="1"/>
    <x v="1"/>
    <x v="1"/>
    <n v="0"/>
    <x v="0"/>
    <x v="0"/>
    <s v="No Support Contact"/>
    <s v="No"/>
    <s v="No Support Contact"/>
    <s v="Not Applicable"/>
    <m/>
    <s v="Too many steps"/>
    <n v="2"/>
    <n v="7"/>
    <n v="0"/>
    <x v="0"/>
    <n v="0"/>
    <n v="0"/>
    <n v="0"/>
    <n v="0"/>
  </r>
  <r>
    <x v="199"/>
    <s v="USR-00714"/>
    <s v="SES-2510-94401"/>
    <x v="165"/>
    <s v="West Midlands"/>
    <s v="Wolverhampton"/>
    <x v="3"/>
    <x v="3"/>
    <x v="0"/>
    <s v="Ios"/>
    <s v="Iphone"/>
    <s v="&lt;3 months"/>
    <x v="0"/>
    <x v="1"/>
    <x v="9"/>
    <s v="Repeat Use"/>
    <s v="No Experiment"/>
    <s v="Control"/>
    <n v="5"/>
    <n v="5"/>
    <n v="161"/>
    <s v="No"/>
    <x v="0"/>
    <x v="0"/>
    <x v="20"/>
    <x v="1"/>
    <n v="0"/>
    <x v="0"/>
    <x v="0"/>
    <s v="No Support Contact"/>
    <s v="No"/>
    <s v="No Support Contact"/>
    <s v="Not Applicable"/>
    <m/>
    <s v="No drop-off"/>
    <n v="5"/>
    <n v="-17"/>
    <n v="5"/>
    <x v="1"/>
    <n v="1"/>
    <n v="0"/>
    <n v="1"/>
    <n v="1"/>
  </r>
  <r>
    <x v="637"/>
    <s v="USR-00120"/>
    <s v="SES-2506-75591"/>
    <x v="170"/>
    <s v="Wales"/>
    <s v="Swansea"/>
    <x v="3"/>
    <x v="0"/>
    <x v="1"/>
    <s v="Android"/>
    <s v="Android Phone"/>
    <s v="7-12 months"/>
    <x v="2"/>
    <x v="0"/>
    <x v="4"/>
    <s v="Repeat Use"/>
    <s v="Contextual Help"/>
    <s v="Treatment"/>
    <s v="6 steps"/>
    <n v="5"/>
    <n v="262"/>
    <s v="Yes"/>
    <x v="0"/>
    <x v="0"/>
    <x v="27"/>
    <x v="1"/>
    <n v="0"/>
    <x v="0"/>
    <x v="0"/>
    <s v="No Support Contact"/>
    <s v="No"/>
    <s v="No Support Contact"/>
    <s v="Not Applicable"/>
    <m/>
    <s v="No drop-off"/>
    <n v="3"/>
    <n v="-14"/>
    <n v="36"/>
    <x v="0"/>
    <n v="1"/>
    <n v="0"/>
    <n v="1"/>
    <n v="0"/>
  </r>
  <r>
    <x v="638"/>
    <s v="USR-00319"/>
    <s v="SES-2504-39856"/>
    <x v="375"/>
    <s v="Yorkshire &amp; Humber"/>
    <s v="York"/>
    <x v="2"/>
    <x v="3"/>
    <x v="1"/>
    <s v="Ios"/>
    <s v="Iphone"/>
    <s v="3-6 months"/>
    <x v="0"/>
    <x v="4"/>
    <x v="2"/>
    <s v="First Use"/>
    <s v="No Experiment"/>
    <s v="Control"/>
    <n v="5"/>
    <n v="5"/>
    <n v="140"/>
    <s v="No"/>
    <x v="0"/>
    <x v="1"/>
    <x v="1"/>
    <x v="0"/>
    <n v="67.41"/>
    <x v="0"/>
    <x v="0"/>
    <s v="No Support Contact"/>
    <s v="No"/>
    <s v="No Support Contact"/>
    <s v="Not Applicable"/>
    <m/>
    <s v="No drop-off"/>
    <n v="4"/>
    <n v="69"/>
    <n v="0"/>
    <x v="1"/>
    <n v="1"/>
    <n v="1"/>
    <n v="0"/>
    <n v="1"/>
  </r>
  <r>
    <x v="639"/>
    <s v="USR-00344"/>
    <s v="SES-2502-28752"/>
    <x v="251"/>
    <s v="London"/>
    <s v="Hackney"/>
    <x v="2"/>
    <x v="4"/>
    <x v="0"/>
    <s v="Ios"/>
    <s v="Iphone"/>
    <s v="1-2 years"/>
    <x v="3"/>
    <x v="0"/>
    <x v="8"/>
    <s v="Repeat Use"/>
    <s v="New Cta Copy"/>
    <s v="Treatment"/>
    <n v="5"/>
    <n v="5"/>
    <n v="152"/>
    <s v="No"/>
    <x v="1"/>
    <x v="1"/>
    <x v="1"/>
    <x v="0"/>
    <n v="46.51"/>
    <x v="0"/>
    <x v="0"/>
    <s v="No Support Contact"/>
    <s v="No"/>
    <s v="No Support Contact"/>
    <s v="Not Applicable"/>
    <m/>
    <s v="No drop-off"/>
    <n v="5"/>
    <n v="59"/>
    <s v="23 days"/>
    <x v="0"/>
    <n v="0"/>
    <n v="1"/>
    <n v="0"/>
    <n v="0"/>
  </r>
  <r>
    <x v="640"/>
    <s v="USR-00723"/>
    <s v="SES-2509-67499"/>
    <x v="201"/>
    <s v="Wales"/>
    <s v="Cardiff"/>
    <x v="4"/>
    <x v="1"/>
    <x v="1"/>
    <s v="Ios"/>
    <s v="Iphone"/>
    <s v="3-6 months"/>
    <x v="0"/>
    <x v="7"/>
    <x v="4"/>
    <s v="First Use"/>
    <s v="No Experiment"/>
    <s v="Control"/>
    <n v="6"/>
    <n v="6"/>
    <n v="162"/>
    <s v="No"/>
    <x v="0"/>
    <x v="1"/>
    <x v="1"/>
    <x v="1"/>
    <n v="0"/>
    <x v="0"/>
    <x v="0"/>
    <s v="No Support Contact"/>
    <s v="No"/>
    <s v="No Support Contact"/>
    <s v="Not Applicable"/>
    <m/>
    <s v="No drop-off"/>
    <n v="4"/>
    <n v="6"/>
    <n v="0"/>
    <x v="1"/>
    <n v="1"/>
    <n v="0"/>
    <n v="0"/>
    <n v="1"/>
  </r>
  <r>
    <x v="641"/>
    <s v="USR-00614"/>
    <s v="SES-2601-99074"/>
    <x v="51"/>
    <s v="Scotland"/>
    <s v="Glasgow"/>
    <x v="2"/>
    <x v="0"/>
    <x v="0"/>
    <s v="Web"/>
    <s v="Desktop"/>
    <s v="7-12 months"/>
    <x v="0"/>
    <x v="0"/>
    <x v="2"/>
    <s v="Reactivated"/>
    <s v="No Experiment"/>
    <s v="Control"/>
    <s v="5 steps"/>
    <n v="5"/>
    <n v="156"/>
    <s v="No"/>
    <x v="1"/>
    <x v="0"/>
    <x v="19"/>
    <x v="1"/>
    <n v="0"/>
    <x v="0"/>
    <x v="0"/>
    <s v="Feature Navigation"/>
    <s v="Yes"/>
    <s v="Feature Navigation"/>
    <s v="Resolved"/>
    <n v="37"/>
    <s v="No drop-off"/>
    <n v="3"/>
    <n v="-39"/>
    <n v="30"/>
    <x v="1"/>
    <n v="0"/>
    <n v="0"/>
    <n v="1"/>
    <n v="1"/>
  </r>
  <r>
    <x v="642"/>
    <s v="USR-00318"/>
    <s v="SES-2602-66996"/>
    <x v="224"/>
    <s v="South East"/>
    <s v="Canterbury"/>
    <x v="2"/>
    <x v="0"/>
    <x v="1"/>
    <s v="Web"/>
    <s v="Desktop"/>
    <s v="3-6 months"/>
    <x v="1"/>
    <x v="0"/>
    <x v="8"/>
    <s v="Repeat Use"/>
    <s v="Fee Transparency Panel"/>
    <s v="Treatment"/>
    <n v="5"/>
    <n v="5"/>
    <n v="111"/>
    <s v="No"/>
    <x v="1"/>
    <x v="1"/>
    <x v="1"/>
    <x v="1"/>
    <n v="0"/>
    <x v="0"/>
    <x v="0"/>
    <s v="No Support Contact"/>
    <s v="No"/>
    <s v="No Support Contact"/>
    <s v="Not Applicable"/>
    <m/>
    <s v="Too many steps"/>
    <n v="3"/>
    <n v="67"/>
    <n v="34"/>
    <x v="1"/>
    <n v="0"/>
    <n v="0"/>
    <n v="0"/>
    <n v="1"/>
  </r>
  <r>
    <x v="643"/>
    <s v="USR-00075"/>
    <s v="SES-2502-19531"/>
    <x v="378"/>
    <s v="Wales"/>
    <s v="Newport"/>
    <x v="3"/>
    <x v="5"/>
    <x v="0"/>
    <s v="Android"/>
    <s v="Android Phone"/>
    <s v="1-2 years"/>
    <x v="0"/>
    <x v="1"/>
    <x v="2"/>
    <s v="Repeat Use"/>
    <s v="No Experiment"/>
    <s v="Control"/>
    <n v="99"/>
    <n v="5"/>
    <n v="189"/>
    <s v="No"/>
    <x v="0"/>
    <x v="0"/>
    <x v="19"/>
    <x v="0"/>
    <n v="101.26"/>
    <x v="0"/>
    <x v="0"/>
    <s v="No Support Contact"/>
    <s v="No"/>
    <s v="No Support Contact"/>
    <s v="Not Applicable"/>
    <m/>
    <s v="No drop-off"/>
    <n v="4"/>
    <n v="-16"/>
    <n v="14"/>
    <x v="0"/>
    <n v="1"/>
    <n v="1"/>
    <n v="1"/>
    <n v="0"/>
  </r>
  <r>
    <x v="644"/>
    <s v="USR-00382"/>
    <s v="SES-2501-82399"/>
    <x v="257"/>
    <s v="North West"/>
    <s v="Chester"/>
    <x v="4"/>
    <x v="2"/>
    <x v="0"/>
    <s v="Ios"/>
    <s v="Ipad"/>
    <s v="2+ years"/>
    <x v="0"/>
    <x v="5"/>
    <x v="5"/>
    <s v="Repeat Use"/>
    <s v="Fee Transparency Panel"/>
    <s v="Control"/>
    <n v="8"/>
    <n v="8"/>
    <n v="211"/>
    <s v="No"/>
    <x v="0"/>
    <x v="1"/>
    <x v="1"/>
    <x v="0"/>
    <n v="445.2"/>
    <x v="69"/>
    <x v="0"/>
    <s v="No Support Contact"/>
    <s v="No"/>
    <s v="No Support Contact"/>
    <s v="Not Applicable"/>
    <m/>
    <s v="No drop-off"/>
    <n v="3"/>
    <n v="5"/>
    <n v="43"/>
    <x v="0"/>
    <n v="1"/>
    <n v="1"/>
    <n v="0"/>
    <n v="0"/>
  </r>
  <r>
    <x v="645"/>
    <s v="USR-00383"/>
    <s v="SES-2501-26762"/>
    <x v="379"/>
    <s v="North East"/>
    <s v="Middlesbrough"/>
    <x v="1"/>
    <x v="1"/>
    <x v="0"/>
    <s v="Android"/>
    <s v="Android Phone"/>
    <s v="&lt;3 months"/>
    <x v="0"/>
    <x v="0"/>
    <x v="3"/>
    <s v="Repeat Use"/>
    <s v="Simplified Onboarding"/>
    <s v="Control"/>
    <n v="6"/>
    <n v="6"/>
    <n v="167"/>
    <s v="No"/>
    <x v="0"/>
    <x v="1"/>
    <x v="1"/>
    <x v="0"/>
    <n v="34.18"/>
    <x v="17"/>
    <x v="0"/>
    <s v="No Support Contact"/>
    <s v="No"/>
    <s v="No Support Contact"/>
    <s v="Not Applicable"/>
    <m/>
    <s v="No drop-off"/>
    <n v="3"/>
    <n v="2"/>
    <n v="39"/>
    <x v="1"/>
    <n v="1"/>
    <n v="1"/>
    <n v="0"/>
    <n v="1"/>
  </r>
  <r>
    <x v="646"/>
    <s v="USR-00682"/>
    <s v="SES-2506-36039"/>
    <x v="170"/>
    <s v="Northern Ireland"/>
    <s v="Belfast"/>
    <x v="7"/>
    <x v="0"/>
    <x v="1"/>
    <s v="Ios"/>
    <s v="Iphone"/>
    <s v="1-2 years"/>
    <x v="0"/>
    <x v="2"/>
    <x v="0"/>
    <s v="First Use"/>
    <s v="No Experiment"/>
    <s v="Control"/>
    <n v="7"/>
    <n v="7"/>
    <n v="217"/>
    <s v="No"/>
    <x v="0"/>
    <x v="1"/>
    <x v="1"/>
    <x v="0"/>
    <n v="71.02"/>
    <x v="0"/>
    <x v="0"/>
    <s v="No Support Contact"/>
    <s v="No"/>
    <s v="No Support Contact"/>
    <s v="Not Applicable"/>
    <m/>
    <s v="No drop-off"/>
    <n v="4"/>
    <n v="55"/>
    <n v="0"/>
    <x v="1"/>
    <n v="1"/>
    <n v="1"/>
    <n v="0"/>
    <n v="1"/>
  </r>
  <r>
    <x v="647"/>
    <s v="USR-00181"/>
    <s v="SES-2505-13622"/>
    <x v="244"/>
    <s v="East Midlands"/>
    <s v="Derby"/>
    <x v="7"/>
    <x v="2"/>
    <x v="1"/>
    <s v="Ios"/>
    <s v="Iphone"/>
    <s v="3-6 months"/>
    <x v="0"/>
    <x v="1"/>
    <x v="7"/>
    <s v="First Use"/>
    <s v="No Experiment"/>
    <s v="Control"/>
    <n v="4"/>
    <n v="3"/>
    <n v="133"/>
    <s v="Yes"/>
    <x v="1"/>
    <x v="1"/>
    <x v="31"/>
    <x v="1"/>
    <n v="0"/>
    <x v="0"/>
    <x v="0"/>
    <s v="No Support Contact"/>
    <s v="No"/>
    <s v="No Support Contact"/>
    <s v="Not Applicable"/>
    <m/>
    <s v="Instructions unclear"/>
    <n v="3"/>
    <n v="-4"/>
    <n v="0"/>
    <x v="0"/>
    <n v="0"/>
    <n v="0"/>
    <n v="0"/>
    <n v="0"/>
  </r>
  <r>
    <x v="648"/>
    <s v="USR-00480"/>
    <s v="SES-2506-79978"/>
    <x v="136"/>
    <s v="Northern Ireland"/>
    <s v="Belfast"/>
    <x v="1"/>
    <x v="0"/>
    <x v="1"/>
    <s v="Android"/>
    <s v="Android Phone"/>
    <s v="1-2 years"/>
    <x v="0"/>
    <x v="1"/>
    <x v="4"/>
    <s v="Repeat Use"/>
    <s v="New Cta Copy"/>
    <s v="Treatment"/>
    <n v="6"/>
    <n v="6"/>
    <n v="138"/>
    <s v="No"/>
    <x v="0"/>
    <x v="1"/>
    <x v="1"/>
    <x v="0"/>
    <n v="0"/>
    <x v="0"/>
    <x v="0"/>
    <s v="No Support Contact"/>
    <s v="No"/>
    <s v="No Support Contact"/>
    <s v="Not Applicable"/>
    <m/>
    <s v="No drop-off"/>
    <n v="4"/>
    <n v="-6"/>
    <n v="27"/>
    <x v="1"/>
    <n v="1"/>
    <n v="1"/>
    <n v="0"/>
    <n v="1"/>
  </r>
  <r>
    <x v="649"/>
    <s v="USR-00697"/>
    <s v="SES-2604-34421"/>
    <x v="124"/>
    <s v="Wales"/>
    <s v="Wrexham"/>
    <x v="1"/>
    <x v="2"/>
    <x v="0"/>
    <s v="Web"/>
    <s v="Desktop"/>
    <s v="2+ years"/>
    <x v="1"/>
    <x v="4"/>
    <x v="3"/>
    <s v="Reactivated"/>
    <s v="Progress Indicator"/>
    <s v="Treatment"/>
    <n v="6"/>
    <s v="6 steps"/>
    <n v="148"/>
    <s v="No"/>
    <x v="0"/>
    <x v="1"/>
    <x v="1"/>
    <x v="0"/>
    <n v="55.96"/>
    <x v="17"/>
    <x v="1"/>
    <s v="No Support Contact"/>
    <s v="No"/>
    <s v="No Support Contact"/>
    <s v="Not Applicable"/>
    <m/>
    <s v="No drop-off"/>
    <n v="5"/>
    <n v="-30"/>
    <n v="53"/>
    <x v="1"/>
    <n v="1"/>
    <n v="1"/>
    <n v="0"/>
    <n v="1"/>
  </r>
  <r>
    <x v="650"/>
    <s v="USR-00664"/>
    <s v="SES-2507-49323"/>
    <x v="332"/>
    <s v="London"/>
    <s v="Croydon"/>
    <x v="5"/>
    <x v="4"/>
    <x v="1"/>
    <s v="Web"/>
    <s v="Desktop"/>
    <s v="1-2 years"/>
    <x v="0"/>
    <x v="2"/>
    <x v="0"/>
    <s v="First Use"/>
    <s v="No Experiment"/>
    <s v="Control"/>
    <n v="7"/>
    <n v="6"/>
    <n v="265"/>
    <s v="Yes"/>
    <x v="1"/>
    <x v="0"/>
    <x v="18"/>
    <x v="1"/>
    <n v="0"/>
    <x v="0"/>
    <x v="0"/>
    <s v="No Support Contact"/>
    <s v="No"/>
    <s v="No Support Contact"/>
    <s v="Not Applicable"/>
    <m/>
    <s v="Too many steps"/>
    <n v="1"/>
    <n v="-10"/>
    <s v="0 days"/>
    <x v="0"/>
    <n v="0"/>
    <n v="0"/>
    <n v="1"/>
    <n v="0"/>
  </r>
  <r>
    <x v="651"/>
    <s v="USR-00275"/>
    <s v="SES-2602-33760"/>
    <x v="224"/>
    <s v="North East"/>
    <s v="Durham"/>
    <x v="5"/>
    <x v="0"/>
    <x v="0"/>
    <s v="Android"/>
    <s v="Android Phone"/>
    <s v="3-6 months"/>
    <x v="2"/>
    <x v="5"/>
    <x v="2"/>
    <s v="Repeat Use"/>
    <s v="Progress Indicator"/>
    <s v="Treatment"/>
    <n v="5"/>
    <n v="5"/>
    <n v="110"/>
    <s v="No"/>
    <x v="0"/>
    <x v="1"/>
    <x v="1"/>
    <x v="0"/>
    <n v="54.44"/>
    <x v="0"/>
    <x v="2"/>
    <s v="No Support Contact"/>
    <s v="No"/>
    <s v="No Support Contact"/>
    <s v="Not Applicable"/>
    <m/>
    <s v="No drop-off"/>
    <n v="5"/>
    <n v="35"/>
    <n v="64"/>
    <x v="1"/>
    <n v="1"/>
    <n v="1"/>
    <n v="0"/>
    <n v="1"/>
  </r>
  <r>
    <x v="652"/>
    <s v="USR-00238"/>
    <s v="SES-2511-30485"/>
    <x v="212"/>
    <s v="Yorkshire &amp; Humber"/>
    <s v="Leeds"/>
    <x v="2"/>
    <x v="0"/>
    <x v="1"/>
    <s v="Ios"/>
    <s v="Iphone"/>
    <s v="2+ years"/>
    <x v="0"/>
    <x v="2"/>
    <x v="4"/>
    <s v="Reactivated"/>
    <s v="No Experiment"/>
    <s v="Control"/>
    <n v="6"/>
    <n v="3"/>
    <n v="246"/>
    <s v="Yes"/>
    <x v="1"/>
    <x v="1"/>
    <x v="1"/>
    <x v="1"/>
    <n v="0"/>
    <x v="0"/>
    <x v="0"/>
    <s v="No Support Contact"/>
    <s v="No"/>
    <s v="No Support Contact"/>
    <s v="Not Applicable"/>
    <m/>
    <s v="Unexpected fee"/>
    <n v="3"/>
    <n v="-15"/>
    <n v="46"/>
    <x v="0"/>
    <n v="0"/>
    <n v="0"/>
    <n v="0"/>
    <n v="0"/>
  </r>
  <r>
    <x v="653"/>
    <s v="USR-00444"/>
    <s v="SES-2503-63140"/>
    <x v="94"/>
    <s v="South East"/>
    <s v="Canterbury"/>
    <x v="0"/>
    <x v="0"/>
    <x v="1"/>
    <s v="Android"/>
    <s v="Android Phone"/>
    <s v="&lt;3 months"/>
    <x v="0"/>
    <x v="1"/>
    <x v="0"/>
    <s v="Trial/Exploration"/>
    <s v="Simplified Onboarding"/>
    <s v="Control"/>
    <n v="7"/>
    <n v="7"/>
    <n v="204"/>
    <s v="No"/>
    <x v="0"/>
    <x v="1"/>
    <x v="1"/>
    <x v="0"/>
    <n v="0"/>
    <x v="0"/>
    <x v="0"/>
    <s v="No Support Contact"/>
    <s v="No"/>
    <s v="No Support Contact"/>
    <s v="Not Applicable"/>
    <m/>
    <s v="No drop-off"/>
    <n v="3"/>
    <n v="49"/>
    <n v="1"/>
    <x v="0"/>
    <n v="1"/>
    <n v="1"/>
    <n v="0"/>
    <n v="0"/>
  </r>
  <r>
    <x v="654"/>
    <s v="USR-00205"/>
    <s v="SES-2510-47740"/>
    <x v="380"/>
    <s v="Wales"/>
    <s v="Swansea"/>
    <x v="1"/>
    <x v="2"/>
    <x v="1"/>
    <s v="Web"/>
    <s v="Tablet Browser"/>
    <s v="2+ years"/>
    <x v="0"/>
    <x v="1"/>
    <x v="8"/>
    <s v="First Use"/>
    <s v="Contextual Help"/>
    <s v="Treatment"/>
    <n v="5"/>
    <n v="5"/>
    <n v="202"/>
    <s v="No"/>
    <x v="0"/>
    <x v="0"/>
    <x v="28"/>
    <x v="0"/>
    <n v="54.11"/>
    <x v="0"/>
    <x v="0"/>
    <s v="Transaction Failure"/>
    <s v="Yes"/>
    <s v="Transaction Failure"/>
    <s v="Resolved"/>
    <n v="2"/>
    <s v="No drop-off"/>
    <n v="4"/>
    <n v="32"/>
    <n v="0"/>
    <x v="1"/>
    <n v="1"/>
    <n v="1"/>
    <n v="1"/>
    <n v="1"/>
  </r>
  <r>
    <x v="655"/>
    <s v="USR-00633"/>
    <s v="SES-2506-60008"/>
    <x v="47"/>
    <s v="South West"/>
    <s v="Gloucester"/>
    <x v="3"/>
    <x v="1"/>
    <x v="0"/>
    <s v="Ios"/>
    <s v="Iphone"/>
    <s v="1-2 years"/>
    <x v="0"/>
    <x v="2"/>
    <x v="4"/>
    <s v="Reactivated"/>
    <s v="Simplified Onboarding"/>
    <s v="Treatment"/>
    <n v="6"/>
    <n v="6"/>
    <n v="178"/>
    <s v="No"/>
    <x v="0"/>
    <x v="1"/>
    <x v="1"/>
    <x v="0"/>
    <n v="30.16"/>
    <x v="0"/>
    <x v="0"/>
    <s v="Fees And Pricing"/>
    <s v="Yes"/>
    <s v="Fees And Pricing"/>
    <s v="Resolved"/>
    <n v="21"/>
    <s v="No drop-off"/>
    <n v="5"/>
    <n v="54"/>
    <n v="28"/>
    <x v="1"/>
    <n v="1"/>
    <n v="1"/>
    <n v="0"/>
    <n v="1"/>
  </r>
  <r>
    <x v="656"/>
    <s v="USR-00181"/>
    <s v="SES-2606-00004"/>
    <x v="40"/>
    <s v="West Midlands"/>
    <s v="Birmingham"/>
    <x v="2"/>
    <x v="0"/>
    <x v="1"/>
    <s v="Ios"/>
    <s v="Iphone"/>
    <s v="&lt;3 months"/>
    <x v="0"/>
    <x v="3"/>
    <x v="9"/>
    <s v="Repeat Use"/>
    <s v="Fee Transparency Panel"/>
    <s v="Control"/>
    <n v="5"/>
    <n v="5"/>
    <n v="155"/>
    <s v="No"/>
    <x v="0"/>
    <x v="1"/>
    <x v="1"/>
    <x v="0"/>
    <n v="149.12"/>
    <x v="0"/>
    <x v="0"/>
    <s v="No Support Contact"/>
    <s v="No"/>
    <s v="No Support Contact"/>
    <s v="Not Applicable"/>
    <m/>
    <s v="No drop-off"/>
    <n v="4"/>
    <n v="70"/>
    <n v="52"/>
    <x v="1"/>
    <n v="1"/>
    <n v="1"/>
    <n v="0"/>
    <n v="1"/>
  </r>
  <r>
    <x v="657"/>
    <s v="USR-00566"/>
    <s v="SES-2508-83166"/>
    <x v="188"/>
    <s v="West Midlands"/>
    <s v="Birmingham"/>
    <x v="0"/>
    <x v="3"/>
    <x v="1"/>
    <s v="Android"/>
    <s v="Android Phone"/>
    <s v="&lt;3 months"/>
    <x v="1"/>
    <x v="1"/>
    <x v="7"/>
    <s v="Repeat Use"/>
    <s v="Contextual Help"/>
    <s v="Control"/>
    <n v="4"/>
    <n v="2"/>
    <n v="161"/>
    <s v="Yes"/>
    <x v="0"/>
    <x v="1"/>
    <x v="1"/>
    <x v="0"/>
    <n v="0"/>
    <x v="29"/>
    <x v="1"/>
    <s v="No Support Contact"/>
    <s v="No"/>
    <s v="No Support Contact"/>
    <s v="Not Applicable"/>
    <m/>
    <s v="No drop-off"/>
    <n v="2"/>
    <n v="-1"/>
    <s v="37 days"/>
    <x v="1"/>
    <n v="1"/>
    <n v="1"/>
    <n v="0"/>
    <n v="1"/>
  </r>
  <r>
    <x v="658"/>
    <s v="USR-00765"/>
    <s v="SES-2510-11181"/>
    <x v="355"/>
    <s v="Northern Ireland"/>
    <s v="Newry"/>
    <x v="2"/>
    <x v="4"/>
    <x v="1"/>
    <s v="Android"/>
    <s v="Android Phone"/>
    <s v="1-2 years"/>
    <x v="0"/>
    <x v="4"/>
    <x v="4"/>
    <s v="Trial/Exploration"/>
    <s v="Simplified Onboarding"/>
    <s v="Treatment"/>
    <n v="6"/>
    <n v="5"/>
    <n v="280"/>
    <s v="Yes"/>
    <x v="1"/>
    <x v="1"/>
    <x v="1"/>
    <x v="1"/>
    <n v="0"/>
    <x v="0"/>
    <x v="0"/>
    <s v="No Support Contact"/>
    <s v="No"/>
    <s v="No Support Contact"/>
    <s v="Not Applicable"/>
    <m/>
    <s v="Too many steps"/>
    <n v="3"/>
    <n v="3"/>
    <n v="41"/>
    <x v="0"/>
    <n v="0"/>
    <n v="0"/>
    <n v="0"/>
    <n v="0"/>
  </r>
  <r>
    <x v="659"/>
    <s v="USR-00292"/>
    <s v="SES-2503-65046"/>
    <x v="259"/>
    <s v="Northern Ireland"/>
    <s v="Lisburn"/>
    <x v="2"/>
    <x v="3"/>
    <x v="0"/>
    <s v="Ios"/>
    <s v="Iphone"/>
    <s v="7-12 months"/>
    <x v="0"/>
    <x v="2"/>
    <x v="7"/>
    <s v="First Use"/>
    <s v="Simplified Onboarding"/>
    <s v="Treatment"/>
    <n v="4"/>
    <n v="4"/>
    <n v="112"/>
    <s v="No"/>
    <x v="0"/>
    <x v="1"/>
    <x v="1"/>
    <x v="0"/>
    <n v="91.68"/>
    <x v="23"/>
    <x v="0"/>
    <s v="No Support Contact"/>
    <s v="No"/>
    <s v="No Support Contact"/>
    <s v="Not Applicable"/>
    <m/>
    <s v="No drop-off"/>
    <n v="5"/>
    <n v="79"/>
    <n v="0"/>
    <x v="1"/>
    <n v="1"/>
    <n v="1"/>
    <n v="0"/>
    <n v="1"/>
  </r>
  <r>
    <x v="660"/>
    <s v="USR-00092"/>
    <s v="SES-2506-86018"/>
    <x v="318"/>
    <s v="Yorkshire &amp; Humber"/>
    <s v="Hull"/>
    <x v="5"/>
    <x v="2"/>
    <x v="1"/>
    <s v="Android"/>
    <s v="Android Phone"/>
    <s v="7-12 months"/>
    <x v="2"/>
    <x v="6"/>
    <x v="7"/>
    <s v="First Use"/>
    <s v="Simplified Onboarding"/>
    <s v="Control"/>
    <n v="4"/>
    <n v="4"/>
    <n v="96"/>
    <s v="No"/>
    <x v="0"/>
    <x v="0"/>
    <x v="16"/>
    <x v="0"/>
    <n v="125.1"/>
    <x v="50"/>
    <x v="2"/>
    <s v="No Support Contact"/>
    <s v="No"/>
    <s v="No Support Contact"/>
    <s v="Not Applicable"/>
    <m/>
    <s v="No drop-off"/>
    <n v="3"/>
    <n v="58"/>
    <s v="0 days"/>
    <x v="1"/>
    <n v="1"/>
    <n v="1"/>
    <n v="1"/>
    <n v="1"/>
  </r>
  <r>
    <x v="661"/>
    <s v="USR-00131"/>
    <s v="SES-2510-61828"/>
    <x v="381"/>
    <s v="West Midlands"/>
    <s v="Coventry"/>
    <x v="3"/>
    <x v="1"/>
    <x v="0"/>
    <s v="Ios"/>
    <s v="Iphone"/>
    <s v="&lt;3 months"/>
    <x v="4"/>
    <x v="6"/>
    <x v="0"/>
    <s v="Repeat Use"/>
    <s v="Simplified Onboarding"/>
    <s v="Treatment"/>
    <n v="7"/>
    <n v="7"/>
    <n v="240"/>
    <s v="No"/>
    <x v="1"/>
    <x v="0"/>
    <x v="0"/>
    <x v="1"/>
    <n v="0"/>
    <x v="0"/>
    <x v="0"/>
    <s v="No Support Contact"/>
    <s v="No"/>
    <s v="No Support Contact"/>
    <s v="Not Applicable"/>
    <m/>
    <s v="Technical error"/>
    <n v="4"/>
    <n v="-30"/>
    <n v="45"/>
    <x v="0"/>
    <n v="0"/>
    <n v="0"/>
    <n v="1"/>
    <n v="0"/>
  </r>
  <r>
    <x v="662"/>
    <s v="USR-00297"/>
    <s v="SES-2508-43074"/>
    <x v="382"/>
    <s v="East England"/>
    <s v="Norwich"/>
    <x v="1"/>
    <x v="1"/>
    <x v="1"/>
    <s v="Ios"/>
    <s v="Iphone"/>
    <s v="1-2 years"/>
    <x v="0"/>
    <x v="6"/>
    <x v="7"/>
    <s v="Repeat Use"/>
    <s v="New Cta Copy"/>
    <s v="Treatment"/>
    <n v="4"/>
    <n v="4"/>
    <n v="100"/>
    <s v="No"/>
    <x v="0"/>
    <x v="0"/>
    <x v="30"/>
    <x v="1"/>
    <n v="0"/>
    <x v="0"/>
    <x v="0"/>
    <s v="No Support Contact"/>
    <s v="No"/>
    <s v="No Support Contact"/>
    <s v="Not Applicable"/>
    <m/>
    <s v="No drop-off"/>
    <n v="3"/>
    <n v="45"/>
    <n v="46"/>
    <x v="1"/>
    <n v="1"/>
    <n v="0"/>
    <n v="1"/>
    <n v="1"/>
  </r>
  <r>
    <x v="663"/>
    <s v="USR-00128"/>
    <s v="SES-2509-64937"/>
    <x v="80"/>
    <s v="South West"/>
    <s v="Bath"/>
    <x v="3"/>
    <x v="3"/>
    <x v="0"/>
    <s v="Ios"/>
    <s v="Iphone"/>
    <s v="&lt;3 months"/>
    <x v="0"/>
    <x v="7"/>
    <x v="1"/>
    <s v="Repeat Use"/>
    <s v="No Experiment"/>
    <s v="Control"/>
    <n v="4"/>
    <n v="4"/>
    <n v="126"/>
    <s v="No"/>
    <x v="0"/>
    <x v="1"/>
    <x v="1"/>
    <x v="1"/>
    <n v="0"/>
    <x v="0"/>
    <x v="0"/>
    <s v="No Support Contact"/>
    <s v="No"/>
    <s v="No Support Contact"/>
    <s v="Not Applicable"/>
    <m/>
    <s v="No drop-off"/>
    <n v="4"/>
    <n v="32"/>
    <n v="39"/>
    <x v="1"/>
    <n v="1"/>
    <n v="0"/>
    <n v="0"/>
    <n v="1"/>
  </r>
  <r>
    <x v="664"/>
    <s v="USR-00047"/>
    <s v="SES-2502-37732"/>
    <x v="378"/>
    <s v="Northern Ireland"/>
    <s v="Newry"/>
    <x v="3"/>
    <x v="0"/>
    <x v="1"/>
    <s v="Ios"/>
    <s v="Iphone"/>
    <s v="1-2 years"/>
    <x v="0"/>
    <x v="4"/>
    <x v="1"/>
    <s v="First Use"/>
    <s v="No Experiment"/>
    <s v="Control"/>
    <n v="4"/>
    <n v="4"/>
    <n v="172"/>
    <s v="No"/>
    <x v="0"/>
    <x v="0"/>
    <x v="14"/>
    <x v="0"/>
    <n v="208.1"/>
    <x v="7"/>
    <x v="0"/>
    <s v="No Support Contact"/>
    <s v="No"/>
    <s v="No Support Contact"/>
    <s v="Not Applicable"/>
    <m/>
    <s v="No drop-off"/>
    <n v="3"/>
    <n v="30"/>
    <n v="0"/>
    <x v="1"/>
    <n v="1"/>
    <n v="1"/>
    <n v="1"/>
    <n v="1"/>
  </r>
  <r>
    <x v="665"/>
    <s v="usr-00101"/>
    <s v="SES-2503-93353"/>
    <x v="198"/>
    <s v="Wales"/>
    <s v="Wrexham"/>
    <x v="2"/>
    <x v="5"/>
    <x v="0"/>
    <s v="Android"/>
    <s v="Android Phone"/>
    <s v="2+ years"/>
    <x v="0"/>
    <x v="2"/>
    <x v="4"/>
    <s v="Repeat Use"/>
    <s v="Simplified Onboarding"/>
    <s v="Control"/>
    <n v="6"/>
    <n v="6"/>
    <n v="165"/>
    <s v="Unknown"/>
    <x v="1"/>
    <x v="1"/>
    <x v="1"/>
    <x v="0"/>
    <n v="0"/>
    <x v="0"/>
    <x v="0"/>
    <s v="No Support Contact"/>
    <s v="No"/>
    <s v="No Support Contact"/>
    <s v="Not Applicable"/>
    <m/>
    <s v="Verification took too long"/>
    <n v="2"/>
    <n v="24"/>
    <n v="44"/>
    <x v="0"/>
    <n v="0"/>
    <n v="1"/>
    <n v="0"/>
    <n v="0"/>
  </r>
  <r>
    <x v="666"/>
    <s v="USR-00741"/>
    <s v="SES-2511-71616"/>
    <x v="350"/>
    <s v="East Midlands"/>
    <s v="Leicester"/>
    <x v="7"/>
    <x v="3"/>
    <x v="1"/>
    <s v="Android"/>
    <s v="Android Phone"/>
    <s v="1-2 years"/>
    <x v="0"/>
    <x v="1"/>
    <x v="1"/>
    <s v="Repeat Use"/>
    <s v="New Cta Copy"/>
    <s v="Control"/>
    <n v="4"/>
    <n v="4"/>
    <n v="93"/>
    <s v="No"/>
    <x v="0"/>
    <x v="1"/>
    <x v="1"/>
    <x v="1"/>
    <n v="0"/>
    <x v="0"/>
    <x v="0"/>
    <s v="No Support Contact"/>
    <s v="No"/>
    <s v="No Support Contact"/>
    <s v="Not Applicable"/>
    <m/>
    <s v="No drop-off"/>
    <n v="5"/>
    <n v="-15"/>
    <s v="10 days"/>
    <x v="0"/>
    <n v="1"/>
    <n v="0"/>
    <n v="0"/>
    <n v="0"/>
  </r>
  <r>
    <x v="667"/>
    <s v="USR-00394"/>
    <s v="SES-2603-71853"/>
    <x v="183"/>
    <s v="East Midlands"/>
    <s v="NOTTINGHAM"/>
    <x v="3"/>
    <x v="3"/>
    <x v="0"/>
    <s v="Web"/>
    <s v="Tablet Browser"/>
    <s v="7-12 months"/>
    <x v="3"/>
    <x v="7"/>
    <x v="4"/>
    <s v="Repeat Use"/>
    <s v="New Cta Copy"/>
    <s v="Control"/>
    <n v="6"/>
    <n v="6"/>
    <n v="110"/>
    <s v="No"/>
    <x v="0"/>
    <x v="1"/>
    <x v="1"/>
    <x v="0"/>
    <n v="9"/>
    <x v="0"/>
    <x v="0"/>
    <s v="No Support Contact"/>
    <s v="No"/>
    <s v="No Support Contact"/>
    <s v="Not Applicable"/>
    <m/>
    <s v="No drop-off"/>
    <n v="4"/>
    <n v="15"/>
    <n v="42"/>
    <x v="1"/>
    <n v="1"/>
    <n v="1"/>
    <n v="0"/>
    <n v="1"/>
  </r>
  <r>
    <x v="668"/>
    <s v="USR-00584"/>
    <s v="SES-2604-18408"/>
    <x v="383"/>
    <s v="Wales"/>
    <s v="Wrexham"/>
    <x v="7"/>
    <x v="1"/>
    <x v="1"/>
    <s v="Ios"/>
    <s v="Ipad"/>
    <s v="7-12 months"/>
    <x v="2"/>
    <x v="7"/>
    <x v="8"/>
    <s v="Repeat Use"/>
    <s v="Simplified Onboarding"/>
    <s v="Treatment"/>
    <n v="5"/>
    <n v="5"/>
    <n v="157"/>
    <s v="No"/>
    <x v="0"/>
    <x v="1"/>
    <x v="1"/>
    <x v="0"/>
    <n v="85.33"/>
    <x v="0"/>
    <x v="2"/>
    <s v="No Support Contact"/>
    <s v="No"/>
    <s v="No Support Contact"/>
    <s v="Not Applicable"/>
    <m/>
    <s v="No drop-off"/>
    <n v="5"/>
    <n v="61"/>
    <n v="31"/>
    <x v="1"/>
    <n v="1"/>
    <n v="1"/>
    <n v="0"/>
    <n v="1"/>
  </r>
  <r>
    <x v="669"/>
    <s v="USR-00658"/>
    <s v="SES-2504-49387"/>
    <x v="320"/>
    <s v="South East"/>
    <s v="Reading"/>
    <x v="0"/>
    <x v="2"/>
    <x v="1"/>
    <s v="Ios"/>
    <s v="Ipad"/>
    <s v="3-6 months"/>
    <x v="0"/>
    <x v="5"/>
    <x v="1"/>
    <s v="First Use"/>
    <s v="Simplified Onboarding"/>
    <s v="Treatment"/>
    <n v="4"/>
    <n v="4"/>
    <n v="116"/>
    <s v="No"/>
    <x v="0"/>
    <x v="1"/>
    <x v="1"/>
    <x v="1"/>
    <n v="0"/>
    <x v="0"/>
    <x v="0"/>
    <s v="No Support Contact"/>
    <s v="No"/>
    <s v="No Support Contact"/>
    <s v="Not Applicable"/>
    <m/>
    <s v="No drop-off"/>
    <n v="4"/>
    <n v="100"/>
    <n v="0"/>
    <x v="1"/>
    <n v="1"/>
    <n v="0"/>
    <n v="0"/>
    <n v="1"/>
  </r>
  <r>
    <x v="670"/>
    <s v="USR-00740"/>
    <s v="SES-2606-94582"/>
    <x v="384"/>
    <s v="North West"/>
    <s v="Preston"/>
    <x v="0"/>
    <x v="1"/>
    <x v="1"/>
    <s v="Ios"/>
    <s v="Iphone"/>
    <s v="2+ years"/>
    <x v="0"/>
    <x v="2"/>
    <x v="0"/>
    <s v="Reactivated"/>
    <s v="No Experiment"/>
    <s v="Control"/>
    <n v="7"/>
    <n v="7"/>
    <n v="191"/>
    <s v="No"/>
    <x v="1"/>
    <x v="1"/>
    <x v="1"/>
    <x v="1"/>
    <n v="0"/>
    <x v="0"/>
    <x v="0"/>
    <s v="No Support Contact"/>
    <s v="No"/>
    <s v="No Support Contact"/>
    <s v="Not Applicable"/>
    <m/>
    <s v="Instructions unclear"/>
    <n v="4"/>
    <n v="1"/>
    <n v="42"/>
    <x v="0"/>
    <n v="0"/>
    <n v="0"/>
    <n v="0"/>
    <n v="0"/>
  </r>
  <r>
    <x v="671"/>
    <s v="USR-00601"/>
    <s v="SES-2510-81903"/>
    <x v="376"/>
    <s v="London"/>
    <s v="Hammersmith"/>
    <x v="7"/>
    <x v="1"/>
    <x v="0"/>
    <s v="Ios"/>
    <s v="Iphone"/>
    <s v="7-12 months"/>
    <x v="0"/>
    <x v="8"/>
    <x v="5"/>
    <s v="Repeat Use"/>
    <s v="No Experiment"/>
    <s v="Control"/>
    <n v="8"/>
    <n v="6"/>
    <n v="300"/>
    <s v="Yes"/>
    <x v="1"/>
    <x v="0"/>
    <x v="10"/>
    <x v="1"/>
    <n v="0"/>
    <x v="0"/>
    <x v="0"/>
    <s v="No Support Contact"/>
    <s v="No"/>
    <s v="No Support Contact"/>
    <s v="Not Applicable"/>
    <m/>
    <s v="Instructions unclear"/>
    <n v="1"/>
    <n v="-62"/>
    <n v="41"/>
    <x v="0"/>
    <n v="0"/>
    <n v="0"/>
    <n v="1"/>
    <n v="0"/>
  </r>
  <r>
    <x v="672"/>
    <s v="USR-00686"/>
    <s v="SES-2503-87479"/>
    <x v="305"/>
    <s v="West Midlands"/>
    <s v="SOLIHULL"/>
    <x v="1"/>
    <x v="2"/>
    <x v="1"/>
    <s v="Ios"/>
    <s v="Iphone"/>
    <s v="1-2 years"/>
    <x v="0"/>
    <x v="5"/>
    <x v="5"/>
    <s v="First Use"/>
    <s v="No Experiment"/>
    <s v="Control"/>
    <n v="99"/>
    <n v="6"/>
    <n v="335"/>
    <s v="Yes"/>
    <x v="1"/>
    <x v="0"/>
    <x v="10"/>
    <x v="1"/>
    <n v="0"/>
    <x v="0"/>
    <x v="0"/>
    <s v="Transaction Failure"/>
    <s v="Yes"/>
    <s v="Transaction Failure"/>
    <s v="Resolved"/>
    <n v="25"/>
    <s v="Too many steps"/>
    <n v="1"/>
    <n v="-16"/>
    <n v="0"/>
    <x v="0"/>
    <n v="0"/>
    <n v="0"/>
    <n v="1"/>
    <n v="0"/>
  </r>
  <r>
    <x v="673"/>
    <s v="USR-00854"/>
    <s v="SES-2509-53943"/>
    <x v="362"/>
    <s v="South West"/>
    <s v="Bath"/>
    <x v="3"/>
    <x v="1"/>
    <x v="0"/>
    <s v="Ios"/>
    <s v="Iphone"/>
    <s v="7-12 months"/>
    <x v="0"/>
    <x v="0"/>
    <x v="5"/>
    <s v="First Use"/>
    <s v="No Experiment"/>
    <s v="Control"/>
    <n v="8"/>
    <n v="7"/>
    <n v="433"/>
    <s v="Yes"/>
    <x v="1"/>
    <x v="0"/>
    <x v="7"/>
    <x v="1"/>
    <n v="0"/>
    <x v="0"/>
    <x v="0"/>
    <s v="No Support Contact"/>
    <s v="No"/>
    <s v="No Support Contact"/>
    <s v="Not Applicable"/>
    <m/>
    <s v="Technical error"/>
    <n v="1"/>
    <n v="-88"/>
    <n v="0"/>
    <x v="0"/>
    <n v="0"/>
    <n v="0"/>
    <n v="1"/>
    <n v="0"/>
  </r>
  <r>
    <x v="674"/>
    <s v="USR-00086"/>
    <s v="SES-2602-40076"/>
    <x v="385"/>
    <s v="London"/>
    <s v="SOUTHWARK"/>
    <x v="2"/>
    <x v="0"/>
    <x v="1"/>
    <s v="Ios"/>
    <s v="Ipad"/>
    <s v="&lt;3 months"/>
    <x v="2"/>
    <x v="5"/>
    <x v="5"/>
    <s v="First Use"/>
    <s v="No Experiment"/>
    <s v="Control"/>
    <n v="8"/>
    <n v="8"/>
    <n v="202"/>
    <s v="No"/>
    <x v="0"/>
    <x v="1"/>
    <x v="1"/>
    <x v="1"/>
    <n v="0"/>
    <x v="0"/>
    <x v="0"/>
    <s v="No Support Contact"/>
    <s v="No"/>
    <s v="No Support Contact"/>
    <s v="Not Applicable"/>
    <m/>
    <s v="No drop-off"/>
    <n v="5"/>
    <n v="6"/>
    <n v="0"/>
    <x v="1"/>
    <n v="1"/>
    <n v="0"/>
    <n v="0"/>
    <n v="1"/>
  </r>
  <r>
    <x v="675"/>
    <s v="USR-00860"/>
    <s v="SES-2506-42460"/>
    <x v="386"/>
    <s v="Northern Ireland"/>
    <s v="NEWRY"/>
    <x v="1"/>
    <x v="0"/>
    <x v="1"/>
    <s v="Web"/>
    <s v="Desktop"/>
    <s v="1-2 years"/>
    <x v="0"/>
    <x v="5"/>
    <x v="1"/>
    <s v="Repeat Use"/>
    <s v="Simplified Onboarding"/>
    <s v="Control"/>
    <n v="4"/>
    <n v="4"/>
    <n v="118"/>
    <s v="No"/>
    <x v="0"/>
    <x v="1"/>
    <x v="1"/>
    <x v="0"/>
    <n v="173.44"/>
    <x v="4"/>
    <x v="0"/>
    <s v="No Support Contact"/>
    <s v="No"/>
    <s v="No Support Contact"/>
    <s v="Not Applicable"/>
    <m/>
    <s v="No drop-off"/>
    <n v="4"/>
    <n v="-3"/>
    <s v="46 days"/>
    <x v="1"/>
    <n v="1"/>
    <n v="1"/>
    <n v="0"/>
    <n v="1"/>
  </r>
  <r>
    <x v="676"/>
    <s v="USR-00544"/>
    <s v="SES-2503-50164"/>
    <x v="294"/>
    <s v="Scotland"/>
    <s v="DUNDEE"/>
    <x v="3"/>
    <x v="1"/>
    <x v="0"/>
    <s v="Ios"/>
    <s v="Iphone"/>
    <s v="&lt;3 months"/>
    <x v="0"/>
    <x v="7"/>
    <x v="2"/>
    <s v="Trial/Exploration"/>
    <s v="New Cta Copy"/>
    <s v="Treatment"/>
    <s v="5 steps"/>
    <n v="5"/>
    <n v="106"/>
    <s v="No"/>
    <x v="0"/>
    <x v="1"/>
    <x v="1"/>
    <x v="1"/>
    <n v="0"/>
    <x v="0"/>
    <x v="0"/>
    <s v="No Support Contact"/>
    <s v="No"/>
    <s v="No Support Contact"/>
    <s v="Not Applicable"/>
    <m/>
    <s v="No drop-off"/>
    <n v="5"/>
    <n v="54"/>
    <n v="24"/>
    <x v="1"/>
    <n v="1"/>
    <n v="0"/>
    <n v="0"/>
    <n v="1"/>
  </r>
  <r>
    <x v="677"/>
    <s v="USR-00427"/>
    <s v="SES-2511-79969"/>
    <x v="172"/>
    <s v="South West"/>
    <s v="Bath"/>
    <x v="0"/>
    <x v="0"/>
    <x v="1"/>
    <s v="Android"/>
    <s v="Android Phone"/>
    <s v="1-2 years"/>
    <x v="0"/>
    <x v="0"/>
    <x v="3"/>
    <s v="First Use"/>
    <s v="No Experiment"/>
    <s v="Control"/>
    <n v="6"/>
    <n v="3"/>
    <n v="248"/>
    <s v="Yes"/>
    <x v="1"/>
    <x v="1"/>
    <x v="1"/>
    <x v="0"/>
    <n v="112.89"/>
    <x v="17"/>
    <x v="0"/>
    <s v="No Support Contact"/>
    <s v="No"/>
    <s v="No Support Contact"/>
    <s v="Not Applicable"/>
    <m/>
    <s v="Too many steps"/>
    <n v="3"/>
    <n v="-20"/>
    <n v="0"/>
    <x v="0"/>
    <n v="0"/>
    <n v="1"/>
    <n v="0"/>
    <n v="0"/>
  </r>
  <r>
    <x v="678"/>
    <s v="USR-00571"/>
    <s v="SES-2501-58714"/>
    <x v="64"/>
    <s v="West Midlands"/>
    <s v="Solihull"/>
    <x v="1"/>
    <x v="0"/>
    <x v="0"/>
    <s v="Ios"/>
    <s v="Iphone"/>
    <s v="7-12 months"/>
    <x v="1"/>
    <x v="4"/>
    <x v="0"/>
    <s v="Reactivated"/>
    <s v="No Experiment"/>
    <s v="Control"/>
    <n v="7"/>
    <n v="7"/>
    <n v="169"/>
    <s v="No"/>
    <x v="0"/>
    <x v="1"/>
    <x v="1"/>
    <x v="0"/>
    <n v="0"/>
    <x v="0"/>
    <x v="1"/>
    <s v="No Support Contact"/>
    <s v="No"/>
    <s v="No Support Contact"/>
    <s v="Not Applicable"/>
    <m/>
    <s v="No drop-off"/>
    <n v="3"/>
    <n v="14"/>
    <n v="20"/>
    <x v="1"/>
    <n v="1"/>
    <n v="1"/>
    <n v="0"/>
    <n v="1"/>
  </r>
  <r>
    <x v="679"/>
    <s v="USR-00810"/>
    <s v="SES-2512-33407"/>
    <x v="285"/>
    <s v="South East"/>
    <s v="Reading"/>
    <x v="5"/>
    <x v="0"/>
    <x v="0"/>
    <s v="Ios"/>
    <s v="Iphone"/>
    <s v="7-12 months"/>
    <x v="1"/>
    <x v="1"/>
    <x v="1"/>
    <s v="First Use"/>
    <s v="Simplified Onboarding"/>
    <s v="Control"/>
    <n v="4"/>
    <n v="4"/>
    <n v="106"/>
    <s v="No"/>
    <x v="1"/>
    <x v="1"/>
    <x v="1"/>
    <x v="1"/>
    <n v="0"/>
    <x v="0"/>
    <x v="0"/>
    <s v="No Support Contact"/>
    <s v="No"/>
    <s v="No Support Contact"/>
    <s v="Not Applicable"/>
    <m/>
    <s v="Unexpected fee"/>
    <n v="4"/>
    <n v="19"/>
    <n v="0"/>
    <x v="0"/>
    <n v="0"/>
    <n v="0"/>
    <n v="0"/>
    <n v="0"/>
  </r>
  <r>
    <x v="680"/>
    <s v="USR-00661"/>
    <s v="SES-2601-54695"/>
    <x v="247"/>
    <s v="Yorkshire &amp; Humber"/>
    <s v="York"/>
    <x v="7"/>
    <x v="1"/>
    <x v="0"/>
    <s v="Android"/>
    <s v="Android Phone"/>
    <s v="7-12 months"/>
    <x v="4"/>
    <x v="5"/>
    <x v="4"/>
    <s v="Repeat Use"/>
    <s v="New Cta Copy"/>
    <s v="Control"/>
    <n v="6"/>
    <n v="5"/>
    <n v="269"/>
    <s v="Yes"/>
    <x v="0"/>
    <x v="1"/>
    <x v="1"/>
    <x v="0"/>
    <n v="78.540000000000006"/>
    <x v="0"/>
    <x v="2"/>
    <s v="No Support Contact"/>
    <s v="No"/>
    <s v="No Support Contact"/>
    <s v="Not Applicable"/>
    <m/>
    <s v="No drop-off"/>
    <n v="3"/>
    <n v="-25"/>
    <n v="40"/>
    <x v="1"/>
    <n v="1"/>
    <n v="1"/>
    <n v="0"/>
    <n v="1"/>
  </r>
  <r>
    <x v="681"/>
    <s v="USR-00486"/>
    <s v="SES-2510-47429"/>
    <x v="387"/>
    <s v="London"/>
    <s v="Southwark"/>
    <x v="2"/>
    <x v="3"/>
    <x v="0"/>
    <s v="Android"/>
    <s v="Android Phone"/>
    <s v="7-12 months"/>
    <x v="2"/>
    <x v="2"/>
    <x v="1"/>
    <s v="First Use"/>
    <s v="Simplified Onboarding"/>
    <s v="Control"/>
    <n v="4"/>
    <s v="3 steps"/>
    <n v="142"/>
    <s v="Yes"/>
    <x v="0"/>
    <x v="1"/>
    <x v="1"/>
    <x v="0"/>
    <n v="102.6"/>
    <x v="6"/>
    <x v="2"/>
    <s v="No Support Contact"/>
    <s v="No"/>
    <s v="No Support Contact"/>
    <s v="Not Applicable"/>
    <m/>
    <s v="No drop-off"/>
    <n v="3"/>
    <n v="-9"/>
    <n v="0"/>
    <x v="0"/>
    <n v="1"/>
    <n v="1"/>
    <n v="0"/>
    <n v="0"/>
  </r>
  <r>
    <x v="682"/>
    <s v="USR-00306"/>
    <s v="SES-2605-45768"/>
    <x v="271"/>
    <s v="South East"/>
    <s v="Oxford"/>
    <x v="2"/>
    <x v="2"/>
    <x v="0"/>
    <s v="Android"/>
    <s v="Android Phone"/>
    <s v="7-12 months"/>
    <x v="1"/>
    <x v="4"/>
    <x v="3"/>
    <s v="First Use"/>
    <s v="Progress Indicator"/>
    <s v="Control"/>
    <n v="6"/>
    <n v="5"/>
    <n v="278"/>
    <s v="Yes"/>
    <x v="1"/>
    <x v="0"/>
    <x v="8"/>
    <x v="1"/>
    <n v="0"/>
    <x v="0"/>
    <x v="0"/>
    <s v="No Support Contact"/>
    <s v="No"/>
    <s v="No Support Contact"/>
    <s v="Not Applicable"/>
    <m/>
    <s v="Technical error"/>
    <n v="1"/>
    <n v="-36"/>
    <n v="0"/>
    <x v="0"/>
    <n v="0"/>
    <n v="0"/>
    <n v="1"/>
    <n v="0"/>
  </r>
  <r>
    <x v="683"/>
    <s v="USR-00691"/>
    <s v="SES-2501-59586"/>
    <x v="388"/>
    <s v="North East"/>
    <s v="Sunderland"/>
    <x v="3"/>
    <x v="0"/>
    <x v="0"/>
    <s v="Android"/>
    <s v="Android Phone"/>
    <s v="&lt;3 months"/>
    <x v="0"/>
    <x v="2"/>
    <x v="10"/>
    <s v="Trial/Exploration"/>
    <s v="New Cta Copy"/>
    <s v="Treatment"/>
    <n v="9"/>
    <n v="-1"/>
    <n v="212"/>
    <s v="No"/>
    <x v="0"/>
    <x v="1"/>
    <x v="1"/>
    <x v="0"/>
    <n v="231.54"/>
    <x v="70"/>
    <x v="0"/>
    <s v="No Support Contact"/>
    <s v="No"/>
    <s v="No Support Contact"/>
    <s v="Not Applicable"/>
    <m/>
    <s v="No drop-off"/>
    <n v="5"/>
    <n v="40"/>
    <n v="35"/>
    <x v="2"/>
    <n v="1"/>
    <n v="1"/>
    <n v="0"/>
    <n v="0"/>
  </r>
  <r>
    <x v="684"/>
    <s v="USR-00168"/>
    <s v="SES-2501-36340"/>
    <x v="389"/>
    <s v="Wales"/>
    <s v="Swansea"/>
    <x v="5"/>
    <x v="0"/>
    <x v="1"/>
    <s v="Android"/>
    <s v="Android Phone"/>
    <s v="&lt;3 months"/>
    <x v="0"/>
    <x v="2"/>
    <x v="7"/>
    <s v="Repeat Use"/>
    <s v="No Experiment"/>
    <s v="Control"/>
    <n v="4"/>
    <n v="2"/>
    <n v="136"/>
    <s v="Yes"/>
    <x v="1"/>
    <x v="1"/>
    <x v="1"/>
    <x v="1"/>
    <n v="0"/>
    <x v="0"/>
    <x v="0"/>
    <s v="Card Issue"/>
    <s v="Yes"/>
    <s v="Card Issue"/>
    <s v="Resolved"/>
    <n v="41"/>
    <s v="Privacy concern"/>
    <n v="3"/>
    <n v="32"/>
    <n v="42"/>
    <x v="0"/>
    <n v="0"/>
    <n v="0"/>
    <n v="0"/>
    <n v="0"/>
  </r>
  <r>
    <x v="685"/>
    <s v="USR-00424"/>
    <s v="SES-2510-26536"/>
    <x v="150"/>
    <s v="West Midlands"/>
    <s v="Coventry"/>
    <x v="2"/>
    <x v="2"/>
    <x v="0"/>
    <s v="Web"/>
    <s v="Desktop"/>
    <s v="&lt;3 months"/>
    <x v="2"/>
    <x v="1"/>
    <x v="1"/>
    <s v="First Use"/>
    <s v="No Experiment"/>
    <s v="Control"/>
    <n v="4"/>
    <n v="4"/>
    <n v="112"/>
    <s v="No"/>
    <x v="0"/>
    <x v="1"/>
    <x v="1"/>
    <x v="0"/>
    <n v="142.5"/>
    <x v="25"/>
    <x v="2"/>
    <s v="No Support Contact"/>
    <s v="No"/>
    <s v="No Support Contact"/>
    <s v="Not Applicable"/>
    <m/>
    <s v="No drop-off"/>
    <n v="4"/>
    <n v="-17"/>
    <n v="0"/>
    <x v="1"/>
    <n v="1"/>
    <n v="1"/>
    <n v="0"/>
    <n v="1"/>
  </r>
  <r>
    <x v="686"/>
    <s v="USR-00262"/>
    <s v="SES-2510-59731"/>
    <x v="356"/>
    <s v="Scotland"/>
    <s v="Aberdeen"/>
    <x v="5"/>
    <x v="1"/>
    <x v="0"/>
    <s v="Ios"/>
    <s v="Iphone"/>
    <s v="&lt;3 months"/>
    <x v="0"/>
    <x v="2"/>
    <x v="1"/>
    <s v="Repeat Use"/>
    <s v="No Experiment"/>
    <s v="Control"/>
    <n v="4"/>
    <n v="4"/>
    <n v="89"/>
    <s v="No"/>
    <x v="0"/>
    <x v="1"/>
    <x v="1"/>
    <x v="0"/>
    <n v="152.31"/>
    <x v="8"/>
    <x v="0"/>
    <s v="No Support Contact"/>
    <s v="No"/>
    <s v="No Support Contact"/>
    <s v="Not Applicable"/>
    <m/>
    <s v="No drop-off"/>
    <n v="5"/>
    <n v="11"/>
    <n v="43"/>
    <x v="1"/>
    <n v="1"/>
    <n v="1"/>
    <n v="0"/>
    <n v="1"/>
  </r>
  <r>
    <x v="687"/>
    <s v="USR-00419"/>
    <s v="SES-2505-63180"/>
    <x v="67"/>
    <s v="East Midlands"/>
    <s v="Derby"/>
    <x v="0"/>
    <x v="4"/>
    <x v="0"/>
    <s v="Android"/>
    <s v="Android Phone"/>
    <s v="1-2 years"/>
    <x v="0"/>
    <x v="6"/>
    <x v="5"/>
    <s v="Repeat Use"/>
    <s v="Fee Transparency Panel"/>
    <s v="Treatment"/>
    <n v="8"/>
    <s v="7 steps"/>
    <n v="329"/>
    <s v="Yes"/>
    <x v="0"/>
    <x v="1"/>
    <x v="1"/>
    <x v="1"/>
    <n v="0"/>
    <x v="0"/>
    <x v="0"/>
    <s v="No Support Contact"/>
    <s v="No"/>
    <s v="No Support Contact"/>
    <s v="Not Applicable"/>
    <m/>
    <s v="No drop-off"/>
    <n v="2"/>
    <n v="14"/>
    <n v="24"/>
    <x v="1"/>
    <n v="1"/>
    <n v="0"/>
    <n v="0"/>
    <n v="1"/>
  </r>
  <r>
    <x v="688"/>
    <s v="USR-00542"/>
    <s v="SES-2602-25355"/>
    <x v="390"/>
    <s v="Scotland"/>
    <s v="Aberdeen"/>
    <x v="0"/>
    <x v="0"/>
    <x v="0"/>
    <s v="Ios"/>
    <s v="Iphone"/>
    <s v="3-6 months"/>
    <x v="0"/>
    <x v="0"/>
    <x v="1"/>
    <s v="Repeat Use"/>
    <s v="Simplified Onboarding"/>
    <s v="Control"/>
    <n v="4"/>
    <n v="4"/>
    <n v="120"/>
    <s v="No"/>
    <x v="0"/>
    <x v="1"/>
    <x v="1"/>
    <x v="0"/>
    <n v="149.18"/>
    <x v="8"/>
    <x v="0"/>
    <s v="No Support Contact"/>
    <s v="No"/>
    <s v="No Support Contact"/>
    <s v="Not Applicable"/>
    <m/>
    <s v="No drop-off"/>
    <n v="4"/>
    <n v="1"/>
    <n v="30"/>
    <x v="1"/>
    <n v="1"/>
    <n v="1"/>
    <n v="0"/>
    <n v="1"/>
  </r>
  <r>
    <x v="689"/>
    <s v="USR-00232"/>
    <s v="SES-2601-57117"/>
    <x v="296"/>
    <s v="East Midlands"/>
    <s v="Derby"/>
    <x v="4"/>
    <x v="2"/>
    <x v="0"/>
    <s v="Android"/>
    <s v="Android Phone"/>
    <s v="7-12 months"/>
    <x v="0"/>
    <x v="7"/>
    <x v="0"/>
    <s v="Reactivated"/>
    <s v="New Cta Copy"/>
    <s v="Control"/>
    <n v="7"/>
    <n v="6"/>
    <n v="296"/>
    <s v="Yes"/>
    <x v="0"/>
    <x v="1"/>
    <x v="1"/>
    <x v="0"/>
    <n v="11.5"/>
    <x v="0"/>
    <x v="0"/>
    <s v="No Support Contact"/>
    <s v="No"/>
    <s v="No Support Contact"/>
    <s v="Not Applicable"/>
    <m/>
    <s v="No drop-off"/>
    <n v="3"/>
    <n v="-17"/>
    <n v="73"/>
    <x v="1"/>
    <n v="1"/>
    <n v="1"/>
    <n v="0"/>
    <n v="1"/>
  </r>
  <r>
    <x v="690"/>
    <s v="USR-00172"/>
    <s v="SES-2501-45308"/>
    <x v="376"/>
    <s v="West Midlands"/>
    <s v="Solihull"/>
    <x v="1"/>
    <x v="0"/>
    <x v="0"/>
    <s v="Web"/>
    <s v="Mobile Browser"/>
    <s v="7-12 months"/>
    <x v="0"/>
    <x v="4"/>
    <x v="1"/>
    <s v="First Use"/>
    <s v="No Experiment"/>
    <s v="Control"/>
    <n v="4"/>
    <n v="4"/>
    <n v="95"/>
    <s v="No"/>
    <x v="0"/>
    <x v="1"/>
    <x v="1"/>
    <x v="0"/>
    <n v="86.05"/>
    <x v="25"/>
    <x v="0"/>
    <s v="No Support Contact"/>
    <s v="No"/>
    <s v="No Support Contact"/>
    <s v="Not Applicable"/>
    <m/>
    <s v="No drop-off"/>
    <n v="4"/>
    <n v="62"/>
    <n v="0"/>
    <x v="1"/>
    <n v="1"/>
    <n v="1"/>
    <n v="0"/>
    <n v="1"/>
  </r>
  <r>
    <x v="691"/>
    <s v="USR-00229"/>
    <s v="SES-2601-11679"/>
    <x v="391"/>
    <s v="East Midlands"/>
    <s v="Lincoln"/>
    <x v="5"/>
    <x v="0"/>
    <x v="0"/>
    <s v="Android"/>
    <s v="Android Phone"/>
    <s v="7-12 months"/>
    <x v="0"/>
    <x v="3"/>
    <x v="0"/>
    <s v="Repeat Use"/>
    <s v="Progress Indicator"/>
    <s v="Treatment"/>
    <n v="7"/>
    <n v="4"/>
    <n v="255"/>
    <s v="Yes"/>
    <x v="0"/>
    <x v="1"/>
    <x v="1"/>
    <x v="0"/>
    <n v="0"/>
    <x v="0"/>
    <x v="0"/>
    <s v="No Support Contact"/>
    <s v="No"/>
    <s v="No Support Contact"/>
    <s v="Not Applicable"/>
    <m/>
    <s v="No drop-off"/>
    <n v="2"/>
    <n v="10"/>
    <n v="8"/>
    <x v="0"/>
    <n v="1"/>
    <n v="1"/>
    <n v="0"/>
    <n v="0"/>
  </r>
  <r>
    <x v="692"/>
    <s v="USR-00061"/>
    <s v="SES-2603-81303"/>
    <x v="392"/>
    <s v="East Midlands"/>
    <s v="Leicester"/>
    <x v="3"/>
    <x v="0"/>
    <x v="1"/>
    <s v="Web"/>
    <s v="Desktop"/>
    <s v="2+ years"/>
    <x v="0"/>
    <x v="0"/>
    <x v="0"/>
    <s v="Repeat Use"/>
    <s v="No Experiment"/>
    <s v="Control"/>
    <n v="7"/>
    <n v="7"/>
    <n v="221"/>
    <s v="No"/>
    <x v="1"/>
    <x v="0"/>
    <x v="18"/>
    <x v="1"/>
    <n v="0"/>
    <x v="0"/>
    <x v="0"/>
    <s v="No Support Contact"/>
    <s v="No"/>
    <s v="No Support Contact"/>
    <s v="Not Applicable"/>
    <m/>
    <s v="No drop-off"/>
    <n v="2"/>
    <n v="-58"/>
    <n v="50"/>
    <x v="1"/>
    <n v="0"/>
    <n v="0"/>
    <n v="1"/>
    <n v="1"/>
  </r>
  <r>
    <x v="693"/>
    <s v="USR-00340"/>
    <s v="SES-2503-97606"/>
    <x v="39"/>
    <s v="South East"/>
    <s v="Oxford"/>
    <x v="3"/>
    <x v="0"/>
    <x v="1"/>
    <s v="Android"/>
    <s v="Android Phone"/>
    <s v="7-12 months"/>
    <x v="1"/>
    <x v="4"/>
    <x v="5"/>
    <s v="Repeat Use"/>
    <s v="Progress Indicator"/>
    <s v="Treatment"/>
    <n v="8"/>
    <n v="4"/>
    <n v="360"/>
    <s v="Yes"/>
    <x v="0"/>
    <x v="1"/>
    <x v="1"/>
    <x v="0"/>
    <n v="307.58999999999997"/>
    <x v="71"/>
    <x v="1"/>
    <s v="No Support Contact"/>
    <s v="No"/>
    <s v="No Support Contact"/>
    <s v="Not Applicable"/>
    <m/>
    <s v="No drop-off"/>
    <n v="2"/>
    <n v="23"/>
    <n v="18"/>
    <x v="1"/>
    <n v="1"/>
    <n v="1"/>
    <n v="0"/>
    <n v="1"/>
  </r>
  <r>
    <x v="694"/>
    <s v="USR-00685"/>
    <s v="SES-2501-60811"/>
    <x v="71"/>
    <s v="North West"/>
    <s v="Preston"/>
    <x v="2"/>
    <x v="1"/>
    <x v="1"/>
    <s v="Android"/>
    <s v="Android Phone"/>
    <s v="1-2 years"/>
    <x v="0"/>
    <x v="7"/>
    <x v="5"/>
    <s v="Reactivated"/>
    <s v="No Experiment"/>
    <s v="Control"/>
    <n v="8"/>
    <n v="8"/>
    <n v="181"/>
    <s v="No"/>
    <x v="0"/>
    <x v="1"/>
    <x v="1"/>
    <x v="1"/>
    <n v="0"/>
    <x v="0"/>
    <x v="0"/>
    <s v="No Support Contact"/>
    <s v="No"/>
    <s v="No Support Contact"/>
    <s v="Not Applicable"/>
    <m/>
    <s v="No drop-off"/>
    <n v="4"/>
    <n v="58"/>
    <n v="8"/>
    <x v="0"/>
    <n v="1"/>
    <n v="0"/>
    <n v="0"/>
    <n v="0"/>
  </r>
  <r>
    <x v="695"/>
    <s v="USR-00527"/>
    <s v="SES-2502-86820"/>
    <x v="203"/>
    <s v="Northern Ireland"/>
    <s v="Newry"/>
    <x v="1"/>
    <x v="3"/>
    <x v="0"/>
    <s v="Android"/>
    <s v="Android Phone"/>
    <s v="1-2 years"/>
    <x v="1"/>
    <x v="4"/>
    <x v="7"/>
    <s v="Repeat Use"/>
    <s v="Fee Transparency Panel"/>
    <s v="Control"/>
    <n v="4"/>
    <n v="4"/>
    <n v="80"/>
    <s v="No"/>
    <x v="0"/>
    <x v="1"/>
    <x v="1"/>
    <x v="0"/>
    <n v="0"/>
    <x v="22"/>
    <x v="1"/>
    <s v="No Support Contact"/>
    <s v="No"/>
    <s v="No Support Contact"/>
    <s v="Not Applicable"/>
    <m/>
    <s v="No drop-off"/>
    <n v="4"/>
    <n v="2"/>
    <n v="34"/>
    <x v="1"/>
    <n v="1"/>
    <n v="1"/>
    <n v="0"/>
    <n v="1"/>
  </r>
  <r>
    <x v="696"/>
    <s v="USR-00725"/>
    <s v="SES-2511-91300"/>
    <x v="322"/>
    <s v="East England"/>
    <s v="Norwich"/>
    <x v="5"/>
    <x v="0"/>
    <x v="1"/>
    <s v="Android"/>
    <s v="Android Phone"/>
    <s v="1-2 years"/>
    <x v="0"/>
    <x v="5"/>
    <x v="1"/>
    <s v="Repeat Use"/>
    <s v="Simplified Onboarding"/>
    <s v="Treatment"/>
    <n v="4"/>
    <n v="4"/>
    <n v="88"/>
    <s v="No"/>
    <x v="0"/>
    <x v="1"/>
    <x v="1"/>
    <x v="0"/>
    <n v="170.17"/>
    <x v="6"/>
    <x v="0"/>
    <s v="No Support Contact"/>
    <s v="No"/>
    <s v="No Support Contact"/>
    <s v="Not Applicable"/>
    <m/>
    <s v="No drop-off"/>
    <n v="4"/>
    <n v="15"/>
    <n v="39"/>
    <x v="1"/>
    <n v="1"/>
    <n v="1"/>
    <n v="0"/>
    <n v="1"/>
  </r>
  <r>
    <x v="697"/>
    <s v="USR-00751"/>
    <s v="SES-2606-91503"/>
    <x v="393"/>
    <s v="Scotland"/>
    <s v="Glasgow"/>
    <x v="4"/>
    <x v="2"/>
    <x v="1"/>
    <s v="Ios"/>
    <s v="Iphone"/>
    <s v="7-12 months"/>
    <x v="0"/>
    <x v="1"/>
    <x v="5"/>
    <s v="Repeat Use"/>
    <s v="No Experiment"/>
    <s v="Control"/>
    <n v="8"/>
    <n v="8"/>
    <n v="171"/>
    <s v="No"/>
    <x v="0"/>
    <x v="1"/>
    <x v="1"/>
    <x v="0"/>
    <n v="0"/>
    <x v="72"/>
    <x v="0"/>
    <s v="No Support Contact"/>
    <s v="No"/>
    <s v="No Support Contact"/>
    <s v="Not Applicable"/>
    <m/>
    <s v="No drop-off"/>
    <n v="4"/>
    <n v="-5"/>
    <n v="40"/>
    <x v="1"/>
    <n v="1"/>
    <n v="1"/>
    <n v="0"/>
    <n v="1"/>
  </r>
  <r>
    <x v="698"/>
    <s v="USR-00705"/>
    <s v="SES-2506-26004"/>
    <x v="180"/>
    <s v="Scotland"/>
    <s v="Dundee"/>
    <x v="3"/>
    <x v="4"/>
    <x v="0"/>
    <s v="Ios"/>
    <s v="Iphone"/>
    <s v="1-2 years"/>
    <x v="1"/>
    <x v="5"/>
    <x v="2"/>
    <s v="Repeat Use"/>
    <s v="Simplified Onboarding"/>
    <s v="Treatment"/>
    <n v="5"/>
    <n v="5"/>
    <n v="110"/>
    <s v="No"/>
    <x v="0"/>
    <x v="1"/>
    <x v="1"/>
    <x v="0"/>
    <n v="36.47"/>
    <x v="0"/>
    <x v="1"/>
    <s v="No Support Contact"/>
    <s v="No"/>
    <s v="No Support Contact"/>
    <s v="Not Applicable"/>
    <m/>
    <s v="No drop-off"/>
    <n v="5"/>
    <n v="49"/>
    <n v="-5"/>
    <x v="1"/>
    <n v="1"/>
    <n v="1"/>
    <n v="0"/>
    <n v="1"/>
  </r>
  <r>
    <x v="699"/>
    <s v="usr-00589"/>
    <s v="SES-2505-51252"/>
    <x v="6"/>
    <s v="East Midlands"/>
    <s v="Derby"/>
    <x v="0"/>
    <x v="0"/>
    <x v="0"/>
    <s v="Android"/>
    <s v="Android Phone"/>
    <s v="1-2 years"/>
    <x v="1"/>
    <x v="1"/>
    <x v="1"/>
    <s v="Reactivated"/>
    <s v="New Cta Copy"/>
    <s v="Control"/>
    <n v="4"/>
    <n v="4"/>
    <n v="101"/>
    <s v="No"/>
    <x v="0"/>
    <x v="0"/>
    <x v="29"/>
    <x v="1"/>
    <n v="0"/>
    <x v="0"/>
    <x v="0"/>
    <s v="No Support Contact"/>
    <s v="No"/>
    <s v="No Support Contact"/>
    <s v="Not Applicable"/>
    <m/>
    <s v="No drop-off"/>
    <n v="3"/>
    <n v="23"/>
    <n v="8"/>
    <x v="1"/>
    <n v="1"/>
    <n v="0"/>
    <n v="1"/>
    <n v="1"/>
  </r>
  <r>
    <x v="700"/>
    <s v="USR-00183"/>
    <s v="SES-2502-16571"/>
    <x v="171"/>
    <s v="North East"/>
    <s v="NEWCASTLE"/>
    <x v="1"/>
    <x v="4"/>
    <x v="0"/>
    <s v="Android"/>
    <s v="Android Phone"/>
    <s v="&lt;3 months"/>
    <x v="0"/>
    <x v="0"/>
    <x v="7"/>
    <s v="Repeat Use"/>
    <s v="Simplified Onboarding"/>
    <s v="Treatment"/>
    <n v="4"/>
    <n v="4"/>
    <n v="83"/>
    <s v="No"/>
    <x v="1"/>
    <x v="1"/>
    <x v="1"/>
    <x v="0"/>
    <n v="81.8"/>
    <x v="20"/>
    <x v="0"/>
    <s v="No Support Contact"/>
    <s v="No"/>
    <s v="No Support Contact"/>
    <s v="Not Applicable"/>
    <m/>
    <s v="Unexpected fee"/>
    <n v="3"/>
    <n v="48"/>
    <n v="13"/>
    <x v="0"/>
    <n v="0"/>
    <n v="1"/>
    <n v="0"/>
    <n v="0"/>
  </r>
  <r>
    <x v="701"/>
    <s v="USR-00804"/>
    <s v="SES-2505-63184"/>
    <x v="17"/>
    <s v="East England"/>
    <s v="Luton"/>
    <x v="5"/>
    <x v="2"/>
    <x v="1"/>
    <s v="Ios"/>
    <s v="Iphone"/>
    <s v="&lt;3 months"/>
    <x v="3"/>
    <x v="0"/>
    <x v="10"/>
    <s v="Repeat Use"/>
    <s v="No Experiment"/>
    <s v="Control"/>
    <s v="9 steps"/>
    <n v="9"/>
    <n v="270"/>
    <s v="No"/>
    <x v="0"/>
    <x v="1"/>
    <x v="1"/>
    <x v="1"/>
    <n v="0"/>
    <x v="0"/>
    <x v="0"/>
    <s v="No Support Contact"/>
    <s v="No"/>
    <s v="No Support Contact"/>
    <s v="Not Applicable"/>
    <m/>
    <s v="No drop-off"/>
    <n v="5"/>
    <n v="6"/>
    <n v="1"/>
    <x v="0"/>
    <n v="1"/>
    <n v="0"/>
    <n v="0"/>
    <n v="0"/>
  </r>
  <r>
    <x v="702"/>
    <s v="USR-00660"/>
    <s v="SES-2504-23984"/>
    <x v="394"/>
    <s v="Wales"/>
    <s v="Cardiff"/>
    <x v="3"/>
    <x v="5"/>
    <x v="0"/>
    <s v="Android"/>
    <s v="Android Phone"/>
    <s v="7-12 months"/>
    <x v="0"/>
    <x v="2"/>
    <x v="4"/>
    <s v="Repeat Use"/>
    <s v="Simplified Onboarding"/>
    <s v="Control"/>
    <n v="6"/>
    <n v="6"/>
    <n v="114"/>
    <s v="No"/>
    <x v="0"/>
    <x v="1"/>
    <x v="1"/>
    <x v="0"/>
    <n v="8.18"/>
    <x v="0"/>
    <x v="0"/>
    <s v="No Support Contact"/>
    <s v="No"/>
    <s v="No Support Contact"/>
    <s v="Not Applicable"/>
    <m/>
    <s v="No drop-off"/>
    <n v="3"/>
    <n v="-36"/>
    <n v="25"/>
    <x v="1"/>
    <n v="1"/>
    <n v="1"/>
    <n v="0"/>
    <n v="1"/>
  </r>
  <r>
    <x v="703"/>
    <s v="USR-00558"/>
    <s v="SES-2506-60252"/>
    <x v="8"/>
    <s v="South East"/>
    <s v="Reading"/>
    <x v="5"/>
    <x v="0"/>
    <x v="2"/>
    <s v="Android"/>
    <s v="Android Phone"/>
    <s v="1-2 years"/>
    <x v="0"/>
    <x v="6"/>
    <x v="2"/>
    <s v="Trial/Exploration"/>
    <s v="No Experiment"/>
    <s v="Control"/>
    <n v="5"/>
    <n v="5"/>
    <n v="116"/>
    <s v="No"/>
    <x v="0"/>
    <x v="1"/>
    <x v="1"/>
    <x v="0"/>
    <n v="37.75"/>
    <x v="0"/>
    <x v="0"/>
    <s v="No Support Contact"/>
    <s v="No"/>
    <s v="No Support Contact"/>
    <s v="Not Applicable"/>
    <m/>
    <s v="No drop-off"/>
    <n v="5"/>
    <n v="12"/>
    <n v="48"/>
    <x v="1"/>
    <n v="1"/>
    <n v="1"/>
    <n v="0"/>
    <n v="1"/>
  </r>
  <r>
    <x v="704"/>
    <s v="USR-00220"/>
    <s v="SES-2512-62148"/>
    <x v="395"/>
    <s v="South West"/>
    <s v="Bristol"/>
    <x v="0"/>
    <x v="4"/>
    <x v="1"/>
    <s v="Ios"/>
    <s v="Iphone"/>
    <s v="&lt;3 months"/>
    <x v="0"/>
    <x v="2"/>
    <x v="7"/>
    <s v="First Use"/>
    <s v="No Experiment"/>
    <s v="Control"/>
    <n v="4"/>
    <n v="4"/>
    <n v="123"/>
    <s v="No"/>
    <x v="0"/>
    <x v="1"/>
    <x v="1"/>
    <x v="0"/>
    <n v="68.95"/>
    <x v="10"/>
    <x v="0"/>
    <s v="No Support Contact"/>
    <s v="No"/>
    <s v="No Support Contact"/>
    <s v="Not Applicable"/>
    <m/>
    <s v="No drop-off"/>
    <n v="4"/>
    <n v="21"/>
    <n v="0"/>
    <x v="1"/>
    <n v="1"/>
    <n v="1"/>
    <n v="0"/>
    <n v="1"/>
  </r>
  <r>
    <x v="705"/>
    <s v="USR-00707"/>
    <s v="SES-2601-62037"/>
    <x v="391"/>
    <s v="Wales"/>
    <s v="Newport"/>
    <x v="1"/>
    <x v="0"/>
    <x v="0"/>
    <s v="Web"/>
    <s v="Desktop"/>
    <s v="7-12 months"/>
    <x v="2"/>
    <x v="4"/>
    <x v="5"/>
    <s v="First Use"/>
    <s v="New Cta Copy"/>
    <s v="Control"/>
    <n v="8"/>
    <n v="8"/>
    <n v="162"/>
    <s v="No"/>
    <x v="0"/>
    <x v="1"/>
    <x v="1"/>
    <x v="0"/>
    <n v="387.19"/>
    <x v="49"/>
    <x v="2"/>
    <s v="No Support Contact"/>
    <s v="No"/>
    <s v="No Support Contact"/>
    <s v="Not Applicable"/>
    <m/>
    <s v="No drop-off"/>
    <n v="3"/>
    <n v="-2"/>
    <s v="0 days"/>
    <x v="1"/>
    <n v="1"/>
    <n v="1"/>
    <n v="0"/>
    <n v="1"/>
  </r>
  <r>
    <x v="706"/>
    <s v="USR-00072"/>
    <s v="SES-2602-38788"/>
    <x v="368"/>
    <s v="East Midlands"/>
    <s v="Derby"/>
    <x v="7"/>
    <x v="0"/>
    <x v="0"/>
    <s v="Android"/>
    <s v="Android Phone"/>
    <s v="1-2 years"/>
    <x v="0"/>
    <x v="3"/>
    <x v="7"/>
    <s v="Trial/Exploration"/>
    <s v="Fee Transparency Panel"/>
    <s v="Control"/>
    <n v="4"/>
    <n v="4"/>
    <n v="111"/>
    <s v="No"/>
    <x v="1"/>
    <x v="1"/>
    <x v="1"/>
    <x v="1"/>
    <n v="0"/>
    <x v="0"/>
    <x v="0"/>
    <s v="No Support Contact"/>
    <s v="No"/>
    <s v="No Support Contact"/>
    <s v="N/A"/>
    <m/>
    <s v="No drop-off"/>
    <n v="3"/>
    <n v="22"/>
    <n v="12"/>
    <x v="0"/>
    <n v="0"/>
    <n v="0"/>
    <n v="0"/>
    <n v="0"/>
  </r>
  <r>
    <x v="707"/>
    <s v="USR-00024"/>
    <s v="SES-2510-78057"/>
    <x v="289"/>
    <s v="North West"/>
    <s v="Manchester"/>
    <x v="7"/>
    <x v="1"/>
    <x v="1"/>
    <s v="Ios"/>
    <s v="Iphone"/>
    <s v="7-12 months"/>
    <x v="0"/>
    <x v="4"/>
    <x v="0"/>
    <s v="First Use"/>
    <s v="No Experiment"/>
    <s v="Control"/>
    <n v="7"/>
    <n v="7"/>
    <n v="171"/>
    <s v="Unknown"/>
    <x v="1"/>
    <x v="1"/>
    <x v="1"/>
    <x v="0"/>
    <n v="0"/>
    <x v="0"/>
    <x v="0"/>
    <s v="No Support Contact"/>
    <s v="No"/>
    <s v="No Support Contact"/>
    <s v="Not Applicable"/>
    <m/>
    <s v="Technical error"/>
    <n v="2"/>
    <n v="-16"/>
    <n v="0"/>
    <x v="0"/>
    <n v="0"/>
    <n v="1"/>
    <n v="0"/>
    <n v="0"/>
  </r>
  <r>
    <x v="708"/>
    <s v="USR-00291"/>
    <s v="SES-2509-58691"/>
    <x v="252"/>
    <s v="North East"/>
    <s v="Middlesbrough"/>
    <x v="3"/>
    <x v="0"/>
    <x v="1"/>
    <s v="Android"/>
    <s v="Android Phone"/>
    <s v="1-2 years"/>
    <x v="0"/>
    <x v="7"/>
    <x v="7"/>
    <s v="Repeat Use"/>
    <s v="No Experiment"/>
    <s v="Control"/>
    <n v="4"/>
    <n v="4"/>
    <n v="106"/>
    <s v="No"/>
    <x v="0"/>
    <x v="1"/>
    <x v="1"/>
    <x v="0"/>
    <n v="23.3"/>
    <x v="9"/>
    <x v="0"/>
    <s v="Fees And Pricing"/>
    <s v="Yes"/>
    <s v="Fees And Pricing"/>
    <s v="Resolved"/>
    <n v="32"/>
    <s v="No drop-off"/>
    <n v="4"/>
    <n v="-6"/>
    <n v="27"/>
    <x v="0"/>
    <n v="1"/>
    <n v="1"/>
    <n v="0"/>
    <n v="0"/>
  </r>
  <r>
    <x v="709"/>
    <s v="USR-00441"/>
    <s v="SES-2504-29112"/>
    <x v="182"/>
    <s v="South West"/>
    <s v="Gloucester"/>
    <x v="0"/>
    <x v="2"/>
    <x v="1"/>
    <s v="Ios"/>
    <s v="Iphone"/>
    <s v="1-2 years"/>
    <x v="0"/>
    <x v="4"/>
    <x v="7"/>
    <s v="First Use"/>
    <s v="No Experiment"/>
    <s v="Control"/>
    <s v="4 steps"/>
    <n v="4"/>
    <n v="101"/>
    <s v="No"/>
    <x v="0"/>
    <x v="1"/>
    <x v="1"/>
    <x v="1"/>
    <n v="0"/>
    <x v="0"/>
    <x v="0"/>
    <s v="No Support Contact"/>
    <s v="No"/>
    <s v="No Support Contact"/>
    <s v="Not Applicable"/>
    <m/>
    <s v="No drop-off"/>
    <n v="4"/>
    <n v="48"/>
    <n v="0"/>
    <x v="0"/>
    <n v="1"/>
    <n v="0"/>
    <n v="0"/>
    <n v="0"/>
  </r>
  <r>
    <x v="710"/>
    <s v="USR-00208"/>
    <s v="SES-2501-52419"/>
    <x v="71"/>
    <s v="West Midlands"/>
    <s v="Wolverhampton"/>
    <x v="2"/>
    <x v="1"/>
    <x v="1"/>
    <s v="Android"/>
    <s v="Android Phone"/>
    <s v="2+ years"/>
    <x v="0"/>
    <x v="3"/>
    <x v="0"/>
    <s v="First Use"/>
    <s v="Simplified Onboarding"/>
    <s v="Control"/>
    <n v="7"/>
    <n v="7"/>
    <n v="258"/>
    <s v="No"/>
    <x v="1"/>
    <x v="0"/>
    <x v="0"/>
    <x v="1"/>
    <n v="0"/>
    <x v="0"/>
    <x v="0"/>
    <s v="No Support Contact"/>
    <s v="No"/>
    <s v="No Support Contact"/>
    <s v="Not Applicable"/>
    <m/>
    <s v="Technical error"/>
    <n v="2"/>
    <n v="-19"/>
    <n v="0"/>
    <x v="1"/>
    <n v="0"/>
    <n v="0"/>
    <n v="1"/>
    <n v="1"/>
  </r>
  <r>
    <x v="711"/>
    <s v="USR-00278"/>
    <s v="SES-2510-80468"/>
    <x v="79"/>
    <s v="South West"/>
    <s v="Bristol"/>
    <x v="1"/>
    <x v="3"/>
    <x v="0"/>
    <s v="Ios"/>
    <s v="Iphone"/>
    <s v="1-2 years"/>
    <x v="1"/>
    <x v="1"/>
    <x v="9"/>
    <s v="Repeat Use"/>
    <s v="Progress Indicator"/>
    <s v="Control"/>
    <n v="5"/>
    <n v="5"/>
    <n v="121"/>
    <s v="No"/>
    <x v="0"/>
    <x v="1"/>
    <x v="1"/>
    <x v="0"/>
    <n v="85.11"/>
    <x v="0"/>
    <x v="1"/>
    <s v="No Support Contact"/>
    <s v="No"/>
    <s v="No Support Contact"/>
    <s v="Not Applicable"/>
    <m/>
    <s v="No drop-off"/>
    <n v="5"/>
    <n v="37"/>
    <n v="42"/>
    <x v="1"/>
    <n v="1"/>
    <n v="1"/>
    <n v="0"/>
    <n v="1"/>
  </r>
  <r>
    <x v="712"/>
    <s v="USR-00028"/>
    <s v="SES-2503-28933"/>
    <x v="94"/>
    <s v="South East"/>
    <s v="Reading"/>
    <x v="0"/>
    <x v="0"/>
    <x v="1"/>
    <s v="Android"/>
    <s v="Android Phone"/>
    <s v="2+ years"/>
    <x v="0"/>
    <x v="0"/>
    <x v="1"/>
    <s v="Repeat Use"/>
    <s v="No Experiment"/>
    <s v="Control"/>
    <n v="4"/>
    <n v="4"/>
    <n v="88"/>
    <s v="No"/>
    <x v="0"/>
    <x v="1"/>
    <x v="1"/>
    <x v="0"/>
    <n v="144.13"/>
    <x v="4"/>
    <x v="0"/>
    <s v="No Support Contact"/>
    <s v="No"/>
    <s v="No Support Contact"/>
    <s v="Not Applicable"/>
    <m/>
    <s v="No drop-off"/>
    <n v="4"/>
    <n v="51"/>
    <n v="49"/>
    <x v="1"/>
    <n v="1"/>
    <n v="1"/>
    <n v="0"/>
    <n v="1"/>
  </r>
  <r>
    <x v="713"/>
    <s v="USR-00361"/>
    <s v="SES-2502-57770"/>
    <x v="171"/>
    <s v="East Midlands"/>
    <s v="Nottingham"/>
    <x v="0"/>
    <x v="4"/>
    <x v="1"/>
    <s v="Android"/>
    <s v="Android Phone"/>
    <s v="1-2 years"/>
    <x v="2"/>
    <x v="1"/>
    <x v="1"/>
    <s v="Repeat Use"/>
    <s v="No Experiment"/>
    <s v="Control"/>
    <n v="4"/>
    <n v="4"/>
    <n v="125"/>
    <s v="No"/>
    <x v="1"/>
    <x v="1"/>
    <x v="1"/>
    <x v="1"/>
    <n v="0"/>
    <x v="0"/>
    <x v="0"/>
    <s v="No Support Contact"/>
    <s v="No"/>
    <s v="No Support Contact"/>
    <s v="Not Applicable"/>
    <m/>
    <s v="No drop-off"/>
    <n v="3"/>
    <n v="14"/>
    <n v="45"/>
    <x v="0"/>
    <n v="0"/>
    <n v="0"/>
    <n v="0"/>
    <n v="0"/>
  </r>
  <r>
    <x v="714"/>
    <s v="USR-00639"/>
    <s v="SES-2502-33611"/>
    <x v="315"/>
    <s v="East Midlands"/>
    <s v="Derby"/>
    <x v="3"/>
    <x v="4"/>
    <x v="0"/>
    <s v="Android"/>
    <s v="Android Phone"/>
    <s v="2+ years"/>
    <x v="0"/>
    <x v="2"/>
    <x v="9"/>
    <s v="Repeat Use"/>
    <s v="No Experiment"/>
    <s v="Control"/>
    <s v="5 steps"/>
    <n v="3"/>
    <n v="213"/>
    <s v="Yes"/>
    <x v="0"/>
    <x v="1"/>
    <x v="1"/>
    <x v="0"/>
    <n v="118.69"/>
    <x v="0"/>
    <x v="0"/>
    <s v="No Support Contact"/>
    <s v="No"/>
    <s v="No Support Contact"/>
    <s v="Not Applicable"/>
    <m/>
    <s v="No drop-off"/>
    <n v="3"/>
    <n v="5"/>
    <s v="1 days"/>
    <x v="1"/>
    <n v="1"/>
    <n v="1"/>
    <n v="0"/>
    <n v="1"/>
  </r>
  <r>
    <x v="715"/>
    <s v="USR-00158"/>
    <s v="SES-2601-94157"/>
    <x v="290"/>
    <s v="South East"/>
    <s v="Guildford"/>
    <x v="2"/>
    <x v="3"/>
    <x v="1"/>
    <s v="Ios"/>
    <s v="Iphone"/>
    <s v="7-12 months"/>
    <x v="0"/>
    <x v="4"/>
    <x v="9"/>
    <s v="Repeat Use"/>
    <s v="Simplified Onboarding"/>
    <s v="Treatment"/>
    <n v="5"/>
    <n v="4"/>
    <n v="203"/>
    <s v="Yes"/>
    <x v="0"/>
    <x v="1"/>
    <x v="1"/>
    <x v="0"/>
    <n v="122.63"/>
    <x v="0"/>
    <x v="0"/>
    <s v="No Support Contact"/>
    <s v="No"/>
    <s v="No Support Contact"/>
    <s v="Not Applicable"/>
    <m/>
    <s v="No drop-off"/>
    <n v="3"/>
    <n v="2"/>
    <n v="28"/>
    <x v="1"/>
    <n v="1"/>
    <n v="1"/>
    <n v="0"/>
    <n v="1"/>
  </r>
  <r>
    <x v="716"/>
    <s v="USR-00536"/>
    <s v="SES-2509-15225"/>
    <x v="396"/>
    <s v="Wales"/>
    <s v="Cardiff"/>
    <x v="0"/>
    <x v="2"/>
    <x v="1"/>
    <s v="Ios"/>
    <s v="Iphone"/>
    <s v="2+ years"/>
    <x v="0"/>
    <x v="3"/>
    <x v="2"/>
    <s v="Repeat Use"/>
    <s v="No Experiment"/>
    <s v="Control"/>
    <n v="5"/>
    <n v="5"/>
    <n v="132"/>
    <s v="No"/>
    <x v="0"/>
    <x v="1"/>
    <x v="1"/>
    <x v="0"/>
    <n v="29.99"/>
    <x v="0"/>
    <x v="0"/>
    <s v="No Support Contact"/>
    <s v="No"/>
    <s v="No Support Contact"/>
    <s v="Not Applicable"/>
    <m/>
    <s v="No drop-off"/>
    <n v="4"/>
    <n v="20"/>
    <n v="29"/>
    <x v="1"/>
    <n v="1"/>
    <n v="1"/>
    <n v="0"/>
    <n v="1"/>
  </r>
  <r>
    <x v="717"/>
    <s v="USR-00417"/>
    <s v="SES-2508-82371"/>
    <x v="5"/>
    <s v="Yorkshire &amp; Humber"/>
    <s v="York"/>
    <x v="0"/>
    <x v="0"/>
    <x v="1"/>
    <s v="Ios"/>
    <s v="Iphone"/>
    <s v="3-6 months"/>
    <x v="0"/>
    <x v="4"/>
    <x v="6"/>
    <s v="First Use"/>
    <s v="New Cta Copy"/>
    <s v="Treatment"/>
    <n v="6"/>
    <n v="6"/>
    <n v="157"/>
    <s v="No"/>
    <x v="0"/>
    <x v="1"/>
    <x v="1"/>
    <x v="0"/>
    <n v="0"/>
    <x v="5"/>
    <x v="0"/>
    <s v="No Support Contact"/>
    <s v="No"/>
    <s v="No Support Contact"/>
    <s v="Not Applicable"/>
    <m/>
    <s v="No drop-off"/>
    <n v="5"/>
    <n v="51"/>
    <n v="0"/>
    <x v="1"/>
    <n v="1"/>
    <n v="1"/>
    <n v="0"/>
    <n v="1"/>
  </r>
  <r>
    <x v="718"/>
    <s v="USR-00072"/>
    <s v="SES-2509-97308"/>
    <x v="397"/>
    <s v="South East"/>
    <s v="Brighton"/>
    <x v="4"/>
    <x v="2"/>
    <x v="0"/>
    <s v="Android"/>
    <s v="Android Phone"/>
    <s v="1-2 years"/>
    <x v="1"/>
    <x v="1"/>
    <x v="0"/>
    <s v="Repeat Use"/>
    <s v="Fee Transparency Panel"/>
    <s v="Treatment"/>
    <n v="7"/>
    <n v="7"/>
    <n v="215"/>
    <s v="No"/>
    <x v="0"/>
    <x v="1"/>
    <x v="1"/>
    <x v="1"/>
    <n v="0"/>
    <x v="0"/>
    <x v="0"/>
    <s v="No Support Contact"/>
    <s v="No"/>
    <s v="No Support Contact"/>
    <s v="Not Applicable"/>
    <m/>
    <s v="No drop-off"/>
    <n v="4"/>
    <n v="26"/>
    <n v="27"/>
    <x v="1"/>
    <n v="1"/>
    <n v="0"/>
    <n v="0"/>
    <n v="1"/>
  </r>
  <r>
    <x v="719"/>
    <s v="USR-00786"/>
    <s v="SES-2509-10604"/>
    <x v="252"/>
    <s v="North East"/>
    <s v="Middlesbrough"/>
    <x v="2"/>
    <x v="2"/>
    <x v="0"/>
    <s v="Android"/>
    <s v="Android Phone"/>
    <s v="3-6 months"/>
    <x v="0"/>
    <x v="7"/>
    <x v="4"/>
    <s v="First Use"/>
    <s v="New Cta Copy"/>
    <s v="Treatment"/>
    <n v="6"/>
    <s v="6 steps"/>
    <n v="191"/>
    <s v="No"/>
    <x v="0"/>
    <x v="1"/>
    <x v="1"/>
    <x v="0"/>
    <n v="87.5"/>
    <x v="0"/>
    <x v="0"/>
    <s v="No Support Contact"/>
    <s v="No"/>
    <s v="No Support Contact"/>
    <s v="Not Applicable"/>
    <m/>
    <s v="No drop-off"/>
    <n v="5"/>
    <n v="34"/>
    <n v="0"/>
    <x v="0"/>
    <n v="1"/>
    <n v="1"/>
    <n v="0"/>
    <n v="0"/>
  </r>
  <r>
    <x v="720"/>
    <s v="USR-00823"/>
    <s v="SES-2506-55767"/>
    <x v="170"/>
    <s v="North East"/>
    <s v="Sunderland"/>
    <x v="7"/>
    <x v="2"/>
    <x v="0"/>
    <s v="Ios"/>
    <s v="Iphone"/>
    <s v="7-12 months"/>
    <x v="1"/>
    <x v="1"/>
    <x v="1"/>
    <s v="First Use"/>
    <s v="Contextual Help"/>
    <s v="Treatment"/>
    <n v="4"/>
    <n v="4"/>
    <n v="89"/>
    <s v="No"/>
    <x v="0"/>
    <x v="1"/>
    <x v="1"/>
    <x v="0"/>
    <n v="129.07"/>
    <x v="7"/>
    <x v="1"/>
    <s v="No Support Contact"/>
    <s v="No"/>
    <s v="No Support Contact"/>
    <s v="Not Applicable"/>
    <m/>
    <s v="No drop-off"/>
    <n v="5"/>
    <n v="44"/>
    <n v="0"/>
    <x v="1"/>
    <n v="1"/>
    <n v="1"/>
    <n v="0"/>
    <n v="1"/>
  </r>
  <r>
    <x v="721"/>
    <s v="USR-00722"/>
    <s v="SES-2603-86895"/>
    <x v="205"/>
    <s v="North East"/>
    <s v="Sunderland"/>
    <x v="5"/>
    <x v="0"/>
    <x v="0"/>
    <s v="Android"/>
    <s v="Android Phone"/>
    <s v="1-2 years"/>
    <x v="0"/>
    <x v="2"/>
    <x v="7"/>
    <s v="Repeat Use"/>
    <s v="New Cta Copy"/>
    <s v="Treatment"/>
    <n v="4"/>
    <n v="4"/>
    <n v="92"/>
    <s v="No"/>
    <x v="0"/>
    <x v="1"/>
    <x v="1"/>
    <x v="0"/>
    <n v="65.23"/>
    <x v="54"/>
    <x v="0"/>
    <s v="No Support Contact"/>
    <s v="No"/>
    <s v="No Support Contact"/>
    <s v="Not Applicable"/>
    <m/>
    <s v="No drop-off"/>
    <n v="4"/>
    <n v="0"/>
    <n v="40"/>
    <x v="0"/>
    <n v="1"/>
    <n v="1"/>
    <n v="0"/>
    <n v="0"/>
  </r>
  <r>
    <x v="722"/>
    <s v="USR-00077"/>
    <s v="SES-2501-72102"/>
    <x v="48"/>
    <s v="London"/>
    <s v="Camden"/>
    <x v="5"/>
    <x v="2"/>
    <x v="0"/>
    <s v="Ios"/>
    <s v="Iphone"/>
    <s v="2+ years"/>
    <x v="2"/>
    <x v="0"/>
    <x v="2"/>
    <s v="First Use"/>
    <s v="No Experiment"/>
    <s v="Control"/>
    <n v="5"/>
    <n v="5"/>
    <n v="91"/>
    <s v="No"/>
    <x v="0"/>
    <x v="1"/>
    <x v="1"/>
    <x v="0"/>
    <n v="20.25"/>
    <x v="0"/>
    <x v="2"/>
    <s v="No Support Contact"/>
    <s v="No"/>
    <s v="No Support Contact"/>
    <s v="Not Applicable"/>
    <m/>
    <s v="No drop-off"/>
    <n v="5"/>
    <n v="32"/>
    <n v="0"/>
    <x v="1"/>
    <n v="1"/>
    <n v="1"/>
    <n v="0"/>
    <n v="1"/>
  </r>
  <r>
    <x v="723"/>
    <s v="USR-00291"/>
    <s v="SES-2604-24018"/>
    <x v="398"/>
    <s v="Wales"/>
    <s v="Cardiff"/>
    <x v="0"/>
    <x v="2"/>
    <x v="1"/>
    <s v="Web"/>
    <s v="Tablet Browser"/>
    <s v="1-2 years"/>
    <x v="0"/>
    <x v="6"/>
    <x v="4"/>
    <s v="Repeat Use"/>
    <s v="Simplified Onboarding"/>
    <s v="Treatment"/>
    <n v="6"/>
    <n v="5"/>
    <n v="261"/>
    <s v="Yes"/>
    <x v="1"/>
    <x v="0"/>
    <x v="5"/>
    <x v="1"/>
    <n v="0"/>
    <x v="0"/>
    <x v="0"/>
    <s v="Account Verification"/>
    <s v="Yes"/>
    <s v="Account Verification"/>
    <s v="Resolved"/>
    <n v="31"/>
    <s v="Privacy concern"/>
    <n v="2"/>
    <n v="-66"/>
    <n v="12"/>
    <x v="1"/>
    <n v="0"/>
    <n v="0"/>
    <n v="1"/>
    <n v="1"/>
  </r>
  <r>
    <x v="724"/>
    <s v="USR-00213"/>
    <s v="SES-2601-50548"/>
    <x v="399"/>
    <s v="West Midlands"/>
    <s v="Coventry"/>
    <x v="0"/>
    <x v="2"/>
    <x v="0"/>
    <s v="Ios"/>
    <s v="Iphone"/>
    <s v="&lt;3 months"/>
    <x v="0"/>
    <x v="3"/>
    <x v="2"/>
    <s v="Repeat Use"/>
    <s v="New Cta Copy"/>
    <s v="Treatment"/>
    <n v="5"/>
    <n v="5"/>
    <n v="151"/>
    <s v="No"/>
    <x v="1"/>
    <x v="1"/>
    <x v="1"/>
    <x v="1"/>
    <n v="0"/>
    <x v="0"/>
    <x v="0"/>
    <s v="No Support Contact"/>
    <s v="No"/>
    <s v="No Support Contact"/>
    <s v="Not Applicable"/>
    <m/>
    <s v="Technical error"/>
    <n v="4"/>
    <n v="-3"/>
    <n v="42"/>
    <x v="1"/>
    <n v="0"/>
    <n v="0"/>
    <n v="0"/>
    <n v="1"/>
  </r>
  <r>
    <x v="725"/>
    <s v="USR-00595"/>
    <s v="SES-2604-93199"/>
    <x v="400"/>
    <s v="London"/>
    <s v="Hammersmith"/>
    <x v="0"/>
    <x v="1"/>
    <x v="0"/>
    <s v="Android"/>
    <s v="Android Phone"/>
    <s v="3-6 months"/>
    <x v="0"/>
    <x v="4"/>
    <x v="1"/>
    <s v="First Use"/>
    <s v="No Experiment"/>
    <s v="Control"/>
    <n v="4"/>
    <n v="2"/>
    <n v="157"/>
    <s v="Yes"/>
    <x v="0"/>
    <x v="1"/>
    <x v="1"/>
    <x v="1"/>
    <n v="0"/>
    <x v="0"/>
    <x v="0"/>
    <s v="Transaction Failure"/>
    <s v="Yes"/>
    <s v="Transaction Failure"/>
    <s v="Unresolved"/>
    <n v="26"/>
    <s v="No drop-off"/>
    <n v="3"/>
    <n v="3"/>
    <n v="0"/>
    <x v="0"/>
    <n v="1"/>
    <n v="0"/>
    <n v="0"/>
    <n v="0"/>
  </r>
  <r>
    <x v="726"/>
    <s v="USR-00624"/>
    <s v="SES-2510-48517"/>
    <x v="77"/>
    <s v="South East"/>
    <s v="Brighton"/>
    <x v="2"/>
    <x v="2"/>
    <x v="1"/>
    <s v="Android"/>
    <s v="Android Phone"/>
    <s v="3-6 months"/>
    <x v="0"/>
    <x v="5"/>
    <x v="10"/>
    <s v="First Use"/>
    <s v="No Experiment"/>
    <s v="Control"/>
    <n v="9"/>
    <n v="6"/>
    <n v="269"/>
    <s v="Yes"/>
    <x v="1"/>
    <x v="1"/>
    <x v="1"/>
    <x v="1"/>
    <n v="0"/>
    <x v="0"/>
    <x v="0"/>
    <s v="No Support Contact"/>
    <s v="No"/>
    <s v="No Support Contact"/>
    <s v="Not Applicable"/>
    <m/>
    <s v="Instructions unclear"/>
    <n v="3"/>
    <n v="-22"/>
    <n v="0"/>
    <x v="0"/>
    <n v="0"/>
    <n v="0"/>
    <n v="0"/>
    <n v="0"/>
  </r>
  <r>
    <x v="727"/>
    <s v="USR-00438"/>
    <s v="SES-2603-61363"/>
    <x v="401"/>
    <s v="Wales"/>
    <s v="Newport"/>
    <x v="0"/>
    <x v="1"/>
    <x v="1"/>
    <s v="Unknown"/>
    <s v="Android Phone"/>
    <s v="1-2 years"/>
    <x v="0"/>
    <x v="1"/>
    <x v="1"/>
    <s v="Repeat Use"/>
    <s v="Progress Indicator"/>
    <s v="Treatment"/>
    <n v="4"/>
    <n v="4"/>
    <n v="83"/>
    <s v="No"/>
    <x v="0"/>
    <x v="1"/>
    <x v="1"/>
    <x v="0"/>
    <n v="139.78"/>
    <x v="7"/>
    <x v="0"/>
    <s v="No Support Contact"/>
    <s v="No"/>
    <s v="No Support Contact"/>
    <s v="Not Applicable"/>
    <m/>
    <s v="No drop-off"/>
    <n v="4"/>
    <n v="15"/>
    <n v="50"/>
    <x v="1"/>
    <n v="1"/>
    <n v="1"/>
    <n v="0"/>
    <n v="1"/>
  </r>
  <r>
    <x v="728"/>
    <s v="USR-00221"/>
    <s v="SES-2508-28157"/>
    <x v="102"/>
    <s v="Yorkshire &amp; Humber"/>
    <s v="Sheffield"/>
    <x v="1"/>
    <x v="2"/>
    <x v="0"/>
    <s v="Android"/>
    <s v="Android Phone"/>
    <s v="1-2 years"/>
    <x v="0"/>
    <x v="2"/>
    <x v="3"/>
    <s v="Repeat Use"/>
    <s v="Fee Transparency Panel"/>
    <s v="Treatment"/>
    <n v="6"/>
    <n v="6"/>
    <n v="158"/>
    <s v="No"/>
    <x v="0"/>
    <x v="1"/>
    <x v="1"/>
    <x v="0"/>
    <n v="44.02"/>
    <x v="2"/>
    <x v="0"/>
    <s v="No Support Contact"/>
    <s v="No"/>
    <s v="No Support Contact"/>
    <s v="Not Applicable"/>
    <m/>
    <s v="No drop-off"/>
    <n v="4"/>
    <n v="14"/>
    <n v="31"/>
    <x v="1"/>
    <n v="1"/>
    <n v="1"/>
    <n v="0"/>
    <n v="1"/>
  </r>
  <r>
    <x v="729"/>
    <s v="USR-00457"/>
    <s v="SES-2506-97264"/>
    <x v="386"/>
    <s v="Wales"/>
    <s v="Cardiff"/>
    <x v="0"/>
    <x v="3"/>
    <x v="0"/>
    <s v="Android"/>
    <s v="Android Phone"/>
    <s v="2+ years"/>
    <x v="0"/>
    <x v="2"/>
    <x v="1"/>
    <s v="First Use"/>
    <s v="New Cta Copy"/>
    <s v="Control"/>
    <n v="4"/>
    <n v="4"/>
    <n v="85"/>
    <s v="No"/>
    <x v="0"/>
    <x v="1"/>
    <x v="1"/>
    <x v="0"/>
    <n v="131.07"/>
    <x v="6"/>
    <x v="0"/>
    <s v="No Support Contact"/>
    <s v="No"/>
    <s v="No Support Contact"/>
    <s v="Not Applicable"/>
    <m/>
    <s v="No drop-off"/>
    <n v="5"/>
    <n v="43"/>
    <n v="0"/>
    <x v="1"/>
    <n v="1"/>
    <n v="1"/>
    <n v="0"/>
    <n v="1"/>
  </r>
  <r>
    <x v="730"/>
    <s v="USR-00627"/>
    <s v="SES-2509-99519"/>
    <x v="252"/>
    <s v="Scotland"/>
    <s v="Dundee"/>
    <x v="0"/>
    <x v="4"/>
    <x v="1"/>
    <s v="Ios"/>
    <s v="Iphone"/>
    <s v="7-12 months"/>
    <x v="2"/>
    <x v="1"/>
    <x v="5"/>
    <s v="Repeat Use"/>
    <s v="Progress Indicator"/>
    <s v="Treatment"/>
    <n v="8"/>
    <n v="8"/>
    <n v="163"/>
    <s v="No"/>
    <x v="1"/>
    <x v="1"/>
    <x v="1"/>
    <x v="1"/>
    <n v="0"/>
    <x v="0"/>
    <x v="0"/>
    <s v="No Support Contact"/>
    <s v="No"/>
    <s v="No Support Contact"/>
    <s v="Not Applicable"/>
    <m/>
    <s v="No drop-off"/>
    <n v="4"/>
    <n v="-2"/>
    <n v="21"/>
    <x v="0"/>
    <n v="0"/>
    <n v="0"/>
    <n v="0"/>
    <n v="0"/>
  </r>
  <r>
    <x v="731"/>
    <s v="USR-00433"/>
    <s v="SES-2601-75052"/>
    <x v="310"/>
    <s v="East Midlands"/>
    <s v="LINCOLN"/>
    <x v="5"/>
    <x v="0"/>
    <x v="0"/>
    <s v="Android"/>
    <s v="Android Phone"/>
    <s v="1-2 years"/>
    <x v="0"/>
    <x v="5"/>
    <x v="7"/>
    <s v="Repeat Use"/>
    <s v="No Experiment"/>
    <s v="Control"/>
    <n v="4"/>
    <n v="4"/>
    <n v="95"/>
    <s v="No"/>
    <x v="0"/>
    <x v="1"/>
    <x v="1"/>
    <x v="0"/>
    <n v="105.6"/>
    <x v="10"/>
    <x v="0"/>
    <s v="No Support Contact"/>
    <s v="No"/>
    <s v="No Support Contact"/>
    <s v="Not Applicable"/>
    <m/>
    <s v="No drop-off"/>
    <n v="3"/>
    <n v="18"/>
    <n v="36"/>
    <x v="0"/>
    <n v="1"/>
    <n v="1"/>
    <n v="0"/>
    <n v="0"/>
  </r>
  <r>
    <x v="732"/>
    <s v="USR-00616"/>
    <s v="SES-2502-65476"/>
    <x v="402"/>
    <s v="Scotland"/>
    <s v="Dundee"/>
    <x v="2"/>
    <x v="0"/>
    <x v="1"/>
    <s v="Ios"/>
    <s v="Iphone"/>
    <s v="2+ years"/>
    <x v="0"/>
    <x v="4"/>
    <x v="8"/>
    <s v="Repeat Use"/>
    <s v="No Experiment"/>
    <s v="Control"/>
    <n v="5"/>
    <n v="5"/>
    <n v="147"/>
    <s v="No"/>
    <x v="0"/>
    <x v="1"/>
    <x v="1"/>
    <x v="0"/>
    <n v="55.91"/>
    <x v="0"/>
    <x v="0"/>
    <s v="No Support Contact"/>
    <s v="No"/>
    <s v="No Support Contact"/>
    <s v="Not Applicable"/>
    <m/>
    <s v="No drop-off"/>
    <n v="5"/>
    <n v="15"/>
    <n v="3"/>
    <x v="1"/>
    <n v="1"/>
    <n v="1"/>
    <n v="0"/>
    <n v="1"/>
  </r>
  <r>
    <x v="733"/>
    <s v="USR-00574"/>
    <s v="SES-2603-54746"/>
    <x v="403"/>
    <s v="South East"/>
    <s v="Guildford"/>
    <x v="1"/>
    <x v="2"/>
    <x v="1"/>
    <s v="Android"/>
    <s v="Android Phone"/>
    <s v="7-12 months"/>
    <x v="0"/>
    <x v="1"/>
    <x v="2"/>
    <s v="Repeat Use"/>
    <s v="No Experiment"/>
    <s v="Control"/>
    <n v="5"/>
    <n v="5"/>
    <n v="128"/>
    <s v="No"/>
    <x v="0"/>
    <x v="1"/>
    <x v="1"/>
    <x v="0"/>
    <n v="182.61"/>
    <x v="0"/>
    <x v="0"/>
    <s v="Other"/>
    <s v="Yes"/>
    <s v="Other"/>
    <s v="Resolved"/>
    <n v="12"/>
    <s v="No drop-off"/>
    <n v="5"/>
    <n v="-4"/>
    <n v="61"/>
    <x v="1"/>
    <n v="1"/>
    <n v="1"/>
    <n v="0"/>
    <n v="1"/>
  </r>
  <r>
    <x v="734"/>
    <s v="USR-00123"/>
    <s v="SES-2503-48159"/>
    <x v="340"/>
    <s v="North West"/>
    <s v="Manchester"/>
    <x v="2"/>
    <x v="3"/>
    <x v="1"/>
    <s v="Ios"/>
    <s v="Iphone"/>
    <s v="2+ years"/>
    <x v="0"/>
    <x v="3"/>
    <x v="8"/>
    <s v="Repeat Use"/>
    <s v="Progress Indicator"/>
    <s v="Control"/>
    <s v="5 steps"/>
    <n v="3"/>
    <n v="151"/>
    <s v="Yes"/>
    <x v="0"/>
    <x v="1"/>
    <x v="1"/>
    <x v="0"/>
    <n v="47.37"/>
    <x v="0"/>
    <x v="0"/>
    <s v="No Support Contact"/>
    <s v="No"/>
    <s v="No Support Contact"/>
    <s v="Not Applicable"/>
    <m/>
    <s v="No drop-off"/>
    <n v="3"/>
    <n v="12"/>
    <n v="22"/>
    <x v="1"/>
    <n v="1"/>
    <n v="1"/>
    <n v="0"/>
    <n v="1"/>
  </r>
  <r>
    <x v="735"/>
    <s v="usr-00123"/>
    <s v="SES-2504-40453"/>
    <x v="73"/>
    <s v="South West"/>
    <s v="Gloucester"/>
    <x v="3"/>
    <x v="0"/>
    <x v="0"/>
    <s v="Ios"/>
    <s v="Iphone"/>
    <s v="3-6 months"/>
    <x v="0"/>
    <x v="5"/>
    <x v="0"/>
    <s v="Reactivated"/>
    <s v="New Cta Copy"/>
    <s v="Control"/>
    <n v="7"/>
    <n v="7"/>
    <n v="219"/>
    <s v="No"/>
    <x v="1"/>
    <x v="0"/>
    <x v="0"/>
    <x v="1"/>
    <n v="0"/>
    <x v="0"/>
    <x v="0"/>
    <s v="No Support Contact"/>
    <s v="No"/>
    <s v="No Support Contact"/>
    <s v="Not Applicable"/>
    <m/>
    <s v="Technical error"/>
    <n v="3"/>
    <n v="-17"/>
    <n v="17"/>
    <x v="0"/>
    <n v="0"/>
    <n v="0"/>
    <n v="1"/>
    <n v="0"/>
  </r>
  <r>
    <x v="736"/>
    <s v="USR-00382"/>
    <s v="SES-2501-50569"/>
    <x v="404"/>
    <s v="North West"/>
    <s v="Chester"/>
    <x v="4"/>
    <x v="1"/>
    <x v="1"/>
    <s v="Android"/>
    <s v="Android Phone"/>
    <s v="3-6 months"/>
    <x v="2"/>
    <x v="2"/>
    <x v="8"/>
    <s v="Trial/Exploration"/>
    <s v="No Experiment"/>
    <s v="Control"/>
    <n v="5"/>
    <n v="5"/>
    <n v="126"/>
    <s v="No"/>
    <x v="0"/>
    <x v="1"/>
    <x v="1"/>
    <x v="0"/>
    <n v="169.49"/>
    <x v="0"/>
    <x v="2"/>
    <s v="Other"/>
    <s v="Yes"/>
    <s v="Other"/>
    <s v="Unresolved"/>
    <n v="25"/>
    <s v="No drop-off"/>
    <n v="5"/>
    <n v="5"/>
    <n v="31"/>
    <x v="1"/>
    <n v="1"/>
    <n v="1"/>
    <n v="0"/>
    <n v="1"/>
  </r>
  <r>
    <x v="737"/>
    <s v="USR-00662"/>
    <s v="SES-2604-66713"/>
    <x v="186"/>
    <s v="London"/>
    <s v="Hammersmith"/>
    <x v="7"/>
    <x v="1"/>
    <x v="1"/>
    <s v="Android"/>
    <s v="Android Phone"/>
    <s v="1-2 years"/>
    <x v="0"/>
    <x v="1"/>
    <x v="4"/>
    <s v="Reactivated"/>
    <s v="No Experiment"/>
    <s v="Control"/>
    <n v="6"/>
    <n v="4"/>
    <n v="237"/>
    <s v="Yes"/>
    <x v="0"/>
    <x v="1"/>
    <x v="1"/>
    <x v="0"/>
    <n v="0"/>
    <x v="0"/>
    <x v="0"/>
    <s v="No Support Contact"/>
    <s v="No"/>
    <s v="No Support Contact"/>
    <s v="Not Applicable"/>
    <m/>
    <s v="No drop-off"/>
    <n v="4"/>
    <n v="-9"/>
    <n v="28"/>
    <x v="0"/>
    <n v="1"/>
    <n v="1"/>
    <n v="0"/>
    <n v="0"/>
  </r>
  <r>
    <x v="738"/>
    <s v="USR-00272"/>
    <s v="SES-2507-47157"/>
    <x v="332"/>
    <s v="Northern Ireland"/>
    <s v="Derry"/>
    <x v="2"/>
    <x v="1"/>
    <x v="1"/>
    <s v="Android"/>
    <s v="Android Phone"/>
    <s v="1-2 years"/>
    <x v="0"/>
    <x v="4"/>
    <x v="10"/>
    <s v="Repeat Use"/>
    <s v="No Experiment"/>
    <s v="Control"/>
    <n v="9"/>
    <n v="9"/>
    <n v="277"/>
    <s v="No"/>
    <x v="1"/>
    <x v="1"/>
    <x v="1"/>
    <x v="1"/>
    <n v="0"/>
    <x v="0"/>
    <x v="0"/>
    <s v="No Support Contact"/>
    <s v="No"/>
    <s v="No Support Contact"/>
    <s v="Not Applicable"/>
    <m/>
    <s v="No drop-off"/>
    <n v="2"/>
    <n v="-16"/>
    <s v="71 days"/>
    <x v="0"/>
    <n v="0"/>
    <n v="0"/>
    <n v="0"/>
    <n v="0"/>
  </r>
  <r>
    <x v="739"/>
    <s v="USR-00373"/>
    <s v="SES-2501-60612"/>
    <x v="100"/>
    <s v="West Midlands"/>
    <s v="Wolverhampton"/>
    <x v="1"/>
    <x v="3"/>
    <x v="1"/>
    <s v="Ios"/>
    <s v="Iphone"/>
    <s v="1-2 years"/>
    <x v="0"/>
    <x v="3"/>
    <x v="2"/>
    <s v="First Use"/>
    <s v="No Experiment"/>
    <s v="Control"/>
    <n v="5"/>
    <n v="5"/>
    <n v="195"/>
    <s v="No"/>
    <x v="0"/>
    <x v="0"/>
    <x v="21"/>
    <x v="0"/>
    <n v="90.67"/>
    <x v="0"/>
    <x v="0"/>
    <s v="Transaction Failure"/>
    <s v="Yes"/>
    <s v="Transaction Failure"/>
    <s v="Unresolved"/>
    <n v="14"/>
    <s v="No drop-off"/>
    <n v="3"/>
    <n v="-18"/>
    <n v="0"/>
    <x v="1"/>
    <n v="1"/>
    <n v="1"/>
    <n v="1"/>
    <n v="1"/>
  </r>
  <r>
    <x v="740"/>
    <s v="USR-00622"/>
    <s v="SES-2509-58500"/>
    <x v="362"/>
    <s v="South East"/>
    <s v="Guildford"/>
    <x v="0"/>
    <x v="5"/>
    <x v="1"/>
    <s v="Android"/>
    <s v="Android Phone"/>
    <s v="7-12 months"/>
    <x v="0"/>
    <x v="1"/>
    <x v="10"/>
    <s v="Repeat Use"/>
    <s v="No Experiment"/>
    <s v="Control"/>
    <n v="9"/>
    <n v="7"/>
    <n v="301"/>
    <s v="Yes"/>
    <x v="1"/>
    <x v="1"/>
    <x v="1"/>
    <x v="1"/>
    <n v="0"/>
    <x v="0"/>
    <x v="0"/>
    <s v="No Support Contact"/>
    <s v="No"/>
    <s v="No Support Contact"/>
    <s v="Not Applicable"/>
    <m/>
    <s v="Too many steps"/>
    <n v="1"/>
    <n v="-25"/>
    <n v="45"/>
    <x v="1"/>
    <n v="0"/>
    <n v="0"/>
    <n v="0"/>
    <n v="1"/>
  </r>
  <r>
    <x v="741"/>
    <s v="USR-00544"/>
    <s v="SES-2512-31898"/>
    <x v="405"/>
    <s v="North East"/>
    <s v="Sunderland"/>
    <x v="3"/>
    <x v="1"/>
    <x v="1"/>
    <s v="Android"/>
    <s v="Android Phone"/>
    <s v="7-12 months"/>
    <x v="3"/>
    <x v="1"/>
    <x v="3"/>
    <s v="Reactivated"/>
    <s v="No Experiment"/>
    <s v="Control"/>
    <n v="6"/>
    <n v="6"/>
    <n v="184"/>
    <s v="No"/>
    <x v="0"/>
    <x v="1"/>
    <x v="1"/>
    <x v="0"/>
    <n v="0"/>
    <x v="2"/>
    <x v="0"/>
    <s v="No Support Contact"/>
    <s v="No"/>
    <s v="No Support Contact"/>
    <s v="Not Applicable"/>
    <m/>
    <s v="No drop-off"/>
    <n v="3"/>
    <n v="9"/>
    <n v="28"/>
    <x v="1"/>
    <n v="1"/>
    <n v="1"/>
    <n v="0"/>
    <n v="1"/>
  </r>
  <r>
    <x v="742"/>
    <s v="USR-00478"/>
    <s v="SES-2502-19826"/>
    <x v="286"/>
    <s v="South East"/>
    <s v="Oxford"/>
    <x v="1"/>
    <x v="4"/>
    <x v="1"/>
    <s v="Android"/>
    <s v="Android Tablet"/>
    <s v="7-12 months"/>
    <x v="0"/>
    <x v="2"/>
    <x v="1"/>
    <s v="Reactivated"/>
    <s v="Fee Transparency Panel"/>
    <s v="Treatment"/>
    <n v="4"/>
    <n v="4"/>
    <n v="96"/>
    <s v="No"/>
    <x v="0"/>
    <x v="1"/>
    <x v="1"/>
    <x v="0"/>
    <n v="122.78"/>
    <x v="8"/>
    <x v="0"/>
    <s v="No Support Contact"/>
    <s v="No"/>
    <s v="No Support Contact"/>
    <s v="Not Applicable"/>
    <m/>
    <s v="No drop-off"/>
    <n v="4"/>
    <n v="40"/>
    <n v="31"/>
    <x v="0"/>
    <n v="1"/>
    <n v="1"/>
    <n v="0"/>
    <n v="0"/>
  </r>
  <r>
    <x v="743"/>
    <s v="USR-00366"/>
    <s v="SES-2604-39646"/>
    <x v="278"/>
    <s v="Yorkshire &amp; Humber"/>
    <s v="York"/>
    <x v="1"/>
    <x v="2"/>
    <x v="1"/>
    <s v="Android"/>
    <s v="Android Phone"/>
    <s v="7-12 months"/>
    <x v="1"/>
    <x v="2"/>
    <x v="1"/>
    <s v="Repeat Use"/>
    <s v="New Cta Copy"/>
    <s v="Control"/>
    <n v="99"/>
    <n v="4"/>
    <n v="96"/>
    <s v="No"/>
    <x v="1"/>
    <x v="1"/>
    <x v="1"/>
    <x v="1"/>
    <n v="0"/>
    <x v="0"/>
    <x v="0"/>
    <s v="No Support Contact"/>
    <s v="No"/>
    <s v="No Support Contact"/>
    <s v="Not Applicable"/>
    <m/>
    <s v="Verification took too long"/>
    <n v="3"/>
    <n v="13"/>
    <n v="23"/>
    <x v="1"/>
    <n v="0"/>
    <n v="0"/>
    <n v="0"/>
    <n v="1"/>
  </r>
  <r>
    <x v="744"/>
    <s v="USR-00458"/>
    <s v="SES-2504-12022"/>
    <x v="137"/>
    <s v="East Midlands"/>
    <s v="Derby"/>
    <x v="2"/>
    <x v="4"/>
    <x v="0"/>
    <s v="Android"/>
    <s v="Android Phone"/>
    <s v="&lt;3 months"/>
    <x v="0"/>
    <x v="5"/>
    <x v="9"/>
    <s v="Repeat Use"/>
    <s v="Simplified Onboarding"/>
    <s v="Control"/>
    <n v="5"/>
    <n v="5"/>
    <n v="99"/>
    <s v="No"/>
    <x v="1"/>
    <x v="1"/>
    <x v="1"/>
    <x v="0"/>
    <n v="107.23"/>
    <x v="0"/>
    <x v="0"/>
    <s v="No Support Contact"/>
    <s v="No"/>
    <s v="No Support Contact"/>
    <s v="Not Applicable"/>
    <m/>
    <s v="Too many steps"/>
    <n v="4"/>
    <n v="8"/>
    <n v="24"/>
    <x v="1"/>
    <n v="0"/>
    <n v="1"/>
    <n v="0"/>
    <n v="1"/>
  </r>
  <r>
    <x v="745"/>
    <s v="USR-00735"/>
    <s v="SES-2604-11018"/>
    <x v="406"/>
    <s v="North East"/>
    <s v="Middlesbrough"/>
    <x v="1"/>
    <x v="4"/>
    <x v="0"/>
    <s v="Web"/>
    <s v="Mobile Browser"/>
    <s v="1-2 years"/>
    <x v="0"/>
    <x v="1"/>
    <x v="4"/>
    <s v="Reactivated"/>
    <s v="No Experiment"/>
    <s v="Control"/>
    <n v="6"/>
    <n v="3"/>
    <n v="273"/>
    <s v="Yes"/>
    <x v="1"/>
    <x v="1"/>
    <x v="1"/>
    <x v="0"/>
    <n v="3.22"/>
    <x v="0"/>
    <x v="0"/>
    <s v="No Support Contact"/>
    <s v="No"/>
    <s v="No Support Contact"/>
    <s v="Not Applicable"/>
    <m/>
    <s v="Instructions unclear"/>
    <n v="3"/>
    <n v="150"/>
    <n v="46"/>
    <x v="0"/>
    <n v="0"/>
    <n v="1"/>
    <n v="0"/>
    <n v="0"/>
  </r>
  <r>
    <x v="406"/>
    <s v="USR-00406"/>
    <s v="SES-2502-80648"/>
    <x v="9"/>
    <s v="East England"/>
    <s v="Luton"/>
    <x v="1"/>
    <x v="1"/>
    <x v="1"/>
    <s v="Android"/>
    <s v="Android Phone"/>
    <s v="2+ years"/>
    <x v="0"/>
    <x v="5"/>
    <x v="1"/>
    <s v="Reactivated"/>
    <s v="No Experiment"/>
    <s v="Control"/>
    <n v="4"/>
    <n v="2"/>
    <n v="174"/>
    <s v="Yes"/>
    <x v="0"/>
    <x v="1"/>
    <x v="1"/>
    <x v="0"/>
    <n v="80.790000000000006"/>
    <x v="1"/>
    <x v="0"/>
    <s v="No Support Contact"/>
    <s v="No"/>
    <s v="No Support Contact"/>
    <s v="Not Applicable"/>
    <m/>
    <s v="No drop-off"/>
    <n v="3"/>
    <n v="-3"/>
    <n v="12"/>
    <x v="1"/>
    <n v="1"/>
    <n v="1"/>
    <n v="0"/>
    <n v="1"/>
  </r>
  <r>
    <x v="746"/>
    <s v="USR-00546"/>
    <s v="SES-2605-89896"/>
    <x v="268"/>
    <s v="Northern Ireland"/>
    <s v="Belfast"/>
    <x v="3"/>
    <x v="3"/>
    <x v="0"/>
    <s v="Android"/>
    <s v="Android Phone"/>
    <s v="1-2 years"/>
    <x v="0"/>
    <x v="6"/>
    <x v="0"/>
    <s v="Reactivated"/>
    <s v="Progress Indicator"/>
    <s v="Control"/>
    <n v="7"/>
    <n v="7"/>
    <n v="278"/>
    <s v="Unknown"/>
    <x v="0"/>
    <x v="0"/>
    <x v="0"/>
    <x v="1"/>
    <n v="0"/>
    <x v="0"/>
    <x v="0"/>
    <s v="No Support Contact"/>
    <s v="No"/>
    <s v="No Support Contact"/>
    <s v="Not Applicable"/>
    <m/>
    <s v="No drop-off"/>
    <n v="3"/>
    <n v="-27"/>
    <n v="61"/>
    <x v="1"/>
    <n v="1"/>
    <n v="0"/>
    <n v="1"/>
    <n v="1"/>
  </r>
  <r>
    <x v="747"/>
    <s v="USR-00717"/>
    <s v="SES-2510-14729"/>
    <x v="342"/>
    <s v="East England"/>
    <s v="Norwich"/>
    <x v="3"/>
    <x v="1"/>
    <x v="1"/>
    <s v="Ios"/>
    <s v="Iphone"/>
    <s v="&lt;3 months"/>
    <x v="0"/>
    <x v="2"/>
    <x v="9"/>
    <s v="Repeat Use"/>
    <s v="No Experiment"/>
    <s v="Control"/>
    <n v="5"/>
    <n v="5"/>
    <n v="139"/>
    <s v="No"/>
    <x v="0"/>
    <x v="1"/>
    <x v="1"/>
    <x v="0"/>
    <n v="56.67"/>
    <x v="0"/>
    <x v="0"/>
    <s v="No Support Contact"/>
    <s v="No"/>
    <s v="No Support Contact"/>
    <s v="Not Applicable"/>
    <m/>
    <s v="No drop-off"/>
    <n v="4"/>
    <n v="16"/>
    <n v="1"/>
    <x v="1"/>
    <n v="1"/>
    <n v="1"/>
    <n v="0"/>
    <n v="1"/>
  </r>
  <r>
    <x v="748"/>
    <s v="USR-00722"/>
    <s v="SES-2505-25398"/>
    <x v="407"/>
    <s v="South West"/>
    <s v="Gloucester"/>
    <x v="3"/>
    <x v="0"/>
    <x v="0"/>
    <s v="Android"/>
    <s v="Android Phone"/>
    <s v="&lt;3 months"/>
    <x v="1"/>
    <x v="1"/>
    <x v="7"/>
    <s v="First Use"/>
    <s v="Progress Indicator"/>
    <s v="Control"/>
    <n v="4"/>
    <n v="4"/>
    <n v="122"/>
    <s v="No"/>
    <x v="0"/>
    <x v="0"/>
    <x v="16"/>
    <x v="0"/>
    <n v="6.29"/>
    <x v="54"/>
    <x v="1"/>
    <s v="No Support Contact"/>
    <s v="No"/>
    <s v="No Support Contact"/>
    <s v="Not Applicable"/>
    <m/>
    <s v="No drop-off"/>
    <n v="3"/>
    <n v="58"/>
    <n v="0"/>
    <x v="1"/>
    <n v="1"/>
    <n v="1"/>
    <n v="1"/>
    <n v="1"/>
  </r>
  <r>
    <x v="749"/>
    <s v="USR-00481"/>
    <s v="SES-2604-12545"/>
    <x v="44"/>
    <s v="London"/>
    <s v="Camden"/>
    <x v="5"/>
    <x v="3"/>
    <x v="1"/>
    <s v="Ios"/>
    <s v="Iphone"/>
    <s v="2+ years"/>
    <x v="1"/>
    <x v="3"/>
    <x v="2"/>
    <s v="First Use"/>
    <s v="Simplified Onboarding"/>
    <s v="Control"/>
    <n v="5"/>
    <n v="5"/>
    <n v="168"/>
    <s v="No"/>
    <x v="0"/>
    <x v="0"/>
    <x v="23"/>
    <x v="1"/>
    <n v="0"/>
    <x v="0"/>
    <x v="0"/>
    <s v="No Support Contact"/>
    <s v="No"/>
    <s v="No Support Contact"/>
    <s v="Not Applicable"/>
    <m/>
    <s v="No drop-off"/>
    <n v="4"/>
    <n v="-18"/>
    <s v="0 days"/>
    <x v="1"/>
    <n v="1"/>
    <n v="0"/>
    <n v="1"/>
    <n v="1"/>
  </r>
  <r>
    <x v="750"/>
    <s v="USR-00495"/>
    <s v="SES-2510-63666"/>
    <x v="211"/>
    <s v="Yorkshire &amp; Humber"/>
    <s v="Sheffield"/>
    <x v="5"/>
    <x v="0"/>
    <x v="0"/>
    <s v="Ios"/>
    <s v="Iphone"/>
    <s v="7-12 months"/>
    <x v="1"/>
    <x v="0"/>
    <x v="3"/>
    <s v="Reactivated"/>
    <s v="Fee Transparency Panel"/>
    <s v="Control"/>
    <n v="6"/>
    <s v="3 steps"/>
    <n v="256"/>
    <s v="Yes"/>
    <x v="1"/>
    <x v="1"/>
    <x v="1"/>
    <x v="1"/>
    <n v="0"/>
    <x v="0"/>
    <x v="0"/>
    <s v="No Support Contact"/>
    <s v="No"/>
    <s v="No Support Contact"/>
    <s v="Not Applicable"/>
    <m/>
    <s v="Too many steps"/>
    <n v="2"/>
    <n v="-2"/>
    <n v="30"/>
    <x v="0"/>
    <n v="0"/>
    <n v="0"/>
    <n v="0"/>
    <n v="0"/>
  </r>
  <r>
    <x v="751"/>
    <s v="USR-00153"/>
    <s v="SES-2510-15921"/>
    <x v="408"/>
    <s v="South East"/>
    <s v="Oxford"/>
    <x v="0"/>
    <x v="2"/>
    <x v="1"/>
    <s v="Ios"/>
    <s v="Iphone"/>
    <s v="2+ years"/>
    <x v="0"/>
    <x v="0"/>
    <x v="4"/>
    <s v="Repeat Use"/>
    <s v="Unknown"/>
    <s v="Control"/>
    <n v="6"/>
    <n v="4"/>
    <n v="280"/>
    <s v="Yes"/>
    <x v="0"/>
    <x v="1"/>
    <x v="1"/>
    <x v="1"/>
    <n v="0"/>
    <x v="0"/>
    <x v="0"/>
    <s v="No Support Contact"/>
    <s v="No"/>
    <s v="No Support Contact"/>
    <s v="Not Applicable"/>
    <m/>
    <s v="No drop-off"/>
    <n v="4"/>
    <n v="-15"/>
    <n v="12"/>
    <x v="1"/>
    <n v="1"/>
    <n v="0"/>
    <n v="0"/>
    <n v="1"/>
  </r>
  <r>
    <x v="752"/>
    <s v="USR-00244"/>
    <s v="SES-2504-45257"/>
    <x v="142"/>
    <s v="South East"/>
    <s v="Guildford"/>
    <x v="1"/>
    <x v="2"/>
    <x v="1"/>
    <s v="Ios"/>
    <s v="Iphone"/>
    <s v="2+ years"/>
    <x v="0"/>
    <x v="1"/>
    <x v="3"/>
    <s v="First Use"/>
    <s v="No Experiment"/>
    <s v="Control"/>
    <n v="6"/>
    <n v="4"/>
    <n v="188"/>
    <s v="Yes"/>
    <x v="0"/>
    <x v="1"/>
    <x v="1"/>
    <x v="0"/>
    <n v="22.51"/>
    <x v="2"/>
    <x v="0"/>
    <s v="No Support Contact"/>
    <s v="No"/>
    <s v="No Support Contact"/>
    <s v="Not Applicable"/>
    <m/>
    <s v="No drop-off"/>
    <n v="2"/>
    <n v="-14"/>
    <n v="0"/>
    <x v="1"/>
    <n v="1"/>
    <n v="1"/>
    <n v="0"/>
    <n v="1"/>
  </r>
  <r>
    <x v="753"/>
    <s v="USR-00042"/>
    <s v="SES-2505-89951"/>
    <x v="409"/>
    <s v="South East"/>
    <s v="Guildford"/>
    <x v="0"/>
    <x v="2"/>
    <x v="1"/>
    <s v="Web"/>
    <s v="Desktop"/>
    <s v="3-6 months"/>
    <x v="0"/>
    <x v="2"/>
    <x v="4"/>
    <s v="Reactivated"/>
    <s v="No Experiment"/>
    <s v="Control"/>
    <n v="6"/>
    <n v="6"/>
    <n v="118"/>
    <s v="No"/>
    <x v="1"/>
    <x v="1"/>
    <x v="1"/>
    <x v="1"/>
    <n v="0"/>
    <x v="0"/>
    <x v="0"/>
    <s v="Fees And Pricing"/>
    <s v="Yes"/>
    <s v="Fees And Pricing"/>
    <s v="Resolved"/>
    <n v="22"/>
    <s v="No drop-off"/>
    <n v="3"/>
    <n v="-4"/>
    <n v="67"/>
    <x v="0"/>
    <n v="0"/>
    <n v="0"/>
    <n v="0"/>
    <n v="0"/>
  </r>
  <r>
    <x v="754"/>
    <s v="USR-00207"/>
    <s v="SES-2503-18454"/>
    <x v="4"/>
    <s v="North East"/>
    <s v="Newcastle"/>
    <x v="5"/>
    <x v="3"/>
    <x v="1"/>
    <s v="Web"/>
    <s v="Desktop"/>
    <s v="7-12 months"/>
    <x v="3"/>
    <x v="7"/>
    <x v="1"/>
    <s v="Repeat Use"/>
    <s v="New Cta Copy"/>
    <s v="Treatment"/>
    <n v="4"/>
    <n v="4"/>
    <n v="128"/>
    <s v="No"/>
    <x v="0"/>
    <x v="0"/>
    <x v="12"/>
    <x v="1"/>
    <n v="0"/>
    <x v="0"/>
    <x v="0"/>
    <s v="No Support Contact"/>
    <s v="No"/>
    <s v="No Support Contact"/>
    <s v="Not Applicable"/>
    <m/>
    <s v="No drop-off"/>
    <n v="4"/>
    <n v="11"/>
    <n v="63"/>
    <x v="1"/>
    <n v="1"/>
    <n v="0"/>
    <n v="1"/>
    <n v="1"/>
  </r>
  <r>
    <x v="755"/>
    <s v="USR-00199"/>
    <s v="SES-2509-25134"/>
    <x v="201"/>
    <s v="Yorkshire &amp; Humber"/>
    <s v="Hull"/>
    <x v="5"/>
    <x v="3"/>
    <x v="1"/>
    <s v="Android"/>
    <s v="Android Phone"/>
    <s v="1-2 years"/>
    <x v="0"/>
    <x v="1"/>
    <x v="4"/>
    <s v="Reactivated"/>
    <s v="Fee Transparency Panel"/>
    <s v="Treatment"/>
    <n v="6"/>
    <n v="4"/>
    <n v="257"/>
    <s v="Yes"/>
    <x v="0"/>
    <x v="1"/>
    <x v="1"/>
    <x v="0"/>
    <n v="32.78"/>
    <x v="0"/>
    <x v="0"/>
    <s v="Other"/>
    <s v="Yes"/>
    <s v="Other"/>
    <s v="Resolved"/>
    <n v="34"/>
    <s v="No drop-off"/>
    <n v="2"/>
    <n v="52"/>
    <n v="2"/>
    <x v="1"/>
    <n v="1"/>
    <n v="1"/>
    <n v="0"/>
    <n v="1"/>
  </r>
  <r>
    <x v="756"/>
    <s v="USR-00362"/>
    <s v="SES-2512-65341"/>
    <x v="410"/>
    <s v="Wales"/>
    <s v="Wrexham"/>
    <x v="5"/>
    <x v="0"/>
    <x v="0"/>
    <s v="Android"/>
    <s v="Android Phone"/>
    <s v="7-12 months"/>
    <x v="0"/>
    <x v="4"/>
    <x v="7"/>
    <s v="First Use"/>
    <s v="New Cta Copy"/>
    <s v="Control"/>
    <n v="4"/>
    <n v="4"/>
    <n v="121"/>
    <s v="No"/>
    <x v="0"/>
    <x v="1"/>
    <x v="1"/>
    <x v="1"/>
    <n v="0"/>
    <x v="0"/>
    <x v="0"/>
    <s v="Fees And Pricing"/>
    <s v="Yes"/>
    <s v="Fees And Pricing"/>
    <s v="Resolved"/>
    <n v="36"/>
    <s v="No drop-off"/>
    <n v="4"/>
    <n v="29"/>
    <n v="0"/>
    <x v="1"/>
    <n v="1"/>
    <n v="0"/>
    <n v="0"/>
    <n v="1"/>
  </r>
  <r>
    <x v="757"/>
    <s v="USR-00585"/>
    <s v="SES-2604-95513"/>
    <x v="411"/>
    <s v="South West"/>
    <s v="Bath"/>
    <x v="2"/>
    <x v="3"/>
    <x v="0"/>
    <s v="Ios"/>
    <s v="Iphone"/>
    <s v="7-12 months"/>
    <x v="0"/>
    <x v="4"/>
    <x v="5"/>
    <s v="Repeat Use"/>
    <s v="Fee Transparency Panel"/>
    <s v="Control"/>
    <n v="8"/>
    <n v="7"/>
    <n v="370"/>
    <s v="Yes"/>
    <x v="1"/>
    <x v="1"/>
    <x v="1"/>
    <x v="1"/>
    <n v="0"/>
    <x v="0"/>
    <x v="0"/>
    <s v="No Support Contact"/>
    <s v="No"/>
    <s v="No Support Contact"/>
    <s v="Not Applicable"/>
    <m/>
    <s v="Too many steps"/>
    <n v="3"/>
    <n v="-9"/>
    <n v="35"/>
    <x v="1"/>
    <n v="0"/>
    <n v="0"/>
    <n v="0"/>
    <n v="1"/>
  </r>
  <r>
    <x v="758"/>
    <s v="USR-00468"/>
    <s v="SES-2509-10416"/>
    <x v="225"/>
    <s v="East Midlands"/>
    <s v="Leicester"/>
    <x v="1"/>
    <x v="0"/>
    <x v="1"/>
    <s v="Ios"/>
    <s v="Iphone"/>
    <s v="&lt;3 months"/>
    <x v="0"/>
    <x v="5"/>
    <x v="10"/>
    <s v="First Use"/>
    <s v="New Cta Copy"/>
    <s v="Control"/>
    <n v="9"/>
    <n v="8"/>
    <n v="288"/>
    <s v="Yes"/>
    <x v="1"/>
    <x v="1"/>
    <x v="1"/>
    <x v="0"/>
    <n v="82.23"/>
    <x v="45"/>
    <x v="0"/>
    <s v="No Support Contact"/>
    <s v="No"/>
    <s v="No Support Contact"/>
    <s v="Not Applicable"/>
    <m/>
    <s v="Too many steps"/>
    <n v="3"/>
    <n v="-48"/>
    <s v="0 days"/>
    <x v="0"/>
    <n v="0"/>
    <n v="1"/>
    <n v="0"/>
    <n v="0"/>
  </r>
  <r>
    <x v="759"/>
    <s v="USR-00020"/>
    <s v="SES-2512-78116"/>
    <x v="395"/>
    <s v="North West"/>
    <s v="Liverpool"/>
    <x v="1"/>
    <x v="0"/>
    <x v="0"/>
    <s v="Android"/>
    <s v="Android Phone"/>
    <s v="2+ years"/>
    <x v="1"/>
    <x v="4"/>
    <x v="2"/>
    <s v="Repeat Use"/>
    <s v="No Experiment"/>
    <s v="Control"/>
    <n v="5"/>
    <n v="4"/>
    <n v="146"/>
    <s v="Yes"/>
    <x v="1"/>
    <x v="1"/>
    <x v="1"/>
    <x v="1"/>
    <n v="0"/>
    <x v="0"/>
    <x v="0"/>
    <s v="No Support Contact"/>
    <s v="No"/>
    <s v="No Support Contact"/>
    <s v="Not Applicable"/>
    <m/>
    <s v="Too many steps"/>
    <n v="3"/>
    <n v="-23"/>
    <n v="47"/>
    <x v="0"/>
    <n v="0"/>
    <n v="0"/>
    <n v="0"/>
    <n v="0"/>
  </r>
  <r>
    <x v="760"/>
    <s v="USR-00369"/>
    <s v="SES-2605-54453"/>
    <x v="200"/>
    <s v="Wales"/>
    <s v="Newport"/>
    <x v="5"/>
    <x v="0"/>
    <x v="1"/>
    <s v="Android"/>
    <s v="Android Phone"/>
    <s v="1-2 years"/>
    <x v="2"/>
    <x v="3"/>
    <x v="5"/>
    <s v="Repeat Use"/>
    <s v="No Experiment"/>
    <s v="Control"/>
    <s v="8 steps"/>
    <n v="6"/>
    <n v="557"/>
    <s v="Yes"/>
    <x v="1"/>
    <x v="0"/>
    <x v="10"/>
    <x v="1"/>
    <n v="0"/>
    <x v="0"/>
    <x v="0"/>
    <s v="No Support Contact"/>
    <s v="No"/>
    <s v="No Support Contact"/>
    <s v="Not Applicable"/>
    <m/>
    <s v="Technical error"/>
    <n v="2"/>
    <n v="-47"/>
    <n v="38"/>
    <x v="0"/>
    <n v="0"/>
    <n v="0"/>
    <n v="1"/>
    <n v="0"/>
  </r>
  <r>
    <x v="761"/>
    <s v="USR-00241"/>
    <s v="SES-2504-36699"/>
    <x v="125"/>
    <s v="East England"/>
    <s v="Ipswich"/>
    <x v="3"/>
    <x v="2"/>
    <x v="0"/>
    <s v="Web"/>
    <s v="Mobile Browser"/>
    <s v="&lt;3 months"/>
    <x v="0"/>
    <x v="3"/>
    <x v="5"/>
    <s v="Repeat Use"/>
    <s v="Progress Indicator"/>
    <s v="Control"/>
    <n v="8"/>
    <n v="8"/>
    <n v="237"/>
    <s v="No"/>
    <x v="1"/>
    <x v="1"/>
    <x v="1"/>
    <x v="0"/>
    <n v="404.01"/>
    <x v="30"/>
    <x v="0"/>
    <s v="No Support Contact"/>
    <s v="No"/>
    <s v="No Support Contact"/>
    <s v="Not Applicable"/>
    <m/>
    <s v="No drop-off"/>
    <n v="2"/>
    <n v="-32"/>
    <n v="4"/>
    <x v="0"/>
    <n v="0"/>
    <n v="1"/>
    <n v="0"/>
    <n v="0"/>
  </r>
  <r>
    <x v="762"/>
    <s v="USR-00337"/>
    <s v="SES-2606-71176"/>
    <x v="161"/>
    <s v="Yorkshire &amp; Humber"/>
    <s v="HULL"/>
    <x v="2"/>
    <x v="1"/>
    <x v="0"/>
    <s v="Android"/>
    <s v="Android Phone"/>
    <s v="7-12 months"/>
    <x v="0"/>
    <x v="4"/>
    <x v="4"/>
    <s v="Trial/Exploration"/>
    <s v="No Experiment"/>
    <s v="Control"/>
    <n v="6"/>
    <n v="6"/>
    <n v="193"/>
    <s v="No"/>
    <x v="1"/>
    <x v="0"/>
    <x v="5"/>
    <x v="1"/>
    <n v="0"/>
    <x v="0"/>
    <x v="0"/>
    <s v="No Support Contact"/>
    <s v="No"/>
    <s v="No Support Contact"/>
    <s v="Not Applicable"/>
    <m/>
    <s v="Instructions unclear"/>
    <n v="2"/>
    <n v="-22"/>
    <n v="39"/>
    <x v="0"/>
    <n v="0"/>
    <n v="0"/>
    <n v="1"/>
    <n v="0"/>
  </r>
  <r>
    <x v="763"/>
    <s v="USR-00024"/>
    <s v="SES-2601-10490"/>
    <x v="160"/>
    <s v="Yorkshire &amp; Humber"/>
    <s v="Sheffield"/>
    <x v="1"/>
    <x v="2"/>
    <x v="0"/>
    <s v="Android"/>
    <s v="Android Phone"/>
    <s v="1-2 years"/>
    <x v="0"/>
    <x v="3"/>
    <x v="2"/>
    <s v="Repeat Use"/>
    <s v="No Experiment"/>
    <s v="Control"/>
    <n v="5"/>
    <n v="5"/>
    <n v="152"/>
    <s v="No"/>
    <x v="0"/>
    <x v="1"/>
    <x v="1"/>
    <x v="0"/>
    <n v="57.45"/>
    <x v="0"/>
    <x v="0"/>
    <s v="No Support Contact"/>
    <s v="No"/>
    <s v="No Support Contact"/>
    <s v="Not Applicable"/>
    <m/>
    <s v="No drop-off"/>
    <n v="4"/>
    <n v="38"/>
    <n v="35"/>
    <x v="0"/>
    <n v="1"/>
    <n v="1"/>
    <n v="0"/>
    <n v="0"/>
  </r>
  <r>
    <x v="764"/>
    <s v="USR-00522"/>
    <s v="SES-2511-68476"/>
    <x v="350"/>
    <s v="London"/>
    <s v="SOUTHWARK"/>
    <x v="2"/>
    <x v="3"/>
    <x v="0"/>
    <s v="Android"/>
    <s v="Android Phone"/>
    <s v="&lt;3 months"/>
    <x v="2"/>
    <x v="2"/>
    <x v="8"/>
    <s v="Repeat Use"/>
    <s v="No Experiment"/>
    <s v="Control"/>
    <n v="5"/>
    <n v="3"/>
    <n v="258"/>
    <s v="Yes"/>
    <x v="1"/>
    <x v="0"/>
    <x v="28"/>
    <x v="0"/>
    <n v="47.71"/>
    <x v="0"/>
    <x v="2"/>
    <s v="No Support Contact"/>
    <s v="No"/>
    <s v="No Support Contact"/>
    <s v="Not Applicable"/>
    <m/>
    <s v="Technical error"/>
    <n v="1"/>
    <n v="-19"/>
    <n v="16"/>
    <x v="1"/>
    <n v="0"/>
    <n v="1"/>
    <n v="1"/>
    <n v="1"/>
  </r>
  <r>
    <x v="765"/>
    <s v="USR-00394"/>
    <s v="SES-2501-44142"/>
    <x v="412"/>
    <s v="Scotland"/>
    <s v="Edinburgh"/>
    <x v="4"/>
    <x v="0"/>
    <x v="0"/>
    <s v="Android"/>
    <s v="Android Phone"/>
    <s v="1-2 years"/>
    <x v="1"/>
    <x v="3"/>
    <x v="8"/>
    <s v="First Use"/>
    <s v="Progress Indicator"/>
    <s v="Control"/>
    <n v="5"/>
    <n v="5"/>
    <n v="159"/>
    <s v="No"/>
    <x v="0"/>
    <x v="1"/>
    <x v="1"/>
    <x v="0"/>
    <n v="63.15"/>
    <x v="0"/>
    <x v="1"/>
    <s v="No Support Contact"/>
    <s v="No"/>
    <s v="No Support Contact"/>
    <s v="Not Applicable"/>
    <m/>
    <s v="No drop-off"/>
    <n v="5"/>
    <n v="50"/>
    <n v="0"/>
    <x v="1"/>
    <n v="1"/>
    <n v="1"/>
    <n v="0"/>
    <n v="1"/>
  </r>
  <r>
    <x v="766"/>
    <s v="USR-00289"/>
    <s v="SES-2502-63045"/>
    <x v="315"/>
    <s v="South East"/>
    <s v="Oxford"/>
    <x v="0"/>
    <x v="1"/>
    <x v="4"/>
    <s v="Ios"/>
    <s v="Iphone"/>
    <s v="1-2 years"/>
    <x v="0"/>
    <x v="2"/>
    <x v="9"/>
    <s v="Repeat Use"/>
    <s v="Progress Indicator"/>
    <s v="Treatment"/>
    <n v="5"/>
    <n v="5"/>
    <n v="102"/>
    <s v="No"/>
    <x v="0"/>
    <x v="1"/>
    <x v="1"/>
    <x v="0"/>
    <n v="84.28"/>
    <x v="0"/>
    <x v="0"/>
    <s v="No Support Contact"/>
    <s v="No"/>
    <s v="No Support Contact"/>
    <s v="Not Applicable"/>
    <m/>
    <s v="No drop-off"/>
    <n v="4"/>
    <n v="44"/>
    <n v="55"/>
    <x v="1"/>
    <n v="1"/>
    <n v="1"/>
    <n v="0"/>
    <n v="1"/>
  </r>
  <r>
    <x v="767"/>
    <s v="USR-00703"/>
    <s v="SES-2508-67086"/>
    <x v="126"/>
    <s v="North East"/>
    <s v="Newcastle"/>
    <x v="7"/>
    <x v="0"/>
    <x v="1"/>
    <s v="Android"/>
    <s v="Android Phone"/>
    <s v="1-2 years"/>
    <x v="2"/>
    <x v="4"/>
    <x v="7"/>
    <s v="Repeat Use"/>
    <s v="No Experiment"/>
    <s v="Control"/>
    <n v="4"/>
    <n v="4"/>
    <n v="116"/>
    <s v="No"/>
    <x v="0"/>
    <x v="1"/>
    <x v="1"/>
    <x v="0"/>
    <n v="34.950000000000003"/>
    <x v="50"/>
    <x v="2"/>
    <s v="No Support Contact"/>
    <s v="No"/>
    <s v="No Support Contact"/>
    <s v="Not Applicable"/>
    <m/>
    <s v="No drop-off"/>
    <n v="3"/>
    <n v="36"/>
    <n v="6"/>
    <x v="1"/>
    <n v="1"/>
    <n v="1"/>
    <n v="0"/>
    <n v="1"/>
  </r>
  <r>
    <x v="768"/>
    <s v="USR-00580"/>
    <s v="SES-2504-56414"/>
    <x v="33"/>
    <s v="North East"/>
    <s v="Sunderland"/>
    <x v="0"/>
    <x v="2"/>
    <x v="0"/>
    <s v="Ios"/>
    <s v="Iphone"/>
    <s v="&lt;3 months"/>
    <x v="0"/>
    <x v="0"/>
    <x v="5"/>
    <s v="Repeat Use"/>
    <s v="Fee Transparency Panel"/>
    <s v="Control"/>
    <n v="8"/>
    <n v="8"/>
    <n v="159"/>
    <s v="No"/>
    <x v="1"/>
    <x v="1"/>
    <x v="1"/>
    <x v="1"/>
    <n v="0"/>
    <x v="0"/>
    <x v="0"/>
    <s v="No Support Contact"/>
    <s v="No"/>
    <s v="No Support Contact"/>
    <s v="Not Applicable"/>
    <m/>
    <s v="No drop-off"/>
    <n v="2"/>
    <n v="2"/>
    <n v="16"/>
    <x v="0"/>
    <n v="0"/>
    <n v="0"/>
    <n v="0"/>
    <n v="0"/>
  </r>
  <r>
    <x v="769"/>
    <s v="USR-00593"/>
    <s v="SES-2606-00005"/>
    <x v="243"/>
    <s v="North West"/>
    <s v="Liverpool"/>
    <x v="1"/>
    <x v="1"/>
    <x v="2"/>
    <s v="Android"/>
    <s v="Android Phone"/>
    <s v="&lt;3 months"/>
    <x v="0"/>
    <x v="0"/>
    <x v="3"/>
    <s v="Reactivated"/>
    <s v="No Experiment"/>
    <s v="Control"/>
    <n v="6"/>
    <n v="3"/>
    <n v="382"/>
    <s v="Yes"/>
    <x v="1"/>
    <x v="0"/>
    <x v="2"/>
    <x v="1"/>
    <n v="0"/>
    <x v="0"/>
    <x v="0"/>
    <s v="Account Verification"/>
    <s v="Yes"/>
    <s v="Account Verification"/>
    <s v="Resolved"/>
    <n v="3"/>
    <s v="Too many steps"/>
    <n v="1"/>
    <n v="-32"/>
    <n v="32"/>
    <x v="0"/>
    <n v="0"/>
    <n v="0"/>
    <n v="1"/>
    <n v="0"/>
  </r>
  <r>
    <x v="770"/>
    <s v="USR-00366"/>
    <s v="SES-2510-78791"/>
    <x v="150"/>
    <s v="North West"/>
    <s v="Manchester"/>
    <x v="5"/>
    <x v="1"/>
    <x v="0"/>
    <s v="Android"/>
    <s v="Android Phone"/>
    <s v="&lt;3 months"/>
    <x v="0"/>
    <x v="0"/>
    <x v="9"/>
    <s v="First Use"/>
    <s v="No Experiment"/>
    <s v="Control"/>
    <n v="5"/>
    <n v="5"/>
    <n v="111"/>
    <s v="No"/>
    <x v="0"/>
    <x v="1"/>
    <x v="1"/>
    <x v="0"/>
    <n v="124.12"/>
    <x v="0"/>
    <x v="0"/>
    <s v="No Support Contact"/>
    <s v="No"/>
    <s v="No Support Contact"/>
    <s v="Not Applicable"/>
    <m/>
    <s v="No drop-off"/>
    <n v="5"/>
    <n v="12"/>
    <n v="0"/>
    <x v="1"/>
    <n v="1"/>
    <n v="1"/>
    <n v="0"/>
    <n v="1"/>
  </r>
  <r>
    <x v="771"/>
    <s v="USR-00805"/>
    <s v="SES-2602-83158"/>
    <x v="224"/>
    <s v="North East"/>
    <s v="Durham"/>
    <x v="5"/>
    <x v="2"/>
    <x v="1"/>
    <s v="Ios"/>
    <s v="Iphone"/>
    <s v="1-2 years"/>
    <x v="0"/>
    <x v="2"/>
    <x v="8"/>
    <s v="First Use"/>
    <s v="No Experiment"/>
    <s v="Control"/>
    <n v="5"/>
    <n v="4"/>
    <n v="130"/>
    <s v="Yes"/>
    <x v="0"/>
    <x v="1"/>
    <x v="1"/>
    <x v="0"/>
    <n v="48.52"/>
    <x v="0"/>
    <x v="0"/>
    <s v="No Support Contact"/>
    <s v="No"/>
    <s v="No Support Contact"/>
    <s v="Not Applicable"/>
    <m/>
    <s v="No drop-off"/>
    <n v="4"/>
    <n v="-16"/>
    <n v="0"/>
    <x v="1"/>
    <n v="1"/>
    <n v="1"/>
    <n v="0"/>
    <n v="1"/>
  </r>
  <r>
    <x v="772"/>
    <s v="USR-00471"/>
    <s v="SES-2509-43113"/>
    <x v="118"/>
    <s v="North West"/>
    <s v="Chester"/>
    <x v="0"/>
    <x v="0"/>
    <x v="1"/>
    <s v="Android"/>
    <s v="Android Phone"/>
    <s v="7-12 months"/>
    <x v="2"/>
    <x v="4"/>
    <x v="5"/>
    <s v="Repeat Use"/>
    <s v="Simplified Onboarding"/>
    <s v="Treatment"/>
    <n v="8"/>
    <n v="8"/>
    <n v="146"/>
    <s v="No"/>
    <x v="0"/>
    <x v="1"/>
    <x v="1"/>
    <x v="0"/>
    <n v="418.99"/>
    <x v="73"/>
    <x v="2"/>
    <s v="No Support Contact"/>
    <s v="No"/>
    <s v="No Support Contact"/>
    <s v="Not Applicable"/>
    <m/>
    <s v="No drop-off"/>
    <n v="5"/>
    <n v="45"/>
    <n v="65"/>
    <x v="1"/>
    <n v="1"/>
    <n v="1"/>
    <n v="0"/>
    <n v="1"/>
  </r>
  <r>
    <x v="773"/>
    <s v="USR-00543"/>
    <s v="SES-2601-60426"/>
    <x v="413"/>
    <s v="North West"/>
    <s v="Liverpool"/>
    <x v="0"/>
    <x v="2"/>
    <x v="0"/>
    <s v="Ios"/>
    <s v="Iphone"/>
    <s v="&lt;3 months"/>
    <x v="0"/>
    <x v="4"/>
    <x v="1"/>
    <s v="Repeat Use"/>
    <s v="No Experiment"/>
    <s v="Control"/>
    <n v="4"/>
    <n v="3"/>
    <n v="139"/>
    <s v="Yes"/>
    <x v="0"/>
    <x v="1"/>
    <x v="1"/>
    <x v="0"/>
    <n v="158.11000000000001"/>
    <x v="15"/>
    <x v="0"/>
    <s v="No Support Contact"/>
    <s v="No"/>
    <s v="No Support Contact"/>
    <s v="Not Applicable"/>
    <m/>
    <s v="No drop-off"/>
    <n v="4"/>
    <n v="29"/>
    <n v="50"/>
    <x v="1"/>
    <n v="1"/>
    <n v="1"/>
    <n v="0"/>
    <n v="1"/>
  </r>
  <r>
    <x v="774"/>
    <s v="USR-00301"/>
    <s v="SES-2510-56819"/>
    <x v="79"/>
    <s v="South East"/>
    <s v="Oxford"/>
    <x v="1"/>
    <x v="0"/>
    <x v="1"/>
    <s v="Android"/>
    <s v="Android Phone"/>
    <s v="7-12 months"/>
    <x v="0"/>
    <x v="4"/>
    <x v="3"/>
    <s v="Trial/Exploration"/>
    <s v="No Experiment"/>
    <s v="Control"/>
    <s v="6 steps"/>
    <n v="3"/>
    <n v="220"/>
    <s v="Yes"/>
    <x v="0"/>
    <x v="1"/>
    <x v="1"/>
    <x v="0"/>
    <n v="0"/>
    <x v="17"/>
    <x v="0"/>
    <s v="No Support Contact"/>
    <s v="No"/>
    <s v="No Support Contact"/>
    <s v="Not Applicable"/>
    <m/>
    <s v="No drop-off"/>
    <n v="3"/>
    <n v="10"/>
    <n v="8"/>
    <x v="1"/>
    <n v="1"/>
    <n v="1"/>
    <n v="0"/>
    <n v="1"/>
  </r>
  <r>
    <x v="775"/>
    <s v="USR-00603"/>
    <s v="SES-2509-97251"/>
    <x v="201"/>
    <s v="North East"/>
    <s v="Middlesbrough"/>
    <x v="1"/>
    <x v="0"/>
    <x v="1"/>
    <s v="Ios"/>
    <s v="Iphone"/>
    <s v="2+ years"/>
    <x v="3"/>
    <x v="2"/>
    <x v="7"/>
    <s v="First Use"/>
    <s v="No Experiment"/>
    <s v="Control"/>
    <n v="4"/>
    <s v="4 steps"/>
    <n v="127"/>
    <s v="No"/>
    <x v="1"/>
    <x v="0"/>
    <x v="16"/>
    <x v="1"/>
    <n v="0"/>
    <x v="0"/>
    <x v="0"/>
    <s v="No Support Contact"/>
    <s v="No"/>
    <s v="No Support Contact"/>
    <s v="Not Applicable"/>
    <m/>
    <s v="Technical error"/>
    <n v="4"/>
    <n v="13"/>
    <n v="0"/>
    <x v="0"/>
    <n v="0"/>
    <n v="0"/>
    <n v="1"/>
    <n v="0"/>
  </r>
  <r>
    <x v="776"/>
    <s v="USR-00093"/>
    <s v="SES-2505-84916"/>
    <x v="17"/>
    <s v="East Midlands"/>
    <s v="Lincoln"/>
    <x v="0"/>
    <x v="3"/>
    <x v="1"/>
    <s v="Ios"/>
    <s v="Iphone"/>
    <s v="&lt;3 months"/>
    <x v="0"/>
    <x v="4"/>
    <x v="7"/>
    <s v="Trial/Exploration"/>
    <s v="Simplified Onboarding"/>
    <s v="Control"/>
    <n v="4"/>
    <n v="4"/>
    <n v="120"/>
    <s v="No"/>
    <x v="0"/>
    <x v="1"/>
    <x v="1"/>
    <x v="0"/>
    <n v="63.26"/>
    <x v="23"/>
    <x v="0"/>
    <s v="No Support Contact"/>
    <s v="No"/>
    <s v="No Support Contact"/>
    <s v="Not Applicable"/>
    <m/>
    <s v="No drop-off"/>
    <n v="4"/>
    <n v="46"/>
    <n v="4"/>
    <x v="1"/>
    <n v="1"/>
    <n v="1"/>
    <n v="0"/>
    <n v="1"/>
  </r>
  <r>
    <x v="777"/>
    <s v="USR-00788"/>
    <s v="SES-2506-52149"/>
    <x v="287"/>
    <s v="South West"/>
    <s v="Bristol"/>
    <x v="0"/>
    <x v="1"/>
    <x v="0"/>
    <s v="Android"/>
    <s v="Android Phone"/>
    <s v="1-2 years"/>
    <x v="0"/>
    <x v="4"/>
    <x v="8"/>
    <s v="First Use"/>
    <s v="Simplified Onboarding"/>
    <s v="Treatment"/>
    <n v="5"/>
    <n v="5"/>
    <n v="148"/>
    <s v="No"/>
    <x v="0"/>
    <x v="1"/>
    <x v="31"/>
    <x v="0"/>
    <n v="76.91"/>
    <x v="0"/>
    <x v="0"/>
    <s v="Feature Navigation"/>
    <s v="Yes"/>
    <s v="Feature Navigation"/>
    <s v="Resolved"/>
    <n v="24"/>
    <s v="No drop-off"/>
    <n v="5"/>
    <n v="42"/>
    <n v="0"/>
    <x v="1"/>
    <n v="1"/>
    <n v="1"/>
    <n v="0"/>
    <n v="1"/>
  </r>
  <r>
    <x v="778"/>
    <s v="USR-00424"/>
    <s v="SES-2605-30611"/>
    <x v="414"/>
    <s v="Yorkshire &amp; Humber"/>
    <s v="Leeds"/>
    <x v="2"/>
    <x v="1"/>
    <x v="0"/>
    <s v="Ios"/>
    <s v="Iphone"/>
    <s v="2+ years"/>
    <x v="0"/>
    <x v="0"/>
    <x v="1"/>
    <s v="Repeat Use"/>
    <s v="No Experiment"/>
    <s v="Control"/>
    <n v="-1"/>
    <s v="3 steps"/>
    <n v="134"/>
    <s v="Yes"/>
    <x v="0"/>
    <x v="1"/>
    <x v="1"/>
    <x v="0"/>
    <n v="182.76"/>
    <x v="8"/>
    <x v="0"/>
    <s v="No Support Contact"/>
    <s v="No"/>
    <s v="No Support Contact"/>
    <s v="Not Applicable"/>
    <m/>
    <s v="No drop-off"/>
    <n v="2"/>
    <n v="150"/>
    <s v="51 days"/>
    <x v="1"/>
    <n v="1"/>
    <n v="1"/>
    <n v="0"/>
    <n v="1"/>
  </r>
  <r>
    <x v="779"/>
    <s v="USR-00570"/>
    <s v="SES-2606-18309"/>
    <x v="347"/>
    <s v="Yorkshire &amp; Humber"/>
    <s v="York"/>
    <x v="0"/>
    <x v="1"/>
    <x v="1"/>
    <s v="Web"/>
    <s v="Desktop"/>
    <s v="1-2 years"/>
    <x v="1"/>
    <x v="5"/>
    <x v="3"/>
    <s v="Reactivated"/>
    <s v="No Experiment"/>
    <s v="Control"/>
    <n v="6"/>
    <n v="3"/>
    <n v="219"/>
    <s v="Yes"/>
    <x v="1"/>
    <x v="0"/>
    <x v="8"/>
    <x v="1"/>
    <n v="0"/>
    <x v="0"/>
    <x v="0"/>
    <s v="No Support Contact"/>
    <s v="No"/>
    <s v="No Support Contact"/>
    <s v="Not Applicable"/>
    <m/>
    <s v="Technical error"/>
    <n v="3"/>
    <n v="-22"/>
    <s v="64 days"/>
    <x v="1"/>
    <n v="0"/>
    <n v="0"/>
    <n v="1"/>
    <n v="1"/>
  </r>
  <r>
    <x v="780"/>
    <s v="USR-00803"/>
    <s v="SES-2603-56223"/>
    <x v="415"/>
    <s v="London"/>
    <s v="Hackney"/>
    <x v="0"/>
    <x v="2"/>
    <x v="1"/>
    <s v="Ios"/>
    <s v="Ipad"/>
    <s v="7-12 months"/>
    <x v="0"/>
    <x v="4"/>
    <x v="10"/>
    <s v="Repeat Use"/>
    <s v="New Cta Copy"/>
    <s v="Treatment"/>
    <n v="9"/>
    <n v="8"/>
    <n v="363"/>
    <s v="Yes"/>
    <x v="1"/>
    <x v="1"/>
    <x v="1"/>
    <x v="1"/>
    <n v="0"/>
    <x v="0"/>
    <x v="0"/>
    <s v="No Support Contact"/>
    <s v="No"/>
    <s v="No Support Contact"/>
    <s v="Not Applicable"/>
    <m/>
    <s v="Too many steps"/>
    <n v="2"/>
    <n v="-33"/>
    <n v="22"/>
    <x v="0"/>
    <n v="0"/>
    <n v="0"/>
    <n v="0"/>
    <n v="0"/>
  </r>
  <r>
    <x v="781"/>
    <s v="USR-00418"/>
    <s v="SES-2504-29627"/>
    <x v="58"/>
    <s v="East Midlands"/>
    <s v="Lincoln"/>
    <x v="5"/>
    <x v="2"/>
    <x v="1"/>
    <s v="Android"/>
    <s v="Android Phone"/>
    <s v="&lt;3 months"/>
    <x v="0"/>
    <x v="2"/>
    <x v="4"/>
    <s v="First Use"/>
    <s v="New Cta Copy"/>
    <s v="Control"/>
    <n v="6"/>
    <n v="3"/>
    <n v="-30"/>
    <s v="Yes"/>
    <x v="0"/>
    <x v="0"/>
    <x v="25"/>
    <x v="1"/>
    <n v="0"/>
    <x v="0"/>
    <x v="0"/>
    <s v="Transaction Failure"/>
    <s v="Yes"/>
    <s v="Transaction Failure"/>
    <s v="Unresolved"/>
    <n v="15"/>
    <s v="No drop-off"/>
    <n v="3"/>
    <n v="-27"/>
    <n v="0"/>
    <x v="0"/>
    <n v="1"/>
    <n v="0"/>
    <n v="1"/>
    <n v="0"/>
  </r>
  <r>
    <x v="782"/>
    <s v="USR-00050"/>
    <s v="SES-2505-48586"/>
    <x v="416"/>
    <s v="South West"/>
    <s v="Exeter"/>
    <x v="7"/>
    <x v="0"/>
    <x v="0"/>
    <s v="Web"/>
    <s v="Desktop"/>
    <s v="1-2 years"/>
    <x v="0"/>
    <x v="0"/>
    <x v="9"/>
    <s v="First Use"/>
    <s v="Contextual Help"/>
    <s v="Treatment"/>
    <n v="5"/>
    <n v="5"/>
    <n v="104"/>
    <s v="No"/>
    <x v="0"/>
    <x v="1"/>
    <x v="1"/>
    <x v="0"/>
    <n v="42.27"/>
    <x v="0"/>
    <x v="0"/>
    <s v="Transaction Failure"/>
    <s v="Yes"/>
    <s v="Transaction Failure"/>
    <s v="Unresolved"/>
    <n v="36"/>
    <s v="No drop-off"/>
    <n v="5"/>
    <n v="23"/>
    <n v="0"/>
    <x v="0"/>
    <n v="1"/>
    <n v="1"/>
    <n v="0"/>
    <n v="0"/>
  </r>
  <r>
    <x v="783"/>
    <s v="USR-00100"/>
    <s v="SES-2503-67064"/>
    <x v="10"/>
    <s v="North East"/>
    <s v="Sunderland"/>
    <x v="1"/>
    <x v="0"/>
    <x v="1"/>
    <s v="Web"/>
    <s v="Mobile Browser"/>
    <s v="3-6 months"/>
    <x v="0"/>
    <x v="1"/>
    <x v="1"/>
    <s v="Repeat Use"/>
    <s v="No Experiment"/>
    <s v="Control"/>
    <n v="4"/>
    <n v="4"/>
    <n v="124"/>
    <s v="No"/>
    <x v="0"/>
    <x v="1"/>
    <x v="1"/>
    <x v="0"/>
    <n v="169.22"/>
    <x v="1"/>
    <x v="0"/>
    <s v="No Support Contact"/>
    <s v="No"/>
    <s v="No Support Contact"/>
    <s v="Not Applicable"/>
    <m/>
    <s v="No drop-off"/>
    <n v="5"/>
    <n v="10"/>
    <n v="43"/>
    <x v="1"/>
    <n v="1"/>
    <n v="1"/>
    <n v="0"/>
    <n v="1"/>
  </r>
  <r>
    <x v="784"/>
    <s v="USR-00237"/>
    <s v="SES-2601-45392"/>
    <x v="334"/>
    <s v="North West"/>
    <s v="Chester"/>
    <x v="2"/>
    <x v="1"/>
    <x v="1"/>
    <s v="Android"/>
    <s v="Android Phone"/>
    <s v="&lt;3 months"/>
    <x v="2"/>
    <x v="0"/>
    <x v="7"/>
    <s v="Repeat Use"/>
    <s v="Simplified Onboarding"/>
    <s v="Treatment"/>
    <n v="4"/>
    <n v="4"/>
    <n v="74"/>
    <s v="No"/>
    <x v="1"/>
    <x v="1"/>
    <x v="1"/>
    <x v="0"/>
    <n v="109.74"/>
    <x v="10"/>
    <x v="2"/>
    <s v="No Support Contact"/>
    <s v="No"/>
    <s v="No Support Contact"/>
    <s v="Not Applicable"/>
    <m/>
    <s v="Too many steps"/>
    <n v="4"/>
    <n v="56"/>
    <n v="10"/>
    <x v="0"/>
    <n v="0"/>
    <n v="1"/>
    <n v="0"/>
    <n v="0"/>
  </r>
  <r>
    <x v="785"/>
    <s v="USR-00195"/>
    <s v="SES-2605-19304"/>
    <x v="162"/>
    <s v="South West"/>
    <s v="Gloucester"/>
    <x v="2"/>
    <x v="1"/>
    <x v="0"/>
    <s v="Web"/>
    <s v="Tablet Browser"/>
    <s v="1-2 years"/>
    <x v="2"/>
    <x v="6"/>
    <x v="2"/>
    <s v="First Use"/>
    <s v="No Experiment"/>
    <s v="Control"/>
    <n v="5"/>
    <n v="5"/>
    <n v="124"/>
    <s v="No"/>
    <x v="0"/>
    <x v="1"/>
    <x v="1"/>
    <x v="0"/>
    <n v="39.58"/>
    <x v="0"/>
    <x v="2"/>
    <s v="No Support Contact"/>
    <s v="No"/>
    <s v="No Support Contact"/>
    <s v="Not Applicable"/>
    <m/>
    <s v="No drop-off"/>
    <n v="4"/>
    <n v="27"/>
    <n v="0"/>
    <x v="0"/>
    <n v="1"/>
    <n v="1"/>
    <n v="0"/>
    <n v="0"/>
  </r>
  <r>
    <x v="786"/>
    <s v="USR-00452"/>
    <s v="SES-2511-48087"/>
    <x v="316"/>
    <s v="South East"/>
    <s v="Reading"/>
    <x v="0"/>
    <x v="1"/>
    <x v="1"/>
    <s v="Android"/>
    <s v="Android Phone"/>
    <s v="7-12 months"/>
    <x v="0"/>
    <x v="0"/>
    <x v="2"/>
    <s v="Reactivated"/>
    <s v="New Cta Copy"/>
    <s v="Treatment"/>
    <n v="5"/>
    <n v="5"/>
    <n v="138"/>
    <s v="No"/>
    <x v="0"/>
    <x v="1"/>
    <x v="1"/>
    <x v="0"/>
    <n v="42.56"/>
    <x v="0"/>
    <x v="0"/>
    <s v="Feature Navigation"/>
    <s v="Yes"/>
    <s v="Feature Navigation"/>
    <s v="Resolved"/>
    <n v="28"/>
    <s v="No drop-off"/>
    <n v="3"/>
    <n v="35"/>
    <n v="999"/>
    <x v="0"/>
    <n v="1"/>
    <n v="1"/>
    <n v="0"/>
    <n v="0"/>
  </r>
  <r>
    <x v="787"/>
    <s v="USR-00181"/>
    <s v="SES-2503-47759"/>
    <x v="10"/>
    <s v="South East"/>
    <s v="Canterbury"/>
    <x v="2"/>
    <x v="3"/>
    <x v="1"/>
    <s v="Web"/>
    <s v="Mobile Browser"/>
    <s v="7-12 months"/>
    <x v="1"/>
    <x v="4"/>
    <x v="1"/>
    <s v="First Use"/>
    <s v="Simplified Onboarding"/>
    <s v="Control"/>
    <n v="4"/>
    <n v="4"/>
    <n v="117"/>
    <s v="No"/>
    <x v="0"/>
    <x v="1"/>
    <x v="1"/>
    <x v="1"/>
    <n v="0"/>
    <x v="0"/>
    <x v="0"/>
    <s v="No Support Contact"/>
    <s v="No"/>
    <s v="No Support Contact"/>
    <s v="Not Applicable"/>
    <m/>
    <s v="No drop-off"/>
    <n v="4"/>
    <n v="37"/>
    <n v="0"/>
    <x v="1"/>
    <n v="1"/>
    <n v="0"/>
    <n v="0"/>
    <n v="1"/>
  </r>
  <r>
    <x v="788"/>
    <s v="USR-00674"/>
    <s v="SES-2508-72994"/>
    <x v="417"/>
    <s v="Wales"/>
    <s v="Newport"/>
    <x v="5"/>
    <x v="1"/>
    <x v="0"/>
    <s v="Ios"/>
    <s v="Iphone"/>
    <s v="2+ years"/>
    <x v="2"/>
    <x v="1"/>
    <x v="9"/>
    <s v="First Use"/>
    <s v="New Cta Copy"/>
    <s v="Treatment"/>
    <n v="5"/>
    <n v="5"/>
    <n v="93"/>
    <s v="No"/>
    <x v="0"/>
    <x v="1"/>
    <x v="1"/>
    <x v="0"/>
    <n v="50.55"/>
    <x v="0"/>
    <x v="2"/>
    <s v="No Support Contact"/>
    <s v="No"/>
    <s v="No Support Contact"/>
    <s v="Not Applicable"/>
    <m/>
    <s v="No drop-off"/>
    <n v="5"/>
    <n v="35"/>
    <n v="0"/>
    <x v="1"/>
    <n v="1"/>
    <n v="1"/>
    <n v="0"/>
    <n v="1"/>
  </r>
  <r>
    <x v="789"/>
    <s v="USR-00005"/>
    <s v="SES-2508-93129"/>
    <x v="418"/>
    <s v="South West"/>
    <s v="Gloucester"/>
    <x v="3"/>
    <x v="0"/>
    <x v="1"/>
    <s v="Ios"/>
    <s v="Iphone"/>
    <s v="3-6 months"/>
    <x v="0"/>
    <x v="2"/>
    <x v="4"/>
    <s v="Repeat Use"/>
    <s v="New Cta Copy"/>
    <s v="Treatment"/>
    <n v="6"/>
    <n v="6"/>
    <n v="186"/>
    <s v="No"/>
    <x v="1"/>
    <x v="1"/>
    <x v="1"/>
    <x v="0"/>
    <n v="53.25"/>
    <x v="0"/>
    <x v="0"/>
    <s v="No Support Contact"/>
    <s v="No"/>
    <s v="No Support Contact"/>
    <s v="Not Applicable"/>
    <m/>
    <s v="No drop-off"/>
    <n v="3"/>
    <n v="9"/>
    <n v="1"/>
    <x v="1"/>
    <n v="0"/>
    <n v="1"/>
    <n v="0"/>
    <n v="1"/>
  </r>
  <r>
    <x v="790"/>
    <s v="USR-00717"/>
    <s v="SES-2605-53777"/>
    <x v="276"/>
    <s v="East Midlands"/>
    <s v="Derby"/>
    <x v="0"/>
    <x v="3"/>
    <x v="0"/>
    <s v="Android"/>
    <s v="Android Phone"/>
    <s v="2+ years"/>
    <x v="2"/>
    <x v="0"/>
    <x v="3"/>
    <s v="Repeat Use"/>
    <s v="Fee Transparency Panel"/>
    <s v="Treatment"/>
    <n v="6"/>
    <s v="6 steps"/>
    <n v="171"/>
    <s v="No"/>
    <x v="1"/>
    <x v="1"/>
    <x v="1"/>
    <x v="1"/>
    <n v="0"/>
    <x v="0"/>
    <x v="0"/>
    <s v="No Support Contact"/>
    <s v="No"/>
    <s v="No Support Contact"/>
    <s v="Not Applicable"/>
    <m/>
    <s v="No drop-off"/>
    <n v="3"/>
    <n v="-5"/>
    <n v="25"/>
    <x v="1"/>
    <n v="0"/>
    <n v="0"/>
    <n v="0"/>
    <n v="1"/>
  </r>
  <r>
    <x v="791"/>
    <s v="USR-00635"/>
    <s v="SES-2512-15499"/>
    <x v="319"/>
    <s v="East Midlands"/>
    <s v="Lincoln"/>
    <x v="0"/>
    <x v="0"/>
    <x v="1"/>
    <s v="Web"/>
    <s v="Mobile Browser"/>
    <s v="7-12 months"/>
    <x v="0"/>
    <x v="2"/>
    <x v="2"/>
    <s v="Trial/Exploration"/>
    <s v="No Experiment"/>
    <s v="Control"/>
    <n v="5"/>
    <n v="4"/>
    <n v="178"/>
    <s v="Yes"/>
    <x v="0"/>
    <x v="0"/>
    <x v="21"/>
    <x v="0"/>
    <n v="118.08"/>
    <x v="0"/>
    <x v="0"/>
    <s v="No Support Contact"/>
    <s v="No"/>
    <s v="No Support Contact"/>
    <s v="Not Applicable"/>
    <m/>
    <s v="No drop-off"/>
    <n v="2"/>
    <n v="13"/>
    <n v="27"/>
    <x v="0"/>
    <n v="1"/>
    <n v="1"/>
    <n v="1"/>
    <n v="0"/>
  </r>
  <r>
    <x v="792"/>
    <s v="USR-00424"/>
    <s v="SES-2605-69521"/>
    <x v="414"/>
    <s v="Wales"/>
    <s v="Swansea"/>
    <x v="1"/>
    <x v="3"/>
    <x v="1"/>
    <s v="Ios"/>
    <s v="Iphone"/>
    <s v="7-12 months"/>
    <x v="0"/>
    <x v="4"/>
    <x v="4"/>
    <s v="First Use"/>
    <s v="Fee Transparency Panel"/>
    <s v="Treatment"/>
    <n v="6"/>
    <n v="6"/>
    <n v="166"/>
    <s v="No"/>
    <x v="0"/>
    <x v="0"/>
    <x v="5"/>
    <x v="0"/>
    <n v="0"/>
    <x v="0"/>
    <x v="0"/>
    <s v="No Support Contact"/>
    <s v="No"/>
    <s v="No Support Contact"/>
    <s v="Not Applicable"/>
    <m/>
    <s v="No drop-off"/>
    <n v="4"/>
    <n v="-42"/>
    <n v="0"/>
    <x v="1"/>
    <n v="1"/>
    <n v="1"/>
    <n v="1"/>
    <n v="1"/>
  </r>
  <r>
    <x v="793"/>
    <s v="USR-00544"/>
    <s v="SES-2603-84325"/>
    <x v="149"/>
    <s v="East England"/>
    <s v="Cambridge"/>
    <x v="2"/>
    <x v="0"/>
    <x v="1"/>
    <s v="Android"/>
    <s v="Android Phone"/>
    <s v="3-6 months"/>
    <x v="2"/>
    <x v="4"/>
    <x v="7"/>
    <s v="Repeat Use"/>
    <s v="No Experiment"/>
    <s v="Control"/>
    <n v="4"/>
    <n v="4"/>
    <n v="118"/>
    <s v="No"/>
    <x v="0"/>
    <x v="0"/>
    <x v="26"/>
    <x v="0"/>
    <n v="34.53"/>
    <x v="31"/>
    <x v="2"/>
    <s v="No Support Contact"/>
    <s v="No"/>
    <s v="No Support Contact"/>
    <s v="Not Applicable"/>
    <m/>
    <s v="No drop-off"/>
    <n v="3"/>
    <n v="-1"/>
    <n v="49"/>
    <x v="1"/>
    <n v="1"/>
    <n v="1"/>
    <n v="1"/>
    <n v="1"/>
  </r>
  <r>
    <x v="794"/>
    <s v="USR-00363"/>
    <s v="SES-2509-75259"/>
    <x v="419"/>
    <s v="South West"/>
    <s v="BRISTOL"/>
    <x v="0"/>
    <x v="0"/>
    <x v="1"/>
    <s v="Android"/>
    <s v="Android Phone"/>
    <s v="7-12 months"/>
    <x v="3"/>
    <x v="5"/>
    <x v="1"/>
    <s v="First Use"/>
    <s v="No Experiment"/>
    <s v="Control"/>
    <n v="4"/>
    <s v="3 steps"/>
    <n v="164"/>
    <s v="Yes"/>
    <x v="1"/>
    <x v="1"/>
    <x v="1"/>
    <x v="0"/>
    <n v="167.95"/>
    <x v="1"/>
    <x v="0"/>
    <s v="Transaction Failure"/>
    <s v="Yes"/>
    <s v="Transaction Failure"/>
    <s v="Resolved"/>
    <n v="47"/>
    <s v="Too many steps"/>
    <n v="4"/>
    <n v="23"/>
    <n v="0"/>
    <x v="0"/>
    <n v="0"/>
    <n v="1"/>
    <n v="0"/>
    <n v="0"/>
  </r>
  <r>
    <x v="795"/>
    <s v="USR-00592"/>
    <s v="SES-2501-32597"/>
    <x v="420"/>
    <s v="East Midlands"/>
    <s v="Nottingham"/>
    <x v="2"/>
    <x v="5"/>
    <x v="1"/>
    <s v="Web"/>
    <s v="Desktop"/>
    <s v="&lt;3 months"/>
    <x v="0"/>
    <x v="0"/>
    <x v="7"/>
    <s v="First Use"/>
    <s v="No Experiment"/>
    <s v="Control"/>
    <n v="4"/>
    <n v="4"/>
    <n v="100"/>
    <s v="No"/>
    <x v="0"/>
    <x v="1"/>
    <x v="1"/>
    <x v="0"/>
    <n v="1.97"/>
    <x v="50"/>
    <x v="0"/>
    <s v="No Support Contact"/>
    <s v="No"/>
    <s v="No Support Contact"/>
    <s v="Not Applicable"/>
    <m/>
    <s v="No drop-off"/>
    <n v="4"/>
    <n v="58"/>
    <n v="0"/>
    <x v="1"/>
    <n v="1"/>
    <n v="1"/>
    <n v="0"/>
    <n v="1"/>
  </r>
  <r>
    <x v="796"/>
    <s v="USR-00103"/>
    <s v="SES-2601-94163"/>
    <x v="157"/>
    <s v="North West"/>
    <s v="Chester"/>
    <x v="2"/>
    <x v="4"/>
    <x v="1"/>
    <s v="Ios"/>
    <s v="Iphone"/>
    <s v="1-2 years"/>
    <x v="1"/>
    <x v="5"/>
    <x v="4"/>
    <s v="Repeat Use"/>
    <s v="No Experiment"/>
    <s v="Control"/>
    <n v="6"/>
    <n v="5"/>
    <n v="207"/>
    <s v="Yes"/>
    <x v="0"/>
    <x v="1"/>
    <x v="1"/>
    <x v="0"/>
    <n v="59.42"/>
    <x v="0"/>
    <x v="1"/>
    <s v="No Support Contact"/>
    <s v="No"/>
    <s v="No Support Contact"/>
    <s v="Not Applicable"/>
    <m/>
    <s v="No drop-off"/>
    <n v="2"/>
    <n v="-30"/>
    <n v="71"/>
    <x v="0"/>
    <n v="1"/>
    <n v="1"/>
    <n v="0"/>
    <n v="0"/>
  </r>
  <r>
    <x v="797"/>
    <s v="USR-00638"/>
    <s v="SES-2603-27247"/>
    <x v="403"/>
    <s v="London"/>
    <s v="Croydon"/>
    <x v="2"/>
    <x v="4"/>
    <x v="0"/>
    <s v="Ios"/>
    <s v="Iphone"/>
    <s v="1-2 years"/>
    <x v="0"/>
    <x v="4"/>
    <x v="2"/>
    <s v="Repeat Use"/>
    <s v="Contextual Help"/>
    <s v="Treatment"/>
    <n v="5"/>
    <n v="5"/>
    <n v="113"/>
    <s v="No"/>
    <x v="0"/>
    <x v="1"/>
    <x v="1"/>
    <x v="0"/>
    <n v="141.27000000000001"/>
    <x v="0"/>
    <x v="0"/>
    <s v="No Support Contact"/>
    <s v="No"/>
    <s v="No Support Contact"/>
    <s v="Not Applicable"/>
    <m/>
    <s v="No drop-off"/>
    <n v="5"/>
    <n v="4"/>
    <n v="43"/>
    <x v="1"/>
    <n v="1"/>
    <n v="1"/>
    <n v="0"/>
    <n v="1"/>
  </r>
  <r>
    <x v="798"/>
    <s v="USR-00101"/>
    <s v="SES-2512-64553"/>
    <x v="31"/>
    <s v="Northern Ireland"/>
    <s v="Lisburn"/>
    <x v="0"/>
    <x v="0"/>
    <x v="1"/>
    <s v="Ios"/>
    <s v="Iphone"/>
    <s v="1-2 years"/>
    <x v="0"/>
    <x v="4"/>
    <x v="1"/>
    <s v="Repeat Use"/>
    <s v="No Experiment"/>
    <s v="Control"/>
    <n v="4"/>
    <n v="3"/>
    <n v="162"/>
    <s v="Yes"/>
    <x v="0"/>
    <x v="1"/>
    <x v="1"/>
    <x v="0"/>
    <n v="54.42"/>
    <x v="25"/>
    <x v="0"/>
    <s v="No Support Contact"/>
    <s v="No"/>
    <s v="No Support Contact"/>
    <s v="Not Applicable"/>
    <m/>
    <s v="No drop-off"/>
    <n v="3"/>
    <n v="7"/>
    <n v="61"/>
    <x v="1"/>
    <n v="1"/>
    <n v="1"/>
    <n v="0"/>
    <n v="1"/>
  </r>
  <r>
    <x v="799"/>
    <s v="USR-00853"/>
    <s v="SES-2501-53433"/>
    <x v="421"/>
    <s v="South East"/>
    <s v="Oxford"/>
    <x v="2"/>
    <x v="1"/>
    <x v="1"/>
    <s v="Web"/>
    <s v="Desktop"/>
    <s v="7-12 months"/>
    <x v="0"/>
    <x v="0"/>
    <x v="0"/>
    <s v="Reactivated"/>
    <s v="Simplified Onboarding"/>
    <s v="Control"/>
    <n v="7"/>
    <n v="7"/>
    <n v="128"/>
    <s v="No"/>
    <x v="0"/>
    <x v="1"/>
    <x v="1"/>
    <x v="0"/>
    <n v="142.03"/>
    <x v="0"/>
    <x v="0"/>
    <s v="No Support Contact"/>
    <s v="No"/>
    <s v="No Support Contact"/>
    <s v="Not Applicable"/>
    <m/>
    <s v="No drop-off"/>
    <n v="3"/>
    <n v="19"/>
    <n v="24"/>
    <x v="1"/>
    <n v="1"/>
    <n v="1"/>
    <n v="0"/>
    <n v="1"/>
  </r>
  <r>
    <x v="800"/>
    <s v="USR-00779"/>
    <s v="SES-2502-72876"/>
    <x v="14"/>
    <s v="Northern Ireland"/>
    <s v="Derry"/>
    <x v="2"/>
    <x v="0"/>
    <x v="0"/>
    <s v="Ios"/>
    <s v="Iphone"/>
    <s v="&lt;3 months"/>
    <x v="0"/>
    <x v="1"/>
    <x v="9"/>
    <s v="Trial/Exploration"/>
    <s v="New Cta Copy"/>
    <s v="Control"/>
    <n v="5"/>
    <s v="5 steps"/>
    <n v="160"/>
    <s v="No"/>
    <x v="0"/>
    <x v="0"/>
    <x v="20"/>
    <x v="0"/>
    <n v="147.27000000000001"/>
    <x v="0"/>
    <x v="0"/>
    <s v="No Support Contact"/>
    <s v="No"/>
    <s v="No Support Contact"/>
    <s v="Not Applicable"/>
    <m/>
    <s v="No drop-off"/>
    <n v="4"/>
    <n v="4"/>
    <n v="7"/>
    <x v="1"/>
    <n v="1"/>
    <n v="1"/>
    <n v="1"/>
    <n v="1"/>
  </r>
  <r>
    <x v="801"/>
    <s v="USR-00418"/>
    <s v="SES-2512-11201"/>
    <x v="36"/>
    <s v="Yorkshire &amp; Humber"/>
    <s v="Hull"/>
    <x v="4"/>
    <x v="1"/>
    <x v="0"/>
    <s v="Ios"/>
    <s v="Iphone"/>
    <s v="7-12 months"/>
    <x v="1"/>
    <x v="1"/>
    <x v="0"/>
    <s v="Trial/Exploration"/>
    <s v="No Experiment"/>
    <s v="Control"/>
    <n v="7"/>
    <n v="6"/>
    <n v="351"/>
    <s v="Yes"/>
    <x v="1"/>
    <x v="1"/>
    <x v="1"/>
    <x v="1"/>
    <n v="0"/>
    <x v="0"/>
    <x v="0"/>
    <s v="No Support Contact"/>
    <s v="No"/>
    <s v="No Support Contact"/>
    <s v="Not Applicable"/>
    <m/>
    <s v="Too many steps"/>
    <n v="3"/>
    <n v="-30"/>
    <n v="31"/>
    <x v="1"/>
    <n v="0"/>
    <n v="0"/>
    <n v="0"/>
    <n v="1"/>
  </r>
  <r>
    <x v="802"/>
    <s v="USR-00725"/>
    <s v="SES-2512-58559"/>
    <x v="84"/>
    <s v="Scotland"/>
    <s v="Dundee"/>
    <x v="5"/>
    <x v="2"/>
    <x v="1"/>
    <s v="Android"/>
    <s v="Android Phone"/>
    <s v="3-6 months"/>
    <x v="1"/>
    <x v="4"/>
    <x v="1"/>
    <s v="Repeat Use"/>
    <s v="No Experiment"/>
    <s v="Control"/>
    <n v="4"/>
    <s v="N/A"/>
    <n v="117"/>
    <s v="No"/>
    <x v="1"/>
    <x v="1"/>
    <x v="1"/>
    <x v="1"/>
    <n v="0"/>
    <x v="0"/>
    <x v="0"/>
    <s v="No Support Contact"/>
    <s v="No"/>
    <s v="No Support Contact"/>
    <s v="Not Applicable"/>
    <m/>
    <s v="No drop-off"/>
    <n v="5"/>
    <n v="2"/>
    <n v="54"/>
    <x v="1"/>
    <n v="0"/>
    <n v="0"/>
    <n v="0"/>
    <n v="1"/>
  </r>
  <r>
    <x v="803"/>
    <s v="USR-00722"/>
    <s v="SES-2506-25577"/>
    <x v="119"/>
    <s v="Wales"/>
    <s v="Cardiff"/>
    <x v="3"/>
    <x v="1"/>
    <x v="1"/>
    <s v="Android"/>
    <s v="Android Phone"/>
    <s v="1-2 years"/>
    <x v="2"/>
    <x v="5"/>
    <x v="8"/>
    <s v="Repeat Use"/>
    <s v="New Cta Copy"/>
    <s v="Treatment"/>
    <n v="5"/>
    <n v="5"/>
    <n v="130"/>
    <s v="No"/>
    <x v="0"/>
    <x v="1"/>
    <x v="1"/>
    <x v="0"/>
    <n v="44.83"/>
    <x v="0"/>
    <x v="2"/>
    <s v="No Support Contact"/>
    <s v="No"/>
    <s v="No Support Contact"/>
    <s v="Not Applicable"/>
    <m/>
    <s v="No drop-off"/>
    <n v="5"/>
    <n v="42"/>
    <n v="1"/>
    <x v="1"/>
    <n v="1"/>
    <n v="1"/>
    <n v="0"/>
    <n v="1"/>
  </r>
  <r>
    <x v="804"/>
    <s v="USR-00565"/>
    <s v="SES-2511-55918"/>
    <x v="422"/>
    <s v="Wales"/>
    <s v="Cardiff"/>
    <x v="3"/>
    <x v="0"/>
    <x v="1"/>
    <s v="Ios"/>
    <s v="Iphone"/>
    <s v="&lt;3 months"/>
    <x v="1"/>
    <x v="1"/>
    <x v="0"/>
    <s v="First Use"/>
    <s v="No Experiment"/>
    <s v="Control"/>
    <n v="7"/>
    <n v="5"/>
    <n v="448"/>
    <s v="Yes"/>
    <x v="1"/>
    <x v="0"/>
    <x v="18"/>
    <x v="1"/>
    <n v="0"/>
    <x v="0"/>
    <x v="0"/>
    <s v="Feature Navigation"/>
    <s v="Yes"/>
    <s v="Feature Navigation"/>
    <s v="Unresolved"/>
    <n v="8"/>
    <s v="Too many steps"/>
    <n v="2"/>
    <n v="-35"/>
    <n v="0"/>
    <x v="0"/>
    <n v="0"/>
    <n v="0"/>
    <n v="1"/>
    <n v="0"/>
  </r>
  <r>
    <x v="805"/>
    <s v="USR-00060"/>
    <s v="SES-2507-16614"/>
    <x v="333"/>
    <s v="Yorkshire &amp; Humber"/>
    <s v="York"/>
    <x v="2"/>
    <x v="2"/>
    <x v="1"/>
    <s v="Android"/>
    <s v="Android Phone"/>
    <s v="&lt;3 months"/>
    <x v="0"/>
    <x v="4"/>
    <x v="7"/>
    <s v="Repeat Use"/>
    <s v="No Experiment"/>
    <s v="Control"/>
    <s v="N/A"/>
    <n v="4"/>
    <n v="116"/>
    <s v="No"/>
    <x v="0"/>
    <x v="1"/>
    <x v="1"/>
    <x v="0"/>
    <n v="17.829999999999998"/>
    <x v="28"/>
    <x v="0"/>
    <s v="Feature Navigation"/>
    <s v="Yes"/>
    <s v="Feature Navigation"/>
    <s v="Resolved"/>
    <n v="33"/>
    <s v="No drop-off"/>
    <n v="4"/>
    <n v="28"/>
    <n v="25"/>
    <x v="1"/>
    <n v="1"/>
    <n v="1"/>
    <n v="0"/>
    <n v="1"/>
  </r>
  <r>
    <x v="806"/>
    <s v="USR-00332"/>
    <s v="SES-2512-81294"/>
    <x v="285"/>
    <s v="East Midlands"/>
    <s v="Lincoln"/>
    <x v="0"/>
    <x v="0"/>
    <x v="1"/>
    <s v="Ios"/>
    <s v="Iphone"/>
    <s v="7-12 months"/>
    <x v="0"/>
    <x v="4"/>
    <x v="1"/>
    <s v="First Use"/>
    <s v="No Experiment"/>
    <s v="Control"/>
    <s v="4 steps"/>
    <n v="3"/>
    <n v="125"/>
    <s v="Yes"/>
    <x v="0"/>
    <x v="1"/>
    <x v="1"/>
    <x v="2"/>
    <n v="78.23"/>
    <x v="1"/>
    <x v="0"/>
    <s v="No Support Contact"/>
    <s v="No"/>
    <s v="No Support Contact"/>
    <s v="Not Applicable"/>
    <m/>
    <s v="No drop-off"/>
    <n v="4"/>
    <n v="1"/>
    <n v="0"/>
    <x v="1"/>
    <n v="1"/>
    <n v="0"/>
    <n v="0"/>
    <n v="1"/>
  </r>
  <r>
    <x v="807"/>
    <s v="USR-00782"/>
    <s v="SES-2507-21380"/>
    <x v="217"/>
    <s v="South East"/>
    <s v="Reading"/>
    <x v="5"/>
    <x v="3"/>
    <x v="0"/>
    <s v="Android"/>
    <s v="Android Phone"/>
    <s v="3-6 months"/>
    <x v="0"/>
    <x v="0"/>
    <x v="8"/>
    <s v="Repeat Use"/>
    <s v="No Experiment"/>
    <s v="Control"/>
    <n v="5"/>
    <n v="5"/>
    <n v="116"/>
    <s v="No"/>
    <x v="1"/>
    <x v="1"/>
    <x v="1"/>
    <x v="1"/>
    <n v="0"/>
    <x v="0"/>
    <x v="0"/>
    <s v="No Support Contact"/>
    <s v="No"/>
    <s v="No Support Contact"/>
    <s v="Not Applicable"/>
    <m/>
    <s v="No drop-off"/>
    <n v="4"/>
    <n v="32"/>
    <n v="33"/>
    <x v="1"/>
    <n v="0"/>
    <n v="0"/>
    <n v="0"/>
    <n v="1"/>
  </r>
  <r>
    <x v="808"/>
    <s v="USR-00579"/>
    <s v="SES-2601-40522"/>
    <x v="104"/>
    <s v="East Midlands"/>
    <s v="Derby"/>
    <x v="7"/>
    <x v="3"/>
    <x v="1"/>
    <s v="Android"/>
    <s v="Android Phone"/>
    <s v="3-6 months"/>
    <x v="2"/>
    <x v="0"/>
    <x v="0"/>
    <s v="Repeat Use"/>
    <s v="Simplified Onboarding"/>
    <s v="Control"/>
    <n v="7"/>
    <n v="7"/>
    <n v="199"/>
    <s v="No"/>
    <x v="1"/>
    <x v="1"/>
    <x v="1"/>
    <x v="1"/>
    <n v="0"/>
    <x v="0"/>
    <x v="0"/>
    <s v="No Support Contact"/>
    <s v="No"/>
    <s v="No Support Contact"/>
    <s v="Not Applicable"/>
    <m/>
    <s v="Technical error"/>
    <n v="4"/>
    <n v="20"/>
    <n v="55"/>
    <x v="1"/>
    <n v="0"/>
    <n v="0"/>
    <n v="0"/>
    <n v="1"/>
  </r>
  <r>
    <x v="809"/>
    <s v="USR-00631"/>
    <s v="SES-2509-34661"/>
    <x v="373"/>
    <s v="North East"/>
    <s v="Durham"/>
    <x v="0"/>
    <x v="0"/>
    <x v="2"/>
    <s v="Ios"/>
    <s v="Iphone"/>
    <s v="2+ years"/>
    <x v="0"/>
    <x v="0"/>
    <x v="8"/>
    <s v="First Use"/>
    <s v="Fee Transparency Panel"/>
    <s v="Treatment"/>
    <n v="5"/>
    <n v="5"/>
    <n v="92"/>
    <s v="No"/>
    <x v="0"/>
    <x v="1"/>
    <x v="1"/>
    <x v="0"/>
    <n v="146.94999999999999"/>
    <x v="0"/>
    <x v="0"/>
    <s v="No Support Contact"/>
    <s v="No"/>
    <s v="No Support Contact"/>
    <s v="Not Applicable"/>
    <m/>
    <s v="No drop-off"/>
    <n v="5"/>
    <n v="58"/>
    <n v="0"/>
    <x v="1"/>
    <n v="1"/>
    <n v="1"/>
    <n v="0"/>
    <n v="1"/>
  </r>
  <r>
    <x v="810"/>
    <s v="USR-00660"/>
    <s v="SES-2511-30052"/>
    <x v="32"/>
    <s v="East Midlands"/>
    <s v="Lincoln"/>
    <x v="3"/>
    <x v="0"/>
    <x v="0"/>
    <s v="Ios"/>
    <s v="Iphone"/>
    <s v="&lt;3 months"/>
    <x v="0"/>
    <x v="2"/>
    <x v="5"/>
    <s v="Repeat Use"/>
    <s v="Simplified Onboarding"/>
    <s v="Control"/>
    <n v="8"/>
    <n v="7"/>
    <n v="246"/>
    <s v="Yes"/>
    <x v="0"/>
    <x v="1"/>
    <x v="1"/>
    <x v="0"/>
    <n v="410.71"/>
    <x v="16"/>
    <x v="0"/>
    <s v="Feature Navigation"/>
    <s v="Yes"/>
    <s v="Feature Navigation"/>
    <s v="Resolved"/>
    <n v="41"/>
    <s v="No drop-off"/>
    <n v="3"/>
    <n v="19"/>
    <n v="1"/>
    <x v="0"/>
    <n v="1"/>
    <n v="1"/>
    <n v="0"/>
    <n v="0"/>
  </r>
  <r>
    <x v="811"/>
    <s v="USR-00734"/>
    <s v="SES-2606-29307"/>
    <x v="423"/>
    <s v="Northern Ireland"/>
    <s v="Derry"/>
    <x v="2"/>
    <x v="1"/>
    <x v="1"/>
    <s v="Android"/>
    <s v="Android Phone"/>
    <s v="&lt;3 months"/>
    <x v="0"/>
    <x v="1"/>
    <x v="9"/>
    <s v="First Use"/>
    <s v="No Experiment"/>
    <s v="Control"/>
    <n v="5"/>
    <s v="5 steps"/>
    <n v="97"/>
    <s v="No"/>
    <x v="0"/>
    <x v="1"/>
    <x v="1"/>
    <x v="0"/>
    <n v="66.069999999999993"/>
    <x v="0"/>
    <x v="0"/>
    <s v="No Support Contact"/>
    <s v="No"/>
    <s v="No Support Contact"/>
    <s v="Not Applicable"/>
    <m/>
    <s v="No drop-off"/>
    <n v="5"/>
    <n v="83"/>
    <n v="0"/>
    <x v="0"/>
    <n v="1"/>
    <n v="1"/>
    <n v="0"/>
    <n v="0"/>
  </r>
  <r>
    <x v="812"/>
    <s v="USR-00366"/>
    <s v="SES-2510-39522"/>
    <x v="241"/>
    <s v="Wales"/>
    <s v="Wrexham"/>
    <x v="7"/>
    <x v="2"/>
    <x v="0"/>
    <s v="Android"/>
    <s v="Android Phone"/>
    <s v="&lt;3 months"/>
    <x v="0"/>
    <x v="0"/>
    <x v="1"/>
    <s v="Repeat Use"/>
    <s v="No Experiment"/>
    <s v="Control"/>
    <n v="4"/>
    <n v="2"/>
    <n v="262"/>
    <s v="Yes"/>
    <x v="1"/>
    <x v="0"/>
    <x v="3"/>
    <x v="0"/>
    <n v="116.54"/>
    <x v="6"/>
    <x v="0"/>
    <s v="No Support Contact"/>
    <s v="No"/>
    <s v="No Support Contact"/>
    <s v="Not Applicable"/>
    <m/>
    <s v="Too many steps"/>
    <n v="2"/>
    <n v="-62"/>
    <n v="36"/>
    <x v="1"/>
    <n v="0"/>
    <n v="1"/>
    <n v="1"/>
    <n v="1"/>
  </r>
  <r>
    <x v="813"/>
    <s v="USR-00800"/>
    <s v="SES-2506-35162"/>
    <x v="308"/>
    <s v="North East"/>
    <s v="Newcastle"/>
    <x v="2"/>
    <x v="0"/>
    <x v="0"/>
    <s v="Ios"/>
    <s v="Iphone"/>
    <s v="3-6 months"/>
    <x v="1"/>
    <x v="0"/>
    <x v="1"/>
    <s v="Repeat Use"/>
    <s v="No Experiment"/>
    <s v="Control"/>
    <n v="4"/>
    <n v="4"/>
    <n v="83"/>
    <s v="No"/>
    <x v="0"/>
    <x v="1"/>
    <x v="1"/>
    <x v="0"/>
    <n v="184.94"/>
    <x v="1"/>
    <x v="1"/>
    <s v="No Support Contact"/>
    <s v="No"/>
    <s v="No Support Contact"/>
    <s v="Not Applicable"/>
    <m/>
    <s v="No drop-off"/>
    <n v="3"/>
    <n v="17"/>
    <n v="8"/>
    <x v="0"/>
    <n v="1"/>
    <n v="1"/>
    <n v="0"/>
    <n v="0"/>
  </r>
  <r>
    <x v="814"/>
    <s v="USR-00240"/>
    <s v="SES-2508-16263"/>
    <x v="424"/>
    <s v="Yorkshire &amp; Humber"/>
    <s v="Leeds"/>
    <x v="2"/>
    <x v="2"/>
    <x v="0"/>
    <s v="Android"/>
    <s v="Android Phone"/>
    <s v="2+ years"/>
    <x v="0"/>
    <x v="4"/>
    <x v="0"/>
    <s v="Reactivated"/>
    <s v="Simplified Onboarding"/>
    <s v="Control"/>
    <s v="7 steps"/>
    <n v="7"/>
    <n v="245"/>
    <s v="No"/>
    <x v="1"/>
    <x v="0"/>
    <x v="11"/>
    <x v="1"/>
    <n v="0"/>
    <x v="0"/>
    <x v="0"/>
    <s v="Transaction Failure"/>
    <s v="Yes"/>
    <s v="Transaction Failure"/>
    <s v="Unresolved"/>
    <n v="11"/>
    <s v="Verification took too long"/>
    <n v="2"/>
    <n v="-21"/>
    <n v="23"/>
    <x v="0"/>
    <n v="0"/>
    <n v="0"/>
    <n v="1"/>
    <n v="0"/>
  </r>
  <r>
    <x v="815"/>
    <s v="USR-00441"/>
    <s v="SES-2507-62022"/>
    <x v="337"/>
    <s v="London"/>
    <s v="Hackney"/>
    <x v="0"/>
    <x v="0"/>
    <x v="1"/>
    <s v="Android"/>
    <s v="Android Phone"/>
    <s v="1-2 years"/>
    <x v="3"/>
    <x v="4"/>
    <x v="1"/>
    <s v="Repeat Use"/>
    <s v="No Experiment"/>
    <s v="Control"/>
    <n v="4"/>
    <n v="4"/>
    <n v="106"/>
    <s v="No"/>
    <x v="0"/>
    <x v="1"/>
    <x v="1"/>
    <x v="0"/>
    <n v="112.79"/>
    <x v="4"/>
    <x v="0"/>
    <s v="No Support Contact"/>
    <s v="No"/>
    <s v="No Support Contact"/>
    <s v="Not Applicable"/>
    <m/>
    <s v="No drop-off"/>
    <n v="4"/>
    <n v="23"/>
    <n v="2"/>
    <x v="0"/>
    <n v="1"/>
    <n v="1"/>
    <n v="0"/>
    <n v="0"/>
  </r>
  <r>
    <x v="816"/>
    <s v="USR-00174"/>
    <s v="SES-2506-92851"/>
    <x v="336"/>
    <s v="Yorkshire &amp; Humber"/>
    <s v="Sheffield"/>
    <x v="0"/>
    <x v="0"/>
    <x v="0"/>
    <s v="Android"/>
    <s v="Android Phone"/>
    <s v="7-12 months"/>
    <x v="0"/>
    <x v="7"/>
    <x v="9"/>
    <s v="First Use"/>
    <s v="No Experiment"/>
    <s v="Control"/>
    <n v="5"/>
    <n v="3"/>
    <n v="235"/>
    <s v="Yes"/>
    <x v="1"/>
    <x v="1"/>
    <x v="1"/>
    <x v="0"/>
    <n v="0"/>
    <x v="0"/>
    <x v="0"/>
    <s v="No Support Contact"/>
    <s v="No"/>
    <s v="No Support Contact"/>
    <s v="Not Applicable"/>
    <m/>
    <s v="Instructions unclear"/>
    <n v="2"/>
    <n v="-41"/>
    <n v="0"/>
    <x v="1"/>
    <n v="0"/>
    <n v="1"/>
    <n v="0"/>
    <n v="1"/>
  </r>
  <r>
    <x v="817"/>
    <s v="USR-00415"/>
    <s v="SES-2601-18202"/>
    <x v="425"/>
    <s v="South East"/>
    <s v="Oxford"/>
    <x v="3"/>
    <x v="2"/>
    <x v="1"/>
    <s v="Android"/>
    <s v="Android Phone"/>
    <s v="3-6 months"/>
    <x v="0"/>
    <x v="5"/>
    <x v="2"/>
    <s v="Repeat Use"/>
    <s v="No Experiment"/>
    <s v="Control"/>
    <n v="5"/>
    <n v="5"/>
    <n v="177"/>
    <s v="No"/>
    <x v="1"/>
    <x v="0"/>
    <x v="19"/>
    <x v="1"/>
    <n v="0"/>
    <x v="0"/>
    <x v="0"/>
    <s v="Feature Navigation"/>
    <s v="Yes"/>
    <s v="Feature Navigation"/>
    <s v="Resolved"/>
    <n v="50"/>
    <s v="No drop-off"/>
    <n v="2"/>
    <n v="19"/>
    <n v="25"/>
    <x v="0"/>
    <n v="0"/>
    <n v="0"/>
    <n v="1"/>
    <n v="0"/>
  </r>
  <r>
    <x v="818"/>
    <s v="USR-00412"/>
    <s v="SES-2508-92849"/>
    <x v="102"/>
    <s v="Northern Ireland"/>
    <s v="Derry"/>
    <x v="2"/>
    <x v="2"/>
    <x v="1"/>
    <s v="Ios"/>
    <s v="Iphone"/>
    <s v="3-6 months"/>
    <x v="1"/>
    <x v="5"/>
    <x v="10"/>
    <s v="Repeat Use"/>
    <s v="Simplified Onboarding"/>
    <s v="Treatment"/>
    <n v="9"/>
    <n v="6"/>
    <n v="337"/>
    <s v="Yes"/>
    <x v="1"/>
    <x v="1"/>
    <x v="1"/>
    <x v="1"/>
    <n v="0"/>
    <x v="0"/>
    <x v="0"/>
    <s v="Feature Navigation"/>
    <s v="Yes"/>
    <s v="Feature Navigation"/>
    <s v="Resolved"/>
    <n v="14"/>
    <s v="Instructions unclear"/>
    <n v="2"/>
    <n v="-46"/>
    <n v="21"/>
    <x v="0"/>
    <n v="0"/>
    <n v="0"/>
    <n v="0"/>
    <n v="0"/>
  </r>
  <r>
    <x v="819"/>
    <s v="USR-00466"/>
    <s v="SES-2507-63380"/>
    <x v="219"/>
    <s v="Yorkshire &amp; Humber"/>
    <s v="Hull"/>
    <x v="0"/>
    <x v="5"/>
    <x v="1"/>
    <s v="Android"/>
    <s v="Android Phone"/>
    <s v="1-2 years"/>
    <x v="1"/>
    <x v="5"/>
    <x v="10"/>
    <s v="First Use"/>
    <s v="Contextual Help"/>
    <s v="Treatment"/>
    <s v="9 steps"/>
    <n v="8"/>
    <n v="475"/>
    <s v="Yes"/>
    <x v="1"/>
    <x v="0"/>
    <x v="9"/>
    <x v="1"/>
    <n v="0"/>
    <x v="0"/>
    <x v="0"/>
    <s v="No Support Contact"/>
    <s v="No"/>
    <s v="No Support Contact"/>
    <s v="Not Applicable"/>
    <m/>
    <s v="Too many steps"/>
    <n v="1"/>
    <n v="-17"/>
    <s v="0 days"/>
    <x v="0"/>
    <n v="0"/>
    <n v="0"/>
    <n v="1"/>
    <n v="0"/>
  </r>
  <r>
    <x v="820"/>
    <s v="USR-00316"/>
    <s v="SES-2509-18207"/>
    <x v="148"/>
    <s v="Scotland"/>
    <s v="Edinburgh"/>
    <x v="0"/>
    <x v="0"/>
    <x v="0"/>
    <s v="Android"/>
    <s v="Android Phone"/>
    <s v="7-12 months"/>
    <x v="1"/>
    <x v="0"/>
    <x v="1"/>
    <s v="Reactivated"/>
    <s v="No Experiment"/>
    <s v="Control"/>
    <n v="4"/>
    <n v="4"/>
    <n v="92"/>
    <s v="No"/>
    <x v="0"/>
    <x v="1"/>
    <x v="1"/>
    <x v="0"/>
    <n v="42.9"/>
    <x v="7"/>
    <x v="1"/>
    <s v="No Support Contact"/>
    <s v="No"/>
    <s v="No Support Contact"/>
    <s v="Not Applicable"/>
    <m/>
    <s v="No drop-off"/>
    <n v="4"/>
    <n v="-18"/>
    <n v="48"/>
    <x v="1"/>
    <n v="1"/>
    <n v="1"/>
    <n v="0"/>
    <n v="1"/>
  </r>
  <r>
    <x v="821"/>
    <s v="USR-00829"/>
    <s v="SES-2510-87309"/>
    <x v="426"/>
    <s v="North West"/>
    <s v="Preston"/>
    <x v="5"/>
    <x v="4"/>
    <x v="0"/>
    <s v="Ios"/>
    <s v="Iphone"/>
    <s v="7-12 months"/>
    <x v="0"/>
    <x v="5"/>
    <x v="2"/>
    <s v="Reactivated"/>
    <s v="New Cta Copy"/>
    <s v="Control"/>
    <n v="5"/>
    <n v="5"/>
    <n v="112"/>
    <s v="No"/>
    <x v="0"/>
    <x v="1"/>
    <x v="1"/>
    <x v="0"/>
    <n v="54.66"/>
    <x v="0"/>
    <x v="0"/>
    <s v="No Support Contact"/>
    <s v="No"/>
    <s v="No Support Contact"/>
    <s v="Not Applicable"/>
    <m/>
    <s v="No drop-off"/>
    <n v="5"/>
    <n v="0"/>
    <n v="15"/>
    <x v="1"/>
    <n v="1"/>
    <n v="1"/>
    <n v="0"/>
    <n v="1"/>
  </r>
  <r>
    <x v="822"/>
    <s v="USR-00540"/>
    <s v="SES-2602-70683"/>
    <x v="224"/>
    <s v="South East"/>
    <s v="Reading"/>
    <x v="3"/>
    <x v="0"/>
    <x v="0"/>
    <s v="Ios"/>
    <s v="Iphone"/>
    <s v="1-2 years"/>
    <x v="0"/>
    <x v="1"/>
    <x v="1"/>
    <s v="Trial/Exploration"/>
    <s v="No Experiment"/>
    <s v="Control"/>
    <n v="4"/>
    <n v="2"/>
    <n v="127"/>
    <s v="Yes"/>
    <x v="0"/>
    <x v="1"/>
    <x v="1"/>
    <x v="0"/>
    <n v="173.11"/>
    <x v="1"/>
    <x v="0"/>
    <s v="No Support Contact"/>
    <s v="No"/>
    <s v="No Support Contact"/>
    <s v="Not Applicable"/>
    <m/>
    <s v="No drop-off"/>
    <n v="4"/>
    <n v="25"/>
    <n v="32"/>
    <x v="1"/>
    <n v="1"/>
    <n v="1"/>
    <n v="0"/>
    <n v="1"/>
  </r>
  <r>
    <x v="823"/>
    <s v="USR-00356"/>
    <s v="SES-2603-85679"/>
    <x v="25"/>
    <s v="London"/>
    <s v="Hackney"/>
    <x v="2"/>
    <x v="1"/>
    <x v="0"/>
    <s v="Ios"/>
    <s v="Iphone"/>
    <s v="3-6 months"/>
    <x v="0"/>
    <x v="4"/>
    <x v="8"/>
    <s v="Repeat Use"/>
    <s v="Progress Indicator"/>
    <s v="Treatment"/>
    <n v="5"/>
    <n v="5"/>
    <n v="109"/>
    <s v="No"/>
    <x v="0"/>
    <x v="1"/>
    <x v="1"/>
    <x v="0"/>
    <n v="140.97999999999999"/>
    <x v="0"/>
    <x v="0"/>
    <s v="No Support Contact"/>
    <s v="No"/>
    <s v="No Support Contact"/>
    <s v="Not Applicable"/>
    <m/>
    <s v="No drop-off"/>
    <n v="4"/>
    <n v="64"/>
    <n v="77"/>
    <x v="1"/>
    <n v="1"/>
    <n v="1"/>
    <n v="0"/>
    <n v="1"/>
  </r>
  <r>
    <x v="824"/>
    <s v="USR-00728"/>
    <s v="SES-2506-25815"/>
    <x v="47"/>
    <s v="Yorkshire &amp; Humber"/>
    <s v="York"/>
    <x v="2"/>
    <x v="4"/>
    <x v="0"/>
    <s v="Web"/>
    <s v="Desktop"/>
    <s v="1-2 years"/>
    <x v="0"/>
    <x v="5"/>
    <x v="1"/>
    <s v="Trial/Exploration"/>
    <s v="No Experiment"/>
    <s v="Control"/>
    <s v="4 steps"/>
    <n v="4"/>
    <n v="92"/>
    <s v="No"/>
    <x v="0"/>
    <x v="1"/>
    <x v="1"/>
    <x v="0"/>
    <n v="117.71"/>
    <x v="4"/>
    <x v="0"/>
    <s v="No Support Contact"/>
    <s v="No"/>
    <s v="No Support Contact"/>
    <s v="Not Applicable"/>
    <m/>
    <s v="No drop-off"/>
    <n v="4"/>
    <n v="20"/>
    <n v="24"/>
    <x v="1"/>
    <n v="1"/>
    <n v="1"/>
    <n v="0"/>
    <n v="1"/>
  </r>
  <r>
    <x v="825"/>
    <s v="USR-00221"/>
    <s v="SES-2602-71527"/>
    <x v="269"/>
    <s v="Northern Ireland"/>
    <s v="Newry"/>
    <x v="2"/>
    <x v="5"/>
    <x v="1"/>
    <s v="Android"/>
    <s v="Android Phone"/>
    <s v="1-2 years"/>
    <x v="3"/>
    <x v="3"/>
    <x v="5"/>
    <s v="Repeat Use"/>
    <s v="No Experiment"/>
    <s v="Control"/>
    <n v="8"/>
    <n v="8"/>
    <n v="298"/>
    <s v="No"/>
    <x v="1"/>
    <x v="0"/>
    <x v="7"/>
    <x v="1"/>
    <n v="0"/>
    <x v="0"/>
    <x v="0"/>
    <s v="No Support Contact"/>
    <s v="No"/>
    <s v="No Support Contact"/>
    <s v="Not Applicable"/>
    <m/>
    <s v="No drop-off"/>
    <n v="2"/>
    <n v="-65"/>
    <n v="18"/>
    <x v="0"/>
    <n v="0"/>
    <n v="0"/>
    <n v="1"/>
    <n v="0"/>
  </r>
  <r>
    <x v="826"/>
    <s v="USR-00821"/>
    <s v="SES-2508-96627"/>
    <x v="199"/>
    <s v="Northern Ireland"/>
    <s v="Newry"/>
    <x v="4"/>
    <x v="0"/>
    <x v="1"/>
    <s v="Android"/>
    <s v="Android Phone"/>
    <s v="1-2 years"/>
    <x v="1"/>
    <x v="4"/>
    <x v="1"/>
    <s v="First Use"/>
    <s v="Progress Indicator"/>
    <s v="Control"/>
    <n v="4"/>
    <n v="4"/>
    <n v="113"/>
    <s v="No"/>
    <x v="0"/>
    <x v="1"/>
    <x v="1"/>
    <x v="0"/>
    <n v="148.29"/>
    <x v="6"/>
    <x v="1"/>
    <s v="No Support Contact"/>
    <s v="No"/>
    <s v="No Support Contact"/>
    <s v="Not Applicable"/>
    <m/>
    <s v="No drop-off"/>
    <n v="4"/>
    <n v="0"/>
    <n v="0"/>
    <x v="1"/>
    <n v="1"/>
    <n v="1"/>
    <n v="0"/>
    <n v="1"/>
  </r>
  <r>
    <x v="827"/>
    <s v="USR-00099"/>
    <s v="SES-2504-56597"/>
    <x v="367"/>
    <s v="East England"/>
    <s v="Cambridge"/>
    <x v="0"/>
    <x v="0"/>
    <x v="0"/>
    <s v="Android"/>
    <s v="Android Phone"/>
    <s v="&lt;3 months"/>
    <x v="1"/>
    <x v="2"/>
    <x v="0"/>
    <s v="Repeat Use"/>
    <s v="No Experiment"/>
    <s v="Control"/>
    <n v="7"/>
    <n v="7"/>
    <n v="148"/>
    <s v="No"/>
    <x v="1"/>
    <x v="1"/>
    <x v="1"/>
    <x v="0"/>
    <n v="6.24"/>
    <x v="0"/>
    <x v="1"/>
    <s v="No Support Contact"/>
    <s v="No"/>
    <s v="No Support Contact"/>
    <s v="Not Applicable"/>
    <m/>
    <s v="Too many steps"/>
    <n v="3"/>
    <n v="55"/>
    <n v="37"/>
    <x v="0"/>
    <n v="0"/>
    <n v="1"/>
    <n v="0"/>
    <n v="0"/>
  </r>
  <r>
    <x v="828"/>
    <s v="USR-00490"/>
    <s v="SES-2507-66785"/>
    <x v="343"/>
    <s v="Scotland"/>
    <s v="Dundee"/>
    <x v="5"/>
    <x v="0"/>
    <x v="0"/>
    <s v="Android"/>
    <s v="Android Phone"/>
    <s v="1-2 years"/>
    <x v="0"/>
    <x v="4"/>
    <x v="4"/>
    <s v="Unknown"/>
    <s v="Progress Indicator"/>
    <s v="Control"/>
    <n v="6"/>
    <n v="3"/>
    <n v="214"/>
    <s v="Yes"/>
    <x v="0"/>
    <x v="1"/>
    <x v="1"/>
    <x v="0"/>
    <n v="0"/>
    <x v="0"/>
    <x v="0"/>
    <s v="No Support Contact"/>
    <s v="No"/>
    <s v="No Support Contact"/>
    <s v="Not Applicable"/>
    <m/>
    <s v="No drop-off"/>
    <n v="3"/>
    <n v="-30"/>
    <n v="20"/>
    <x v="1"/>
    <n v="1"/>
    <n v="1"/>
    <n v="0"/>
    <n v="1"/>
  </r>
  <r>
    <x v="829"/>
    <s v="USR-00156"/>
    <s v="SES-2509-56307"/>
    <x v="427"/>
    <s v="West Midlands"/>
    <s v="Solihull"/>
    <x v="5"/>
    <x v="0"/>
    <x v="0"/>
    <s v="Android"/>
    <s v="Android Phone"/>
    <s v="&lt;3 months"/>
    <x v="0"/>
    <x v="3"/>
    <x v="5"/>
    <s v="Repeat Use"/>
    <s v="No Experiment"/>
    <s v="Control"/>
    <n v="8"/>
    <n v="8"/>
    <n v="235"/>
    <s v="No"/>
    <x v="0"/>
    <x v="0"/>
    <x v="7"/>
    <x v="1"/>
    <n v="0"/>
    <x v="0"/>
    <x v="0"/>
    <s v="No Support Contact"/>
    <s v="No"/>
    <s v="No Support Contact"/>
    <s v="Not Applicable"/>
    <m/>
    <s v="No drop-off"/>
    <n v="4"/>
    <n v="-30"/>
    <n v="46"/>
    <x v="1"/>
    <n v="1"/>
    <n v="0"/>
    <n v="1"/>
    <n v="1"/>
  </r>
  <r>
    <x v="336"/>
    <s v="USR-00524"/>
    <s v="SES-2503-41400"/>
    <x v="249"/>
    <s v="West Midlands"/>
    <s v="Birmingham"/>
    <x v="0"/>
    <x v="3"/>
    <x v="1"/>
    <s v="Android"/>
    <s v="Android Phone"/>
    <s v="&lt;3 months"/>
    <x v="1"/>
    <x v="6"/>
    <x v="2"/>
    <s v="Repeat Use"/>
    <s v="New Cta Copy"/>
    <s v="Treatment"/>
    <n v="5"/>
    <n v="5"/>
    <n v="124"/>
    <s v="No"/>
    <x v="0"/>
    <x v="1"/>
    <x v="1"/>
    <x v="0"/>
    <n v="85.99"/>
    <x v="0"/>
    <x v="1"/>
    <s v="No Support Contact"/>
    <s v="No"/>
    <s v="No Support Contact"/>
    <s v="Not Applicable"/>
    <m/>
    <s v="No drop-off"/>
    <n v="4"/>
    <n v="94"/>
    <n v="41"/>
    <x v="1"/>
    <n v="1"/>
    <n v="1"/>
    <n v="0"/>
    <n v="1"/>
  </r>
  <r>
    <x v="830"/>
    <s v="USR-00718"/>
    <s v="SES-2511-28487"/>
    <x v="24"/>
    <s v="South East"/>
    <s v="Guildford"/>
    <x v="3"/>
    <x v="1"/>
    <x v="1"/>
    <s v="Web"/>
    <s v="Desktop"/>
    <s v="7-12 months"/>
    <x v="0"/>
    <x v="7"/>
    <x v="3"/>
    <s v="Repeat Use"/>
    <s v="Fee Transparency Panel"/>
    <s v="Control"/>
    <n v="6"/>
    <n v="5"/>
    <n v="204"/>
    <s v="Yes"/>
    <x v="0"/>
    <x v="1"/>
    <x v="1"/>
    <x v="0"/>
    <n v="15.03"/>
    <x v="5"/>
    <x v="0"/>
    <s v="No Support Contact"/>
    <s v="No"/>
    <s v="No Support Contact"/>
    <s v="Not Applicable"/>
    <m/>
    <s v="No drop-off"/>
    <n v="3"/>
    <n v="13"/>
    <n v="30"/>
    <x v="0"/>
    <n v="1"/>
    <n v="1"/>
    <n v="0"/>
    <n v="0"/>
  </r>
  <r>
    <x v="831"/>
    <s v="USR-00687"/>
    <s v="SES-2509-59421"/>
    <x v="428"/>
    <s v="North West"/>
    <s v="Manchester"/>
    <x v="2"/>
    <x v="2"/>
    <x v="0"/>
    <s v="Web"/>
    <s v="Desktop"/>
    <s v="7-12 months"/>
    <x v="0"/>
    <x v="3"/>
    <x v="8"/>
    <s v="First Use"/>
    <s v="Simplified Onboarding"/>
    <s v="Treatment"/>
    <n v="5"/>
    <n v="5"/>
    <n v="111"/>
    <s v="No"/>
    <x v="1"/>
    <x v="1"/>
    <x v="1"/>
    <x v="1"/>
    <n v="0"/>
    <x v="0"/>
    <x v="0"/>
    <s v="Feature Navigation"/>
    <s v="Yes"/>
    <s v="Feature Navigation"/>
    <s v="Unresolved"/>
    <n v="14"/>
    <s v="No drop-off"/>
    <n v="4"/>
    <n v="52"/>
    <n v="0"/>
    <x v="1"/>
    <n v="0"/>
    <n v="0"/>
    <n v="0"/>
    <n v="1"/>
  </r>
  <r>
    <x v="832"/>
    <s v="USR-00681"/>
    <s v="SES-2508-15676"/>
    <x v="199"/>
    <s v="London"/>
    <s v="Southwark"/>
    <x v="7"/>
    <x v="0"/>
    <x v="0"/>
    <s v="Android"/>
    <s v="Android Phone"/>
    <s v="&lt;3 months"/>
    <x v="1"/>
    <x v="4"/>
    <x v="4"/>
    <s v="First Use"/>
    <s v="No Experiment"/>
    <s v="Control"/>
    <n v="6"/>
    <s v="3 steps"/>
    <n v="248"/>
    <s v="Yes"/>
    <x v="0"/>
    <x v="1"/>
    <x v="1"/>
    <x v="0"/>
    <n v="21.22"/>
    <x v="0"/>
    <x v="1"/>
    <s v="No Support Contact"/>
    <s v="No"/>
    <s v="No Support Contact"/>
    <s v="Not Applicable"/>
    <m/>
    <s v="No drop-off"/>
    <n v="3"/>
    <n v="-2"/>
    <n v="0"/>
    <x v="1"/>
    <n v="1"/>
    <n v="1"/>
    <n v="0"/>
    <n v="1"/>
  </r>
  <r>
    <x v="833"/>
    <s v="USR-00290"/>
    <s v="SES-2509-19007"/>
    <x v="148"/>
    <s v="West Midlands"/>
    <s v="Coventry"/>
    <x v="1"/>
    <x v="0"/>
    <x v="0"/>
    <s v="Android"/>
    <s v="Android Phone"/>
    <s v="1-2 years"/>
    <x v="2"/>
    <x v="1"/>
    <x v="10"/>
    <s v="Repeat Use"/>
    <s v="Simplified Onboarding"/>
    <s v="Treatment"/>
    <n v="9"/>
    <n v="6"/>
    <n v="306"/>
    <s v="Yes"/>
    <x v="1"/>
    <x v="1"/>
    <x v="1"/>
    <x v="0"/>
    <n v="212.25"/>
    <x v="45"/>
    <x v="2"/>
    <s v="Transaction Failure"/>
    <s v="Yes"/>
    <s v="Transaction Failure"/>
    <s v="Resolved"/>
    <n v="2"/>
    <s v="Too many steps"/>
    <n v="3"/>
    <n v="15"/>
    <n v="25"/>
    <x v="0"/>
    <n v="0"/>
    <n v="1"/>
    <n v="0"/>
    <n v="0"/>
  </r>
  <r>
    <x v="834"/>
    <s v="USR-00546"/>
    <s v="SES-2604-45179"/>
    <x v="330"/>
    <s v="Yorkshire &amp; Humber"/>
    <s v="Hull"/>
    <x v="0"/>
    <x v="4"/>
    <x v="0"/>
    <s v="Web"/>
    <s v="Desktop"/>
    <s v="7-12 months"/>
    <x v="1"/>
    <x v="7"/>
    <x v="10"/>
    <s v="Reactivated"/>
    <s v="No Experiment"/>
    <s v="Control"/>
    <n v="9"/>
    <n v="9"/>
    <n v="333"/>
    <s v="No"/>
    <x v="1"/>
    <x v="0"/>
    <x v="9"/>
    <x v="1"/>
    <n v="0"/>
    <x v="0"/>
    <x v="0"/>
    <s v="No Support Contact"/>
    <s v="No"/>
    <s v="No Support Contact"/>
    <s v="Not Applicable"/>
    <m/>
    <s v="Instructions unclear"/>
    <n v="3"/>
    <n v="-37"/>
    <n v="36"/>
    <x v="0"/>
    <n v="0"/>
    <n v="0"/>
    <n v="1"/>
    <n v="0"/>
  </r>
  <r>
    <x v="835"/>
    <s v="USR-00084"/>
    <s v="SES-2509-41901"/>
    <x v="362"/>
    <s v="South East"/>
    <s v="Brighton"/>
    <x v="3"/>
    <x v="1"/>
    <x v="1"/>
    <s v="Ios"/>
    <s v="Iphone"/>
    <s v="2+ years"/>
    <x v="0"/>
    <x v="1"/>
    <x v="1"/>
    <s v="Repeat Use"/>
    <s v="Progress Indicator"/>
    <s v="Treatment"/>
    <n v="4"/>
    <n v="2"/>
    <n v="215"/>
    <s v="Yes"/>
    <x v="0"/>
    <x v="0"/>
    <x v="14"/>
    <x v="1"/>
    <n v="0"/>
    <x v="0"/>
    <x v="0"/>
    <s v="Transaction Failure"/>
    <s v="Yes"/>
    <s v="Transaction Failure"/>
    <s v="Resolved"/>
    <n v="36"/>
    <s v="No drop-off"/>
    <n v="2"/>
    <n v="23"/>
    <n v="8"/>
    <x v="0"/>
    <n v="1"/>
    <n v="0"/>
    <n v="1"/>
    <n v="0"/>
  </r>
  <r>
    <x v="836"/>
    <s v="USR-00532"/>
    <s v="SES-2604-25117"/>
    <x v="429"/>
    <s v="Scotland"/>
    <s v="Aberdeen"/>
    <x v="0"/>
    <x v="0"/>
    <x v="0"/>
    <s v="Android"/>
    <s v="Android Phone"/>
    <s v="1-2 years"/>
    <x v="2"/>
    <x v="1"/>
    <x v="10"/>
    <s v="Reactivated"/>
    <s v="Contextual Help"/>
    <s v="Treatment"/>
    <s v="9 steps"/>
    <n v="9"/>
    <n v="289"/>
    <s v="No"/>
    <x v="1"/>
    <x v="0"/>
    <x v="6"/>
    <x v="1"/>
    <n v="0"/>
    <x v="0"/>
    <x v="0"/>
    <s v="No Support Contact"/>
    <s v="No"/>
    <s v="No Support Contact"/>
    <s v="Not Applicable"/>
    <m/>
    <s v="Technical error"/>
    <n v="3"/>
    <n v="-47"/>
    <n v="48"/>
    <x v="0"/>
    <n v="0"/>
    <n v="0"/>
    <n v="1"/>
    <n v="0"/>
  </r>
  <r>
    <x v="837"/>
    <s v="USR-00761"/>
    <s v="SES-2603-63310"/>
    <x v="392"/>
    <s v="North East"/>
    <s v="Middlesbrough"/>
    <x v="7"/>
    <x v="0"/>
    <x v="1"/>
    <s v="Ios"/>
    <s v="Iphone"/>
    <s v="7-12 months"/>
    <x v="1"/>
    <x v="2"/>
    <x v="2"/>
    <s v="Repeat Use"/>
    <s v="No Experiment"/>
    <s v="Control"/>
    <s v="5 steps"/>
    <n v="5"/>
    <n v="176"/>
    <s v="No"/>
    <x v="0"/>
    <x v="0"/>
    <x v="23"/>
    <x v="0"/>
    <n v="21.66"/>
    <x v="0"/>
    <x v="1"/>
    <s v="No Support Contact"/>
    <s v="No"/>
    <s v="No Support Contact"/>
    <s v="Not Applicable"/>
    <m/>
    <s v="No drop-off"/>
    <n v="2"/>
    <n v="-39"/>
    <n v="30"/>
    <x v="0"/>
    <n v="1"/>
    <n v="1"/>
    <n v="1"/>
    <n v="0"/>
  </r>
  <r>
    <x v="838"/>
    <s v="USR-00528"/>
    <s v="SES-2504-58911"/>
    <x v="58"/>
    <s v="East Midlands"/>
    <s v="Leicester"/>
    <x v="2"/>
    <x v="0"/>
    <x v="0"/>
    <s v="Ios"/>
    <s v="Iphone"/>
    <s v="7-12 months"/>
    <x v="0"/>
    <x v="0"/>
    <x v="5"/>
    <s v="Repeat Use"/>
    <s v="No Experiment"/>
    <s v="Unknown"/>
    <n v="8"/>
    <n v="8"/>
    <n v="261"/>
    <s v="No"/>
    <x v="1"/>
    <x v="0"/>
    <x v="10"/>
    <x v="1"/>
    <n v="0"/>
    <x v="0"/>
    <x v="0"/>
    <s v="No Support Contact"/>
    <s v="No"/>
    <s v="No Support Contact"/>
    <s v="Not Applicable"/>
    <m/>
    <s v="Too many steps"/>
    <n v="2"/>
    <n v="-30"/>
    <n v="4"/>
    <x v="0"/>
    <n v="0"/>
    <n v="0"/>
    <n v="1"/>
    <n v="0"/>
  </r>
  <r>
    <x v="839"/>
    <s v="USR-00686"/>
    <s v="SES-2501-97620"/>
    <x v="257"/>
    <s v="West Midlands"/>
    <s v="Solihull"/>
    <x v="3"/>
    <x v="4"/>
    <x v="0"/>
    <s v="Android"/>
    <s v="Android Phone"/>
    <s v="7-12 months"/>
    <x v="0"/>
    <x v="4"/>
    <x v="3"/>
    <s v="First Use"/>
    <s v="No Experiment"/>
    <s v="Control"/>
    <n v="6"/>
    <n v="6"/>
    <n v="118"/>
    <s v="No"/>
    <x v="0"/>
    <x v="1"/>
    <x v="1"/>
    <x v="0"/>
    <n v="42.71"/>
    <x v="5"/>
    <x v="0"/>
    <s v="No Support Contact"/>
    <s v="No"/>
    <s v="No Support Contact"/>
    <s v="Not Applicable"/>
    <m/>
    <s v="No drop-off"/>
    <n v="3"/>
    <n v="7"/>
    <n v="0"/>
    <x v="0"/>
    <n v="1"/>
    <n v="1"/>
    <n v="0"/>
    <n v="0"/>
  </r>
  <r>
    <x v="840"/>
    <s v="USR-00252"/>
    <s v="SES-2504-92230"/>
    <x v="63"/>
    <s v="London"/>
    <s v="Hammersmith"/>
    <x v="3"/>
    <x v="2"/>
    <x v="1"/>
    <s v="Ios"/>
    <s v="Iphone"/>
    <s v="2+ years"/>
    <x v="0"/>
    <x v="7"/>
    <x v="0"/>
    <s v="Repeat Use"/>
    <s v="Contextual Help"/>
    <s v="Treatment"/>
    <n v="7"/>
    <n v="5"/>
    <n v="252"/>
    <s v="Yes"/>
    <x v="1"/>
    <x v="0"/>
    <x v="11"/>
    <x v="1"/>
    <n v="0"/>
    <x v="0"/>
    <x v="0"/>
    <s v="No Support Contact"/>
    <s v="No"/>
    <s v="No Support Contact"/>
    <s v="Not Applicable"/>
    <m/>
    <s v="Too many steps"/>
    <n v="1"/>
    <n v="-30"/>
    <n v="54"/>
    <x v="1"/>
    <n v="0"/>
    <n v="0"/>
    <n v="1"/>
    <n v="1"/>
  </r>
  <r>
    <x v="841"/>
    <s v="USR-00043"/>
    <s v="SES-2509-57635"/>
    <x v="252"/>
    <s v="North West"/>
    <s v="Chester"/>
    <x v="7"/>
    <x v="1"/>
    <x v="1"/>
    <s v="Android"/>
    <s v="Android Phone"/>
    <s v="7-12 months"/>
    <x v="0"/>
    <x v="4"/>
    <x v="0"/>
    <s v="First Use"/>
    <s v="Fee Transparency Panel"/>
    <s v="Control"/>
    <n v="7"/>
    <n v="7"/>
    <n v="222"/>
    <s v="No"/>
    <x v="1"/>
    <x v="0"/>
    <x v="0"/>
    <x v="1"/>
    <n v="0"/>
    <x v="0"/>
    <x v="0"/>
    <s v="No Support Contact"/>
    <s v="No"/>
    <s v="No Support Contact"/>
    <s v="Not Applicable"/>
    <m/>
    <s v="Technical error"/>
    <n v="2"/>
    <n v="13"/>
    <n v="0"/>
    <x v="1"/>
    <n v="0"/>
    <n v="0"/>
    <n v="1"/>
    <n v="1"/>
  </r>
  <r>
    <x v="842"/>
    <s v="USR-00566"/>
    <s v="SES-2506-48762"/>
    <x v="361"/>
    <s v="West Midlands"/>
    <s v="Solihull"/>
    <x v="0"/>
    <x v="0"/>
    <x v="0"/>
    <s v="Web"/>
    <s v="Desktop"/>
    <s v="2+ years"/>
    <x v="0"/>
    <x v="6"/>
    <x v="2"/>
    <s v="First Use"/>
    <s v="Progress Indicator"/>
    <s v="Control"/>
    <n v="5"/>
    <n v="3"/>
    <n v="196"/>
    <s v="Yes"/>
    <x v="0"/>
    <x v="1"/>
    <x v="1"/>
    <x v="0"/>
    <n v="0"/>
    <x v="0"/>
    <x v="0"/>
    <s v="No Support Contact"/>
    <s v="No"/>
    <s v="No Support Contact"/>
    <s v="Not Applicable"/>
    <m/>
    <s v="No drop-off"/>
    <n v="3"/>
    <n v="0"/>
    <n v="0"/>
    <x v="1"/>
    <n v="1"/>
    <n v="1"/>
    <n v="0"/>
    <n v="1"/>
  </r>
  <r>
    <x v="843"/>
    <s v="USR-00382"/>
    <s v="SES-2602-18504"/>
    <x v="224"/>
    <s v="North East"/>
    <s v="Middlesbrough"/>
    <x v="3"/>
    <x v="0"/>
    <x v="1"/>
    <s v="Ios"/>
    <s v="Iphone"/>
    <s v="3-6 months"/>
    <x v="0"/>
    <x v="1"/>
    <x v="2"/>
    <s v="Repeat Use"/>
    <s v="No Experiment"/>
    <s v="Control"/>
    <n v="5"/>
    <n v="5"/>
    <n v="137"/>
    <s v="No"/>
    <x v="0"/>
    <x v="1"/>
    <x v="1"/>
    <x v="1"/>
    <n v="0"/>
    <x v="0"/>
    <x v="0"/>
    <s v="No Support Contact"/>
    <s v="No"/>
    <s v="No Support Contact"/>
    <s v="Not Applicable"/>
    <m/>
    <s v="No drop-off"/>
    <n v="5"/>
    <n v="17"/>
    <n v="20"/>
    <x v="1"/>
    <n v="1"/>
    <n v="0"/>
    <n v="0"/>
    <n v="1"/>
  </r>
  <r>
    <x v="844"/>
    <s v="USR-00161"/>
    <s v="SES-2503-23476"/>
    <x v="145"/>
    <s v="West Midlands"/>
    <s v="Solihull"/>
    <x v="1"/>
    <x v="2"/>
    <x v="1"/>
    <s v="Web"/>
    <s v="Mobile Browser"/>
    <s v="7-12 months"/>
    <x v="1"/>
    <x v="5"/>
    <x v="7"/>
    <s v="Repeat Use"/>
    <s v="Progress Indicator"/>
    <s v="Treatment"/>
    <n v="4"/>
    <n v="4"/>
    <n v="107"/>
    <s v="No"/>
    <x v="0"/>
    <x v="1"/>
    <x v="1"/>
    <x v="0"/>
    <n v="96.69"/>
    <x v="20"/>
    <x v="1"/>
    <s v="No Support Contact"/>
    <s v="No"/>
    <s v="No Support Contact"/>
    <s v="Not Applicable"/>
    <m/>
    <s v="No drop-off"/>
    <n v="5"/>
    <n v="31"/>
    <n v="4"/>
    <x v="1"/>
    <n v="1"/>
    <n v="1"/>
    <n v="0"/>
    <n v="1"/>
  </r>
  <r>
    <x v="845"/>
    <s v="USR-00587"/>
    <s v="SES-2603-74792"/>
    <x v="205"/>
    <s v="Scotland"/>
    <s v="Aberdeen"/>
    <x v="5"/>
    <x v="3"/>
    <x v="0"/>
    <s v="Android"/>
    <s v="Android Phone"/>
    <s v="2+ years"/>
    <x v="1"/>
    <x v="2"/>
    <x v="8"/>
    <s v="Repeat Use"/>
    <s v="No Experiment"/>
    <s v="Control"/>
    <n v="5"/>
    <n v="5"/>
    <n v="136"/>
    <s v="No"/>
    <x v="0"/>
    <x v="1"/>
    <x v="1"/>
    <x v="0"/>
    <n v="80.11"/>
    <x v="0"/>
    <x v="1"/>
    <s v="No Support Contact"/>
    <s v="No"/>
    <s v="No Support Contact"/>
    <s v="Not Applicable"/>
    <m/>
    <s v="No drop-off"/>
    <n v="5"/>
    <n v="12"/>
    <n v="11"/>
    <x v="0"/>
    <n v="1"/>
    <n v="1"/>
    <n v="0"/>
    <n v="0"/>
  </r>
  <r>
    <x v="846"/>
    <s v="USR-00663"/>
    <s v="SES-2505-88431"/>
    <x v="109"/>
    <s v="London"/>
    <s v="Hammersmith"/>
    <x v="3"/>
    <x v="1"/>
    <x v="1"/>
    <s v="Ios"/>
    <s v="Iphone"/>
    <s v="1-2 years"/>
    <x v="2"/>
    <x v="3"/>
    <x v="0"/>
    <s v="Repeat Use"/>
    <s v="Fee Transparency Panel"/>
    <s v="Treatment"/>
    <n v="7"/>
    <n v="7"/>
    <n v="198"/>
    <s v="No"/>
    <x v="0"/>
    <x v="1"/>
    <x v="1"/>
    <x v="1"/>
    <n v="0"/>
    <x v="0"/>
    <x v="0"/>
    <s v="No Support Contact"/>
    <s v="No"/>
    <s v="No Support Contact"/>
    <s v="Not Applicable"/>
    <m/>
    <s v="No drop-off"/>
    <n v="3"/>
    <n v="32"/>
    <n v="18"/>
    <x v="1"/>
    <n v="1"/>
    <n v="0"/>
    <n v="0"/>
    <n v="1"/>
  </r>
  <r>
    <x v="847"/>
    <s v="USR-00707"/>
    <s v="SES-2510-87153"/>
    <x v="77"/>
    <s v="West Midlands"/>
    <s v="Wolverhampton"/>
    <x v="0"/>
    <x v="0"/>
    <x v="1"/>
    <s v="Android"/>
    <s v="Android Phone"/>
    <s v="1-2 years"/>
    <x v="0"/>
    <x v="1"/>
    <x v="7"/>
    <s v="First Use"/>
    <s v="No Experiment"/>
    <s v="Control"/>
    <n v="4"/>
    <n v="3"/>
    <n v="9999"/>
    <s v="Yes"/>
    <x v="0"/>
    <x v="1"/>
    <x v="1"/>
    <x v="0"/>
    <n v="93.36"/>
    <x v="20"/>
    <x v="0"/>
    <s v="No Support Contact"/>
    <s v="No"/>
    <s v="No Support Contact"/>
    <s v="Not Applicable"/>
    <m/>
    <s v="No drop-off"/>
    <n v="4"/>
    <n v="29"/>
    <n v="0"/>
    <x v="1"/>
    <n v="1"/>
    <n v="1"/>
    <n v="0"/>
    <n v="1"/>
  </r>
  <r>
    <x v="848"/>
    <s v="usr-00062"/>
    <s v="SES-2512-26914"/>
    <x v="36"/>
    <s v="Wales"/>
    <s v="Cardiff"/>
    <x v="4"/>
    <x v="0"/>
    <x v="1"/>
    <s v="Ios"/>
    <s v="Iphone"/>
    <s v="3-6 months"/>
    <x v="0"/>
    <x v="4"/>
    <x v="5"/>
    <s v="Repeat Use"/>
    <s v="No Experiment"/>
    <s v="Control"/>
    <n v="8"/>
    <n v="8"/>
    <n v="249"/>
    <s v="No"/>
    <x v="0"/>
    <x v="1"/>
    <x v="1"/>
    <x v="1"/>
    <n v="0"/>
    <x v="0"/>
    <x v="0"/>
    <s v="No Support Contact"/>
    <s v="No"/>
    <s v="No Support Contact"/>
    <s v="Not Applicable"/>
    <m/>
    <s v="No drop-off"/>
    <n v="4"/>
    <n v="26"/>
    <n v="35"/>
    <x v="0"/>
    <n v="1"/>
    <n v="0"/>
    <n v="0"/>
    <n v="0"/>
  </r>
  <r>
    <x v="849"/>
    <s v="USR-00515"/>
    <s v="SES-2511-34109"/>
    <x v="350"/>
    <s v="North West"/>
    <s v="Liverpool"/>
    <x v="1"/>
    <x v="0"/>
    <x v="0"/>
    <s v="Android"/>
    <s v="Android Phone"/>
    <s v="1-2 years"/>
    <x v="0"/>
    <x v="2"/>
    <x v="0"/>
    <s v="Trial/Exploration"/>
    <s v="Simplified Onboarding"/>
    <s v="Treatment"/>
    <n v="7"/>
    <n v="7"/>
    <n v="152"/>
    <s v="No"/>
    <x v="0"/>
    <x v="1"/>
    <x v="1"/>
    <x v="0"/>
    <n v="0.53"/>
    <x v="0"/>
    <x v="0"/>
    <s v="No Support Contact"/>
    <s v="No"/>
    <s v="No Support Contact"/>
    <s v="Not Applicable"/>
    <m/>
    <s v="No drop-off"/>
    <n v="5"/>
    <n v="37"/>
    <n v="27"/>
    <x v="0"/>
    <n v="1"/>
    <n v="1"/>
    <n v="0"/>
    <n v="0"/>
  </r>
  <r>
    <x v="850"/>
    <s v="USR-00647"/>
    <s v="SES-2501-19381"/>
    <x v="388"/>
    <s v="West Midlands"/>
    <s v="Birmingham"/>
    <x v="1"/>
    <x v="4"/>
    <x v="0"/>
    <s v="Ios"/>
    <s v="Iphone"/>
    <s v="3-6 months"/>
    <x v="0"/>
    <x v="3"/>
    <x v="8"/>
    <s v="First Use"/>
    <s v="No Experiment"/>
    <s v="Control"/>
    <n v="5"/>
    <s v="5 steps"/>
    <n v="120"/>
    <s v="No"/>
    <x v="0"/>
    <x v="1"/>
    <x v="1"/>
    <x v="0"/>
    <n v="75.62"/>
    <x v="0"/>
    <x v="0"/>
    <s v="No Support Contact"/>
    <s v="No"/>
    <s v="No Support Contact"/>
    <s v="Not Applicable"/>
    <m/>
    <s v="No drop-off"/>
    <n v="4"/>
    <n v="40"/>
    <n v="0"/>
    <x v="1"/>
    <n v="1"/>
    <n v="1"/>
    <n v="0"/>
    <n v="1"/>
  </r>
  <r>
    <x v="851"/>
    <s v="USR-00516"/>
    <s v="SES-2512-69694"/>
    <x v="410"/>
    <s v="East England"/>
    <s v="Luton"/>
    <x v="7"/>
    <x v="2"/>
    <x v="1"/>
    <s v="Web"/>
    <s v="Mobile Browser"/>
    <s v="1-2 years"/>
    <x v="0"/>
    <x v="6"/>
    <x v="0"/>
    <s v="Trial/Exploration"/>
    <s v="No Experiment"/>
    <s v="Control"/>
    <n v="7"/>
    <n v="7"/>
    <n v="244"/>
    <s v="No"/>
    <x v="0"/>
    <x v="0"/>
    <x v="0"/>
    <x v="1"/>
    <n v="0"/>
    <x v="0"/>
    <x v="0"/>
    <s v="No Support Contact"/>
    <s v="No"/>
    <s v="No Support Contact"/>
    <s v="Not Applicable"/>
    <m/>
    <s v="No drop-off"/>
    <n v="2"/>
    <n v="-49"/>
    <s v="20 days"/>
    <x v="1"/>
    <n v="1"/>
    <n v="0"/>
    <n v="1"/>
    <n v="1"/>
  </r>
  <r>
    <x v="852"/>
    <s v="USR-00704"/>
    <s v="SES-2603-46073"/>
    <x v="91"/>
    <s v="South West"/>
    <s v="Exeter"/>
    <x v="0"/>
    <x v="0"/>
    <x v="1"/>
    <s v="Ios"/>
    <s v="Iphone"/>
    <s v="7-12 months"/>
    <x v="0"/>
    <x v="4"/>
    <x v="0"/>
    <s v="Reactivated"/>
    <s v="No Experiment"/>
    <s v="Control"/>
    <n v="7"/>
    <n v="6"/>
    <n v="279"/>
    <s v="Yes"/>
    <x v="0"/>
    <x v="1"/>
    <x v="1"/>
    <x v="1"/>
    <n v="0"/>
    <x v="0"/>
    <x v="0"/>
    <s v="No Support Contact"/>
    <s v="No"/>
    <s v="No Support Contact"/>
    <s v="Not Applicable"/>
    <m/>
    <s v="No drop-off"/>
    <n v="3"/>
    <n v="16"/>
    <n v="21"/>
    <x v="1"/>
    <n v="1"/>
    <n v="0"/>
    <n v="0"/>
    <n v="1"/>
  </r>
  <r>
    <x v="853"/>
    <s v="USR-00322"/>
    <s v="SES-2509-20351"/>
    <x v="83"/>
    <s v="Northern Ireland"/>
    <s v="Derry"/>
    <x v="3"/>
    <x v="2"/>
    <x v="0"/>
    <s v="Ios"/>
    <s v="Iphone"/>
    <s v="1-2 years"/>
    <x v="3"/>
    <x v="3"/>
    <x v="5"/>
    <s v="First Use"/>
    <s v="New Cta Copy"/>
    <s v="Treatment"/>
    <n v="8"/>
    <s v="8 steps"/>
    <n v="240"/>
    <s v="No"/>
    <x v="1"/>
    <x v="0"/>
    <x v="7"/>
    <x v="1"/>
    <n v="0"/>
    <x v="0"/>
    <x v="0"/>
    <s v="No Support Contact"/>
    <s v="No"/>
    <s v="No Support Contact"/>
    <s v="Not Applicable"/>
    <m/>
    <s v="Technical error"/>
    <n v="2"/>
    <n v="-25"/>
    <n v="0"/>
    <x v="0"/>
    <n v="0"/>
    <n v="0"/>
    <n v="1"/>
    <n v="0"/>
  </r>
  <r>
    <x v="854"/>
    <s v="USR-00817"/>
    <s v="SES-2505-86761"/>
    <x v="430"/>
    <s v="North West"/>
    <s v="Manchester"/>
    <x v="7"/>
    <x v="3"/>
    <x v="1"/>
    <s v="Web"/>
    <s v="Tablet Browser"/>
    <s v="7-12 months"/>
    <x v="1"/>
    <x v="4"/>
    <x v="10"/>
    <s v="First Use"/>
    <s v="Simplified Onboarding"/>
    <s v="Treatment"/>
    <n v="9"/>
    <n v="9"/>
    <n v="324"/>
    <s v="No"/>
    <x v="0"/>
    <x v="0"/>
    <x v="9"/>
    <x v="0"/>
    <n v="103.36"/>
    <x v="74"/>
    <x v="1"/>
    <s v="N/A"/>
    <s v="No"/>
    <s v="N/A"/>
    <s v="Not Applicable"/>
    <m/>
    <s v="No drop-off"/>
    <n v="3"/>
    <n v="20"/>
    <n v="0"/>
    <x v="1"/>
    <n v="1"/>
    <n v="1"/>
    <n v="1"/>
    <n v="1"/>
  </r>
  <r>
    <x v="855"/>
    <s v="USR-00189"/>
    <s v="SES-2505-10647"/>
    <x v="431"/>
    <s v="North East"/>
    <s v="Durham"/>
    <x v="1"/>
    <x v="3"/>
    <x v="1"/>
    <s v="Ios"/>
    <s v="Iphone"/>
    <s v="3-6 months"/>
    <x v="0"/>
    <x v="4"/>
    <x v="2"/>
    <s v="First Use"/>
    <s v="Progress Indicator"/>
    <s v="Treatment"/>
    <n v="5"/>
    <n v="5"/>
    <n v="131"/>
    <s v="No"/>
    <x v="0"/>
    <x v="1"/>
    <x v="1"/>
    <x v="0"/>
    <n v="0"/>
    <x v="0"/>
    <x v="0"/>
    <s v="No Support Contact"/>
    <s v="No"/>
    <s v="No Support Contact"/>
    <s v="Not Applicable"/>
    <m/>
    <s v="No drop-off"/>
    <n v="4"/>
    <n v="53"/>
    <n v="0"/>
    <x v="1"/>
    <n v="1"/>
    <n v="1"/>
    <n v="0"/>
    <n v="1"/>
  </r>
  <r>
    <x v="856"/>
    <s v="USR-00325"/>
    <s v="SES-2605-30703"/>
    <x v="56"/>
    <s v="South West"/>
    <s v="Plymouth"/>
    <x v="5"/>
    <x v="1"/>
    <x v="0"/>
    <s v="Ios"/>
    <s v="Iphone"/>
    <s v="1-2 years"/>
    <x v="2"/>
    <x v="3"/>
    <x v="0"/>
    <s v="First Use"/>
    <s v="New Cta Copy"/>
    <s v="Treatment"/>
    <n v="7"/>
    <n v="4"/>
    <n v="324"/>
    <s v="Yes"/>
    <x v="1"/>
    <x v="1"/>
    <x v="1"/>
    <x v="1"/>
    <n v="0"/>
    <x v="0"/>
    <x v="0"/>
    <s v="No Support Contact"/>
    <s v="No"/>
    <s v="No Support Contact"/>
    <s v="Not Applicable"/>
    <m/>
    <s v="Privacy concern"/>
    <n v="2"/>
    <n v="-9"/>
    <s v="0 days"/>
    <x v="0"/>
    <n v="0"/>
    <n v="0"/>
    <n v="0"/>
    <n v="0"/>
  </r>
  <r>
    <x v="857"/>
    <s v="USR-00101"/>
    <s v="SES-2605-18858"/>
    <x v="432"/>
    <s v="Northern Ireland"/>
    <s v="Newry"/>
    <x v="3"/>
    <x v="4"/>
    <x v="0"/>
    <s v="Web"/>
    <s v="Desktop"/>
    <s v="3-6 months"/>
    <x v="0"/>
    <x v="7"/>
    <x v="7"/>
    <s v="Repeat Use"/>
    <s v="No Experiment"/>
    <s v="Control"/>
    <n v="4"/>
    <n v="4"/>
    <n v="113"/>
    <s v="No"/>
    <x v="0"/>
    <x v="1"/>
    <x v="1"/>
    <x v="0"/>
    <n v="70.599999999999994"/>
    <x v="20"/>
    <x v="0"/>
    <s v="No Support Contact"/>
    <s v="No"/>
    <s v="No Support Contact"/>
    <s v="Not Applicable"/>
    <m/>
    <s v="No drop-off"/>
    <n v="3"/>
    <n v="39"/>
    <n v="43"/>
    <x v="1"/>
    <n v="1"/>
    <n v="1"/>
    <n v="0"/>
    <n v="1"/>
  </r>
  <r>
    <x v="858"/>
    <s v="USR-00598"/>
    <s v="SES-2507-39307"/>
    <x v="333"/>
    <s v="Wales"/>
    <s v="Newport"/>
    <x v="0"/>
    <x v="1"/>
    <x v="1"/>
    <s v="Ios"/>
    <s v="Iphone"/>
    <s v="7-12 months"/>
    <x v="3"/>
    <x v="7"/>
    <x v="5"/>
    <s v="First Use"/>
    <s v="No Experiment"/>
    <s v="Control"/>
    <n v="8"/>
    <n v="8"/>
    <n v="164"/>
    <s v="No"/>
    <x v="1"/>
    <x v="1"/>
    <x v="1"/>
    <x v="1"/>
    <n v="0"/>
    <x v="0"/>
    <x v="0"/>
    <s v="No Support Contact"/>
    <s v="No"/>
    <s v="No Support Contact"/>
    <s v="Not Applicable"/>
    <m/>
    <s v="Changed mind"/>
    <n v="4"/>
    <n v="43"/>
    <n v="0"/>
    <x v="1"/>
    <n v="0"/>
    <n v="0"/>
    <n v="0"/>
    <n v="1"/>
  </r>
  <r>
    <x v="859"/>
    <s v="USR-00388"/>
    <s v="SES-2509-88842"/>
    <x v="213"/>
    <s v="South West"/>
    <s v="Plymouth"/>
    <x v="5"/>
    <x v="2"/>
    <x v="0"/>
    <s v="Ios"/>
    <s v="Iphone"/>
    <s v="&lt;3 months"/>
    <x v="0"/>
    <x v="6"/>
    <x v="10"/>
    <s v="Repeat Use"/>
    <s v="No Experiment"/>
    <s v="Control"/>
    <n v="9"/>
    <n v="6"/>
    <n v="319"/>
    <s v="Yes"/>
    <x v="1"/>
    <x v="1"/>
    <x v="1"/>
    <x v="1"/>
    <n v="0"/>
    <x v="0"/>
    <x v="0"/>
    <s v="Fees And Pricing"/>
    <s v="Yes"/>
    <s v="Fees And Pricing"/>
    <s v="Resolved"/>
    <n v="53"/>
    <s v="Instructions unclear"/>
    <n v="3"/>
    <n v="-44"/>
    <n v="17"/>
    <x v="0"/>
    <n v="0"/>
    <n v="0"/>
    <n v="0"/>
    <n v="0"/>
  </r>
  <r>
    <x v="860"/>
    <s v="USR-00550"/>
    <s v="SES-2601-91325"/>
    <x v="325"/>
    <s v="West Midlands"/>
    <s v="Birmingham"/>
    <x v="0"/>
    <x v="2"/>
    <x v="0"/>
    <s v="Ios"/>
    <s v="Iphone"/>
    <s v="2+ years"/>
    <x v="0"/>
    <x v="4"/>
    <x v="1"/>
    <s v="Repeat Use"/>
    <s v="Fee Transparency Panel"/>
    <s v="Treatment"/>
    <n v="4"/>
    <n v="2"/>
    <n v="154"/>
    <s v="Yes"/>
    <x v="0"/>
    <x v="1"/>
    <x v="1"/>
    <x v="0"/>
    <n v="207.94"/>
    <x v="4"/>
    <x v="0"/>
    <s v="No Support Contact"/>
    <s v="No"/>
    <s v="No Support Contact"/>
    <s v="Not Applicable"/>
    <m/>
    <s v="No drop-off"/>
    <n v="5"/>
    <n v="14"/>
    <n v="17"/>
    <x v="1"/>
    <n v="1"/>
    <n v="1"/>
    <n v="0"/>
    <n v="1"/>
  </r>
  <r>
    <x v="861"/>
    <s v="USR-00653"/>
    <s v="SES-2602-83697"/>
    <x v="433"/>
    <s v="East England"/>
    <s v="Ipswich"/>
    <x v="7"/>
    <x v="1"/>
    <x v="0"/>
    <s v="Android"/>
    <s v="Android Phone"/>
    <s v="&lt;3 months"/>
    <x v="2"/>
    <x v="7"/>
    <x v="5"/>
    <s v="Repeat Use"/>
    <s v="Simplified Onboarding"/>
    <s v="Treatment"/>
    <n v="8"/>
    <n v="7"/>
    <n v="201"/>
    <s v="Yes"/>
    <x v="0"/>
    <x v="1"/>
    <x v="1"/>
    <x v="1"/>
    <n v="0"/>
    <x v="0"/>
    <x v="0"/>
    <s v="No Support Contact"/>
    <s v="No"/>
    <s v="No Support Contact"/>
    <s v="Not Applicable"/>
    <m/>
    <s v="No drop-off"/>
    <n v="3"/>
    <n v="-9"/>
    <n v="31"/>
    <x v="1"/>
    <n v="1"/>
    <n v="0"/>
    <n v="0"/>
    <n v="1"/>
  </r>
  <r>
    <x v="862"/>
    <s v="USR-00182"/>
    <s v="SES-2511-31597"/>
    <x v="34"/>
    <s v="South East"/>
    <s v="Guildford"/>
    <x v="0"/>
    <x v="2"/>
    <x v="0"/>
    <s v="Web"/>
    <s v="Mobile Browser"/>
    <s v="7-12 months"/>
    <x v="1"/>
    <x v="2"/>
    <x v="0"/>
    <s v="Trial/Exploration"/>
    <s v="Simplified Onboarding"/>
    <s v="Control"/>
    <n v="7"/>
    <n v="5"/>
    <n v="250"/>
    <s v="Yes"/>
    <x v="0"/>
    <x v="1"/>
    <x v="1"/>
    <x v="0"/>
    <n v="8.85"/>
    <x v="0"/>
    <x v="1"/>
    <s v="No Support Contact"/>
    <s v="No"/>
    <s v="No Support Contact"/>
    <s v="Not Applicable"/>
    <m/>
    <s v="No drop-off"/>
    <n v="5"/>
    <n v="-10"/>
    <n v="18"/>
    <x v="0"/>
    <n v="1"/>
    <n v="1"/>
    <n v="0"/>
    <n v="0"/>
  </r>
  <r>
    <x v="863"/>
    <s v="USR-00464"/>
    <s v="SES-2603-38863"/>
    <x v="403"/>
    <s v="North East"/>
    <s v="Durham"/>
    <x v="7"/>
    <x v="0"/>
    <x v="0"/>
    <s v="Android"/>
    <s v="Android Phone"/>
    <s v="3-6 months"/>
    <x v="0"/>
    <x v="1"/>
    <x v="10"/>
    <s v="Reactivated"/>
    <s v="No Experiment"/>
    <s v="Control"/>
    <n v="9"/>
    <n v="5"/>
    <n v="339"/>
    <s v="Yes"/>
    <x v="0"/>
    <x v="1"/>
    <x v="1"/>
    <x v="1"/>
    <n v="0"/>
    <x v="0"/>
    <x v="0"/>
    <s v="No Support Contact"/>
    <s v="No"/>
    <s v="No Support Contact"/>
    <s v="Not Applicable"/>
    <m/>
    <s v="No drop-off"/>
    <n v="4"/>
    <n v="-42"/>
    <n v="39"/>
    <x v="1"/>
    <n v="1"/>
    <n v="0"/>
    <n v="0"/>
    <n v="1"/>
  </r>
  <r>
    <x v="864"/>
    <s v="USR-00296"/>
    <s v="SES-2511-61688"/>
    <x v="311"/>
    <s v="Scotland"/>
    <s v="Dundee"/>
    <x v="3"/>
    <x v="1"/>
    <x v="2"/>
    <s v="Android"/>
    <s v="Android Phone"/>
    <s v="1-2 years"/>
    <x v="2"/>
    <x v="1"/>
    <x v="1"/>
    <s v="Reactivated"/>
    <s v="No Experiment"/>
    <s v="Control"/>
    <n v="4"/>
    <n v="4"/>
    <n v="103"/>
    <s v="No"/>
    <x v="0"/>
    <x v="1"/>
    <x v="1"/>
    <x v="0"/>
    <n v="166.02"/>
    <x v="6"/>
    <x v="2"/>
    <s v="No Support Contact"/>
    <s v="No"/>
    <s v="No Support Contact"/>
    <s v="Not Applicable"/>
    <m/>
    <s v="No drop-off"/>
    <n v="4"/>
    <n v="48"/>
    <n v="25"/>
    <x v="1"/>
    <n v="1"/>
    <n v="1"/>
    <n v="0"/>
    <n v="1"/>
  </r>
  <r>
    <x v="865"/>
    <s v="USR-00624"/>
    <s v="SES-2605-31416"/>
    <x v="414"/>
    <s v="Northern Ireland"/>
    <s v="Belfast"/>
    <x v="2"/>
    <x v="1"/>
    <x v="0"/>
    <s v="Ios"/>
    <s v="Iphone"/>
    <s v="2+ years"/>
    <x v="0"/>
    <x v="5"/>
    <x v="2"/>
    <s v="Repeat Use"/>
    <s v="Simplified Onboarding"/>
    <s v="Control"/>
    <n v="5"/>
    <s v="5 steps"/>
    <n v="132"/>
    <s v="No"/>
    <x v="0"/>
    <x v="1"/>
    <x v="1"/>
    <x v="0"/>
    <n v="87.83"/>
    <x v="0"/>
    <x v="0"/>
    <s v="No Support Contact"/>
    <s v="No"/>
    <s v="No Support Contact"/>
    <s v="Not Applicable"/>
    <m/>
    <s v="No drop-off"/>
    <n v="3"/>
    <n v="-10"/>
    <n v="54"/>
    <x v="0"/>
    <n v="1"/>
    <n v="1"/>
    <n v="0"/>
    <n v="0"/>
  </r>
  <r>
    <x v="866"/>
    <s v="USR-00078"/>
    <s v="SES-2501-63509"/>
    <x v="374"/>
    <s v="London"/>
    <s v="Hammersmith"/>
    <x v="3"/>
    <x v="2"/>
    <x v="0"/>
    <s v="Ios"/>
    <s v="Iphone"/>
    <s v="&lt;3 months"/>
    <x v="0"/>
    <x v="4"/>
    <x v="9"/>
    <s v="Repeat Use"/>
    <s v="No Experiment"/>
    <s v="Control"/>
    <n v="5"/>
    <n v="5"/>
    <n v="124"/>
    <s v="No"/>
    <x v="0"/>
    <x v="1"/>
    <x v="1"/>
    <x v="0"/>
    <n v="155.72999999999999"/>
    <x v="0"/>
    <x v="0"/>
    <s v="No Support Contact"/>
    <s v="No"/>
    <s v="No Support Contact"/>
    <s v="Not Applicable"/>
    <m/>
    <s v="No drop-off"/>
    <n v="4"/>
    <n v="54"/>
    <n v="27"/>
    <x v="1"/>
    <n v="1"/>
    <n v="1"/>
    <n v="0"/>
    <n v="1"/>
  </r>
  <r>
    <x v="867"/>
    <s v="USR-00814"/>
    <s v="SES-2511-88351"/>
    <x v="277"/>
    <s v="Yorkshire &amp; Humber"/>
    <s v="Leeds"/>
    <x v="2"/>
    <x v="4"/>
    <x v="1"/>
    <s v="Ios"/>
    <s v="Iphone"/>
    <s v="&lt;3 months"/>
    <x v="0"/>
    <x v="1"/>
    <x v="9"/>
    <s v="Reactivated"/>
    <s v="New Cta Copy"/>
    <s v="Control"/>
    <n v="5"/>
    <s v="5 steps"/>
    <n v="154"/>
    <s v="No"/>
    <x v="0"/>
    <x v="1"/>
    <x v="1"/>
    <x v="0"/>
    <n v="136.06"/>
    <x v="0"/>
    <x v="0"/>
    <s v="Feature Navigation"/>
    <s v="Yes"/>
    <s v="Feature Navigation"/>
    <s v="Unresolved"/>
    <n v="2"/>
    <s v="No drop-off"/>
    <n v="3"/>
    <n v="44"/>
    <s v="38 days"/>
    <x v="0"/>
    <n v="1"/>
    <n v="1"/>
    <n v="0"/>
    <n v="0"/>
  </r>
  <r>
    <x v="868"/>
    <s v="USR-00042"/>
    <s v="SES-2511-84165"/>
    <x v="311"/>
    <s v="West Midlands"/>
    <s v="Coventry"/>
    <x v="2"/>
    <x v="0"/>
    <x v="0"/>
    <s v="Ios"/>
    <s v="Iphone"/>
    <s v="7-12 months"/>
    <x v="0"/>
    <x v="1"/>
    <x v="10"/>
    <s v="Reactivated"/>
    <s v="No Experiment"/>
    <s v="Control"/>
    <n v="9"/>
    <n v="5"/>
    <n v="269"/>
    <s v="Yes"/>
    <x v="1"/>
    <x v="1"/>
    <x v="1"/>
    <x v="1"/>
    <n v="0"/>
    <x v="0"/>
    <x v="0"/>
    <s v="No Support Contact"/>
    <s v="No"/>
    <s v="No Support Contact"/>
    <s v="Not Applicable"/>
    <m/>
    <s v="Too many steps"/>
    <n v="2"/>
    <n v="-39"/>
    <n v="40"/>
    <x v="0"/>
    <n v="0"/>
    <n v="0"/>
    <n v="0"/>
    <n v="0"/>
  </r>
  <r>
    <x v="869"/>
    <s v="USR-00024"/>
    <s v="SES-2505-27476"/>
    <x v="339"/>
    <s v="Wales"/>
    <s v="Swansea"/>
    <x v="1"/>
    <x v="0"/>
    <x v="0"/>
    <s v="Android"/>
    <s v="Android Phone"/>
    <s v="1-2 years"/>
    <x v="0"/>
    <x v="3"/>
    <x v="8"/>
    <s v="Repeat Use"/>
    <s v="No Experiment"/>
    <s v="Control"/>
    <n v="5"/>
    <n v="5"/>
    <n v="132"/>
    <s v="No"/>
    <x v="0"/>
    <x v="1"/>
    <x v="1"/>
    <x v="1"/>
    <n v="0"/>
    <x v="0"/>
    <x v="0"/>
    <s v="No Support Contact"/>
    <s v="No"/>
    <s v="No Support Contact"/>
    <s v="Not Applicable"/>
    <m/>
    <s v="No drop-off"/>
    <n v="4"/>
    <n v="34"/>
    <n v="43"/>
    <x v="1"/>
    <n v="1"/>
    <n v="0"/>
    <n v="0"/>
    <n v="1"/>
  </r>
  <r>
    <x v="870"/>
    <s v="USR-00760"/>
    <s v="SES-2604-41363"/>
    <x v="19"/>
    <s v="Wales"/>
    <s v="Wrexham"/>
    <x v="5"/>
    <x v="1"/>
    <x v="1"/>
    <s v="Web"/>
    <s v="Desktop"/>
    <s v="3-6 months"/>
    <x v="0"/>
    <x v="3"/>
    <x v="5"/>
    <s v="Reactivated"/>
    <s v="No Experiment"/>
    <s v="Control"/>
    <n v="8"/>
    <n v="5"/>
    <n v="250"/>
    <s v="Yes"/>
    <x v="1"/>
    <x v="1"/>
    <x v="1"/>
    <x v="1"/>
    <n v="0"/>
    <x v="0"/>
    <x v="0"/>
    <s v="No Support Contact"/>
    <s v="No"/>
    <s v="No Support Contact"/>
    <s v="Not Applicable"/>
    <m/>
    <s v="Instructions unclear"/>
    <n v="2"/>
    <n v="-33"/>
    <n v="49"/>
    <x v="0"/>
    <n v="0"/>
    <n v="0"/>
    <n v="0"/>
    <n v="0"/>
  </r>
  <r>
    <x v="871"/>
    <s v="USR-00263"/>
    <s v="SES-2503-74225"/>
    <x v="39"/>
    <s v="South West"/>
    <s v="Gloucester"/>
    <x v="1"/>
    <x v="0"/>
    <x v="1"/>
    <s v="Web"/>
    <s v="Mobile Browser"/>
    <s v="7-12 months"/>
    <x v="2"/>
    <x v="5"/>
    <x v="3"/>
    <s v="Repeat Use"/>
    <s v="No Experiment"/>
    <s v="Control"/>
    <s v="6 steps"/>
    <s v="6 steps"/>
    <n v="142"/>
    <s v="No"/>
    <x v="0"/>
    <x v="0"/>
    <x v="2"/>
    <x v="1"/>
    <n v="0"/>
    <x v="0"/>
    <x v="0"/>
    <s v="Feature Navigation"/>
    <s v="Yes"/>
    <s v="Feature Navigation"/>
    <s v="Resolved"/>
    <n v="15"/>
    <s v="No drop-off"/>
    <n v="3"/>
    <n v="-9"/>
    <n v="31"/>
    <x v="0"/>
    <n v="1"/>
    <n v="0"/>
    <n v="1"/>
    <n v="0"/>
  </r>
  <r>
    <x v="872"/>
    <s v="USR-00761"/>
    <s v="SES-2602-44902"/>
    <x v="371"/>
    <s v="Northern Ireland"/>
    <s v="Newry"/>
    <x v="3"/>
    <x v="3"/>
    <x v="1"/>
    <s v="Android"/>
    <s v="Android Phone"/>
    <s v="&lt;3 months"/>
    <x v="1"/>
    <x v="3"/>
    <x v="1"/>
    <s v="Repeat Use"/>
    <s v="Fee Transparency Panel"/>
    <s v="Treatment"/>
    <n v="4"/>
    <n v="4"/>
    <n v="103"/>
    <s v="No"/>
    <x v="0"/>
    <x v="1"/>
    <x v="1"/>
    <x v="0"/>
    <n v="127.5"/>
    <x v="8"/>
    <x v="1"/>
    <s v="No Support Contact"/>
    <s v="No"/>
    <s v="No Support Contact"/>
    <s v="Not Applicable"/>
    <m/>
    <s v="No drop-off"/>
    <n v="4"/>
    <n v="23"/>
    <n v="40"/>
    <x v="1"/>
    <n v="1"/>
    <n v="1"/>
    <n v="0"/>
    <n v="1"/>
  </r>
  <r>
    <x v="873"/>
    <s v="USR-00100"/>
    <s v="SES-2509-58059"/>
    <x v="130"/>
    <s v="East Midlands"/>
    <s v="Leicester"/>
    <x v="4"/>
    <x v="0"/>
    <x v="1"/>
    <s v="Ios"/>
    <s v="Iphone"/>
    <s v="1-2 years"/>
    <x v="0"/>
    <x v="7"/>
    <x v="3"/>
    <s v="Trial/Exploration"/>
    <s v="No Experiment"/>
    <s v="Control"/>
    <s v="6 steps"/>
    <n v="3"/>
    <n v="174"/>
    <s v="Yes"/>
    <x v="1"/>
    <x v="1"/>
    <x v="1"/>
    <x v="1"/>
    <n v="0"/>
    <x v="0"/>
    <x v="0"/>
    <s v="Account Verification"/>
    <s v="Yes"/>
    <s v="Account Verification"/>
    <s v="Resolved"/>
    <n v="33"/>
    <s v="Too many steps"/>
    <n v="3"/>
    <n v="13"/>
    <n v="42"/>
    <x v="1"/>
    <n v="0"/>
    <n v="0"/>
    <n v="0"/>
    <n v="1"/>
  </r>
  <r>
    <x v="874"/>
    <s v="USR-00798"/>
    <s v="SES-2604-52189"/>
    <x v="434"/>
    <s v="East England"/>
    <s v="Ipswich"/>
    <x v="3"/>
    <x v="2"/>
    <x v="0"/>
    <s v="Web"/>
    <s v="Mobile Browser"/>
    <s v="1-2 years"/>
    <x v="0"/>
    <x v="4"/>
    <x v="7"/>
    <s v="Repeat Use"/>
    <s v="Simplified Onboarding"/>
    <s v="Treatment"/>
    <n v="4"/>
    <n v="4"/>
    <n v="109"/>
    <s v="No"/>
    <x v="0"/>
    <x v="1"/>
    <x v="1"/>
    <x v="0"/>
    <n v="73.33"/>
    <x v="23"/>
    <x v="0"/>
    <s v="No Support Contact"/>
    <s v="No"/>
    <s v="No Support Contact"/>
    <s v="Not Applicable"/>
    <m/>
    <s v="No drop-off"/>
    <n v="4"/>
    <n v="49"/>
    <n v="50"/>
    <x v="1"/>
    <n v="1"/>
    <n v="1"/>
    <n v="0"/>
    <n v="1"/>
  </r>
  <r>
    <x v="875"/>
    <s v="USR-00498"/>
    <s v="SES-2503-73621"/>
    <x v="43"/>
    <s v="London"/>
    <s v="Hackney"/>
    <x v="5"/>
    <x v="3"/>
    <x v="0"/>
    <s v="Android"/>
    <s v="Android Phone"/>
    <s v="7-12 months"/>
    <x v="1"/>
    <x v="6"/>
    <x v="0"/>
    <s v="Repeat Use"/>
    <s v="Simplified Onboarding"/>
    <s v="Control"/>
    <n v="7"/>
    <n v="6"/>
    <n v="221"/>
    <s v="Yes"/>
    <x v="0"/>
    <x v="1"/>
    <x v="1"/>
    <x v="0"/>
    <n v="69.650000000000006"/>
    <x v="0"/>
    <x v="1"/>
    <s v="No Support Contact"/>
    <s v="No"/>
    <s v="No Support Contact"/>
    <s v="Not Applicable"/>
    <m/>
    <s v="No drop-off"/>
    <n v="3"/>
    <n v="9"/>
    <n v="5"/>
    <x v="1"/>
    <n v="1"/>
    <n v="1"/>
    <n v="0"/>
    <n v="1"/>
  </r>
  <r>
    <x v="876"/>
    <s v="USR-00730"/>
    <s v="SES-2501-95048"/>
    <x v="234"/>
    <s v="Northern Ireland"/>
    <s v="Belfast"/>
    <x v="0"/>
    <x v="3"/>
    <x v="0"/>
    <s v="Web"/>
    <s v="Mobile Browser"/>
    <s v="&lt;3 months"/>
    <x v="1"/>
    <x v="1"/>
    <x v="7"/>
    <s v="Repeat Use"/>
    <s v="No Experiment"/>
    <s v="Control"/>
    <n v="4"/>
    <n v="4"/>
    <n v="89"/>
    <s v="No"/>
    <x v="1"/>
    <x v="1"/>
    <x v="1"/>
    <x v="0"/>
    <n v="56.66"/>
    <x v="28"/>
    <x v="1"/>
    <s v="No Support Contact"/>
    <s v="No"/>
    <s v="No Support Contact"/>
    <s v="Not Applicable"/>
    <m/>
    <s v="No drop-off"/>
    <n v="3"/>
    <n v="13"/>
    <n v="1"/>
    <x v="0"/>
    <n v="0"/>
    <n v="1"/>
    <n v="0"/>
    <n v="0"/>
  </r>
  <r>
    <x v="877"/>
    <s v="USR-00426"/>
    <s v="SES-2502-61112"/>
    <x v="14"/>
    <s v="Yorkshire &amp; Humber"/>
    <s v="Leeds"/>
    <x v="2"/>
    <x v="3"/>
    <x v="1"/>
    <s v="Android"/>
    <s v="Android Phone"/>
    <s v="1-2 years"/>
    <x v="0"/>
    <x v="5"/>
    <x v="5"/>
    <s v="Trial/Exploration"/>
    <s v="Fee Transparency Panel"/>
    <s v="Treatment"/>
    <n v="8"/>
    <s v="8 steps"/>
    <n v="150"/>
    <s v="No"/>
    <x v="0"/>
    <x v="1"/>
    <x v="1"/>
    <x v="0"/>
    <n v="382.13"/>
    <x v="75"/>
    <x v="0"/>
    <s v="No Support Contact"/>
    <s v="No"/>
    <s v="No Support Contact"/>
    <s v="Not Applicable"/>
    <m/>
    <s v="No drop-off"/>
    <n v="4"/>
    <n v="12"/>
    <n v="44"/>
    <x v="1"/>
    <n v="1"/>
    <n v="1"/>
    <n v="0"/>
    <n v="1"/>
  </r>
  <r>
    <x v="878"/>
    <s v="USR-00575"/>
    <s v="SES-2507-74148"/>
    <x v="435"/>
    <s v="West Midlands"/>
    <s v="Solihull"/>
    <x v="0"/>
    <x v="2"/>
    <x v="1"/>
    <s v="Ios"/>
    <s v="Iphone"/>
    <s v="&lt;3 months"/>
    <x v="1"/>
    <x v="0"/>
    <x v="1"/>
    <s v="Repeat Use"/>
    <s v="No Experiment"/>
    <s v="Control"/>
    <n v="4"/>
    <n v="4"/>
    <n v="108"/>
    <s v="No"/>
    <x v="0"/>
    <x v="1"/>
    <x v="1"/>
    <x v="1"/>
    <n v="0"/>
    <x v="0"/>
    <x v="0"/>
    <s v="No Support Contact"/>
    <s v="No"/>
    <s v="No Support Contact"/>
    <s v="Not Applicable"/>
    <m/>
    <s v="No drop-off"/>
    <n v="4"/>
    <n v="39"/>
    <n v="17"/>
    <x v="1"/>
    <n v="1"/>
    <n v="0"/>
    <n v="0"/>
    <n v="1"/>
  </r>
  <r>
    <x v="879"/>
    <s v="USR-00059"/>
    <s v="SES-2512-46040"/>
    <x v="176"/>
    <s v="Northern Ireland"/>
    <s v="Newry"/>
    <x v="1"/>
    <x v="2"/>
    <x v="0"/>
    <s v="Ios"/>
    <s v="Iphone"/>
    <s v="2+ years"/>
    <x v="2"/>
    <x v="2"/>
    <x v="9"/>
    <s v="First Use"/>
    <s v="No Experiment"/>
    <s v="Control"/>
    <n v="5"/>
    <n v="5"/>
    <n v="139"/>
    <s v="No"/>
    <x v="1"/>
    <x v="1"/>
    <x v="1"/>
    <x v="0"/>
    <n v="30.15"/>
    <x v="0"/>
    <x v="2"/>
    <s v="No Support Contact"/>
    <s v="No"/>
    <s v="No Support Contact"/>
    <s v="Not Applicable"/>
    <m/>
    <s v="Technical error"/>
    <n v="3"/>
    <n v="-3"/>
    <n v="0"/>
    <x v="0"/>
    <n v="0"/>
    <n v="1"/>
    <n v="0"/>
    <n v="0"/>
  </r>
  <r>
    <x v="880"/>
    <s v="USR-00719"/>
    <s v="SES-2504-70859"/>
    <x v="306"/>
    <s v="South East"/>
    <s v="Canterbury"/>
    <x v="0"/>
    <x v="3"/>
    <x v="0"/>
    <s v="Android"/>
    <s v="Android Phone"/>
    <s v="3-6 months"/>
    <x v="0"/>
    <x v="4"/>
    <x v="3"/>
    <s v="Repeat Use"/>
    <s v="Simplified Onboarding"/>
    <s v="Control"/>
    <n v="6"/>
    <n v="6"/>
    <n v="109"/>
    <s v="No"/>
    <x v="0"/>
    <x v="1"/>
    <x v="1"/>
    <x v="0"/>
    <n v="0"/>
    <x v="2"/>
    <x v="0"/>
    <s v="No Support Contact"/>
    <s v="No"/>
    <s v="No Support Contact"/>
    <s v="Not Applicable"/>
    <m/>
    <s v="No drop-off"/>
    <n v="3"/>
    <n v="29"/>
    <n v="14"/>
    <x v="0"/>
    <n v="1"/>
    <n v="1"/>
    <n v="0"/>
    <n v="0"/>
  </r>
  <r>
    <x v="881"/>
    <s v="USR-00675"/>
    <s v="SES-2511-37260"/>
    <x v="34"/>
    <s v="Scotland"/>
    <s v="Edinburgh"/>
    <x v="0"/>
    <x v="0"/>
    <x v="1"/>
    <s v="Android"/>
    <s v="Android Phone"/>
    <s v="2+ years"/>
    <x v="1"/>
    <x v="1"/>
    <x v="7"/>
    <s v="Repeat Use"/>
    <s v="No Experiment"/>
    <s v="Control"/>
    <n v="4"/>
    <n v="4"/>
    <n v="83"/>
    <s v="No"/>
    <x v="1"/>
    <x v="1"/>
    <x v="1"/>
    <x v="0"/>
    <n v="47.73"/>
    <x v="9"/>
    <x v="1"/>
    <s v="No Support Contact"/>
    <s v="No"/>
    <s v="No Support Contact"/>
    <s v="Not Applicable"/>
    <m/>
    <s v="No drop-off"/>
    <n v="3"/>
    <n v="15"/>
    <n v="26"/>
    <x v="1"/>
    <n v="0"/>
    <n v="1"/>
    <n v="0"/>
    <n v="1"/>
  </r>
  <r>
    <x v="882"/>
    <s v="USR-00289"/>
    <s v="SES-2506-40155"/>
    <x v="436"/>
    <s v="East Midlands"/>
    <s v="Derby"/>
    <x v="7"/>
    <x v="2"/>
    <x v="0"/>
    <s v="Android"/>
    <s v="Android Phone"/>
    <s v="3-6 months"/>
    <x v="1"/>
    <x v="4"/>
    <x v="8"/>
    <s v="Repeat Use"/>
    <s v="Contextual Help"/>
    <s v="Treatment"/>
    <s v="5 steps"/>
    <n v="4"/>
    <n v="191"/>
    <s v="Yes"/>
    <x v="0"/>
    <x v="1"/>
    <x v="1"/>
    <x v="0"/>
    <n v="0"/>
    <x v="0"/>
    <x v="1"/>
    <s v="No Support Contact"/>
    <s v="No"/>
    <s v="No Support Contact"/>
    <s v="Not Applicable"/>
    <m/>
    <s v="No drop-off"/>
    <n v="3"/>
    <n v="53"/>
    <n v="40"/>
    <x v="1"/>
    <n v="1"/>
    <n v="1"/>
    <n v="0"/>
    <n v="1"/>
  </r>
  <r>
    <x v="883"/>
    <s v="USR-00235"/>
    <s v="SES-2501-16314"/>
    <x v="220"/>
    <s v="Wales"/>
    <s v="Newport"/>
    <x v="7"/>
    <x v="4"/>
    <x v="1"/>
    <s v="Web"/>
    <s v="Desktop"/>
    <s v="1-2 years"/>
    <x v="0"/>
    <x v="0"/>
    <x v="1"/>
    <s v="First Use"/>
    <s v="Progress Indicator"/>
    <s v="Treatment"/>
    <n v="4"/>
    <n v="2"/>
    <n v="158"/>
    <s v="Yes"/>
    <x v="0"/>
    <x v="1"/>
    <x v="1"/>
    <x v="0"/>
    <n v="72.709999999999994"/>
    <x v="6"/>
    <x v="0"/>
    <s v="No Support Contact"/>
    <s v="No"/>
    <s v="No Support Contact"/>
    <s v="Not Applicable"/>
    <m/>
    <s v="No drop-off"/>
    <n v="4"/>
    <n v="50"/>
    <n v="0"/>
    <x v="1"/>
    <n v="1"/>
    <n v="1"/>
    <n v="0"/>
    <n v="1"/>
  </r>
  <r>
    <x v="884"/>
    <s v="USR-00005"/>
    <s v="SES-2504-58006"/>
    <x v="437"/>
    <s v="Scotland"/>
    <s v="Dundee"/>
    <x v="3"/>
    <x v="1"/>
    <x v="0"/>
    <s v="Ios"/>
    <s v="Iphone"/>
    <s v="2+ years"/>
    <x v="0"/>
    <x v="7"/>
    <x v="5"/>
    <s v="First Use"/>
    <s v="Progress Indicator"/>
    <s v="Control"/>
    <n v="8"/>
    <n v="4"/>
    <n v="246"/>
    <s v="Yes"/>
    <x v="0"/>
    <x v="1"/>
    <x v="1"/>
    <x v="0"/>
    <n v="456.63"/>
    <x v="59"/>
    <x v="0"/>
    <s v="Transaction Failure"/>
    <s v="Yes"/>
    <s v="Transaction Failure"/>
    <s v="Resolved"/>
    <n v="25"/>
    <s v="No drop-off"/>
    <n v="3"/>
    <n v="41"/>
    <n v="0"/>
    <x v="0"/>
    <n v="1"/>
    <n v="1"/>
    <n v="0"/>
    <n v="0"/>
  </r>
  <r>
    <x v="885"/>
    <s v="USR-00693"/>
    <s v="SES-2512-80557"/>
    <x v="285"/>
    <s v="East Midlands"/>
    <s v="Nottingham"/>
    <x v="0"/>
    <x v="0"/>
    <x v="0"/>
    <s v="Ios"/>
    <s v="Ipad"/>
    <s v="2+ years"/>
    <x v="0"/>
    <x v="4"/>
    <x v="0"/>
    <s v="Repeat Use"/>
    <s v="Progress Indicator"/>
    <s v="Control"/>
    <n v="7"/>
    <n v="7"/>
    <n v="245"/>
    <s v="No"/>
    <x v="0"/>
    <x v="0"/>
    <x v="11"/>
    <x v="0"/>
    <n v="0"/>
    <x v="0"/>
    <x v="0"/>
    <s v="Feature Navigation"/>
    <s v="Yes"/>
    <s v="Feature Navigation"/>
    <s v="Resolved"/>
    <n v="29"/>
    <s v="No drop-off"/>
    <n v="4"/>
    <n v="-33"/>
    <n v="11"/>
    <x v="0"/>
    <n v="1"/>
    <n v="1"/>
    <n v="1"/>
    <n v="0"/>
  </r>
  <r>
    <x v="886"/>
    <s v="USR-00504"/>
    <s v="SES-2601-18347"/>
    <x v="438"/>
    <s v="Wales"/>
    <s v="Newport"/>
    <x v="2"/>
    <x v="4"/>
    <x v="0"/>
    <s v="Android"/>
    <s v="Android Phone"/>
    <s v="&lt;3 months"/>
    <x v="2"/>
    <x v="7"/>
    <x v="1"/>
    <s v="First Use"/>
    <s v="Simplified Onboarding"/>
    <s v="Treatment"/>
    <n v="4"/>
    <n v="4"/>
    <n v="101"/>
    <s v="No"/>
    <x v="0"/>
    <x v="1"/>
    <x v="1"/>
    <x v="0"/>
    <n v="122.72"/>
    <x v="1"/>
    <x v="2"/>
    <s v="No Support Contact"/>
    <s v="No"/>
    <s v="No Support Contact"/>
    <s v="Not Applicable"/>
    <m/>
    <s v="No drop-off"/>
    <n v="5"/>
    <n v="61"/>
    <s v="0 days"/>
    <x v="1"/>
    <n v="1"/>
    <n v="1"/>
    <n v="0"/>
    <n v="1"/>
  </r>
  <r>
    <x v="887"/>
    <s v="USR-00647"/>
    <s v="SES-2503-12019"/>
    <x v="274"/>
    <s v="London"/>
    <s v="Hackney"/>
    <x v="0"/>
    <x v="1"/>
    <x v="0"/>
    <s v="Ios"/>
    <s v="Iphone"/>
    <s v="3-6 months"/>
    <x v="0"/>
    <x v="0"/>
    <x v="5"/>
    <s v="Repeat Use"/>
    <s v="No Experiment"/>
    <s v="Control"/>
    <n v="8"/>
    <n v="8"/>
    <n v="167"/>
    <s v="No"/>
    <x v="1"/>
    <x v="1"/>
    <x v="1"/>
    <x v="1"/>
    <n v="0"/>
    <x v="0"/>
    <x v="0"/>
    <s v="No Support Contact"/>
    <s v="No"/>
    <s v="No Support Contact"/>
    <s v="Not Applicable"/>
    <m/>
    <s v="Verification took too long"/>
    <n v="4"/>
    <n v="-3"/>
    <n v="15"/>
    <x v="0"/>
    <n v="0"/>
    <n v="0"/>
    <n v="0"/>
    <n v="0"/>
  </r>
  <r>
    <x v="888"/>
    <s v="USR-00353"/>
    <s v="SES-2503-27951"/>
    <x v="439"/>
    <s v="East Midlands"/>
    <s v="Lincoln"/>
    <x v="0"/>
    <x v="3"/>
    <x v="0"/>
    <s v="Ios"/>
    <s v="Iphone"/>
    <s v="&lt;3 months"/>
    <x v="1"/>
    <x v="4"/>
    <x v="8"/>
    <s v="First Use"/>
    <s v="Progress Indicator"/>
    <s v="Control"/>
    <n v="5"/>
    <n v="4"/>
    <n v="243"/>
    <s v="Yes"/>
    <x v="1"/>
    <x v="0"/>
    <x v="13"/>
    <x v="0"/>
    <n v="159.37"/>
    <x v="0"/>
    <x v="1"/>
    <s v="No Support Contact"/>
    <s v="No"/>
    <s v="No Support Contact"/>
    <s v="Not Applicable"/>
    <m/>
    <s v="Instructions unclear"/>
    <n v="1"/>
    <n v="-9"/>
    <n v="0"/>
    <x v="1"/>
    <n v="0"/>
    <n v="1"/>
    <n v="1"/>
    <n v="1"/>
  </r>
  <r>
    <x v="889"/>
    <s v="USR-00600"/>
    <s v="SES-2511-14858"/>
    <x v="440"/>
    <s v="South East"/>
    <s v="Oxford"/>
    <x v="0"/>
    <x v="1"/>
    <x v="0"/>
    <s v="Ios"/>
    <s v="Iphone"/>
    <s v="1-2 years"/>
    <x v="0"/>
    <x v="7"/>
    <x v="5"/>
    <s v="Repeat Use"/>
    <s v="Simplified Onboarding"/>
    <s v="Treatment"/>
    <n v="8"/>
    <n v="8"/>
    <n v="274"/>
    <s v="No"/>
    <x v="1"/>
    <x v="0"/>
    <x v="24"/>
    <x v="2"/>
    <n v="0"/>
    <x v="0"/>
    <x v="0"/>
    <s v="Transaction Failure"/>
    <s v="Yes"/>
    <s v="Transaction Failure"/>
    <s v="Resolved"/>
    <n v="68"/>
    <s v="Technical error"/>
    <n v="3"/>
    <n v="-13"/>
    <n v="39"/>
    <x v="0"/>
    <n v="0"/>
    <n v="0"/>
    <n v="1"/>
    <n v="0"/>
  </r>
  <r>
    <x v="890"/>
    <s v="USR-00622"/>
    <s v="SES-2503-68698"/>
    <x v="43"/>
    <s v="South East"/>
    <s v="Reading"/>
    <x v="2"/>
    <x v="2"/>
    <x v="1"/>
    <s v="Ios"/>
    <s v="Iphone"/>
    <s v="1-2 years"/>
    <x v="0"/>
    <x v="4"/>
    <x v="2"/>
    <s v="First Use"/>
    <s v="No Experiment"/>
    <s v="Control"/>
    <n v="5"/>
    <n v="5"/>
    <n v="184"/>
    <s v="No"/>
    <x v="0"/>
    <x v="0"/>
    <x v="23"/>
    <x v="0"/>
    <n v="48.62"/>
    <x v="0"/>
    <x v="0"/>
    <s v="Account Verification"/>
    <s v="Yes"/>
    <s v="Account Verification"/>
    <s v="Resolved"/>
    <n v="25"/>
    <s v="No drop-off"/>
    <n v="4"/>
    <n v="-12"/>
    <n v="0"/>
    <x v="1"/>
    <n v="1"/>
    <n v="1"/>
    <n v="1"/>
    <n v="1"/>
  </r>
  <r>
    <x v="891"/>
    <s v="USR-00843"/>
    <s v="SES-2604-58987"/>
    <x v="383"/>
    <s v="Scotland"/>
    <s v="Aberdeen"/>
    <x v="7"/>
    <x v="5"/>
    <x v="1"/>
    <s v="Android"/>
    <s v="Android Phone"/>
    <s v="7-12 months"/>
    <x v="1"/>
    <x v="0"/>
    <x v="10"/>
    <s v="Reactivated"/>
    <s v="Fee Transparency Panel"/>
    <s v="Treatment"/>
    <n v="9"/>
    <n v="9"/>
    <n v="347"/>
    <s v="No"/>
    <x v="0"/>
    <x v="0"/>
    <x v="9"/>
    <x v="1"/>
    <n v="0"/>
    <x v="0"/>
    <x v="0"/>
    <s v="No Support Contact"/>
    <s v="No"/>
    <s v="No Support Contact"/>
    <s v="Not Applicable"/>
    <m/>
    <s v="No drop-off"/>
    <n v="4"/>
    <n v="-29"/>
    <n v="39"/>
    <x v="1"/>
    <n v="1"/>
    <n v="0"/>
    <n v="1"/>
    <n v="1"/>
  </r>
  <r>
    <x v="892"/>
    <s v="USR-00570"/>
    <s v="SES-2506-78644"/>
    <x v="136"/>
    <s v="Northern Ireland"/>
    <s v="NEWRY"/>
    <x v="5"/>
    <x v="1"/>
    <x v="0"/>
    <s v="Android"/>
    <s v="Android Phone"/>
    <s v="3-6 months"/>
    <x v="0"/>
    <x v="2"/>
    <x v="7"/>
    <s v="First Use"/>
    <s v="No Experiment"/>
    <s v="Control"/>
    <n v="4"/>
    <s v="4 steps"/>
    <n v="100"/>
    <s v="No"/>
    <x v="0"/>
    <x v="1"/>
    <x v="1"/>
    <x v="0"/>
    <n v="56.31"/>
    <x v="23"/>
    <x v="0"/>
    <s v="No Support Contact"/>
    <s v="No"/>
    <s v="No Support Contact"/>
    <s v="Not Applicable"/>
    <m/>
    <s v="No drop-off"/>
    <n v="3"/>
    <n v="10"/>
    <s v="0 days"/>
    <x v="1"/>
    <n v="1"/>
    <n v="1"/>
    <n v="0"/>
    <n v="1"/>
  </r>
  <r>
    <x v="893"/>
    <s v="USR-00081"/>
    <s v="SES-2507-59073"/>
    <x v="75"/>
    <s v="Northern Ireland"/>
    <s v="Newry"/>
    <x v="2"/>
    <x v="1"/>
    <x v="1"/>
    <s v="Android"/>
    <s v="Android Phone"/>
    <s v="2+ years"/>
    <x v="0"/>
    <x v="4"/>
    <x v="0"/>
    <s v="Repeat Use"/>
    <s v="Simplified Onboarding"/>
    <s v="Control"/>
    <n v="7"/>
    <n v="7"/>
    <n v="147"/>
    <s v="No"/>
    <x v="1"/>
    <x v="1"/>
    <x v="1"/>
    <x v="0"/>
    <n v="67.27"/>
    <x v="0"/>
    <x v="0"/>
    <s v="No Support Contact"/>
    <s v="No"/>
    <s v="No Support Contact"/>
    <s v="Not Applicable"/>
    <m/>
    <s v="Technical error"/>
    <n v="3"/>
    <n v="19"/>
    <n v="19"/>
    <x v="0"/>
    <n v="0"/>
    <n v="1"/>
    <n v="0"/>
    <n v="0"/>
  </r>
  <r>
    <x v="894"/>
    <s v="USR-00624"/>
    <s v="SES-2503-82001"/>
    <x v="245"/>
    <s v="North East"/>
    <s v="Middlesbrough"/>
    <x v="5"/>
    <x v="0"/>
    <x v="1"/>
    <s v="Web"/>
    <s v="Mobile Browser"/>
    <s v="1-2 years"/>
    <x v="1"/>
    <x v="0"/>
    <x v="7"/>
    <s v="Trial/Exploration"/>
    <s v="Simplified Onboarding"/>
    <s v="Control"/>
    <n v="4"/>
    <n v="4"/>
    <n v="127"/>
    <s v="No"/>
    <x v="1"/>
    <x v="0"/>
    <x v="16"/>
    <x v="1"/>
    <n v="0"/>
    <x v="0"/>
    <x v="0"/>
    <s v="No Support Contact"/>
    <s v="No"/>
    <s v="No Support Contact"/>
    <s v="Not Applicable"/>
    <m/>
    <s v="Technical error"/>
    <n v="3"/>
    <n v="-8"/>
    <s v="1 days"/>
    <x v="0"/>
    <n v="0"/>
    <n v="0"/>
    <n v="1"/>
    <n v="0"/>
  </r>
  <r>
    <x v="895"/>
    <s v="USR-00702"/>
    <s v="SES-2506-84361"/>
    <x v="441"/>
    <s v="East England"/>
    <s v="Ipswich"/>
    <x v="2"/>
    <x v="0"/>
    <x v="0"/>
    <s v="Web"/>
    <s v="Mobile Browser"/>
    <s v="&lt;3 months"/>
    <x v="0"/>
    <x v="3"/>
    <x v="1"/>
    <s v="Reactivated"/>
    <s v="No Experiment"/>
    <s v="Control"/>
    <n v="4"/>
    <n v="4"/>
    <n v="123"/>
    <s v="No"/>
    <x v="1"/>
    <x v="1"/>
    <x v="1"/>
    <x v="0"/>
    <n v="137.63"/>
    <x v="7"/>
    <x v="0"/>
    <s v="No Support Contact"/>
    <s v="No"/>
    <s v="No Support Contact"/>
    <s v="Not Applicable"/>
    <m/>
    <s v="Unexpected fee"/>
    <n v="4"/>
    <n v="27"/>
    <n v="25"/>
    <x v="1"/>
    <n v="0"/>
    <n v="1"/>
    <n v="0"/>
    <n v="1"/>
  </r>
  <r>
    <x v="896"/>
    <s v="USR-00619"/>
    <s v="SES-2512-12072"/>
    <x v="442"/>
    <s v="South West"/>
    <s v="Plymouth"/>
    <x v="2"/>
    <x v="3"/>
    <x v="1"/>
    <s v="Ios"/>
    <s v="Iphone"/>
    <s v="3-6 months"/>
    <x v="0"/>
    <x v="0"/>
    <x v="2"/>
    <s v="Repeat Use"/>
    <s v="No Experiment"/>
    <s v="Control"/>
    <n v="5"/>
    <s v="5 steps"/>
    <n v="110"/>
    <s v="No"/>
    <x v="0"/>
    <x v="1"/>
    <x v="1"/>
    <x v="0"/>
    <n v="108.47"/>
    <x v="0"/>
    <x v="0"/>
    <s v="No Support Contact"/>
    <s v="No"/>
    <s v="No Support Contact"/>
    <s v="Not Applicable"/>
    <m/>
    <s v="No drop-off"/>
    <n v="4"/>
    <n v="1"/>
    <n v="22"/>
    <x v="1"/>
    <n v="1"/>
    <n v="1"/>
    <n v="0"/>
    <n v="1"/>
  </r>
  <r>
    <x v="897"/>
    <s v="USR-00093"/>
    <s v="SES-2501-69761"/>
    <x v="323"/>
    <s v="Northern Ireland"/>
    <s v="Newry"/>
    <x v="3"/>
    <x v="3"/>
    <x v="1"/>
    <s v="Ios"/>
    <s v="Iphone"/>
    <s v="7-12 months"/>
    <x v="1"/>
    <x v="6"/>
    <x v="1"/>
    <s v="Repeat Use"/>
    <s v="Simplified Onboarding"/>
    <s v="Control"/>
    <n v="4"/>
    <n v="4"/>
    <n v="125"/>
    <s v="No"/>
    <x v="0"/>
    <x v="1"/>
    <x v="1"/>
    <x v="0"/>
    <n v="110.33"/>
    <x v="4"/>
    <x v="1"/>
    <s v="No Support Contact"/>
    <s v="No"/>
    <s v="No Support Contact"/>
    <s v="Not Applicable"/>
    <m/>
    <s v="No drop-off"/>
    <n v="3"/>
    <n v="33"/>
    <n v="10"/>
    <x v="1"/>
    <n v="1"/>
    <n v="1"/>
    <n v="0"/>
    <n v="1"/>
  </r>
  <r>
    <x v="898"/>
    <s v="USR-00248"/>
    <s v="SES-2603-97207"/>
    <x v="443"/>
    <s v="East England"/>
    <s v="Luton"/>
    <x v="2"/>
    <x v="1"/>
    <x v="1"/>
    <s v="Android"/>
    <s v="Android Phone"/>
    <s v="3-6 months"/>
    <x v="1"/>
    <x v="1"/>
    <x v="0"/>
    <s v="Repeat Use"/>
    <s v="No Experiment"/>
    <s v="Control"/>
    <n v="7"/>
    <n v="7"/>
    <n v="278"/>
    <s v="No"/>
    <x v="1"/>
    <x v="0"/>
    <x v="11"/>
    <x v="1"/>
    <n v="0"/>
    <x v="0"/>
    <x v="0"/>
    <s v="No Support Contact"/>
    <s v="No"/>
    <s v="No Support Contact"/>
    <s v="Not Applicable"/>
    <m/>
    <s v="Technical error"/>
    <n v="3"/>
    <n v="25"/>
    <n v="5"/>
    <x v="1"/>
    <n v="0"/>
    <n v="0"/>
    <n v="1"/>
    <n v="1"/>
  </r>
  <r>
    <x v="899"/>
    <s v="USR-00559"/>
    <s v="SES-2502-29318"/>
    <x v="251"/>
    <s v="South West"/>
    <s v="Bristol"/>
    <x v="3"/>
    <x v="3"/>
    <x v="0"/>
    <s v="Ios"/>
    <s v="Iphone"/>
    <s v="1-2 years"/>
    <x v="0"/>
    <x v="2"/>
    <x v="0"/>
    <s v="Reactivated"/>
    <s v="No Experiment"/>
    <s v="Control"/>
    <n v="7"/>
    <s v="5 steps"/>
    <n v="359"/>
    <s v="Yes"/>
    <x v="0"/>
    <x v="1"/>
    <x v="1"/>
    <x v="0"/>
    <n v="82.64"/>
    <x v="0"/>
    <x v="0"/>
    <s v="No Support Contact"/>
    <s v="No"/>
    <s v="No Support Contact"/>
    <s v="Not Applicable"/>
    <m/>
    <s v="No drop-off"/>
    <n v="3"/>
    <n v="14"/>
    <n v="38"/>
    <x v="1"/>
    <n v="1"/>
    <n v="1"/>
    <n v="0"/>
    <n v="1"/>
  </r>
  <r>
    <x v="900"/>
    <s v="USR-00693"/>
    <s v="SES-2605-24387"/>
    <x v="364"/>
    <s v="London"/>
    <s v="Hackney"/>
    <x v="5"/>
    <x v="5"/>
    <x v="1"/>
    <s v="Android"/>
    <s v="Android Phone"/>
    <s v="7-12 months"/>
    <x v="0"/>
    <x v="7"/>
    <x v="1"/>
    <s v="First Use"/>
    <s v="No Experiment"/>
    <s v="Control"/>
    <n v="4"/>
    <n v="4"/>
    <n v="154"/>
    <s v="No"/>
    <x v="0"/>
    <x v="0"/>
    <x v="12"/>
    <x v="0"/>
    <n v="220.29"/>
    <x v="8"/>
    <x v="0"/>
    <s v="Feature Navigation"/>
    <s v="Yes"/>
    <s v="Feature Navigation"/>
    <s v="Unresolved"/>
    <n v="33"/>
    <s v="No drop-off"/>
    <n v="5"/>
    <n v="15"/>
    <s v="0 days"/>
    <x v="1"/>
    <n v="1"/>
    <n v="1"/>
    <n v="1"/>
    <n v="1"/>
  </r>
  <r>
    <x v="901"/>
    <s v="USR-00743"/>
    <s v="SES-2510-81225"/>
    <x v="55"/>
    <s v="London"/>
    <s v="Camden"/>
    <x v="1"/>
    <x v="0"/>
    <x v="0"/>
    <s v="Android"/>
    <s v="Android Phone"/>
    <s v="7-12 months"/>
    <x v="0"/>
    <x v="1"/>
    <x v="5"/>
    <s v="First Use"/>
    <s v="Fee Transparency Panel"/>
    <s v="Treatment"/>
    <n v="8"/>
    <s v="8 steps"/>
    <n v="232"/>
    <s v="No"/>
    <x v="0"/>
    <x v="1"/>
    <x v="1"/>
    <x v="1"/>
    <n v="0"/>
    <x v="0"/>
    <x v="0"/>
    <s v="No Support Contact"/>
    <s v="No"/>
    <s v="No Support Contact"/>
    <s v="Not Applicable"/>
    <m/>
    <s v="No drop-off"/>
    <n v="4"/>
    <n v="4"/>
    <n v="0"/>
    <x v="1"/>
    <n v="1"/>
    <n v="0"/>
    <n v="0"/>
    <n v="1"/>
  </r>
  <r>
    <x v="902"/>
    <s v="USR-00759"/>
    <s v="SES-2501-40912"/>
    <x v="100"/>
    <s v="South West"/>
    <s v="Gloucester"/>
    <x v="3"/>
    <x v="1"/>
    <x v="0"/>
    <s v="Android"/>
    <s v="Android Phone"/>
    <s v="7-12 months"/>
    <x v="0"/>
    <x v="2"/>
    <x v="2"/>
    <s v="Repeat Use"/>
    <s v="Simplified Onboarding"/>
    <s v="Treatment"/>
    <n v="5"/>
    <n v="5"/>
    <n v="159"/>
    <s v="No"/>
    <x v="0"/>
    <x v="1"/>
    <x v="1"/>
    <x v="0"/>
    <n v="0"/>
    <x v="0"/>
    <x v="0"/>
    <s v="No Support Contact"/>
    <s v="No"/>
    <s v="No Support Contact"/>
    <s v="Not Applicable"/>
    <m/>
    <s v="No drop-off"/>
    <n v="4"/>
    <n v="67"/>
    <n v="51"/>
    <x v="1"/>
    <n v="1"/>
    <n v="1"/>
    <n v="0"/>
    <n v="1"/>
  </r>
  <r>
    <x v="903"/>
    <s v="USR-00033"/>
    <s v="SES-2507-47075"/>
    <x v="75"/>
    <s v="Yorkshire &amp; Humber"/>
    <s v="Hull"/>
    <x v="2"/>
    <x v="1"/>
    <x v="1"/>
    <s v="Android"/>
    <s v="Android Phone"/>
    <s v="2+ years"/>
    <x v="0"/>
    <x v="5"/>
    <x v="2"/>
    <s v="Reactivated"/>
    <s v="No Experiment"/>
    <s v="Control"/>
    <n v="5"/>
    <n v="3"/>
    <n v="286"/>
    <s v="Yes"/>
    <x v="1"/>
    <x v="0"/>
    <x v="21"/>
    <x v="0"/>
    <n v="81.14"/>
    <x v="0"/>
    <x v="0"/>
    <s v="No Support Contact"/>
    <s v="No"/>
    <s v="No Support Contact"/>
    <s v="Not Applicable"/>
    <m/>
    <s v="Technical error"/>
    <n v="2"/>
    <n v="-8"/>
    <n v="29"/>
    <x v="1"/>
    <n v="0"/>
    <n v="1"/>
    <n v="1"/>
    <n v="1"/>
  </r>
  <r>
    <x v="904"/>
    <s v="USR-00410"/>
    <s v="SES-2507-27451"/>
    <x v="3"/>
    <s v="East Midlands"/>
    <s v="Derby"/>
    <x v="1"/>
    <x v="2"/>
    <x v="1"/>
    <s v="Ios"/>
    <s v="Iphone"/>
    <s v="1-2 years"/>
    <x v="2"/>
    <x v="5"/>
    <x v="9"/>
    <s v="Repeat Use"/>
    <s v="Simplified Onboarding"/>
    <s v="Treatment"/>
    <n v="5"/>
    <n v="5"/>
    <n v="95"/>
    <s v="No"/>
    <x v="0"/>
    <x v="1"/>
    <x v="1"/>
    <x v="0"/>
    <n v="70.709999999999994"/>
    <x v="0"/>
    <x v="2"/>
    <s v="Feature Navigation"/>
    <s v="Unknown"/>
    <s v="Feature Navigation"/>
    <s v="Resolved"/>
    <n v="18"/>
    <s v="No drop-off"/>
    <n v="4"/>
    <n v="36"/>
    <n v="21"/>
    <x v="1"/>
    <n v="1"/>
    <n v="1"/>
    <n v="0"/>
    <n v="1"/>
  </r>
  <r>
    <x v="905"/>
    <s v="USR-00266"/>
    <s v="SES-2601-84385"/>
    <x v="325"/>
    <s v="North East"/>
    <s v="Durham"/>
    <x v="7"/>
    <x v="2"/>
    <x v="1"/>
    <s v="Android"/>
    <s v="Android Phone"/>
    <s v="3-6 months"/>
    <x v="0"/>
    <x v="3"/>
    <x v="4"/>
    <s v="Repeat Use"/>
    <s v="Fee Transparency Panel"/>
    <s v="Control"/>
    <n v="6"/>
    <n v="3"/>
    <n v="171"/>
    <s v="Yes"/>
    <x v="1"/>
    <x v="1"/>
    <x v="1"/>
    <x v="1"/>
    <n v="0"/>
    <x v="0"/>
    <x v="0"/>
    <s v="No Support Contact"/>
    <s v="No"/>
    <s v="No Support Contact"/>
    <s v="Not Applicable"/>
    <m/>
    <s v="Too many steps"/>
    <n v="2"/>
    <n v="5"/>
    <n v="56"/>
    <x v="1"/>
    <n v="0"/>
    <n v="0"/>
    <n v="0"/>
    <n v="1"/>
  </r>
  <r>
    <x v="906"/>
    <s v="USR-00260"/>
    <s v="SES-2601-63859"/>
    <x v="369"/>
    <s v="East England"/>
    <s v="Norwich"/>
    <x v="0"/>
    <x v="0"/>
    <x v="1"/>
    <s v="Ios"/>
    <s v="Iphone"/>
    <s v="&lt;3 months"/>
    <x v="3"/>
    <x v="4"/>
    <x v="1"/>
    <s v="Repeat Use"/>
    <s v="Progress Indicator"/>
    <s v="Control"/>
    <n v="4"/>
    <n v="2"/>
    <n v="160"/>
    <s v="Yes"/>
    <x v="0"/>
    <x v="1"/>
    <x v="1"/>
    <x v="0"/>
    <n v="131.9"/>
    <x v="15"/>
    <x v="0"/>
    <s v="No Support Contact"/>
    <s v="No"/>
    <s v="No Support Contact"/>
    <s v="Not Applicable"/>
    <m/>
    <s v="No drop-off"/>
    <n v="4"/>
    <n v="-11"/>
    <s v="32 days"/>
    <x v="1"/>
    <n v="1"/>
    <n v="1"/>
    <n v="0"/>
    <n v="1"/>
  </r>
  <r>
    <x v="907"/>
    <s v="USR-00508"/>
    <s v="SES-2604-56186"/>
    <x v="411"/>
    <s v="South East"/>
    <s v="Canterbury"/>
    <x v="3"/>
    <x v="1"/>
    <x v="2"/>
    <s v="Web"/>
    <s v="Desktop"/>
    <s v="1-2 years"/>
    <x v="2"/>
    <x v="5"/>
    <x v="1"/>
    <s v="Repeat Use"/>
    <s v="Simplified Onboarding"/>
    <s v="Control"/>
    <n v="4"/>
    <n v="3"/>
    <n v="189"/>
    <s v="Yes"/>
    <x v="0"/>
    <x v="1"/>
    <x v="1"/>
    <x v="0"/>
    <n v="102.98"/>
    <x v="7"/>
    <x v="2"/>
    <s v="No Support Contact"/>
    <s v="No"/>
    <s v="No Support Contact"/>
    <s v="Not Applicable"/>
    <m/>
    <s v="No drop-off"/>
    <n v="2"/>
    <n v="-7"/>
    <n v="33"/>
    <x v="1"/>
    <n v="1"/>
    <n v="1"/>
    <n v="0"/>
    <n v="1"/>
  </r>
  <r>
    <x v="908"/>
    <s v="USR-00654"/>
    <s v="SES-2602-90119"/>
    <x v="215"/>
    <s v="Northern Ireland"/>
    <s v="Lisburn"/>
    <x v="1"/>
    <x v="0"/>
    <x v="4"/>
    <s v="Android"/>
    <s v="Android Phone"/>
    <s v="1-2 years"/>
    <x v="0"/>
    <x v="5"/>
    <x v="1"/>
    <s v="Repeat Use"/>
    <s v="No Experiment"/>
    <s v="Control"/>
    <s v="4 steps"/>
    <n v="4"/>
    <n v="106"/>
    <s v="No"/>
    <x v="0"/>
    <x v="1"/>
    <x v="1"/>
    <x v="1"/>
    <n v="0"/>
    <x v="0"/>
    <x v="0"/>
    <s v="Feature Navigation"/>
    <s v="Yes"/>
    <s v="Feature Navigation"/>
    <s v="Resolved"/>
    <n v="20"/>
    <s v="No drop-off"/>
    <n v="4"/>
    <n v="64"/>
    <s v="55 days"/>
    <x v="1"/>
    <n v="1"/>
    <n v="0"/>
    <n v="0"/>
    <n v="1"/>
  </r>
  <r>
    <x v="909"/>
    <s v="USR-00363"/>
    <s v="SES-2502-69212"/>
    <x v="60"/>
    <s v="Northern Ireland"/>
    <s v="Newry"/>
    <x v="0"/>
    <x v="3"/>
    <x v="1"/>
    <s v="Ios"/>
    <s v="Iphone"/>
    <s v="2+ years"/>
    <x v="2"/>
    <x v="1"/>
    <x v="0"/>
    <s v="Repeat Use"/>
    <s v="No Experiment"/>
    <s v="Control"/>
    <n v="7"/>
    <n v="4"/>
    <n v="285"/>
    <s v="Yes"/>
    <x v="1"/>
    <x v="1"/>
    <x v="1"/>
    <x v="1"/>
    <n v="0"/>
    <x v="0"/>
    <x v="0"/>
    <s v="No Support Contact"/>
    <s v="No"/>
    <s v="No Support Contact"/>
    <s v="Not Applicable"/>
    <m/>
    <s v="Too many steps"/>
    <n v="1"/>
    <n v="4"/>
    <n v="2"/>
    <x v="1"/>
    <n v="0"/>
    <n v="0"/>
    <n v="0"/>
    <n v="1"/>
  </r>
  <r>
    <x v="910"/>
    <s v="USR-00509"/>
    <s v="SES-2504-34307"/>
    <x v="444"/>
    <s v="North West"/>
    <s v="Chester"/>
    <x v="3"/>
    <x v="1"/>
    <x v="0"/>
    <s v="Ios"/>
    <s v="Ipad"/>
    <s v="7-12 months"/>
    <x v="3"/>
    <x v="3"/>
    <x v="4"/>
    <s v="Repeat Use"/>
    <s v="No Experiment"/>
    <s v="Control"/>
    <n v="6"/>
    <n v="6"/>
    <n v="114"/>
    <s v="No"/>
    <x v="0"/>
    <x v="1"/>
    <x v="1"/>
    <x v="0"/>
    <n v="0"/>
    <x v="0"/>
    <x v="0"/>
    <s v="Account Verification"/>
    <s v="Yes"/>
    <s v="Account Verification"/>
    <s v="Resolved"/>
    <n v="31"/>
    <s v="No drop-off"/>
    <n v="3"/>
    <n v="14"/>
    <n v="1"/>
    <x v="1"/>
    <n v="1"/>
    <n v="1"/>
    <n v="0"/>
    <n v="1"/>
  </r>
  <r>
    <x v="911"/>
    <s v="USR-00135"/>
    <s v="SES-2602-84187"/>
    <x v="313"/>
    <s v="East England"/>
    <s v="Luton"/>
    <x v="2"/>
    <x v="0"/>
    <x v="1"/>
    <s v="Ios"/>
    <s v="Iphone"/>
    <s v="3-6 months"/>
    <x v="1"/>
    <x v="1"/>
    <x v="4"/>
    <s v="Repeat Use"/>
    <s v="No Experiment"/>
    <s v="Control"/>
    <n v="6"/>
    <n v="6"/>
    <n v="167"/>
    <s v="No"/>
    <x v="0"/>
    <x v="1"/>
    <x v="1"/>
    <x v="0"/>
    <n v="21.43"/>
    <x v="0"/>
    <x v="1"/>
    <s v="No Support Contact"/>
    <s v="No"/>
    <s v="No Support Contact"/>
    <s v="Not Applicable"/>
    <m/>
    <s v="No drop-off"/>
    <n v="5"/>
    <n v="42"/>
    <n v="12"/>
    <x v="1"/>
    <n v="1"/>
    <n v="1"/>
    <n v="0"/>
    <n v="1"/>
  </r>
  <r>
    <x v="912"/>
    <s v="USR-00651"/>
    <s v="SES-2501-94892"/>
    <x v="86"/>
    <s v="East England"/>
    <s v="Luton"/>
    <x v="7"/>
    <x v="2"/>
    <x v="2"/>
    <s v="Web"/>
    <s v="Desktop"/>
    <s v="7-12 months"/>
    <x v="1"/>
    <x v="1"/>
    <x v="10"/>
    <s v="First Use"/>
    <s v="Fee Transparency Panel"/>
    <s v="Treatment"/>
    <n v="9"/>
    <n v="9"/>
    <n v="215"/>
    <s v="No"/>
    <x v="1"/>
    <x v="1"/>
    <x v="1"/>
    <x v="1"/>
    <n v="0"/>
    <x v="0"/>
    <x v="0"/>
    <s v="No Support Contact"/>
    <s v="No"/>
    <s v="No Support Contact"/>
    <s v="Not Applicable"/>
    <m/>
    <s v="No drop-off"/>
    <n v="4"/>
    <n v="31"/>
    <n v="0"/>
    <x v="1"/>
    <n v="0"/>
    <n v="0"/>
    <n v="0"/>
    <n v="1"/>
  </r>
  <r>
    <x v="913"/>
    <s v="USR-00575"/>
    <s v="SES-2508-15551"/>
    <x v="445"/>
    <s v="Yorkshire &amp; Humber"/>
    <s v="Sheffield"/>
    <x v="2"/>
    <x v="1"/>
    <x v="1"/>
    <s v="Web"/>
    <s v="Desktop"/>
    <s v="1-2 years"/>
    <x v="0"/>
    <x v="1"/>
    <x v="1"/>
    <s v="Reactivated"/>
    <s v="Fee Transparency Panel"/>
    <s v="Treatment"/>
    <n v="4"/>
    <n v="4"/>
    <n v="97"/>
    <s v="No"/>
    <x v="0"/>
    <x v="1"/>
    <x v="1"/>
    <x v="0"/>
    <n v="145.34"/>
    <x v="7"/>
    <x v="0"/>
    <s v="No Support Contact"/>
    <s v="No"/>
    <s v="No Support Contact"/>
    <s v="Not Applicable"/>
    <m/>
    <s v="No drop-off"/>
    <n v="4"/>
    <n v="64"/>
    <s v="55 days"/>
    <x v="0"/>
    <n v="1"/>
    <n v="1"/>
    <n v="0"/>
    <n v="0"/>
  </r>
  <r>
    <x v="914"/>
    <s v="USR-00213"/>
    <s v="SES-2503-61653"/>
    <x v="294"/>
    <s v="South East"/>
    <s v="Guildford"/>
    <x v="0"/>
    <x v="1"/>
    <x v="1"/>
    <s v="Android"/>
    <s v="Android Phone"/>
    <s v="1-2 years"/>
    <x v="4"/>
    <x v="5"/>
    <x v="8"/>
    <s v="Reactivated"/>
    <s v="Progress Indicator"/>
    <s v="Treatment"/>
    <n v="5"/>
    <n v="5"/>
    <n v="149"/>
    <s v="No"/>
    <x v="0"/>
    <x v="1"/>
    <x v="1"/>
    <x v="0"/>
    <n v="75.13"/>
    <x v="0"/>
    <x v="2"/>
    <s v="No Support Contact"/>
    <s v="No"/>
    <s v="No Support Contact"/>
    <s v="Not Applicable"/>
    <m/>
    <s v="No drop-off"/>
    <n v="5"/>
    <n v="55"/>
    <s v="1 days"/>
    <x v="1"/>
    <n v="1"/>
    <n v="1"/>
    <n v="0"/>
    <n v="1"/>
  </r>
  <r>
    <x v="915"/>
    <s v="USR-00248"/>
    <s v="SES-2507-36575"/>
    <x v="280"/>
    <s v="Scotland"/>
    <s v="Aberdeen"/>
    <x v="5"/>
    <x v="4"/>
    <x v="1"/>
    <s v="Ios"/>
    <s v="Iphone"/>
    <s v="2+ years"/>
    <x v="3"/>
    <x v="3"/>
    <x v="8"/>
    <s v="Repeat Use"/>
    <s v="Contextual Help"/>
    <s v="Control"/>
    <n v="5"/>
    <n v="5"/>
    <n v="93"/>
    <s v="Unknown"/>
    <x v="0"/>
    <x v="1"/>
    <x v="1"/>
    <x v="0"/>
    <n v="76.349999999999994"/>
    <x v="0"/>
    <x v="0"/>
    <s v="No Support Contact"/>
    <s v="No"/>
    <s v="No Support Contact"/>
    <s v="Not Applicable"/>
    <m/>
    <s v="No drop-off"/>
    <n v="5"/>
    <n v="-12"/>
    <n v="37"/>
    <x v="1"/>
    <n v="1"/>
    <n v="1"/>
    <n v="0"/>
    <n v="1"/>
  </r>
  <r>
    <x v="916"/>
    <s v="USR-00680"/>
    <s v="SES-2501-91034"/>
    <x v="446"/>
    <s v="Scotland"/>
    <s v="Glasgow"/>
    <x v="0"/>
    <x v="3"/>
    <x v="0"/>
    <s v="Ios"/>
    <s v="Iphone"/>
    <s v="1-2 years"/>
    <x v="0"/>
    <x v="3"/>
    <x v="3"/>
    <s v="Repeat Use"/>
    <s v="Simplified Onboarding"/>
    <s v="Treatment"/>
    <n v="6"/>
    <n v="6"/>
    <n v="181"/>
    <s v="No"/>
    <x v="1"/>
    <x v="1"/>
    <x v="1"/>
    <x v="1"/>
    <n v="0"/>
    <x v="0"/>
    <x v="0"/>
    <s v="No Support Contact"/>
    <s v="No"/>
    <s v="No Support Contact"/>
    <s v="Not Applicable"/>
    <m/>
    <s v="Instructions unclear"/>
    <n v="4"/>
    <n v="23"/>
    <n v="38"/>
    <x v="0"/>
    <n v="0"/>
    <n v="0"/>
    <n v="0"/>
    <n v="0"/>
  </r>
  <r>
    <x v="917"/>
    <s v="USR-00686"/>
    <s v="SES-2601-17944"/>
    <x v="30"/>
    <s v="London"/>
    <s v="Croydon"/>
    <x v="0"/>
    <x v="0"/>
    <x v="0"/>
    <s v="Android"/>
    <s v="Android Tablet"/>
    <s v="7-12 months"/>
    <x v="0"/>
    <x v="0"/>
    <x v="1"/>
    <s v="Trial/Exploration"/>
    <s v="No Experiment"/>
    <s v="Control"/>
    <n v="99"/>
    <n v="4"/>
    <n v="124"/>
    <s v="No"/>
    <x v="0"/>
    <x v="1"/>
    <x v="1"/>
    <x v="0"/>
    <n v="182.47"/>
    <x v="1"/>
    <x v="0"/>
    <s v="No Support Contact"/>
    <s v="No"/>
    <s v="No Support Contact"/>
    <s v="Not Applicable"/>
    <m/>
    <s v="No drop-off"/>
    <n v="5"/>
    <n v="13"/>
    <n v="59"/>
    <x v="0"/>
    <n v="1"/>
    <n v="1"/>
    <n v="0"/>
    <n v="0"/>
  </r>
  <r>
    <x v="918"/>
    <s v="USR-00041"/>
    <s v="SES-2506-55883"/>
    <x v="134"/>
    <s v="South East"/>
    <s v="Reading"/>
    <x v="3"/>
    <x v="4"/>
    <x v="1"/>
    <s v="Web"/>
    <s v="Mobile Browser"/>
    <s v="1-2 years"/>
    <x v="2"/>
    <x v="5"/>
    <x v="2"/>
    <s v="First Use"/>
    <s v="No Experiment"/>
    <s v="Control"/>
    <n v="5"/>
    <n v="4"/>
    <n v="153"/>
    <s v="Yes"/>
    <x v="0"/>
    <x v="1"/>
    <x v="1"/>
    <x v="0"/>
    <n v="85.96"/>
    <x v="0"/>
    <x v="2"/>
    <s v="No Support Contact"/>
    <s v="No"/>
    <s v="No Support Contact"/>
    <s v="Not Applicable"/>
    <m/>
    <s v="No drop-off"/>
    <n v="3"/>
    <n v="53"/>
    <n v="0"/>
    <x v="0"/>
    <n v="1"/>
    <n v="1"/>
    <n v="0"/>
    <n v="0"/>
  </r>
  <r>
    <x v="919"/>
    <s v="USR-00237"/>
    <s v="SES-2508-34866"/>
    <x v="127"/>
    <s v="West Midlands"/>
    <s v="Solihull"/>
    <x v="3"/>
    <x v="0"/>
    <x v="1"/>
    <s v="Web"/>
    <s v="Desktop"/>
    <s v="7-12 months"/>
    <x v="2"/>
    <x v="0"/>
    <x v="5"/>
    <s v="First Use"/>
    <s v="Progress Indicator"/>
    <s v="Control"/>
    <n v="8"/>
    <n v="4"/>
    <n v="255"/>
    <s v="Yes"/>
    <x v="1"/>
    <x v="0"/>
    <x v="7"/>
    <x v="1"/>
    <n v="0"/>
    <x v="0"/>
    <x v="0"/>
    <s v="Account Verification"/>
    <s v="Yes"/>
    <s v="Account Verification"/>
    <s v="Resolved"/>
    <n v="38"/>
    <s v="Technical error"/>
    <n v="1"/>
    <n v="-73"/>
    <n v="0"/>
    <x v="0"/>
    <n v="0"/>
    <n v="0"/>
    <n v="1"/>
    <n v="0"/>
  </r>
  <r>
    <x v="920"/>
    <s v="USR-00424"/>
    <s v="SES-2605-75984"/>
    <x v="432"/>
    <s v="East England"/>
    <s v="Cambridge"/>
    <x v="0"/>
    <x v="2"/>
    <x v="0"/>
    <s v="Android"/>
    <s v="Android Phone"/>
    <s v="&lt;3 months"/>
    <x v="0"/>
    <x v="2"/>
    <x v="9"/>
    <s v="First Use"/>
    <s v="Progress Indicator"/>
    <s v="Treatment"/>
    <n v="5"/>
    <n v="5"/>
    <n v="143"/>
    <s v="No"/>
    <x v="1"/>
    <x v="0"/>
    <x v="22"/>
    <x v="1"/>
    <n v="0"/>
    <x v="0"/>
    <x v="0"/>
    <s v="Transaction Failure"/>
    <s v="Yes"/>
    <s v="Transaction Failure"/>
    <s v="Resolved"/>
    <n v="37"/>
    <s v="No drop-off"/>
    <n v="3"/>
    <n v="21"/>
    <n v="0"/>
    <x v="0"/>
    <n v="0"/>
    <n v="0"/>
    <n v="1"/>
    <n v="0"/>
  </r>
  <r>
    <x v="921"/>
    <s v="USR-00556"/>
    <s v="SES-2502-36066"/>
    <x v="445"/>
    <s v="East England"/>
    <s v="Cambridge"/>
    <x v="1"/>
    <x v="3"/>
    <x v="1"/>
    <s v="Web"/>
    <s v="Desktop"/>
    <s v="7-12 months"/>
    <x v="0"/>
    <x v="0"/>
    <x v="1"/>
    <s v="First Use"/>
    <s v="No Experiment"/>
    <s v="Control"/>
    <n v="4"/>
    <n v="4"/>
    <n v="75"/>
    <s v="No"/>
    <x v="0"/>
    <x v="1"/>
    <x v="1"/>
    <x v="1"/>
    <n v="0"/>
    <x v="0"/>
    <x v="0"/>
    <s v="No Support Contact"/>
    <s v="No"/>
    <s v="No Support Contact"/>
    <s v="Not Applicable"/>
    <m/>
    <s v="No drop-off"/>
    <n v="5"/>
    <n v="66"/>
    <s v="0 days"/>
    <x v="1"/>
    <n v="1"/>
    <n v="0"/>
    <n v="0"/>
    <n v="1"/>
  </r>
  <r>
    <x v="922"/>
    <s v="USR-00691"/>
    <s v="SES-2509-76240"/>
    <x v="447"/>
    <s v="West Midlands"/>
    <s v="Birmingham"/>
    <x v="2"/>
    <x v="0"/>
    <x v="0"/>
    <s v="Ios"/>
    <s v="Iphone"/>
    <s v="2+ years"/>
    <x v="0"/>
    <x v="2"/>
    <x v="8"/>
    <s v="Repeat Use"/>
    <s v="No Experiment"/>
    <s v="Control"/>
    <s v="5 steps"/>
    <n v="5"/>
    <n v="95"/>
    <s v="No"/>
    <x v="0"/>
    <x v="1"/>
    <x v="1"/>
    <x v="0"/>
    <n v="71.650000000000006"/>
    <x v="0"/>
    <x v="0"/>
    <s v="No Support Contact"/>
    <s v="No"/>
    <s v="No Support Contact"/>
    <s v="Not Applicable"/>
    <m/>
    <s v="No drop-off"/>
    <n v="4"/>
    <n v="11"/>
    <n v="24"/>
    <x v="1"/>
    <n v="1"/>
    <n v="1"/>
    <n v="0"/>
    <n v="1"/>
  </r>
  <r>
    <x v="923"/>
    <s v="USR-00255"/>
    <s v="SES-2602-77374"/>
    <x v="448"/>
    <s v="East Midlands"/>
    <s v="Lincoln"/>
    <x v="0"/>
    <x v="1"/>
    <x v="1"/>
    <s v="Android"/>
    <s v="Android Phone"/>
    <s v="3-6 months"/>
    <x v="0"/>
    <x v="7"/>
    <x v="5"/>
    <s v="Repeat Use"/>
    <s v="Progress Indicator"/>
    <s v="Control"/>
    <n v="8"/>
    <n v="4"/>
    <n v="249"/>
    <s v="Yes"/>
    <x v="1"/>
    <x v="1"/>
    <x v="1"/>
    <x v="0"/>
    <n v="398.87"/>
    <x v="76"/>
    <x v="0"/>
    <s v="Transaction Failure"/>
    <s v="Yes"/>
    <s v="Transaction Failure"/>
    <s v="Resolved"/>
    <n v="38"/>
    <s v="Instructions unclear"/>
    <n v="3"/>
    <n v="-44"/>
    <n v="61"/>
    <x v="0"/>
    <n v="0"/>
    <n v="1"/>
    <n v="0"/>
    <n v="0"/>
  </r>
  <r>
    <x v="924"/>
    <s v="USR-00700"/>
    <s v="SES-2507-23748"/>
    <x v="280"/>
    <s v="Wales"/>
    <s v="Newport"/>
    <x v="7"/>
    <x v="0"/>
    <x v="1"/>
    <s v="Ios"/>
    <s v="Iphone"/>
    <s v="7-12 months"/>
    <x v="1"/>
    <x v="4"/>
    <x v="3"/>
    <s v="Repeat Use"/>
    <s v="No Experiment"/>
    <s v="Control"/>
    <n v="6"/>
    <n v="6"/>
    <n v="109"/>
    <s v="No"/>
    <x v="1"/>
    <x v="1"/>
    <x v="1"/>
    <x v="1"/>
    <n v="0"/>
    <x v="0"/>
    <x v="0"/>
    <s v="No Support Contact"/>
    <s v="No"/>
    <s v="No Support Contact"/>
    <s v="Not Applicable"/>
    <m/>
    <s v="Too many steps"/>
    <n v="4"/>
    <n v="0"/>
    <n v="24"/>
    <x v="1"/>
    <n v="0"/>
    <n v="0"/>
    <n v="0"/>
    <n v="1"/>
  </r>
  <r>
    <x v="925"/>
    <s v="USR-00056"/>
    <s v="SES-2502-77333"/>
    <x v="321"/>
    <s v="South East"/>
    <s v="Reading"/>
    <x v="2"/>
    <x v="2"/>
    <x v="1"/>
    <s v="Ios"/>
    <s v="Iphone"/>
    <s v="7-12 months"/>
    <x v="1"/>
    <x v="5"/>
    <x v="9"/>
    <s v="Repeat Use"/>
    <s v="Simplified Onboarding"/>
    <s v="Control"/>
    <n v="5"/>
    <n v="5"/>
    <n v="159"/>
    <s v="No"/>
    <x v="1"/>
    <x v="1"/>
    <x v="1"/>
    <x v="1"/>
    <n v="0"/>
    <x v="0"/>
    <x v="0"/>
    <s v="No Support Contact"/>
    <s v="No"/>
    <s v="No Support Contact"/>
    <s v="Not Applicable"/>
    <m/>
    <s v="No drop-off"/>
    <n v="4"/>
    <n v="-48"/>
    <n v="11"/>
    <x v="0"/>
    <n v="0"/>
    <n v="0"/>
    <n v="0"/>
    <n v="0"/>
  </r>
  <r>
    <x v="926"/>
    <s v="USR-00773"/>
    <s v="SES-2605-77584"/>
    <x v="162"/>
    <s v="Scotland"/>
    <s v="Dundee"/>
    <x v="3"/>
    <x v="0"/>
    <x v="0"/>
    <s v="Web"/>
    <s v="Desktop"/>
    <s v="3-6 months"/>
    <x v="2"/>
    <x v="5"/>
    <x v="1"/>
    <s v="First Use"/>
    <s v="Progress Indicator"/>
    <s v="Control"/>
    <n v="4"/>
    <n v="4"/>
    <n v="106"/>
    <s v="No"/>
    <x v="1"/>
    <x v="1"/>
    <x v="1"/>
    <x v="0"/>
    <n v="195.55"/>
    <x v="7"/>
    <x v="2"/>
    <s v="No Support Contact"/>
    <s v="No"/>
    <s v="No Support Contact"/>
    <s v="Not Applicable"/>
    <m/>
    <s v="Technical error"/>
    <n v="3"/>
    <n v="23"/>
    <n v="0"/>
    <x v="0"/>
    <n v="0"/>
    <n v="1"/>
    <n v="0"/>
    <n v="0"/>
  </r>
  <r>
    <x v="927"/>
    <s v="USR-00526"/>
    <s v="SES-2501-64440"/>
    <x v="389"/>
    <s v="East England"/>
    <s v="Cambridge"/>
    <x v="0"/>
    <x v="1"/>
    <x v="1"/>
    <s v="Ios"/>
    <s v="Iphone"/>
    <s v="1-2 years"/>
    <x v="0"/>
    <x v="6"/>
    <x v="3"/>
    <s v="Reactivated"/>
    <s v="Progress Indicator"/>
    <s v="Treatment"/>
    <n v="6"/>
    <n v="6"/>
    <n v="184"/>
    <s v="No"/>
    <x v="0"/>
    <x v="1"/>
    <x v="1"/>
    <x v="0"/>
    <n v="63.08"/>
    <x v="17"/>
    <x v="0"/>
    <s v="No Support Contact"/>
    <s v="No"/>
    <s v="No Support Contact"/>
    <s v="Not Applicable"/>
    <m/>
    <s v="No drop-off"/>
    <n v="4"/>
    <n v="5"/>
    <n v="26"/>
    <x v="1"/>
    <n v="1"/>
    <n v="1"/>
    <n v="0"/>
    <n v="1"/>
  </r>
  <r>
    <x v="928"/>
    <s v="USR-00545"/>
    <s v="SES-2505-73352"/>
    <x v="88"/>
    <s v="North East"/>
    <s v="Middlesbrough"/>
    <x v="1"/>
    <x v="5"/>
    <x v="0"/>
    <s v="Ios"/>
    <s v="Iphone"/>
    <s v="7-12 months"/>
    <x v="1"/>
    <x v="0"/>
    <x v="10"/>
    <s v="First Use"/>
    <s v="No Experiment"/>
    <s v="Control"/>
    <n v="9"/>
    <n v="9"/>
    <n v="270"/>
    <s v="No"/>
    <x v="1"/>
    <x v="1"/>
    <x v="1"/>
    <x v="1"/>
    <n v="0"/>
    <x v="0"/>
    <x v="0"/>
    <s v="No Support Contact"/>
    <s v="No"/>
    <s v="No Support Contact"/>
    <s v="Not Applicable"/>
    <m/>
    <s v="No drop-off"/>
    <n v="3"/>
    <n v="20"/>
    <n v="0"/>
    <x v="0"/>
    <n v="0"/>
    <n v="0"/>
    <n v="0"/>
    <n v="0"/>
  </r>
  <r>
    <x v="929"/>
    <s v="USR-00145"/>
    <s v="SES-2507-60006"/>
    <x v="435"/>
    <s v="West Midlands"/>
    <s v="Solihull"/>
    <x v="0"/>
    <x v="0"/>
    <x v="1"/>
    <s v="Web"/>
    <s v="Mobile Browser"/>
    <s v="3-6 months"/>
    <x v="2"/>
    <x v="4"/>
    <x v="1"/>
    <s v="Repeat Use"/>
    <s v="No Experiment"/>
    <s v="Control"/>
    <n v="4"/>
    <n v="2"/>
    <n v="126"/>
    <s v="Yes"/>
    <x v="0"/>
    <x v="1"/>
    <x v="1"/>
    <x v="0"/>
    <n v="142.12"/>
    <x v="4"/>
    <x v="2"/>
    <s v="No Support Contact"/>
    <s v="No"/>
    <s v="No Support Contact"/>
    <s v="Not Applicable"/>
    <m/>
    <s v="No drop-off"/>
    <n v="4"/>
    <n v="5"/>
    <n v="40"/>
    <x v="1"/>
    <n v="1"/>
    <n v="1"/>
    <n v="0"/>
    <n v="1"/>
  </r>
  <r>
    <x v="930"/>
    <s v="USR-00668"/>
    <s v="SES-2508-10519"/>
    <x v="449"/>
    <s v="East England"/>
    <s v="Cambridge"/>
    <x v="2"/>
    <x v="2"/>
    <x v="0"/>
    <s v="Ios"/>
    <s v="Iphone"/>
    <s v="7-12 months"/>
    <x v="1"/>
    <x v="0"/>
    <x v="5"/>
    <s v="Repeat Use"/>
    <s v="New Cta Copy"/>
    <s v="Treatment"/>
    <n v="8"/>
    <n v="4"/>
    <n v="307"/>
    <s v="Yes"/>
    <x v="0"/>
    <x v="1"/>
    <x v="1"/>
    <x v="0"/>
    <n v="427.65"/>
    <x v="16"/>
    <x v="1"/>
    <s v="No Support Contact"/>
    <s v="No"/>
    <s v="No Support Contact"/>
    <s v="Not Applicable"/>
    <m/>
    <s v="No drop-off"/>
    <n v="3"/>
    <n v="-32"/>
    <n v="30"/>
    <x v="1"/>
    <n v="1"/>
    <n v="1"/>
    <n v="0"/>
    <n v="1"/>
  </r>
  <r>
    <x v="931"/>
    <s v="USR-00463"/>
    <s v="SES-2507-75112"/>
    <x v="69"/>
    <s v="North East"/>
    <s v="Durham"/>
    <x v="3"/>
    <x v="5"/>
    <x v="0"/>
    <s v="Android"/>
    <s v="Android Phone"/>
    <s v="7-12 months"/>
    <x v="0"/>
    <x v="0"/>
    <x v="5"/>
    <s v="First Use"/>
    <s v="No Experiment"/>
    <s v="Control"/>
    <n v="8"/>
    <n v="5"/>
    <n v="262"/>
    <s v="Yes"/>
    <x v="1"/>
    <x v="1"/>
    <x v="1"/>
    <x v="1"/>
    <n v="0"/>
    <x v="0"/>
    <x v="0"/>
    <s v="Transaction Failure"/>
    <s v="Yes"/>
    <s v="Transaction Failure"/>
    <s v="Resolved"/>
    <n v="28"/>
    <s v="Too many steps"/>
    <n v="3"/>
    <n v="-47"/>
    <n v="0"/>
    <x v="0"/>
    <n v="0"/>
    <n v="0"/>
    <n v="0"/>
    <n v="0"/>
  </r>
  <r>
    <x v="932"/>
    <s v="USR-00197"/>
    <s v="SES-2501-70145"/>
    <x v="11"/>
    <s v="East Midlands"/>
    <s v="Nottingham"/>
    <x v="0"/>
    <x v="1"/>
    <x v="0"/>
    <s v="Ios"/>
    <s v="Iphone"/>
    <s v="2+ years"/>
    <x v="0"/>
    <x v="2"/>
    <x v="7"/>
    <s v="First Use"/>
    <s v="Fee Transparency Panel"/>
    <s v="Control"/>
    <n v="4"/>
    <n v="4"/>
    <n v="119"/>
    <s v="No"/>
    <x v="0"/>
    <x v="1"/>
    <x v="1"/>
    <x v="0"/>
    <n v="27.7"/>
    <x v="20"/>
    <x v="0"/>
    <s v="No Support Contact"/>
    <s v="No"/>
    <s v="No Support Contact"/>
    <s v="Not Applicable"/>
    <m/>
    <s v="No drop-off"/>
    <n v="4"/>
    <n v="40"/>
    <s v="0 days"/>
    <x v="1"/>
    <n v="1"/>
    <n v="1"/>
    <n v="0"/>
    <n v="1"/>
  </r>
  <r>
    <x v="933"/>
    <s v="USR-00232"/>
    <s v="SES-2507-61758"/>
    <x v="332"/>
    <s v="South West"/>
    <s v="Exeter"/>
    <x v="0"/>
    <x v="0"/>
    <x v="0"/>
    <s v="Ios"/>
    <s v="Iphone"/>
    <s v="7-12 months"/>
    <x v="1"/>
    <x v="1"/>
    <x v="4"/>
    <s v="Repeat Use"/>
    <s v="Simplified Onboarding"/>
    <s v="Treatment"/>
    <n v="6"/>
    <n v="6"/>
    <n v="285"/>
    <s v="No"/>
    <x v="0"/>
    <x v="2"/>
    <x v="5"/>
    <x v="1"/>
    <n v="0"/>
    <x v="0"/>
    <x v="0"/>
    <s v="Other"/>
    <s v="Yes"/>
    <s v="Other"/>
    <s v="Unresolved"/>
    <n v="27"/>
    <s v="No drop-off"/>
    <n v="3"/>
    <n v="49"/>
    <n v="28"/>
    <x v="0"/>
    <n v="1"/>
    <n v="0"/>
    <n v="0"/>
    <n v="0"/>
  </r>
  <r>
    <x v="934"/>
    <s v="USR-00577"/>
    <s v="SES-2502-21333"/>
    <x v="251"/>
    <s v="South East"/>
    <s v="Canterbury"/>
    <x v="3"/>
    <x v="4"/>
    <x v="4"/>
    <s v="Android"/>
    <s v="Android Phone"/>
    <s v="3-6 months"/>
    <x v="0"/>
    <x v="2"/>
    <x v="9"/>
    <s v="First Use"/>
    <s v="Simplified Onboarding"/>
    <s v="Treatment"/>
    <n v="5"/>
    <n v="5"/>
    <n v="94"/>
    <s v="No"/>
    <x v="0"/>
    <x v="1"/>
    <x v="1"/>
    <x v="0"/>
    <n v="106.83"/>
    <x v="0"/>
    <x v="0"/>
    <s v="No Support Contact"/>
    <s v="No"/>
    <s v="No Support Contact"/>
    <s v="Not Applicable"/>
    <m/>
    <s v="No drop-off"/>
    <n v="4"/>
    <n v="26"/>
    <n v="0"/>
    <x v="1"/>
    <n v="1"/>
    <n v="1"/>
    <n v="0"/>
    <n v="1"/>
  </r>
  <r>
    <x v="935"/>
    <s v="USR-00303"/>
    <s v="SES-2506-19626"/>
    <x v="450"/>
    <s v="London"/>
    <s v="Camden"/>
    <x v="5"/>
    <x v="5"/>
    <x v="0"/>
    <s v="Android"/>
    <s v="Android Phone"/>
    <s v="2+ years"/>
    <x v="0"/>
    <x v="7"/>
    <x v="4"/>
    <s v="Repeat Use"/>
    <s v="No Experiment"/>
    <s v="Control"/>
    <s v="6 steps"/>
    <n v="6"/>
    <n v="128"/>
    <s v="No"/>
    <x v="0"/>
    <x v="1"/>
    <x v="1"/>
    <x v="0"/>
    <n v="59.79"/>
    <x v="0"/>
    <x v="0"/>
    <s v="No Support Contact"/>
    <s v="No"/>
    <s v="No Support Contact"/>
    <s v="Not Applicable"/>
    <m/>
    <s v="No drop-off"/>
    <n v="4"/>
    <n v="29"/>
    <n v="25"/>
    <x v="1"/>
    <n v="1"/>
    <n v="1"/>
    <n v="0"/>
    <n v="1"/>
  </r>
  <r>
    <x v="936"/>
    <s v="USR-00648"/>
    <s v="SES-2604-62415"/>
    <x v="451"/>
    <s v="West Midlands"/>
    <s v="Birmingham"/>
    <x v="5"/>
    <x v="0"/>
    <x v="1"/>
    <s v="Ios"/>
    <s v="Iphone"/>
    <s v="7-12 months"/>
    <x v="0"/>
    <x v="4"/>
    <x v="2"/>
    <s v="Trial/Exploration"/>
    <s v="Simplified Onboarding"/>
    <s v="Control"/>
    <s v="5 steps"/>
    <n v="5"/>
    <n v="151"/>
    <s v="No"/>
    <x v="0"/>
    <x v="0"/>
    <x v="21"/>
    <x v="1"/>
    <n v="0"/>
    <x v="0"/>
    <x v="0"/>
    <s v="Transaction Failure"/>
    <s v="Yes"/>
    <s v="Transaction Failure"/>
    <s v="Unresolved"/>
    <n v="26"/>
    <s v="No drop-off"/>
    <n v="5"/>
    <n v="19"/>
    <n v="34"/>
    <x v="1"/>
    <n v="1"/>
    <n v="0"/>
    <n v="1"/>
    <n v="1"/>
  </r>
  <r>
    <x v="937"/>
    <s v="USR-00529"/>
    <s v="SES-2507-22082"/>
    <x v="452"/>
    <s v="East Midlands"/>
    <s v="Leicester"/>
    <x v="7"/>
    <x v="5"/>
    <x v="0"/>
    <s v="Android"/>
    <s v="Android Phone"/>
    <s v="&lt;3 months"/>
    <x v="0"/>
    <x v="5"/>
    <x v="1"/>
    <s v="Repeat Use"/>
    <s v="No Experiment"/>
    <s v="Control"/>
    <n v="4"/>
    <n v="4"/>
    <n v="143"/>
    <s v="No"/>
    <x v="0"/>
    <x v="0"/>
    <x v="14"/>
    <x v="1"/>
    <n v="0"/>
    <x v="0"/>
    <x v="0"/>
    <s v="No Support Contact"/>
    <s v="No"/>
    <s v="No Support Contact"/>
    <s v="Not Applicable"/>
    <m/>
    <s v="No drop-off"/>
    <n v="3"/>
    <n v="-4"/>
    <n v="39"/>
    <x v="1"/>
    <n v="1"/>
    <n v="0"/>
    <n v="1"/>
    <n v="1"/>
  </r>
  <r>
    <x v="938"/>
    <s v="USR-00783"/>
    <s v="SES-2501-57021"/>
    <x v="446"/>
    <s v="Northern Ireland"/>
    <s v="Newry"/>
    <x v="3"/>
    <x v="4"/>
    <x v="1"/>
    <s v="Web"/>
    <s v="Desktop"/>
    <s v="7-12 months"/>
    <x v="0"/>
    <x v="1"/>
    <x v="3"/>
    <s v="Repeat Use"/>
    <s v="No Experiment"/>
    <s v="Control"/>
    <n v="6"/>
    <n v="5"/>
    <n v="261"/>
    <s v="Yes"/>
    <x v="0"/>
    <x v="0"/>
    <x v="8"/>
    <x v="0"/>
    <n v="0"/>
    <x v="2"/>
    <x v="0"/>
    <s v="No Support Contact"/>
    <s v="No"/>
    <s v="No Support Contact"/>
    <s v="Not Applicable"/>
    <m/>
    <s v="No drop-off"/>
    <n v="3"/>
    <n v="-27"/>
    <n v="1"/>
    <x v="0"/>
    <n v="1"/>
    <n v="1"/>
    <n v="1"/>
    <n v="0"/>
  </r>
  <r>
    <x v="939"/>
    <s v="USR-00598"/>
    <s v="SES-2505-84464"/>
    <x v="67"/>
    <s v="East Midlands"/>
    <s v="Lincoln"/>
    <x v="3"/>
    <x v="0"/>
    <x v="1"/>
    <s v="Android"/>
    <s v="Android Phone"/>
    <s v="&lt;3 months"/>
    <x v="1"/>
    <x v="5"/>
    <x v="1"/>
    <s v="First Use"/>
    <s v="Progress Indicator"/>
    <s v="Control"/>
    <n v="4"/>
    <n v="4"/>
    <n v="99"/>
    <s v="No"/>
    <x v="0"/>
    <x v="1"/>
    <x v="1"/>
    <x v="0"/>
    <n v="137.61000000000001"/>
    <x v="4"/>
    <x v="1"/>
    <s v="No Support Contact"/>
    <s v="No"/>
    <s v="No Support Contact"/>
    <s v="Not Applicable"/>
    <m/>
    <s v="No drop-off"/>
    <n v="5"/>
    <n v="60"/>
    <n v="0"/>
    <x v="1"/>
    <n v="1"/>
    <n v="1"/>
    <n v="0"/>
    <n v="1"/>
  </r>
  <r>
    <x v="940"/>
    <s v="USR-00163"/>
    <s v="SES-2509-86752"/>
    <x v="453"/>
    <s v="South East"/>
    <s v="Reading"/>
    <x v="5"/>
    <x v="1"/>
    <x v="1"/>
    <s v="Web"/>
    <s v="Desktop"/>
    <s v="3-6 months"/>
    <x v="0"/>
    <x v="5"/>
    <x v="4"/>
    <s v="Repeat Use"/>
    <s v="Contextual Help"/>
    <s v="Treatment"/>
    <n v="6"/>
    <n v="6"/>
    <n v="110"/>
    <s v="No"/>
    <x v="1"/>
    <x v="1"/>
    <x v="1"/>
    <x v="1"/>
    <n v="0"/>
    <x v="0"/>
    <x v="0"/>
    <s v="No Support Contact"/>
    <s v="No"/>
    <s v="No Support Contact"/>
    <s v="Not Applicable"/>
    <m/>
    <s v="No drop-off"/>
    <n v="2"/>
    <n v="2"/>
    <n v="45"/>
    <x v="1"/>
    <n v="0"/>
    <n v="0"/>
    <n v="0"/>
    <n v="1"/>
  </r>
  <r>
    <x v="941"/>
    <s v="USR-00840"/>
    <s v="SES-2507-85909"/>
    <x v="337"/>
    <s v="South East"/>
    <s v="Oxford"/>
    <x v="1"/>
    <x v="2"/>
    <x v="0"/>
    <s v="Android"/>
    <s v="Android Phone"/>
    <s v="3-6 months"/>
    <x v="0"/>
    <x v="7"/>
    <x v="4"/>
    <s v="Repeat Use"/>
    <s v="New Cta Copy"/>
    <s v="Treatment"/>
    <n v="6"/>
    <n v="6"/>
    <n v="135"/>
    <s v="No"/>
    <x v="1"/>
    <x v="1"/>
    <x v="1"/>
    <x v="0"/>
    <n v="7.25"/>
    <x v="0"/>
    <x v="0"/>
    <s v="No Support Contact"/>
    <s v="No"/>
    <s v="No Support Contact"/>
    <s v="Not Applicable"/>
    <m/>
    <m/>
    <n v="4"/>
    <n v="9"/>
    <n v="25"/>
    <x v="0"/>
    <n v="0"/>
    <n v="1"/>
    <n v="0"/>
    <n v="0"/>
  </r>
  <r>
    <x v="942"/>
    <s v="USR-00249"/>
    <s v="SES-2511-24603"/>
    <x v="59"/>
    <s v="East England"/>
    <s v="Luton"/>
    <x v="0"/>
    <x v="1"/>
    <x v="0"/>
    <s v="Web"/>
    <s v="Desktop"/>
    <s v="3-6 months"/>
    <x v="1"/>
    <x v="4"/>
    <x v="1"/>
    <s v="First Use"/>
    <s v="Contextual Help"/>
    <s v="Treatment"/>
    <n v="4"/>
    <n v="4"/>
    <n v="126"/>
    <s v="Unknown"/>
    <x v="0"/>
    <x v="1"/>
    <x v="1"/>
    <x v="1"/>
    <n v="0"/>
    <x v="0"/>
    <x v="0"/>
    <s v="No Support Contact"/>
    <s v="No"/>
    <s v="No Support Contact"/>
    <s v="Not Applicable"/>
    <m/>
    <s v="No drop-off"/>
    <n v="5"/>
    <n v="67"/>
    <s v="0 days"/>
    <x v="1"/>
    <n v="1"/>
    <n v="0"/>
    <n v="0"/>
    <n v="1"/>
  </r>
  <r>
    <x v="943"/>
    <s v="USR-00533"/>
    <s v="SES-2503-44377"/>
    <x v="259"/>
    <s v="London"/>
    <s v="Hackney"/>
    <x v="3"/>
    <x v="0"/>
    <x v="1"/>
    <s v="Ios"/>
    <s v="Iphone"/>
    <s v="2+ years"/>
    <x v="0"/>
    <x v="1"/>
    <x v="5"/>
    <s v="Repeat Use"/>
    <s v="New Cta Copy"/>
    <s v="Control"/>
    <n v="8"/>
    <n v="8"/>
    <n v="274"/>
    <s v="No"/>
    <x v="1"/>
    <x v="0"/>
    <x v="24"/>
    <x v="1"/>
    <n v="0"/>
    <x v="0"/>
    <x v="0"/>
    <s v="No Support Contact"/>
    <s v="No"/>
    <s v="No Support Contact"/>
    <s v="Not Applicable"/>
    <m/>
    <s v="Technical error"/>
    <n v="3"/>
    <n v="0"/>
    <n v="13"/>
    <x v="0"/>
    <n v="0"/>
    <n v="0"/>
    <n v="1"/>
    <n v="0"/>
  </r>
  <r>
    <x v="944"/>
    <s v="USR-00487"/>
    <s v="SES-2604-13057"/>
    <x v="400"/>
    <s v="West Midlands"/>
    <s v="Wolverhampton"/>
    <x v="0"/>
    <x v="1"/>
    <x v="1"/>
    <s v="Android"/>
    <s v="Android Phone"/>
    <s v="&lt;3 months"/>
    <x v="1"/>
    <x v="7"/>
    <x v="10"/>
    <s v="First Use"/>
    <s v="New Cta Copy"/>
    <s v="Control"/>
    <n v="9"/>
    <n v="6"/>
    <n v="251"/>
    <s v="Yes"/>
    <x v="0"/>
    <x v="1"/>
    <x v="1"/>
    <x v="0"/>
    <n v="197.88"/>
    <x v="77"/>
    <x v="1"/>
    <s v="No Support Contact"/>
    <s v="No"/>
    <s v="No Support Contact"/>
    <s v="Not Applicable"/>
    <m/>
    <s v="No drop-off"/>
    <n v="3"/>
    <n v="-53"/>
    <n v="0"/>
    <x v="0"/>
    <n v="1"/>
    <n v="1"/>
    <n v="0"/>
    <n v="0"/>
  </r>
  <r>
    <x v="945"/>
    <s v="USR-00418"/>
    <s v="SES-2602-51787"/>
    <x v="161"/>
    <s v="South West"/>
    <s v="Exeter"/>
    <x v="5"/>
    <x v="0"/>
    <x v="1"/>
    <s v="Android"/>
    <s v="Android Tablet"/>
    <s v="7-12 months"/>
    <x v="0"/>
    <x v="7"/>
    <x v="1"/>
    <s v="Repeat Use"/>
    <s v="No Experiment"/>
    <s v="Control"/>
    <n v="4"/>
    <n v="4"/>
    <n v="109"/>
    <s v="No"/>
    <x v="0"/>
    <x v="1"/>
    <x v="1"/>
    <x v="0"/>
    <n v="213.28"/>
    <x v="4"/>
    <x v="0"/>
    <s v="Feature Navigation"/>
    <s v="Yes"/>
    <s v="Feature Navigation"/>
    <s v="Unresolved"/>
    <n v="28"/>
    <s v="No drop-off"/>
    <n v="4"/>
    <n v="-2"/>
    <n v="46"/>
    <x v="0"/>
    <n v="1"/>
    <n v="1"/>
    <n v="0"/>
    <n v="0"/>
  </r>
  <r>
    <x v="946"/>
    <s v="USR-00335"/>
    <s v="SES-2509-18119"/>
    <x v="112"/>
    <s v="Scotland"/>
    <s v="Glasgow"/>
    <x v="1"/>
    <x v="0"/>
    <x v="0"/>
    <s v="Ios"/>
    <s v="Iphone"/>
    <s v="&lt;3 months"/>
    <x v="1"/>
    <x v="5"/>
    <x v="2"/>
    <s v="First Use"/>
    <s v="No Experiment"/>
    <s v="Control"/>
    <n v="5"/>
    <n v="5"/>
    <n v="128"/>
    <s v="No"/>
    <x v="0"/>
    <x v="1"/>
    <x v="1"/>
    <x v="0"/>
    <n v="126.15"/>
    <x v="0"/>
    <x v="1"/>
    <s v="No Support Contact"/>
    <s v="No"/>
    <s v="No Support Contact"/>
    <s v="Not Applicable"/>
    <m/>
    <s v="No drop-off"/>
    <n v="4"/>
    <n v="14"/>
    <n v="0"/>
    <x v="1"/>
    <n v="1"/>
    <n v="1"/>
    <n v="0"/>
    <n v="1"/>
  </r>
  <r>
    <x v="947"/>
    <s v="USR-00168"/>
    <s v="SES-2508-30485"/>
    <x v="297"/>
    <s v="North West"/>
    <s v="Preston"/>
    <x v="1"/>
    <x v="1"/>
    <x v="1"/>
    <s v="Android"/>
    <s v="Android Tablet"/>
    <s v="1-2 years"/>
    <x v="0"/>
    <x v="7"/>
    <x v="1"/>
    <s v="First Use"/>
    <s v="New Cta Copy"/>
    <s v="Treatment"/>
    <n v="4"/>
    <n v="4"/>
    <n v="77"/>
    <s v="No"/>
    <x v="0"/>
    <x v="1"/>
    <x v="1"/>
    <x v="0"/>
    <n v="196.76"/>
    <x v="25"/>
    <x v="0"/>
    <s v="No Support Contact"/>
    <s v="No"/>
    <s v="No Support Contact"/>
    <s v="Not Applicable"/>
    <m/>
    <s v="No drop-off"/>
    <n v="5"/>
    <n v="18"/>
    <n v="0"/>
    <x v="1"/>
    <n v="1"/>
    <n v="1"/>
    <n v="0"/>
    <n v="1"/>
  </r>
  <r>
    <x v="948"/>
    <s v="USR-00308"/>
    <s v="SES-2602-56637"/>
    <x v="174"/>
    <s v="Northern Ireland"/>
    <s v="Lisburn"/>
    <x v="5"/>
    <x v="1"/>
    <x v="0"/>
    <s v="Android"/>
    <s v="Android Phone"/>
    <s v="7-12 months"/>
    <x v="0"/>
    <x v="4"/>
    <x v="4"/>
    <s v="Trial/Exploration"/>
    <s v="No Experiment"/>
    <s v="Control"/>
    <s v="6 steps"/>
    <s v="5 steps"/>
    <n v="233"/>
    <s v="Yes"/>
    <x v="0"/>
    <x v="1"/>
    <x v="1"/>
    <x v="0"/>
    <n v="0"/>
    <x v="0"/>
    <x v="0"/>
    <s v="Card Issue"/>
    <s v="Yes"/>
    <s v="Card Issue"/>
    <s v="Resolved"/>
    <n v="36"/>
    <s v="No drop-off"/>
    <n v="4"/>
    <n v="-31"/>
    <n v="40"/>
    <x v="0"/>
    <n v="1"/>
    <n v="1"/>
    <n v="0"/>
    <n v="0"/>
  </r>
  <r>
    <x v="949"/>
    <s v="USR-00353"/>
    <s v="SES-2508-85517"/>
    <x v="42"/>
    <s v="East Midlands"/>
    <s v="Derby"/>
    <x v="7"/>
    <x v="1"/>
    <x v="0"/>
    <s v="Ios"/>
    <s v="Iphone"/>
    <s v="7-12 months"/>
    <x v="1"/>
    <x v="0"/>
    <x v="3"/>
    <s v="First Use"/>
    <s v="No Experiment"/>
    <s v="Control"/>
    <n v="6"/>
    <n v="6"/>
    <n v="133"/>
    <s v="No"/>
    <x v="0"/>
    <x v="1"/>
    <x v="1"/>
    <x v="0"/>
    <n v="73.69"/>
    <x v="2"/>
    <x v="1"/>
    <s v="Transaction Failure"/>
    <s v="Yes"/>
    <s v="Transaction Failure"/>
    <s v="Resolved"/>
    <n v="8"/>
    <s v="No drop-off"/>
    <n v="5"/>
    <n v="18"/>
    <n v="0"/>
    <x v="1"/>
    <n v="1"/>
    <n v="1"/>
    <n v="0"/>
    <n v="1"/>
  </r>
  <r>
    <x v="950"/>
    <s v="USR-00482"/>
    <s v="SES-2508-67371"/>
    <x v="417"/>
    <s v="Yorkshire &amp; Humber"/>
    <s v="York"/>
    <x v="0"/>
    <x v="2"/>
    <x v="0"/>
    <s v="Ios"/>
    <s v="Iphone"/>
    <s v="1-2 years"/>
    <x v="2"/>
    <x v="2"/>
    <x v="3"/>
    <s v="Repeat Use"/>
    <s v="Simplified Onboarding"/>
    <s v="Treatment"/>
    <n v="6"/>
    <n v="6"/>
    <n v="150"/>
    <s v="No"/>
    <x v="1"/>
    <x v="1"/>
    <x v="1"/>
    <x v="0"/>
    <n v="1"/>
    <x v="17"/>
    <x v="2"/>
    <s v="No Support Contact"/>
    <s v="No"/>
    <s v="No Support Contact"/>
    <s v="Not Applicable"/>
    <m/>
    <s v="No drop-off"/>
    <n v="4"/>
    <n v="-1"/>
    <n v="67"/>
    <x v="0"/>
    <n v="0"/>
    <n v="1"/>
    <n v="0"/>
    <n v="0"/>
  </r>
  <r>
    <x v="951"/>
    <s v="USR-00299"/>
    <s v="SES-2509-73482"/>
    <x v="284"/>
    <s v="East Midlands"/>
    <s v="Leicester"/>
    <x v="2"/>
    <x v="0"/>
    <x v="1"/>
    <s v="Ios"/>
    <s v="Iphone"/>
    <s v="3-6 months"/>
    <x v="0"/>
    <x v="4"/>
    <x v="1"/>
    <s v="Repeat Use"/>
    <s v="No Experiment"/>
    <s v="Control"/>
    <n v="4"/>
    <n v="2"/>
    <n v="189"/>
    <s v="Yes"/>
    <x v="1"/>
    <x v="1"/>
    <x v="1"/>
    <x v="0"/>
    <n v="162.97999999999999"/>
    <x v="1"/>
    <x v="0"/>
    <s v="No Support Contact"/>
    <s v="No"/>
    <s v="No Support Contact"/>
    <s v="Not Applicable"/>
    <m/>
    <s v="Too many steps"/>
    <n v="3"/>
    <n v="5"/>
    <n v="16"/>
    <x v="1"/>
    <n v="0"/>
    <n v="1"/>
    <n v="0"/>
    <n v="1"/>
  </r>
  <r>
    <x v="952"/>
    <s v="USR-00678"/>
    <s v="SES-2503-66447"/>
    <x v="43"/>
    <s v="Scotland"/>
    <s v="Dundee"/>
    <x v="1"/>
    <x v="1"/>
    <x v="1"/>
    <s v="Android"/>
    <s v="Android Phone"/>
    <s v="2+ years"/>
    <x v="1"/>
    <x v="1"/>
    <x v="7"/>
    <s v="First Use"/>
    <s v="Progress Indicator"/>
    <s v="Control"/>
    <n v="4"/>
    <n v="4"/>
    <n v="94"/>
    <s v="No"/>
    <x v="0"/>
    <x v="1"/>
    <x v="1"/>
    <x v="0"/>
    <n v="125.4"/>
    <x v="29"/>
    <x v="1"/>
    <s v="No Support Contact"/>
    <s v="No"/>
    <s v="No Support Contact"/>
    <s v="Not Applicable"/>
    <m/>
    <s v="No drop-off"/>
    <n v="5"/>
    <n v="42"/>
    <s v="0 days"/>
    <x v="0"/>
    <n v="1"/>
    <n v="1"/>
    <n v="0"/>
    <n v="0"/>
  </r>
  <r>
    <x v="953"/>
    <s v="USR-00301"/>
    <s v="SES-2505-18710"/>
    <x v="88"/>
    <s v="London"/>
    <s v="Camden"/>
    <x v="3"/>
    <x v="1"/>
    <x v="0"/>
    <s v="Web"/>
    <s v="Mobile Browser"/>
    <s v="7-12 months"/>
    <x v="0"/>
    <x v="5"/>
    <x v="4"/>
    <s v="Repeat Use"/>
    <s v="New Cta Copy"/>
    <s v="Control"/>
    <n v="6"/>
    <n v="6"/>
    <n v="145"/>
    <s v="No"/>
    <x v="0"/>
    <x v="1"/>
    <x v="1"/>
    <x v="0"/>
    <n v="19.38"/>
    <x v="0"/>
    <x v="0"/>
    <s v="Account Verification"/>
    <s v="Yes"/>
    <s v="Account Verification"/>
    <s v="Unresolved"/>
    <n v="15"/>
    <s v="No drop-off"/>
    <n v="5"/>
    <n v="-5"/>
    <n v="37"/>
    <x v="1"/>
    <n v="1"/>
    <n v="1"/>
    <n v="0"/>
    <n v="1"/>
  </r>
  <r>
    <x v="954"/>
    <s v="USR-00272"/>
    <s v="SES-2502-76122"/>
    <x v="381"/>
    <s v="London"/>
    <s v="Camden"/>
    <x v="0"/>
    <x v="0"/>
    <x v="1"/>
    <s v="Android"/>
    <s v="Android Phone"/>
    <s v="&lt;3 months"/>
    <x v="0"/>
    <x v="5"/>
    <x v="9"/>
    <s v="First Use"/>
    <s v="Simplified Onboarding"/>
    <s v="Treatment"/>
    <n v="5"/>
    <n v="5"/>
    <n v="144"/>
    <s v="No"/>
    <x v="0"/>
    <x v="1"/>
    <x v="1"/>
    <x v="0"/>
    <n v="25.17"/>
    <x v="0"/>
    <x v="0"/>
    <s v="No Support Contact"/>
    <s v="No"/>
    <s v="No Support Contact"/>
    <s v="Not Applicable"/>
    <m/>
    <s v="No drop-off"/>
    <n v="4"/>
    <n v="75"/>
    <n v="0"/>
    <x v="1"/>
    <n v="1"/>
    <n v="1"/>
    <n v="0"/>
    <n v="1"/>
  </r>
  <r>
    <x v="955"/>
    <s v="USR-00567"/>
    <s v="SES-2507-63192"/>
    <x v="332"/>
    <s v="North West"/>
    <s v="Manchester"/>
    <x v="4"/>
    <x v="5"/>
    <x v="0"/>
    <s v="Android"/>
    <s v="Android Phone"/>
    <s v="2+ years"/>
    <x v="1"/>
    <x v="1"/>
    <x v="0"/>
    <s v="First Use"/>
    <s v="No Experiment"/>
    <s v="Control"/>
    <n v="7"/>
    <n v="6"/>
    <n v="229"/>
    <s v="Yes"/>
    <x v="0"/>
    <x v="1"/>
    <x v="1"/>
    <x v="0"/>
    <n v="18.149999999999999"/>
    <x v="0"/>
    <x v="1"/>
    <s v="No Support Contact"/>
    <s v="No"/>
    <s v="No Support Contact"/>
    <s v="Not Applicable"/>
    <m/>
    <s v="No drop-off"/>
    <n v="3"/>
    <n v="-31"/>
    <n v="0"/>
    <x v="0"/>
    <n v="1"/>
    <n v="1"/>
    <n v="0"/>
    <n v="0"/>
  </r>
  <r>
    <x v="956"/>
    <s v="USR-00307"/>
    <s v="SES-2501-18180"/>
    <x v="454"/>
    <s v="South East"/>
    <s v="Oxford"/>
    <x v="0"/>
    <x v="1"/>
    <x v="1"/>
    <s v="Android"/>
    <s v="Android Phone"/>
    <s v="3-6 months"/>
    <x v="0"/>
    <x v="4"/>
    <x v="1"/>
    <s v="Reactivated"/>
    <s v="No Experiment"/>
    <s v="Control"/>
    <n v="4"/>
    <n v="4"/>
    <n v="124"/>
    <s v="No"/>
    <x v="0"/>
    <x v="1"/>
    <x v="1"/>
    <x v="0"/>
    <n v="101.47"/>
    <x v="4"/>
    <x v="0"/>
    <s v="Account Verification"/>
    <s v="Yes"/>
    <s v="Account Verification"/>
    <s v="Resolved"/>
    <n v="38"/>
    <s v="No drop-off"/>
    <n v="3"/>
    <n v="59"/>
    <n v="20"/>
    <x v="1"/>
    <n v="1"/>
    <n v="1"/>
    <n v="0"/>
    <n v="1"/>
  </r>
  <r>
    <x v="957"/>
    <s v="USR-00429"/>
    <s v="SES-2601-64005"/>
    <x v="391"/>
    <s v="North West"/>
    <s v="Chester"/>
    <x v="7"/>
    <x v="0"/>
    <x v="1"/>
    <s v="Android"/>
    <s v="Android Phone"/>
    <s v="3-6 months"/>
    <x v="0"/>
    <x v="0"/>
    <x v="5"/>
    <s v="Repeat Use"/>
    <s v="Simplified Onboarding"/>
    <s v="Treatment"/>
    <n v="8"/>
    <n v="8"/>
    <n v="145"/>
    <s v="No"/>
    <x v="1"/>
    <x v="1"/>
    <x v="1"/>
    <x v="0"/>
    <n v="360.05"/>
    <x v="78"/>
    <x v="0"/>
    <s v="No Support Contact"/>
    <s v="No"/>
    <s v="No Support Contact"/>
    <s v="Not Applicable"/>
    <m/>
    <s v="No drop-off"/>
    <n v="3"/>
    <n v="-16"/>
    <n v="24"/>
    <x v="1"/>
    <n v="0"/>
    <n v="1"/>
    <n v="0"/>
    <n v="1"/>
  </r>
  <r>
    <x v="958"/>
    <s v="USR-00343"/>
    <s v="SES-2602-35365"/>
    <x v="455"/>
    <s v="South West"/>
    <s v="Exeter"/>
    <x v="0"/>
    <x v="3"/>
    <x v="1"/>
    <s v="Android"/>
    <s v="Android Phone"/>
    <s v="1-2 years"/>
    <x v="0"/>
    <x v="5"/>
    <x v="2"/>
    <s v="First Use"/>
    <s v="New Cta Copy"/>
    <s v="Control"/>
    <n v="5"/>
    <n v="5"/>
    <n v="144"/>
    <s v="No"/>
    <x v="0"/>
    <x v="1"/>
    <x v="1"/>
    <x v="1"/>
    <n v="0"/>
    <x v="0"/>
    <x v="0"/>
    <s v="Fees And Pricing"/>
    <s v="Yes"/>
    <s v="Fees And Pricing"/>
    <s v="Unresolved"/>
    <n v="39"/>
    <s v="No drop-off"/>
    <n v="4"/>
    <n v="66"/>
    <n v="0"/>
    <x v="1"/>
    <n v="1"/>
    <n v="0"/>
    <n v="0"/>
    <n v="1"/>
  </r>
  <r>
    <x v="959"/>
    <s v="USR-00067"/>
    <s v="SES-2507-52504"/>
    <x v="456"/>
    <s v="Scotland"/>
    <s v="Edinburgh"/>
    <x v="5"/>
    <x v="3"/>
    <x v="0"/>
    <s v="Ios"/>
    <s v="Iphone"/>
    <s v="2+ years"/>
    <x v="2"/>
    <x v="0"/>
    <x v="1"/>
    <s v="Reactivated"/>
    <s v="New Cta Copy"/>
    <s v="Control"/>
    <n v="4"/>
    <n v="3"/>
    <n v="162"/>
    <s v="Yes"/>
    <x v="0"/>
    <x v="1"/>
    <x v="1"/>
    <x v="0"/>
    <n v="156.36000000000001"/>
    <x v="1"/>
    <x v="2"/>
    <s v="No Support Contact"/>
    <s v="No"/>
    <s v="No Support Contact"/>
    <s v="Not Applicable"/>
    <m/>
    <s v="No drop-off"/>
    <n v="4"/>
    <n v="4"/>
    <n v="7"/>
    <x v="1"/>
    <n v="1"/>
    <n v="1"/>
    <n v="0"/>
    <n v="1"/>
  </r>
  <r>
    <x v="960"/>
    <s v="USR-00160"/>
    <s v="SES-2507-92864"/>
    <x v="217"/>
    <s v="South East"/>
    <s v="Brighton"/>
    <x v="5"/>
    <x v="0"/>
    <x v="1"/>
    <s v="Ios"/>
    <s v="Iphone"/>
    <s v="3-6 months"/>
    <x v="0"/>
    <x v="5"/>
    <x v="2"/>
    <s v="Repeat Use"/>
    <s v="New Cta Copy"/>
    <s v="Treatment"/>
    <n v="5"/>
    <n v="5"/>
    <n v="154"/>
    <s v="No"/>
    <x v="1"/>
    <x v="1"/>
    <x v="1"/>
    <x v="1"/>
    <n v="0"/>
    <x v="0"/>
    <x v="0"/>
    <s v="No Support Contact"/>
    <s v="Unknown"/>
    <s v="No Support Contact"/>
    <s v="Not Applicable"/>
    <m/>
    <s v="Changed mind"/>
    <n v="4"/>
    <n v="20"/>
    <n v="20"/>
    <x v="0"/>
    <n v="0"/>
    <n v="0"/>
    <n v="0"/>
    <n v="0"/>
  </r>
  <r>
    <x v="961"/>
    <s v="USR-00696"/>
    <s v="SES-2606-29128"/>
    <x v="347"/>
    <s v="Scotland"/>
    <s v="Aberdeen"/>
    <x v="5"/>
    <x v="4"/>
    <x v="0"/>
    <s v="Web"/>
    <s v="Desktop"/>
    <s v="3-6 months"/>
    <x v="0"/>
    <x v="0"/>
    <x v="5"/>
    <s v="Repeat Use"/>
    <s v="No Experiment"/>
    <s v="Control"/>
    <n v="8"/>
    <n v="8"/>
    <n v="171"/>
    <s v="No"/>
    <x v="1"/>
    <x v="1"/>
    <x v="1"/>
    <x v="1"/>
    <n v="0"/>
    <x v="0"/>
    <x v="0"/>
    <s v="No Support Contact"/>
    <s v="No"/>
    <s v="No Support Contact"/>
    <s v="Not Applicable"/>
    <m/>
    <s v="No drop-off"/>
    <n v="4"/>
    <n v="-6"/>
    <n v="39"/>
    <x v="1"/>
    <n v="0"/>
    <n v="0"/>
    <n v="0"/>
    <n v="1"/>
  </r>
  <r>
    <x v="962"/>
    <s v="USR-00475"/>
    <s v="SES-2502-41324"/>
    <x v="303"/>
    <s v="South West"/>
    <s v="Bristol"/>
    <x v="7"/>
    <x v="2"/>
    <x v="0"/>
    <s v="Android"/>
    <s v="Android Phone"/>
    <s v="2+ years"/>
    <x v="0"/>
    <x v="7"/>
    <x v="1"/>
    <s v="First Use"/>
    <s v="Simplified Onboarding"/>
    <s v="Control"/>
    <n v="4"/>
    <n v="4"/>
    <n v="101"/>
    <s v="No"/>
    <x v="0"/>
    <x v="1"/>
    <x v="1"/>
    <x v="0"/>
    <n v="66.3"/>
    <x v="1"/>
    <x v="0"/>
    <s v="No Support Contact"/>
    <s v="No"/>
    <s v="No Support Contact"/>
    <s v="Not Applicable"/>
    <m/>
    <s v="No drop-off"/>
    <n v="4"/>
    <n v="15"/>
    <n v="0"/>
    <x v="0"/>
    <n v="1"/>
    <n v="1"/>
    <n v="0"/>
    <n v="0"/>
  </r>
  <r>
    <x v="963"/>
    <s v="USR-00726"/>
    <s v="SES-2502-60194"/>
    <x v="352"/>
    <s v="Wales"/>
    <s v="Cardiff"/>
    <x v="5"/>
    <x v="2"/>
    <x v="1"/>
    <s v="Web"/>
    <s v="Desktop"/>
    <s v="1-2 years"/>
    <x v="0"/>
    <x v="1"/>
    <x v="3"/>
    <s v="Reactivated"/>
    <s v="No Experiment"/>
    <s v="Control"/>
    <n v="6"/>
    <n v="6"/>
    <n v="185"/>
    <s v="No"/>
    <x v="1"/>
    <x v="1"/>
    <x v="1"/>
    <x v="1"/>
    <n v="0"/>
    <x v="0"/>
    <x v="0"/>
    <s v="No Support Contact"/>
    <s v="No"/>
    <s v="No Support Contact"/>
    <s v="Not Applicable"/>
    <m/>
    <s v="No drop-off"/>
    <n v="4"/>
    <n v="43"/>
    <n v="29"/>
    <x v="0"/>
    <n v="0"/>
    <n v="0"/>
    <n v="0"/>
    <n v="0"/>
  </r>
  <r>
    <x v="964"/>
    <s v="USR-00185"/>
    <s v="SES-2606-99828"/>
    <x v="384"/>
    <s v="London"/>
    <s v="Croydon"/>
    <x v="7"/>
    <x v="2"/>
    <x v="1"/>
    <s v="Ios"/>
    <s v="Ipad"/>
    <s v="&lt;3 months"/>
    <x v="2"/>
    <x v="4"/>
    <x v="0"/>
    <s v="First Use"/>
    <s v="No Experiment"/>
    <s v="Control"/>
    <n v="7"/>
    <n v="7"/>
    <n v="204"/>
    <s v="No"/>
    <x v="1"/>
    <x v="1"/>
    <x v="1"/>
    <x v="1"/>
    <n v="0"/>
    <x v="0"/>
    <x v="0"/>
    <s v="No Support Contact"/>
    <s v="No"/>
    <s v="No Support Contact"/>
    <s v="Not Applicable"/>
    <m/>
    <s v="No drop-off"/>
    <n v="2"/>
    <n v="-15"/>
    <n v="0"/>
    <x v="0"/>
    <n v="0"/>
    <n v="0"/>
    <n v="0"/>
    <n v="0"/>
  </r>
  <r>
    <x v="965"/>
    <s v="USR-00249"/>
    <s v="SES-2509-93813"/>
    <x v="457"/>
    <s v="East Midlands"/>
    <s v="Derby"/>
    <x v="0"/>
    <x v="2"/>
    <x v="0"/>
    <s v="Web"/>
    <s v="Desktop"/>
    <s v="7-12 months"/>
    <x v="1"/>
    <x v="4"/>
    <x v="1"/>
    <s v="Repeat Use"/>
    <s v="No Experiment"/>
    <s v="Control"/>
    <n v="4"/>
    <n v="4"/>
    <n v="147"/>
    <s v="No"/>
    <x v="0"/>
    <x v="0"/>
    <x v="3"/>
    <x v="0"/>
    <n v="142.99"/>
    <x v="25"/>
    <x v="1"/>
    <s v="Other"/>
    <s v="Yes"/>
    <s v="Other"/>
    <s v="Unresolved"/>
    <n v="18"/>
    <s v="No drop-off"/>
    <n v="3"/>
    <n v="-26"/>
    <n v="37"/>
    <x v="1"/>
    <n v="1"/>
    <n v="1"/>
    <n v="1"/>
    <n v="1"/>
  </r>
  <r>
    <x v="966"/>
    <s v="USR-00439"/>
    <s v="SES-2502-91708"/>
    <x v="458"/>
    <s v="South West"/>
    <s v="Bath"/>
    <x v="3"/>
    <x v="1"/>
    <x v="0"/>
    <s v="Web"/>
    <s v="Desktop"/>
    <s v="3-6 months"/>
    <x v="0"/>
    <x v="4"/>
    <x v="1"/>
    <s v="First Use"/>
    <s v="No Experiment"/>
    <s v="Control"/>
    <n v="4"/>
    <n v="4"/>
    <n v="96"/>
    <s v="No"/>
    <x v="0"/>
    <x v="1"/>
    <x v="1"/>
    <x v="0"/>
    <n v="98.67"/>
    <x v="4"/>
    <x v="0"/>
    <s v="No Support Contact"/>
    <s v="No"/>
    <s v="No Support Contact"/>
    <s v="Not Applicable"/>
    <m/>
    <s v="No drop-off"/>
    <n v="4"/>
    <n v="57"/>
    <n v="0"/>
    <x v="1"/>
    <n v="1"/>
    <n v="1"/>
    <n v="0"/>
    <n v="1"/>
  </r>
  <r>
    <x v="967"/>
    <s v="USR-00194"/>
    <s v="SES-2502-48621"/>
    <x v="147"/>
    <s v="Wales"/>
    <m/>
    <x v="3"/>
    <x v="1"/>
    <x v="1"/>
    <s v="Android"/>
    <s v="Android Phone"/>
    <s v="7-12 months"/>
    <x v="0"/>
    <x v="0"/>
    <x v="5"/>
    <s v="Repeat Use"/>
    <s v="No Experiment"/>
    <s v="Control"/>
    <n v="8"/>
    <n v="8"/>
    <n v="254"/>
    <s v="No"/>
    <x v="0"/>
    <x v="1"/>
    <x v="1"/>
    <x v="0"/>
    <n v="467.33"/>
    <x v="71"/>
    <x v="0"/>
    <s v="No Support Contact"/>
    <s v="No"/>
    <s v="No Support Contact"/>
    <s v="Not Applicable"/>
    <m/>
    <s v="No drop-off"/>
    <n v="4"/>
    <n v="0"/>
    <n v="1"/>
    <x v="1"/>
    <n v="1"/>
    <n v="1"/>
    <n v="0"/>
    <n v="1"/>
  </r>
  <r>
    <x v="968"/>
    <s v="USR-00579"/>
    <s v="SES-2602-84318"/>
    <x v="263"/>
    <s v="West Midlands"/>
    <s v="Solihull"/>
    <x v="3"/>
    <x v="4"/>
    <x v="0"/>
    <s v="Ios"/>
    <s v="Ipad"/>
    <s v="1-2 years"/>
    <x v="0"/>
    <x v="1"/>
    <x v="1"/>
    <s v="First Use"/>
    <s v="No Experiment"/>
    <s v="Control"/>
    <n v="4"/>
    <n v="4"/>
    <n v="138"/>
    <s v="No"/>
    <x v="0"/>
    <x v="0"/>
    <x v="3"/>
    <x v="0"/>
    <n v="165.09"/>
    <x v="25"/>
    <x v="0"/>
    <s v="Transaction Failure"/>
    <s v="Yes"/>
    <s v="Transaction Failure"/>
    <s v="Resolved"/>
    <n v="37"/>
    <s v="No drop-off"/>
    <n v="3"/>
    <n v="18"/>
    <n v="0"/>
    <x v="1"/>
    <n v="1"/>
    <n v="1"/>
    <n v="1"/>
    <n v="1"/>
  </r>
  <r>
    <x v="969"/>
    <s v="USR-00086"/>
    <s v="SES-2602-81227"/>
    <x v="141"/>
    <s v="South West"/>
    <s v="Bristol"/>
    <x v="1"/>
    <x v="1"/>
    <x v="1"/>
    <s v="Android"/>
    <s v="Android Phone"/>
    <s v="1-2 years"/>
    <x v="1"/>
    <x v="4"/>
    <x v="10"/>
    <s v="Repeat Use"/>
    <s v="No Experiment"/>
    <s v="Control"/>
    <n v="9"/>
    <n v="9"/>
    <n v="249"/>
    <s v="No"/>
    <x v="1"/>
    <x v="1"/>
    <x v="1"/>
    <x v="1"/>
    <n v="0"/>
    <x v="0"/>
    <x v="0"/>
    <s v="No Support Contact"/>
    <s v="No"/>
    <s v="No Support Contact"/>
    <s v="Not Applicable"/>
    <m/>
    <s v="Privacy concern"/>
    <n v="2"/>
    <n v="5"/>
    <n v="17"/>
    <x v="0"/>
    <n v="0"/>
    <n v="0"/>
    <n v="0"/>
    <n v="0"/>
  </r>
  <r>
    <x v="970"/>
    <s v="USR-00032"/>
    <s v="SES-2507-97956"/>
    <x v="250"/>
    <s v="East Midlands"/>
    <s v="Lincoln"/>
    <x v="5"/>
    <x v="0"/>
    <x v="0"/>
    <s v="Web"/>
    <s v="Mobile Browser"/>
    <s v="1-2 years"/>
    <x v="1"/>
    <x v="2"/>
    <x v="1"/>
    <s v="Trial/Exploration"/>
    <s v="No Experiment"/>
    <s v="Control"/>
    <n v="4"/>
    <n v="4"/>
    <n v="97"/>
    <s v="No"/>
    <x v="0"/>
    <x v="1"/>
    <x v="1"/>
    <x v="0"/>
    <n v="115.69"/>
    <x v="25"/>
    <x v="1"/>
    <s v="No Support Contact"/>
    <s v="No"/>
    <s v="No Support Contact"/>
    <s v="Not Applicable"/>
    <m/>
    <s v="No drop-off"/>
    <n v="4"/>
    <n v="41"/>
    <n v="28"/>
    <x v="0"/>
    <n v="1"/>
    <n v="1"/>
    <n v="0"/>
    <n v="0"/>
  </r>
  <r>
    <x v="971"/>
    <s v="USR-00724"/>
    <s v="SES-2502-50676"/>
    <x v="95"/>
    <s v="Wales"/>
    <s v="Wrexham"/>
    <x v="3"/>
    <x v="0"/>
    <x v="0"/>
    <s v="Ios"/>
    <s v="Iphone"/>
    <s v="&lt;3 months"/>
    <x v="2"/>
    <x v="0"/>
    <x v="1"/>
    <s v="Repeat Use"/>
    <s v="Progress Indicator"/>
    <s v="Control"/>
    <n v="4"/>
    <n v="3"/>
    <n v="193"/>
    <s v="Yes"/>
    <x v="0"/>
    <x v="1"/>
    <x v="1"/>
    <x v="0"/>
    <n v="176.51"/>
    <x v="4"/>
    <x v="2"/>
    <s v="No Support Contact"/>
    <s v="No"/>
    <s v="No Support Contact"/>
    <s v="Not Applicable"/>
    <m/>
    <s v="No drop-off"/>
    <n v="3"/>
    <n v="38"/>
    <n v="31"/>
    <x v="1"/>
    <n v="1"/>
    <n v="1"/>
    <n v="0"/>
    <n v="1"/>
  </r>
  <r>
    <x v="972"/>
    <s v="USR-00211"/>
    <s v="SES-2601-13387"/>
    <x v="425"/>
    <s v="West Midlands"/>
    <s v="Wolverhampton"/>
    <x v="2"/>
    <x v="2"/>
    <x v="0"/>
    <s v="Android"/>
    <s v="Android Phone"/>
    <s v="7-12 months"/>
    <x v="0"/>
    <x v="4"/>
    <x v="7"/>
    <s v="Reactivated"/>
    <s v="Simplified Onboarding"/>
    <s v="Treatment"/>
    <n v="4"/>
    <n v="2"/>
    <n v="248"/>
    <s v="Yes"/>
    <x v="0"/>
    <x v="0"/>
    <x v="16"/>
    <x v="1"/>
    <n v="0"/>
    <x v="0"/>
    <x v="0"/>
    <s v="Fees And Pricing"/>
    <s v="Yes"/>
    <s v="Fees And Pricing"/>
    <s v="Resolved"/>
    <n v="44"/>
    <s v="Technical error"/>
    <n v="2"/>
    <n v="11"/>
    <n v="37"/>
    <x v="1"/>
    <n v="1"/>
    <n v="0"/>
    <n v="1"/>
    <n v="1"/>
  </r>
  <r>
    <x v="973"/>
    <s v="USR-00377"/>
    <s v="SES-2503-26246"/>
    <x v="232"/>
    <s v="Wales"/>
    <s v="Swansea"/>
    <x v="0"/>
    <x v="3"/>
    <x v="1"/>
    <s v="Web"/>
    <s v="Desktop"/>
    <s v="&lt;3 months"/>
    <x v="0"/>
    <x v="0"/>
    <x v="10"/>
    <s v="First Use"/>
    <s v="New Cta Copy"/>
    <s v="Treatment"/>
    <n v="9"/>
    <n v="9"/>
    <n v="327"/>
    <s v="No"/>
    <x v="0"/>
    <x v="0"/>
    <x v="6"/>
    <x v="1"/>
    <n v="0"/>
    <x v="0"/>
    <x v="0"/>
    <s v="No Support Contact"/>
    <s v="No"/>
    <s v="No Support Contact"/>
    <s v="Not Applicable"/>
    <m/>
    <s v="No drop-off"/>
    <n v="3"/>
    <n v="0"/>
    <n v="0"/>
    <x v="0"/>
    <n v="1"/>
    <n v="0"/>
    <n v="1"/>
    <n v="0"/>
  </r>
  <r>
    <x v="974"/>
    <s v="USR-00803"/>
    <s v="SES-2508-45672"/>
    <x v="459"/>
    <s v="South East"/>
    <s v="Guildford"/>
    <x v="0"/>
    <x v="3"/>
    <x v="1"/>
    <s v="Web"/>
    <s v="Tablet Browser"/>
    <s v="7-12 months"/>
    <x v="0"/>
    <x v="0"/>
    <x v="0"/>
    <s v="Repeat Use"/>
    <s v="No Experiment"/>
    <s v="Control"/>
    <n v="7"/>
    <s v="7 steps"/>
    <n v="203"/>
    <s v="No"/>
    <x v="1"/>
    <x v="0"/>
    <x v="11"/>
    <x v="1"/>
    <n v="0"/>
    <x v="0"/>
    <x v="0"/>
    <s v="No Support Contact"/>
    <s v="No"/>
    <s v="No Support Contact"/>
    <s v="Not Applicable"/>
    <m/>
    <s v="Technical error"/>
    <n v="1"/>
    <n v="-21"/>
    <n v="1"/>
    <x v="1"/>
    <n v="0"/>
    <n v="0"/>
    <n v="1"/>
    <n v="1"/>
  </r>
  <r>
    <x v="975"/>
    <s v="USR-00013"/>
    <s v="SES-2603-81734"/>
    <x v="443"/>
    <s v="London"/>
    <s v="Hammersmith"/>
    <x v="3"/>
    <x v="0"/>
    <x v="0"/>
    <s v="Web"/>
    <s v="Mobile Browser"/>
    <s v="3-6 months"/>
    <x v="1"/>
    <x v="0"/>
    <x v="2"/>
    <s v="Repeat Use"/>
    <s v="Progress Indicator"/>
    <s v="Treatment"/>
    <n v="5"/>
    <n v="5"/>
    <n v="133"/>
    <s v="No"/>
    <x v="1"/>
    <x v="1"/>
    <x v="1"/>
    <x v="1"/>
    <n v="0"/>
    <x v="0"/>
    <x v="0"/>
    <s v="No Support Contact"/>
    <s v="No"/>
    <s v="No Support Contact"/>
    <s v="Not Applicable"/>
    <m/>
    <s v="No drop-off"/>
    <n v="4"/>
    <n v="34"/>
    <n v="6"/>
    <x v="0"/>
    <n v="0"/>
    <n v="0"/>
    <n v="0"/>
    <n v="0"/>
  </r>
  <r>
    <x v="976"/>
    <s v="usr-00616"/>
    <s v="SES-2603-51106"/>
    <x v="149"/>
    <s v="North West"/>
    <s v="Chester"/>
    <x v="0"/>
    <x v="2"/>
    <x v="0"/>
    <s v="Ios"/>
    <s v="Iphone"/>
    <s v="&lt;3 months"/>
    <x v="1"/>
    <x v="4"/>
    <x v="7"/>
    <s v="Trial/Exploration"/>
    <s v="No Experiment"/>
    <s v="Control"/>
    <n v="4"/>
    <n v="4"/>
    <n v="94"/>
    <s v="No"/>
    <x v="0"/>
    <x v="1"/>
    <x v="1"/>
    <x v="1"/>
    <n v="0"/>
    <x v="0"/>
    <x v="0"/>
    <s v="No Support Contact"/>
    <s v="No"/>
    <s v="No Support Contact"/>
    <s v="Not Applicable"/>
    <m/>
    <s v="No drop-off"/>
    <n v="4"/>
    <n v="28"/>
    <n v="33"/>
    <x v="0"/>
    <n v="1"/>
    <n v="0"/>
    <n v="0"/>
    <n v="0"/>
  </r>
  <r>
    <x v="977"/>
    <s v="USR-00280"/>
    <s v="SES-2606-12264"/>
    <x v="460"/>
    <s v="East England"/>
    <s v="Ipswich"/>
    <x v="7"/>
    <x v="2"/>
    <x v="0"/>
    <s v="Android"/>
    <s v="Android Phone"/>
    <s v="7-12 months"/>
    <x v="0"/>
    <x v="4"/>
    <x v="5"/>
    <s v="Reactivated"/>
    <s v="New Cta Copy"/>
    <s v="Treatment"/>
    <s v="8 steps"/>
    <n v="8"/>
    <n v="242"/>
    <s v="No"/>
    <x v="0"/>
    <x v="1"/>
    <x v="1"/>
    <x v="0"/>
    <n v="361.92"/>
    <x v="79"/>
    <x v="0"/>
    <s v="No Support Contact"/>
    <s v="No"/>
    <s v="No Support Contact"/>
    <s v="Not Applicable"/>
    <m/>
    <s v="No drop-off"/>
    <n v="3"/>
    <n v="7"/>
    <n v="8"/>
    <x v="0"/>
    <n v="1"/>
    <n v="1"/>
    <n v="0"/>
    <n v="0"/>
  </r>
  <r>
    <x v="978"/>
    <s v="USR-00226"/>
    <s v="SES-2502-92670"/>
    <x v="147"/>
    <s v="North East"/>
    <s v="Newcastle"/>
    <x v="0"/>
    <x v="2"/>
    <x v="1"/>
    <s v="Ios"/>
    <s v="Iphone"/>
    <s v="3-6 months"/>
    <x v="0"/>
    <x v="4"/>
    <x v="4"/>
    <s v="Reactivated"/>
    <s v="No Experiment"/>
    <s v="Control"/>
    <n v="6"/>
    <s v="6 steps"/>
    <n v="0"/>
    <s v="No"/>
    <x v="1"/>
    <x v="0"/>
    <x v="27"/>
    <x v="1"/>
    <n v="0"/>
    <x v="0"/>
    <x v="0"/>
    <s v="No Support Contact"/>
    <s v="No"/>
    <s v="No Support Contact"/>
    <s v="Not Applicable"/>
    <m/>
    <s v="No drop-off"/>
    <n v="2"/>
    <n v="-1"/>
    <n v="22"/>
    <x v="1"/>
    <n v="0"/>
    <n v="0"/>
    <n v="1"/>
    <n v="1"/>
  </r>
  <r>
    <x v="979"/>
    <s v="USR-00608"/>
    <s v="SES-2502-16986"/>
    <x v="147"/>
    <s v="London"/>
    <s v="Hackney"/>
    <x v="4"/>
    <x v="0"/>
    <x v="0"/>
    <s v="Web"/>
    <s v="Desktop"/>
    <s v="2+ years"/>
    <x v="0"/>
    <x v="1"/>
    <x v="0"/>
    <s v="Repeat Use"/>
    <s v="Simplified Onboarding"/>
    <s v="Control"/>
    <n v="7"/>
    <n v="6"/>
    <n v="262"/>
    <s v="Yes"/>
    <x v="0"/>
    <x v="1"/>
    <x v="1"/>
    <x v="0"/>
    <n v="0"/>
    <x v="0"/>
    <x v="0"/>
    <s v="No Support Contact"/>
    <s v="No"/>
    <s v="No Support Contact"/>
    <s v="Not Applicable"/>
    <m/>
    <s v="No drop-off"/>
    <n v="3"/>
    <n v="-24"/>
    <n v="52"/>
    <x v="1"/>
    <n v="1"/>
    <n v="1"/>
    <n v="0"/>
    <n v="1"/>
  </r>
  <r>
    <x v="980"/>
    <s v="USR-00592"/>
    <s v="SES-2601-30517"/>
    <x v="104"/>
    <s v="West Midlands"/>
    <s v="Solihull"/>
    <x v="5"/>
    <x v="3"/>
    <x v="0"/>
    <s v="Android"/>
    <s v="Android Phone"/>
    <s v="3-6 months"/>
    <x v="0"/>
    <x v="1"/>
    <x v="5"/>
    <s v="Repeat Use"/>
    <s v="No Experiment"/>
    <s v="Control"/>
    <n v="8"/>
    <n v="8"/>
    <n v="0"/>
    <s v="No"/>
    <x v="1"/>
    <x v="1"/>
    <x v="1"/>
    <x v="1"/>
    <n v="0"/>
    <x v="0"/>
    <x v="0"/>
    <s v="No Support Contact"/>
    <s v="No"/>
    <s v="No Support Contact"/>
    <s v="Not Applicable"/>
    <m/>
    <s v="No drop-off"/>
    <n v="2"/>
    <n v="30"/>
    <n v="27"/>
    <x v="0"/>
    <n v="0"/>
    <n v="0"/>
    <n v="0"/>
    <n v="0"/>
  </r>
  <r>
    <x v="981"/>
    <s v="USR-00615"/>
    <s v="SES-2506-19359"/>
    <x v="450"/>
    <s v="East Midlands"/>
    <s v="Derby"/>
    <x v="3"/>
    <x v="0"/>
    <x v="1"/>
    <s v="Android"/>
    <s v="Android Phone"/>
    <s v="&lt;3 months"/>
    <x v="0"/>
    <x v="4"/>
    <x v="5"/>
    <s v="Repeat Use"/>
    <s v="No Experiment"/>
    <s v="Control"/>
    <n v="8"/>
    <n v="8"/>
    <n v="155"/>
    <s v="No"/>
    <x v="0"/>
    <x v="1"/>
    <x v="1"/>
    <x v="0"/>
    <n v="398.55"/>
    <x v="37"/>
    <x v="0"/>
    <s v="Feature Navigation"/>
    <s v="Yes"/>
    <s v="Feature Navigation"/>
    <s v="Unresolved"/>
    <n v="29"/>
    <s v="No drop-off"/>
    <n v="0"/>
    <n v="0"/>
    <n v="35"/>
    <x v="1"/>
    <n v="1"/>
    <n v="1"/>
    <n v="0"/>
    <n v="1"/>
  </r>
  <r>
    <x v="982"/>
    <s v="USR-00455"/>
    <s v="SES-2504-32838"/>
    <x v="375"/>
    <s v="Yorkshire &amp; Humber"/>
    <s v="Leeds"/>
    <x v="0"/>
    <x v="3"/>
    <x v="0"/>
    <s v="Android"/>
    <s v="Android Phone"/>
    <s v="3-6 months"/>
    <x v="1"/>
    <x v="1"/>
    <x v="0"/>
    <s v="First Use"/>
    <s v="Contextual Help"/>
    <s v="Control"/>
    <n v="7"/>
    <n v="7"/>
    <n v="133"/>
    <s v="No"/>
    <x v="0"/>
    <x v="1"/>
    <x v="1"/>
    <x v="0"/>
    <n v="0"/>
    <x v="0"/>
    <x v="1"/>
    <s v="No Support Contact"/>
    <s v="No"/>
    <s v="No Support Contact"/>
    <s v="Not Applicable"/>
    <m/>
    <s v="No drop-off"/>
    <n v="5"/>
    <n v="16"/>
    <n v="0"/>
    <x v="1"/>
    <n v="1"/>
    <n v="1"/>
    <n v="0"/>
    <n v="1"/>
  </r>
  <r>
    <x v="983"/>
    <s v="USR-00612"/>
    <s v="SES-2605-72829"/>
    <x v="276"/>
    <s v="West Midlands"/>
    <s v="Wolverhampton"/>
    <x v="0"/>
    <x v="3"/>
    <x v="1"/>
    <s v="Ios"/>
    <s v="Iphone"/>
    <s v="3-6 months"/>
    <x v="2"/>
    <x v="2"/>
    <x v="1"/>
    <s v="Repeat Use"/>
    <s v="Simplified Onboarding"/>
    <s v="Treatment"/>
    <n v="4"/>
    <n v="4"/>
    <n v="111"/>
    <s v="No"/>
    <x v="0"/>
    <x v="1"/>
    <x v="1"/>
    <x v="0"/>
    <n v="186.79"/>
    <x v="15"/>
    <x v="2"/>
    <s v="No Support Contact"/>
    <s v="No"/>
    <s v="No Support Contact"/>
    <s v="Not Applicable"/>
    <m/>
    <s v="No drop-off"/>
    <n v="4"/>
    <n v="64"/>
    <n v="50"/>
    <x v="1"/>
    <n v="1"/>
    <n v="1"/>
    <n v="0"/>
    <n v="1"/>
  </r>
  <r>
    <x v="984"/>
    <s v="USR-00115"/>
    <s v="SES-2603-98587"/>
    <x v="372"/>
    <s v="Yorkshire &amp; Humber"/>
    <s v="Leeds"/>
    <x v="1"/>
    <x v="2"/>
    <x v="0"/>
    <s v="Ios"/>
    <s v="Iphone"/>
    <s v="1-2 years"/>
    <x v="0"/>
    <x v="1"/>
    <x v="7"/>
    <s v="First Use"/>
    <s v="Progress Indicator"/>
    <s v="Treatment"/>
    <s v="4 steps"/>
    <n v="4"/>
    <n v="100"/>
    <s v="No"/>
    <x v="0"/>
    <x v="1"/>
    <x v="1"/>
    <x v="1"/>
    <n v="0"/>
    <x v="0"/>
    <x v="0"/>
    <s v="No Support Contact"/>
    <s v="No"/>
    <s v="No Support Contact"/>
    <s v="Not Applicable"/>
    <m/>
    <s v="No drop-off"/>
    <n v="4"/>
    <n v="46"/>
    <n v="0"/>
    <x v="1"/>
    <n v="1"/>
    <n v="0"/>
    <n v="0"/>
    <n v="1"/>
  </r>
  <r>
    <x v="614"/>
    <s v="USR-00553"/>
    <s v="SES-2504-76434"/>
    <x v="367"/>
    <s v="East England"/>
    <s v="Luton"/>
    <x v="2"/>
    <x v="4"/>
    <x v="1"/>
    <s v="Ios"/>
    <s v="Iphone"/>
    <s v="3-6 months"/>
    <x v="2"/>
    <x v="3"/>
    <x v="0"/>
    <s v="Repeat Use"/>
    <s v="No Experiment"/>
    <s v="Control"/>
    <n v="7"/>
    <n v="7"/>
    <n v="312"/>
    <s v="No"/>
    <x v="1"/>
    <x v="0"/>
    <x v="18"/>
    <x v="1"/>
    <n v="0"/>
    <x v="0"/>
    <x v="0"/>
    <s v="Transaction Failure"/>
    <s v="Yes"/>
    <s v="Transaction Failure"/>
    <s v="Resolved"/>
    <n v="20"/>
    <s v="Technical error"/>
    <n v="3"/>
    <n v="-8"/>
    <s v="37 days"/>
    <x v="1"/>
    <n v="0"/>
    <n v="0"/>
    <n v="1"/>
    <n v="1"/>
  </r>
  <r>
    <x v="985"/>
    <s v="USR-00399"/>
    <s v="SES-2603-29417"/>
    <x v="403"/>
    <s v="London"/>
    <s v="Southwark"/>
    <x v="5"/>
    <x v="0"/>
    <x v="1"/>
    <s v="Ios"/>
    <s v="Iphone"/>
    <s v="1-2 years"/>
    <x v="2"/>
    <x v="5"/>
    <x v="10"/>
    <s v="Repeat Use"/>
    <s v="Contextual Help"/>
    <s v="Treatment"/>
    <n v="9"/>
    <n v="9"/>
    <n v="247"/>
    <s v="No"/>
    <x v="0"/>
    <x v="1"/>
    <x v="1"/>
    <x v="1"/>
    <n v="0"/>
    <x v="0"/>
    <x v="0"/>
    <s v="No Support Contact"/>
    <s v="No"/>
    <s v="No Support Contact"/>
    <s v="Not Applicable"/>
    <m/>
    <s v="No drop-off"/>
    <n v="3"/>
    <n v="12"/>
    <n v="7"/>
    <x v="0"/>
    <n v="1"/>
    <n v="0"/>
    <n v="0"/>
    <n v="0"/>
  </r>
  <r>
    <x v="986"/>
    <s v="USR-00130"/>
    <s v="SES-2509-50849"/>
    <x v="289"/>
    <s v="East Midlands"/>
    <s v="Lincoln"/>
    <x v="3"/>
    <x v="0"/>
    <x v="1"/>
    <s v="Ios"/>
    <s v="Iphone"/>
    <s v="1-2 years"/>
    <x v="0"/>
    <x v="4"/>
    <x v="1"/>
    <s v="First Use"/>
    <s v="No Experiment"/>
    <s v="Control"/>
    <n v="4"/>
    <n v="4"/>
    <n v="109"/>
    <s v="No"/>
    <x v="0"/>
    <x v="1"/>
    <x v="1"/>
    <x v="1"/>
    <n v="0"/>
    <x v="0"/>
    <x v="0"/>
    <s v="No Support Contact"/>
    <s v="No"/>
    <s v="No Support Contact"/>
    <s v="Not Applicable"/>
    <m/>
    <s v="No drop-off"/>
    <n v="4"/>
    <n v="-2"/>
    <n v="0"/>
    <x v="0"/>
    <n v="1"/>
    <n v="0"/>
    <n v="0"/>
    <n v="0"/>
  </r>
  <r>
    <x v="987"/>
    <s v="USR-00779"/>
    <s v="SES-2601-16927"/>
    <x v="247"/>
    <s v="North East"/>
    <s v="Durham"/>
    <x v="4"/>
    <x v="1"/>
    <x v="0"/>
    <s v="Ios"/>
    <s v="Iphone"/>
    <s v="&lt;3 months"/>
    <x v="0"/>
    <x v="6"/>
    <x v="9"/>
    <s v="Reactivated"/>
    <s v="Progress Indicator"/>
    <s v="Control"/>
    <n v="5"/>
    <n v="5"/>
    <n v="151"/>
    <s v="No"/>
    <x v="0"/>
    <x v="1"/>
    <x v="1"/>
    <x v="0"/>
    <n v="92.23"/>
    <x v="0"/>
    <x v="0"/>
    <s v="Other"/>
    <s v="Yes"/>
    <s v="Other"/>
    <s v="Resolved"/>
    <n v="37"/>
    <s v="No drop-off"/>
    <n v="4"/>
    <n v="27"/>
    <n v="30"/>
    <x v="1"/>
    <n v="1"/>
    <n v="1"/>
    <n v="0"/>
    <n v="1"/>
  </r>
  <r>
    <x v="988"/>
    <s v="USR-00724"/>
    <s v="SES-2606-96153"/>
    <x v="423"/>
    <s v="South West"/>
    <s v="Plymouth"/>
    <x v="0"/>
    <x v="0"/>
    <x v="1"/>
    <s v="Android"/>
    <s v="Android Phone"/>
    <s v="7-12 months"/>
    <x v="0"/>
    <x v="7"/>
    <x v="8"/>
    <s v="Reactivated"/>
    <s v="Fee Transparency Panel"/>
    <s v="Control"/>
    <n v="5"/>
    <n v="5"/>
    <n v="136"/>
    <s v="No"/>
    <x v="0"/>
    <x v="1"/>
    <x v="1"/>
    <x v="0"/>
    <n v="95.41"/>
    <x v="0"/>
    <x v="0"/>
    <s v="No Support Contact"/>
    <s v="No"/>
    <s v="No Support Contact"/>
    <s v="Not Applicable"/>
    <m/>
    <s v="No drop-off"/>
    <n v="4"/>
    <n v="0"/>
    <n v="34"/>
    <x v="1"/>
    <n v="1"/>
    <n v="1"/>
    <n v="0"/>
    <n v="1"/>
  </r>
  <r>
    <x v="989"/>
    <s v="USR-00024"/>
    <s v="SES-2503-52077"/>
    <x v="4"/>
    <s v="West Midlands"/>
    <s v="Solihull"/>
    <x v="5"/>
    <x v="1"/>
    <x v="1"/>
    <s v="Ios"/>
    <s v="Iphone"/>
    <s v="1-2 years"/>
    <x v="0"/>
    <x v="2"/>
    <x v="4"/>
    <s v="Repeat Use"/>
    <s v="Fee Transparency Panel"/>
    <s v="Treatment"/>
    <n v="6"/>
    <n v="6"/>
    <n v="150"/>
    <s v="No"/>
    <x v="0"/>
    <x v="1"/>
    <x v="1"/>
    <x v="0"/>
    <n v="0"/>
    <x v="0"/>
    <x v="0"/>
    <s v="No Support Contact"/>
    <s v="No"/>
    <s v="No Support Contact"/>
    <s v="Not Applicable"/>
    <m/>
    <s v="No drop-off"/>
    <n v="5"/>
    <n v="30"/>
    <n v="27"/>
    <x v="1"/>
    <n v="1"/>
    <n v="1"/>
    <n v="0"/>
    <n v="1"/>
  </r>
  <r>
    <x v="990"/>
    <s v="USR-00342"/>
    <s v="SES-2602-41065"/>
    <x v="152"/>
    <s v="East Midlands"/>
    <s v="Nottingham"/>
    <x v="2"/>
    <x v="2"/>
    <x v="0"/>
    <s v="Web"/>
    <s v="Desktop"/>
    <s v="3-6 months"/>
    <x v="2"/>
    <x v="5"/>
    <x v="2"/>
    <s v="Reactivated"/>
    <s v="Simplified Onboarding"/>
    <s v="Control"/>
    <n v="5"/>
    <n v="5"/>
    <n v="113"/>
    <s v="No"/>
    <x v="0"/>
    <x v="1"/>
    <x v="1"/>
    <x v="0"/>
    <n v="68.44"/>
    <x v="0"/>
    <x v="2"/>
    <s v="No Support Contact"/>
    <s v="No"/>
    <s v="No Support Contact"/>
    <s v="Not Applicable"/>
    <m/>
    <s v="No drop-off"/>
    <n v="4"/>
    <n v="34"/>
    <n v="49"/>
    <x v="1"/>
    <n v="1"/>
    <n v="1"/>
    <n v="0"/>
    <n v="1"/>
  </r>
  <r>
    <x v="991"/>
    <s v="USR-00620"/>
    <s v="SES-2506-17721"/>
    <x v="436"/>
    <s v="South West"/>
    <s v="BATH"/>
    <x v="0"/>
    <x v="4"/>
    <x v="0"/>
    <s v="Android"/>
    <s v="Android Phone"/>
    <s v="1-2 years"/>
    <x v="3"/>
    <x v="6"/>
    <x v="2"/>
    <s v="Reactivated"/>
    <s v="Simplified Onboarding"/>
    <s v="Control"/>
    <n v="5"/>
    <s v="5 steps"/>
    <n v="213"/>
    <s v="No"/>
    <x v="0"/>
    <x v="0"/>
    <x v="19"/>
    <x v="1"/>
    <n v="0"/>
    <x v="0"/>
    <x v="0"/>
    <s v="No Support Contact"/>
    <s v="No"/>
    <s v="No Support Contact"/>
    <s v="Not Applicable"/>
    <m/>
    <s v="No drop-off"/>
    <n v="2"/>
    <n v="-15"/>
    <n v="18"/>
    <x v="0"/>
    <n v="1"/>
    <n v="0"/>
    <n v="1"/>
    <n v="0"/>
  </r>
  <r>
    <x v="992"/>
    <s v="USR-00626"/>
    <s v="SES-2506-73258"/>
    <x v="461"/>
    <s v="North West"/>
    <s v="Manchester"/>
    <x v="0"/>
    <x v="2"/>
    <x v="0"/>
    <s v="Web"/>
    <s v="Desktop"/>
    <s v="2+ years"/>
    <x v="0"/>
    <x v="0"/>
    <x v="0"/>
    <s v="Reactivated"/>
    <s v="New Cta Copy"/>
    <s v="Control"/>
    <n v="7"/>
    <n v="7"/>
    <n v="164"/>
    <s v="Unknown"/>
    <x v="1"/>
    <x v="1"/>
    <x v="1"/>
    <x v="0"/>
    <n v="15.47"/>
    <x v="0"/>
    <x v="0"/>
    <s v="Card Issue"/>
    <s v="Yes"/>
    <s v="Card Issue"/>
    <s v="Resolved"/>
    <n v="11"/>
    <s v="Too many steps"/>
    <n v="4"/>
    <n v="4"/>
    <n v="33"/>
    <x v="0"/>
    <n v="0"/>
    <n v="1"/>
    <n v="0"/>
    <n v="0"/>
  </r>
  <r>
    <x v="993"/>
    <s v="USR-00719"/>
    <s v="SES-2501-35681"/>
    <x v="114"/>
    <s v="North West"/>
    <s v="Manchester"/>
    <x v="5"/>
    <x v="5"/>
    <x v="2"/>
    <s v="Android"/>
    <s v="Android Phone"/>
    <s v="1-2 years"/>
    <x v="1"/>
    <x v="3"/>
    <x v="1"/>
    <s v="Repeat Use"/>
    <s v="No Experiment"/>
    <s v="Control"/>
    <n v="4"/>
    <n v="4"/>
    <n v="125"/>
    <s v="No"/>
    <x v="1"/>
    <x v="1"/>
    <x v="1"/>
    <x v="1"/>
    <n v="0"/>
    <x v="0"/>
    <x v="0"/>
    <s v="No Support Contact"/>
    <s v="No"/>
    <s v="No Support Contact"/>
    <s v="Not Applicable"/>
    <m/>
    <s v="No drop-off"/>
    <n v="4"/>
    <n v="38"/>
    <s v="44 days"/>
    <x v="1"/>
    <n v="0"/>
    <n v="0"/>
    <n v="0"/>
    <n v="1"/>
  </r>
  <r>
    <x v="994"/>
    <s v="USR-00071"/>
    <s v="SES-2508-67649"/>
    <x v="5"/>
    <s v="East England"/>
    <s v="Norwich"/>
    <x v="2"/>
    <x v="0"/>
    <x v="1"/>
    <s v="Ios"/>
    <s v="Iphone"/>
    <s v="3-6 months"/>
    <x v="0"/>
    <x v="7"/>
    <x v="0"/>
    <s v="Repeat Use"/>
    <s v="Contextual Help"/>
    <s v="Control"/>
    <n v="7"/>
    <n v="6"/>
    <n v="281"/>
    <s v="Yes"/>
    <x v="1"/>
    <x v="1"/>
    <x v="1"/>
    <x v="1"/>
    <n v="0"/>
    <x v="0"/>
    <x v="0"/>
    <s v="Card Issue"/>
    <s v="Yes"/>
    <s v="Card Issue"/>
    <s v="Unresolved"/>
    <n v="43"/>
    <s v="Too many steps"/>
    <n v="2"/>
    <n v="5"/>
    <n v="31"/>
    <x v="0"/>
    <n v="0"/>
    <n v="0"/>
    <n v="0"/>
    <n v="0"/>
  </r>
  <r>
    <x v="995"/>
    <s v="USR-00131"/>
    <s v="SES-2602-38034"/>
    <x v="462"/>
    <s v="South East"/>
    <s v="Oxford"/>
    <x v="2"/>
    <x v="4"/>
    <x v="0"/>
    <s v="Android"/>
    <s v="Android Phone"/>
    <s v="3-6 months"/>
    <x v="2"/>
    <x v="5"/>
    <x v="7"/>
    <s v="Trial/Exploration"/>
    <s v="Progress Indicator"/>
    <s v="Treatment"/>
    <n v="4"/>
    <n v="4"/>
    <n v="116"/>
    <s v="No"/>
    <x v="0"/>
    <x v="1"/>
    <x v="1"/>
    <x v="0"/>
    <n v="92.73"/>
    <x v="50"/>
    <x v="2"/>
    <s v="No Support Contact"/>
    <s v="No"/>
    <s v="No Support Contact"/>
    <s v="Not Applicable"/>
    <m/>
    <s v="No drop-off"/>
    <n v="5"/>
    <n v="9"/>
    <n v="42"/>
    <x v="1"/>
    <n v="1"/>
    <n v="1"/>
    <n v="0"/>
    <n v="1"/>
  </r>
  <r>
    <x v="764"/>
    <s v="USR-00522"/>
    <s v="SES-2511-68476"/>
    <x v="350"/>
    <s v="London"/>
    <s v="Southwark"/>
    <x v="2"/>
    <x v="3"/>
    <x v="0"/>
    <s v="Android"/>
    <s v="Android Phone"/>
    <s v="&lt;3 months"/>
    <x v="2"/>
    <x v="2"/>
    <x v="8"/>
    <s v="Repeat Use"/>
    <s v="No Experiment"/>
    <s v="Control"/>
    <n v="5"/>
    <n v="3"/>
    <n v="258"/>
    <s v="Yes"/>
    <x v="1"/>
    <x v="0"/>
    <x v="28"/>
    <x v="0"/>
    <n v="47.71"/>
    <x v="0"/>
    <x v="2"/>
    <s v="No Support Contact"/>
    <s v="No"/>
    <s v="No Support Contact"/>
    <s v="Not Applicable"/>
    <m/>
    <s v="Technical error"/>
    <n v="1"/>
    <n v="-19"/>
    <n v="16"/>
    <x v="1"/>
    <n v="0"/>
    <n v="1"/>
    <n v="1"/>
    <n v="1"/>
  </r>
  <r>
    <x v="996"/>
    <s v="USR-00151"/>
    <s v="SES-2508-53933"/>
    <x v="324"/>
    <s v="Yorkshire &amp; Humber"/>
    <s v="Sheffield"/>
    <x v="0"/>
    <x v="0"/>
    <x v="1"/>
    <s v="Android"/>
    <s v="Android Phone"/>
    <s v="&lt;3 months"/>
    <x v="0"/>
    <x v="7"/>
    <x v="1"/>
    <s v="Repeat Use"/>
    <s v="Fee Transparency Panel"/>
    <s v="Treatment"/>
    <n v="4"/>
    <n v="4"/>
    <n v="111"/>
    <s v="No"/>
    <x v="0"/>
    <x v="1"/>
    <x v="1"/>
    <x v="0"/>
    <n v="158.33000000000001"/>
    <x v="15"/>
    <x v="0"/>
    <s v="No Support Contact"/>
    <s v="No"/>
    <s v="No Support Contact"/>
    <s v="Not Applicable"/>
    <m/>
    <s v="No drop-off"/>
    <n v="3"/>
    <n v="39"/>
    <n v="48"/>
    <x v="1"/>
    <n v="1"/>
    <n v="1"/>
    <n v="0"/>
    <n v="1"/>
  </r>
  <r>
    <x v="997"/>
    <s v="USR-00816"/>
    <s v="SES-2508-74048"/>
    <x v="382"/>
    <s v="South West"/>
    <s v="Gloucester"/>
    <x v="7"/>
    <x v="3"/>
    <x v="0"/>
    <s v="Android"/>
    <s v="Android Phone"/>
    <s v="3-6 months"/>
    <x v="2"/>
    <x v="2"/>
    <x v="1"/>
    <s v="First Use"/>
    <s v="New Cta Copy"/>
    <s v="Treatment"/>
    <n v="4"/>
    <n v="4"/>
    <n v="105"/>
    <s v="No"/>
    <x v="0"/>
    <x v="1"/>
    <x v="1"/>
    <x v="0"/>
    <n v="177.85"/>
    <x v="1"/>
    <x v="2"/>
    <s v="No Support Contact"/>
    <s v="No"/>
    <s v="No Support Contact"/>
    <s v="Not Applicable"/>
    <m/>
    <s v="No drop-off"/>
    <n v="5"/>
    <n v="38"/>
    <n v="0"/>
    <x v="1"/>
    <n v="1"/>
    <n v="1"/>
    <n v="0"/>
    <n v="1"/>
  </r>
  <r>
    <x v="998"/>
    <s v="USR-00400"/>
    <s v="SES-2503-61059"/>
    <x v="4"/>
    <s v="North West"/>
    <s v="Liverpool"/>
    <x v="2"/>
    <x v="0"/>
    <x v="1"/>
    <s v="Ios"/>
    <s v="Iphone"/>
    <s v="2+ years"/>
    <x v="0"/>
    <x v="7"/>
    <x v="7"/>
    <s v="Reactivated"/>
    <s v="New Cta Copy"/>
    <s v="Treatment"/>
    <n v="4"/>
    <n v="4"/>
    <n v="100"/>
    <s v="No"/>
    <x v="0"/>
    <x v="1"/>
    <x v="1"/>
    <x v="0"/>
    <n v="94.99"/>
    <x v="42"/>
    <x v="0"/>
    <s v="No Support Contact"/>
    <s v="Unknown"/>
    <s v="No Support Contact"/>
    <s v="Not Applicable"/>
    <m/>
    <s v="No drop-off"/>
    <n v="4"/>
    <n v="66"/>
    <n v="38"/>
    <x v="1"/>
    <n v="1"/>
    <n v="1"/>
    <n v="0"/>
    <n v="1"/>
  </r>
  <r>
    <x v="999"/>
    <s v="USR-00301"/>
    <s v="SES-2606-16906"/>
    <x v="463"/>
    <s v="London"/>
    <s v="HAMMERSMITH"/>
    <x v="3"/>
    <x v="0"/>
    <x v="1"/>
    <s v="Web"/>
    <s v="Mobile Browser"/>
    <s v="7-12 months"/>
    <x v="0"/>
    <x v="1"/>
    <x v="9"/>
    <s v="Repeat Use"/>
    <s v="Progress Indicator"/>
    <s v="Control"/>
    <n v="5"/>
    <n v="5"/>
    <n v="173"/>
    <s v="No"/>
    <x v="0"/>
    <x v="0"/>
    <x v="20"/>
    <x v="1"/>
    <n v="0"/>
    <x v="0"/>
    <x v="0"/>
    <s v="Feature Navigation"/>
    <s v="Yes"/>
    <s v="Feature Navigation"/>
    <s v="Unresolved"/>
    <n v="32"/>
    <s v="No drop-off"/>
    <n v="4"/>
    <n v="-28"/>
    <n v="68"/>
    <x v="1"/>
    <n v="1"/>
    <n v="0"/>
    <n v="1"/>
    <n v="1"/>
  </r>
  <r>
    <x v="1000"/>
    <s v="USR-00827"/>
    <s v="SES-2604-59839"/>
    <x v="89"/>
    <s v="East Midlands"/>
    <s v="Lincoln"/>
    <x v="5"/>
    <x v="2"/>
    <x v="1"/>
    <s v="Web"/>
    <s v="Desktop"/>
    <s v="7-12 months"/>
    <x v="1"/>
    <x v="3"/>
    <x v="5"/>
    <s v="Trial/Exploration"/>
    <s v="Simplified Onboarding"/>
    <s v="Control"/>
    <s v="8 steps"/>
    <n v="8"/>
    <n v="269"/>
    <s v="No"/>
    <x v="1"/>
    <x v="0"/>
    <x v="24"/>
    <x v="1"/>
    <n v="0"/>
    <x v="0"/>
    <x v="0"/>
    <s v="No Support Contact"/>
    <s v="No"/>
    <s v="No Support Contact"/>
    <s v="Not Applicable"/>
    <m/>
    <s v="No drop-off"/>
    <n v="2"/>
    <n v="-28"/>
    <n v="31"/>
    <x v="0"/>
    <n v="0"/>
    <n v="0"/>
    <n v="1"/>
    <n v="0"/>
  </r>
  <r>
    <x v="1001"/>
    <s v="USR-00672"/>
    <s v="SES-2602-58923"/>
    <x v="41"/>
    <s v="South East"/>
    <s v="Reading"/>
    <x v="2"/>
    <x v="3"/>
    <x v="0"/>
    <s v="Web"/>
    <s v="Desktop"/>
    <s v="2+ years"/>
    <x v="1"/>
    <x v="2"/>
    <x v="4"/>
    <s v="First Use"/>
    <s v="No Experiment"/>
    <s v="Control"/>
    <s v="6 steps"/>
    <n v="6"/>
    <n v="124"/>
    <s v="No"/>
    <x v="0"/>
    <x v="1"/>
    <x v="1"/>
    <x v="0"/>
    <n v="0"/>
    <x v="0"/>
    <x v="1"/>
    <s v="Feature Navigation"/>
    <s v="Yes"/>
    <s v="Feature Navigation"/>
    <s v="Resolved"/>
    <n v="24"/>
    <s v="No drop-off"/>
    <n v="4"/>
    <n v="1"/>
    <n v="0"/>
    <x v="1"/>
    <n v="1"/>
    <n v="1"/>
    <n v="0"/>
    <n v="1"/>
  </r>
  <r>
    <x v="1002"/>
    <s v="USR-00775"/>
    <s v="SES-2501-14891"/>
    <x v="421"/>
    <s v="South East"/>
    <s v="Oxford"/>
    <x v="2"/>
    <x v="0"/>
    <x v="0"/>
    <s v="Ios"/>
    <s v="Iphone"/>
    <s v="2+ years"/>
    <x v="0"/>
    <x v="0"/>
    <x v="0"/>
    <s v="First Use"/>
    <s v="No Experiment"/>
    <s v="Control"/>
    <n v="7"/>
    <n v="7"/>
    <n v="200"/>
    <s v="No"/>
    <x v="0"/>
    <x v="0"/>
    <x v="0"/>
    <x v="1"/>
    <n v="0"/>
    <x v="0"/>
    <x v="0"/>
    <s v="No Support Contact"/>
    <s v="No"/>
    <s v="No Support Contact"/>
    <s v="Not Applicable"/>
    <m/>
    <s v="No drop-off"/>
    <n v="3"/>
    <n v="-11"/>
    <s v="0 days"/>
    <x v="1"/>
    <n v="1"/>
    <n v="0"/>
    <n v="1"/>
    <n v="1"/>
  </r>
  <r>
    <x v="1003"/>
    <s v="USR-00196"/>
    <s v="SES-2602-37247"/>
    <x v="38"/>
    <s v="South East"/>
    <s v="Oxford"/>
    <x v="0"/>
    <x v="2"/>
    <x v="1"/>
    <s v="Ios"/>
    <s v="Ipad"/>
    <s v="7-12 months"/>
    <x v="0"/>
    <x v="4"/>
    <x v="3"/>
    <s v="First Use"/>
    <s v="Fee Transparency Panel"/>
    <s v="Control"/>
    <n v="6"/>
    <n v="6"/>
    <n v="163"/>
    <s v="No"/>
    <x v="0"/>
    <x v="1"/>
    <x v="1"/>
    <x v="0"/>
    <n v="56.03"/>
    <x v="2"/>
    <x v="0"/>
    <s v="No Support Contact"/>
    <s v="No"/>
    <s v="No Support Contact"/>
    <s v="Not Applicable"/>
    <m/>
    <s v="No drop-off"/>
    <n v="3"/>
    <n v="-32"/>
    <n v="0"/>
    <x v="1"/>
    <n v="1"/>
    <n v="1"/>
    <n v="0"/>
    <n v="1"/>
  </r>
  <r>
    <x v="1004"/>
    <s v="USR-00238"/>
    <s v="SES-2501-14099"/>
    <x v="446"/>
    <s v="Yorkshire &amp; Humber"/>
    <s v="Leeds"/>
    <x v="2"/>
    <x v="2"/>
    <x v="0"/>
    <s v="Android"/>
    <s v="Android Phone"/>
    <s v="3-6 months"/>
    <x v="0"/>
    <x v="0"/>
    <x v="8"/>
    <s v="Repeat Use"/>
    <s v="No Experiment"/>
    <s v="Control"/>
    <n v="5"/>
    <n v="5"/>
    <n v="125"/>
    <s v="No"/>
    <x v="1"/>
    <x v="1"/>
    <x v="1"/>
    <x v="1"/>
    <n v="0"/>
    <x v="0"/>
    <x v="0"/>
    <s v="No Support Contact"/>
    <s v="No"/>
    <s v="No Support Contact"/>
    <s v="Not Applicable"/>
    <m/>
    <s v="No drop-off"/>
    <n v="3"/>
    <n v="59"/>
    <n v="17"/>
    <x v="1"/>
    <n v="0"/>
    <n v="0"/>
    <n v="0"/>
    <n v="1"/>
  </r>
  <r>
    <x v="1005"/>
    <s v="USR-00818"/>
    <s v="SES-2505-55945"/>
    <x v="21"/>
    <s v="London"/>
    <s v="Croydon"/>
    <x v="5"/>
    <x v="0"/>
    <x v="1"/>
    <s v="Web"/>
    <s v="Mobile Browser"/>
    <s v="&lt;3 months"/>
    <x v="0"/>
    <x v="0"/>
    <x v="9"/>
    <s v="Repeat Use"/>
    <s v="Simplified Onboarding"/>
    <s v="Treatment"/>
    <n v="5"/>
    <n v="5"/>
    <n v="104"/>
    <s v="No"/>
    <x v="0"/>
    <x v="1"/>
    <x v="1"/>
    <x v="0"/>
    <n v="103.33"/>
    <x v="0"/>
    <x v="0"/>
    <s v="No Support Contact"/>
    <s v="No"/>
    <s v="No Support Contact"/>
    <s v="Not Applicable"/>
    <m/>
    <s v="No drop-off"/>
    <n v="5"/>
    <n v="37"/>
    <n v="36"/>
    <x v="1"/>
    <n v="1"/>
    <n v="1"/>
    <n v="0"/>
    <n v="1"/>
  </r>
  <r>
    <x v="1006"/>
    <s v="USR-00411"/>
    <s v="SES-2511-37192"/>
    <x v="464"/>
    <s v="South East"/>
    <s v="Oxford"/>
    <x v="7"/>
    <x v="0"/>
    <x v="1"/>
    <s v="Ios"/>
    <s v="Iphone"/>
    <s v="2+ years"/>
    <x v="1"/>
    <x v="5"/>
    <x v="2"/>
    <s v="Repeat Use"/>
    <s v="Simplified Onboarding"/>
    <s v="Treatment"/>
    <n v="5"/>
    <n v="5"/>
    <n v="157"/>
    <s v="No"/>
    <x v="0"/>
    <x v="1"/>
    <x v="1"/>
    <x v="0"/>
    <n v="52.89"/>
    <x v="0"/>
    <x v="1"/>
    <s v="Transaction Failure"/>
    <s v="Yes"/>
    <s v="Transaction Failure"/>
    <s v="Resolved"/>
    <n v="13"/>
    <s v="No drop-off"/>
    <n v="5"/>
    <n v="54"/>
    <n v="30"/>
    <x v="1"/>
    <n v="1"/>
    <n v="1"/>
    <n v="0"/>
    <n v="1"/>
  </r>
  <r>
    <x v="1007"/>
    <s v="USR-00035"/>
    <s v="SES-2604-29273"/>
    <x v="411"/>
    <s v="Yorkshire &amp; Humber"/>
    <s v="Leeds"/>
    <x v="0"/>
    <x v="2"/>
    <x v="0"/>
    <s v="Ios"/>
    <s v="Iphone"/>
    <s v="&lt;3 months"/>
    <x v="0"/>
    <x v="4"/>
    <x v="0"/>
    <s v="Trial/Exploration"/>
    <s v="New Cta Copy"/>
    <s v="Control"/>
    <n v="7"/>
    <n v="7"/>
    <n v="141"/>
    <s v="No"/>
    <x v="0"/>
    <x v="1"/>
    <x v="1"/>
    <x v="0"/>
    <n v="0"/>
    <x v="0"/>
    <x v="0"/>
    <s v="Fees And Pricing"/>
    <s v="Yes"/>
    <s v="Fees And Pricing"/>
    <s v="Resolved"/>
    <n v="41"/>
    <s v="No drop-off"/>
    <n v="3"/>
    <n v="-11"/>
    <n v="33"/>
    <x v="0"/>
    <n v="1"/>
    <n v="1"/>
    <n v="0"/>
    <n v="0"/>
  </r>
  <r>
    <x v="1008"/>
    <s v="USR-00774"/>
    <s v="SES-2504-29884"/>
    <x v="465"/>
    <s v="West Midlands"/>
    <s v="Coventry"/>
    <x v="0"/>
    <x v="0"/>
    <x v="0"/>
    <s v="Android"/>
    <s v="Android Tablet"/>
    <s v="7-12 months"/>
    <x v="0"/>
    <x v="1"/>
    <x v="1"/>
    <s v="Repeat Use"/>
    <s v="No Experiment"/>
    <s v="Control"/>
    <n v="4"/>
    <n v="4"/>
    <n v="112"/>
    <s v="No"/>
    <x v="0"/>
    <x v="1"/>
    <x v="1"/>
    <x v="0"/>
    <n v="118.07"/>
    <x v="1"/>
    <x v="0"/>
    <s v="No Support Contact"/>
    <s v="No"/>
    <s v="No Support Contact"/>
    <s v="Not Applicable"/>
    <m/>
    <s v="No drop-off"/>
    <n v="5"/>
    <n v="34"/>
    <n v="48"/>
    <x v="1"/>
    <n v="1"/>
    <n v="1"/>
    <n v="0"/>
    <n v="1"/>
  </r>
  <r>
    <x v="1009"/>
    <s v="USR-00500"/>
    <s v="SES-2510-13189"/>
    <x v="381"/>
    <s v="North West"/>
    <s v="Manchester"/>
    <x v="2"/>
    <x v="1"/>
    <x v="1"/>
    <s v="Web"/>
    <s v="Mobile Browser"/>
    <s v="7-12 months"/>
    <x v="2"/>
    <x v="1"/>
    <x v="0"/>
    <s v="Repeat Use"/>
    <s v="No Experiment"/>
    <s v="Control"/>
    <n v="7"/>
    <n v="5"/>
    <n v="180"/>
    <s v="Yes"/>
    <x v="1"/>
    <x v="1"/>
    <x v="1"/>
    <x v="1"/>
    <n v="0"/>
    <x v="0"/>
    <x v="0"/>
    <s v="No Support Contact"/>
    <s v="No"/>
    <s v="No Support Contact"/>
    <s v="Not Applicable"/>
    <m/>
    <s v="Unexpected fee"/>
    <n v="3"/>
    <n v="17"/>
    <n v="42"/>
    <x v="0"/>
    <n v="0"/>
    <n v="0"/>
    <n v="0"/>
    <n v="0"/>
  </r>
  <r>
    <x v="1010"/>
    <s v="USR-00260"/>
    <s v="SES-2501-25212"/>
    <x v="374"/>
    <s v="Northern Ireland"/>
    <s v="Newry"/>
    <x v="0"/>
    <x v="3"/>
    <x v="1"/>
    <s v="Android"/>
    <s v="Android Phone"/>
    <s v="2+ years"/>
    <x v="0"/>
    <x v="7"/>
    <x v="2"/>
    <s v="First Use"/>
    <s v="Fee Transparency Panel"/>
    <s v="Treatment"/>
    <n v="5"/>
    <s v="5 steps"/>
    <n v="134"/>
    <s v="No"/>
    <x v="1"/>
    <x v="1"/>
    <x v="1"/>
    <x v="0"/>
    <n v="94.22"/>
    <x v="0"/>
    <x v="0"/>
    <s v="No Support Contact"/>
    <s v="No"/>
    <s v="No Support Contact"/>
    <s v="Not Applicable"/>
    <m/>
    <s v="Too many steps"/>
    <n v="3"/>
    <n v="61"/>
    <n v="0"/>
    <x v="0"/>
    <n v="0"/>
    <n v="1"/>
    <n v="0"/>
    <n v="0"/>
  </r>
  <r>
    <x v="1011"/>
    <s v="USR-00094"/>
    <s v="SES-2604-78684"/>
    <x v="206"/>
    <s v="London"/>
    <s v="Southwark"/>
    <x v="0"/>
    <x v="2"/>
    <x v="1"/>
    <s v="Android"/>
    <s v="Android Phone"/>
    <s v="&lt;3 months"/>
    <x v="1"/>
    <x v="6"/>
    <x v="4"/>
    <s v="First Use"/>
    <s v="Progress Indicator"/>
    <s v="Control"/>
    <n v="6"/>
    <n v="6"/>
    <n v="176"/>
    <s v="No"/>
    <x v="1"/>
    <x v="1"/>
    <x v="1"/>
    <x v="1"/>
    <n v="0"/>
    <x v="0"/>
    <x v="0"/>
    <s v="No Support Contact"/>
    <s v="No"/>
    <s v="No Support Contact"/>
    <s v="Not Applicable"/>
    <m/>
    <s v="Too many steps"/>
    <n v="3"/>
    <n v="13"/>
    <n v="0"/>
    <x v="0"/>
    <n v="0"/>
    <n v="0"/>
    <n v="0"/>
    <n v="0"/>
  </r>
  <r>
    <x v="1012"/>
    <s v="USR-00479"/>
    <s v="SES-2601-79772"/>
    <x v="325"/>
    <s v="Northern Ireland"/>
    <s v="Lisburn"/>
    <x v="2"/>
    <x v="1"/>
    <x v="1"/>
    <s v="Ios"/>
    <s v="Iphone"/>
    <s v="3-6 months"/>
    <x v="2"/>
    <x v="2"/>
    <x v="7"/>
    <s v="First Use"/>
    <s v="New Cta Copy"/>
    <s v="Treatment"/>
    <n v="4"/>
    <s v="4 steps"/>
    <n v="106"/>
    <s v="No"/>
    <x v="0"/>
    <x v="0"/>
    <x v="26"/>
    <x v="0"/>
    <n v="108.5"/>
    <x v="22"/>
    <x v="2"/>
    <s v="No Support Contact"/>
    <s v="No"/>
    <s v="No Support Contact"/>
    <s v="Not Applicable"/>
    <m/>
    <s v="No drop-off"/>
    <n v="4"/>
    <n v="20"/>
    <n v="0"/>
    <x v="1"/>
    <n v="1"/>
    <n v="1"/>
    <n v="1"/>
    <n v="1"/>
  </r>
  <r>
    <x v="1013"/>
    <s v="USR-00179"/>
    <s v="SES-2501-87733"/>
    <x v="389"/>
    <s v="South West"/>
    <s v="Bristol"/>
    <x v="1"/>
    <x v="3"/>
    <x v="1"/>
    <s v="Android"/>
    <s v="Android Phone"/>
    <s v="7-12 months"/>
    <x v="0"/>
    <x v="1"/>
    <x v="10"/>
    <s v="Repeat Use"/>
    <s v="No Experiment"/>
    <s v="Control"/>
    <s v="9 steps"/>
    <n v="9"/>
    <n v="210"/>
    <s v="No"/>
    <x v="0"/>
    <x v="1"/>
    <x v="1"/>
    <x v="0"/>
    <n v="278.72000000000003"/>
    <x v="80"/>
    <x v="0"/>
    <s v="No Support Contact"/>
    <s v="No"/>
    <s v="No Support Contact"/>
    <s v="Not Applicable"/>
    <m/>
    <s v="No drop-off"/>
    <n v="3"/>
    <n v="24"/>
    <n v="30"/>
    <x v="0"/>
    <n v="1"/>
    <n v="1"/>
    <n v="0"/>
    <n v="0"/>
  </r>
  <r>
    <x v="1014"/>
    <s v="USR-00632"/>
    <s v="SES-2506-99367"/>
    <x v="466"/>
    <s v="East Midlands"/>
    <s v="Lincoln"/>
    <x v="0"/>
    <x v="1"/>
    <x v="1"/>
    <s v="Android"/>
    <s v="Android Phone"/>
    <s v="2+ years"/>
    <x v="0"/>
    <x v="1"/>
    <x v="8"/>
    <s v="Reactivated"/>
    <s v="No Experiment"/>
    <s v="Control"/>
    <n v="5"/>
    <n v="5"/>
    <n v="112"/>
    <s v="No"/>
    <x v="1"/>
    <x v="1"/>
    <x v="1"/>
    <x v="0"/>
    <n v="0"/>
    <x v="0"/>
    <x v="0"/>
    <s v="No Support Contact"/>
    <s v="No"/>
    <s v="No Support Contact"/>
    <s v="Not Applicable"/>
    <m/>
    <s v="Too many steps"/>
    <n v="4"/>
    <n v="53"/>
    <n v="53"/>
    <x v="0"/>
    <n v="0"/>
    <n v="1"/>
    <n v="0"/>
    <n v="0"/>
  </r>
  <r>
    <x v="1015"/>
    <s v="USR-00369"/>
    <s v="SES-2501-22538"/>
    <x v="323"/>
    <s v="Scotland"/>
    <s v="Glasgow"/>
    <x v="2"/>
    <x v="0"/>
    <x v="0"/>
    <s v="Android"/>
    <s v="Android Phone"/>
    <s v="1-2 years"/>
    <x v="1"/>
    <x v="4"/>
    <x v="7"/>
    <s v="Repeat Use"/>
    <s v="No Experiment"/>
    <s v="Control"/>
    <n v="4"/>
    <n v="4"/>
    <n v="91"/>
    <s v="No"/>
    <x v="0"/>
    <x v="1"/>
    <x v="1"/>
    <x v="0"/>
    <n v="127.78"/>
    <x v="13"/>
    <x v="1"/>
    <s v="No Support Contact"/>
    <s v="No"/>
    <s v="No Support Contact"/>
    <s v="Not Applicable"/>
    <m/>
    <s v="No drop-off"/>
    <n v="4"/>
    <n v="76"/>
    <n v="2"/>
    <x v="1"/>
    <n v="1"/>
    <n v="1"/>
    <n v="0"/>
    <n v="1"/>
  </r>
  <r>
    <x v="1016"/>
    <s v="USR-00773"/>
    <s v="SES-2503-70775"/>
    <x v="23"/>
    <s v="East England"/>
    <s v="Ipswich"/>
    <x v="3"/>
    <x v="1"/>
    <x v="1"/>
    <s v="Ios"/>
    <s v="Iphone"/>
    <s v="7-12 months"/>
    <x v="2"/>
    <x v="1"/>
    <x v="1"/>
    <s v="Repeat Use"/>
    <s v="Simplified Onboarding"/>
    <s v="Treatment"/>
    <n v="4"/>
    <n v="4"/>
    <n v="150"/>
    <s v="No"/>
    <x v="0"/>
    <x v="0"/>
    <x v="14"/>
    <x v="0"/>
    <n v="177.6"/>
    <x v="4"/>
    <x v="2"/>
    <s v="No Support Contact"/>
    <s v="No"/>
    <s v="No Support Contact"/>
    <s v="Not Applicable"/>
    <m/>
    <s v="No drop-off"/>
    <n v="3"/>
    <n v="36"/>
    <n v="16"/>
    <x v="1"/>
    <n v="1"/>
    <n v="1"/>
    <n v="1"/>
    <n v="1"/>
  </r>
  <r>
    <x v="1017"/>
    <s v="usr-00635"/>
    <s v="SES-2510-52360"/>
    <x v="150"/>
    <s v="Wales"/>
    <s v="Wrexham"/>
    <x v="2"/>
    <x v="0"/>
    <x v="0"/>
    <s v="Ios"/>
    <s v="Iphone"/>
    <s v="&lt;3 months"/>
    <x v="2"/>
    <x v="2"/>
    <x v="5"/>
    <s v="First Use"/>
    <s v="No Experiment"/>
    <s v="Control"/>
    <n v="8"/>
    <n v="8"/>
    <n v="168"/>
    <s v="No"/>
    <x v="0"/>
    <x v="1"/>
    <x v="1"/>
    <x v="0"/>
    <n v="390.02"/>
    <x v="81"/>
    <x v="2"/>
    <s v="No Support Contact"/>
    <s v="No"/>
    <s v="No Support Contact"/>
    <s v="Not Applicable"/>
    <m/>
    <s v="No drop-off"/>
    <n v="4"/>
    <n v="-6"/>
    <n v="0"/>
    <x v="1"/>
    <n v="1"/>
    <n v="1"/>
    <n v="0"/>
    <n v="1"/>
  </r>
  <r>
    <x v="1018"/>
    <s v="USR-00356"/>
    <s v="SES-2508-53986"/>
    <x v="226"/>
    <s v="London"/>
    <s v="Southwark"/>
    <x v="2"/>
    <x v="3"/>
    <x v="0"/>
    <s v="Ios"/>
    <s v="Iphone"/>
    <s v="7-12 months"/>
    <x v="1"/>
    <x v="4"/>
    <x v="7"/>
    <s v="Trial/Exploration"/>
    <s v="No Experiment"/>
    <s v="Control"/>
    <n v="4"/>
    <n v="4"/>
    <n v="97"/>
    <s v="No"/>
    <x v="0"/>
    <x v="1"/>
    <x v="1"/>
    <x v="0"/>
    <n v="24.39"/>
    <x v="28"/>
    <x v="1"/>
    <s v="No Support Contact"/>
    <s v="No"/>
    <s v="No Support Contact"/>
    <s v="Not Applicable"/>
    <m/>
    <s v="No drop-off"/>
    <n v="4"/>
    <n v="8"/>
    <s v="33 days"/>
    <x v="1"/>
    <n v="1"/>
    <n v="1"/>
    <n v="0"/>
    <n v="1"/>
  </r>
  <r>
    <x v="1019"/>
    <s v="USR-00069"/>
    <s v="SES-2505-42618"/>
    <x v="353"/>
    <s v="South East"/>
    <s v="Brighton"/>
    <x v="0"/>
    <x v="1"/>
    <x v="0"/>
    <s v="Android"/>
    <s v="Android Phone"/>
    <s v="2+ years"/>
    <x v="1"/>
    <x v="1"/>
    <x v="10"/>
    <s v="First Use"/>
    <s v="No Experiment"/>
    <s v="Control"/>
    <n v="9"/>
    <n v="9"/>
    <n v="312"/>
    <s v="No"/>
    <x v="1"/>
    <x v="0"/>
    <x v="9"/>
    <x v="1"/>
    <n v="0"/>
    <x v="0"/>
    <x v="0"/>
    <s v="No Support Contact"/>
    <s v="No"/>
    <s v="No Support Contact"/>
    <s v="Not Applicable"/>
    <m/>
    <s v="No drop-off"/>
    <n v="4"/>
    <n v="-24"/>
    <n v="0"/>
    <x v="1"/>
    <n v="0"/>
    <n v="0"/>
    <n v="1"/>
    <n v="1"/>
  </r>
  <r>
    <x v="1020"/>
    <s v="USR-00628"/>
    <s v="SES-2505-21228"/>
    <x v="6"/>
    <s v="North West"/>
    <s v="Manchester"/>
    <x v="0"/>
    <x v="1"/>
    <x v="0"/>
    <s v="Ios"/>
    <s v="Iphone"/>
    <s v="7-12 months"/>
    <x v="2"/>
    <x v="2"/>
    <x v="1"/>
    <s v="First Use"/>
    <s v="Simplified Onboarding"/>
    <s v="Treatment"/>
    <n v="4"/>
    <n v="4"/>
    <n v="93"/>
    <s v="No"/>
    <x v="0"/>
    <x v="0"/>
    <x v="14"/>
    <x v="0"/>
    <n v="216.65"/>
    <x v="8"/>
    <x v="2"/>
    <s v="No Support Contact"/>
    <s v="No"/>
    <s v="No Support Contact"/>
    <s v="Not Applicable"/>
    <m/>
    <s v="No drop-off"/>
    <n v="3"/>
    <n v="47"/>
    <n v="0"/>
    <x v="1"/>
    <n v="1"/>
    <n v="1"/>
    <n v="1"/>
    <n v="1"/>
  </r>
  <r>
    <x v="1021"/>
    <s v="USR-00793"/>
    <s v="SES-2507-24006"/>
    <x v="288"/>
    <s v="Scotland"/>
    <s v="Aberdeen"/>
    <x v="2"/>
    <x v="1"/>
    <x v="0"/>
    <s v="Ios"/>
    <s v="Iphone"/>
    <s v="&lt;3 months"/>
    <x v="1"/>
    <x v="0"/>
    <x v="1"/>
    <s v="First Use"/>
    <s v="No Experiment"/>
    <s v="Control"/>
    <n v="4"/>
    <n v="4"/>
    <n v="81"/>
    <s v="No"/>
    <x v="1"/>
    <x v="1"/>
    <x v="1"/>
    <x v="1"/>
    <n v="0"/>
    <x v="0"/>
    <x v="0"/>
    <s v="No Support Contact"/>
    <s v="No"/>
    <s v="No Support Contact"/>
    <s v="Not Applicable"/>
    <m/>
    <s v="No drop-off"/>
    <n v="4"/>
    <n v="41"/>
    <n v="0"/>
    <x v="1"/>
    <n v="0"/>
    <n v="0"/>
    <n v="0"/>
    <n v="1"/>
  </r>
  <r>
    <x v="1022"/>
    <s v="USR-00533"/>
    <s v="SES-2507-75526"/>
    <x v="18"/>
    <s v="Wales"/>
    <s v="Newport"/>
    <x v="0"/>
    <x v="3"/>
    <x v="1"/>
    <s v="Web"/>
    <s v="Desktop"/>
    <s v="3-6 months"/>
    <x v="0"/>
    <x v="4"/>
    <x v="3"/>
    <s v="Repeat Use"/>
    <s v="Contextual Help"/>
    <s v="Treatment"/>
    <n v="6"/>
    <n v="5"/>
    <n v="189"/>
    <s v="Yes"/>
    <x v="1"/>
    <x v="1"/>
    <x v="1"/>
    <x v="1"/>
    <n v="0"/>
    <x v="0"/>
    <x v="0"/>
    <s v="No Support Contact"/>
    <s v="No"/>
    <s v="No Support Contact"/>
    <s v="Not Applicable"/>
    <m/>
    <s v="Too many steps"/>
    <n v="3"/>
    <n v="52"/>
    <n v="41"/>
    <x v="0"/>
    <n v="0"/>
    <n v="0"/>
    <n v="0"/>
    <n v="0"/>
  </r>
  <r>
    <x v="1023"/>
    <s v="USR-00620"/>
    <s v="SES-2511-45249"/>
    <x v="422"/>
    <s v="North West"/>
    <s v="Manchester"/>
    <x v="2"/>
    <x v="0"/>
    <x v="0"/>
    <s v="Android"/>
    <s v="Android Phone"/>
    <s v="1-2 years"/>
    <x v="3"/>
    <x v="0"/>
    <x v="2"/>
    <s v="Reactivated"/>
    <s v="No Experiment"/>
    <s v="Control"/>
    <n v="5"/>
    <n v="3"/>
    <n v="190"/>
    <s v="Yes"/>
    <x v="1"/>
    <x v="1"/>
    <x v="1"/>
    <x v="1"/>
    <n v="0"/>
    <x v="0"/>
    <x v="0"/>
    <s v="Fees And Pricing"/>
    <s v="Yes"/>
    <s v="Fees And Pricing"/>
    <s v="Unresolved"/>
    <n v="40"/>
    <s v="Instructions unclear"/>
    <n v="3"/>
    <n v="14"/>
    <n v="37"/>
    <x v="0"/>
    <n v="0"/>
    <n v="0"/>
    <n v="0"/>
    <n v="0"/>
  </r>
  <r>
    <x v="1024"/>
    <s v="USR-00155"/>
    <s v="SES-2604-73853"/>
    <x v="467"/>
    <s v="East England"/>
    <s v="Ipswich"/>
    <x v="7"/>
    <x v="0"/>
    <x v="0"/>
    <s v="Ios"/>
    <s v="Iphone"/>
    <s v="7-12 months"/>
    <x v="0"/>
    <x v="4"/>
    <x v="8"/>
    <s v="Trial/Exploration"/>
    <s v="No Experiment"/>
    <s v="Control"/>
    <n v="5"/>
    <n v="4"/>
    <n v="133"/>
    <s v="Yes"/>
    <x v="0"/>
    <x v="1"/>
    <x v="1"/>
    <x v="0"/>
    <n v="28.25"/>
    <x v="0"/>
    <x v="0"/>
    <s v="No Support Contact"/>
    <s v="No"/>
    <s v="No Support Contact"/>
    <s v="Not Applicable"/>
    <n v="999"/>
    <s v="No drop-off"/>
    <n v="4"/>
    <n v="8"/>
    <n v="46"/>
    <x v="1"/>
    <n v="1"/>
    <n v="1"/>
    <n v="0"/>
    <n v="1"/>
  </r>
  <r>
    <x v="1025"/>
    <s v="USR-00634"/>
    <s v="SES-2509-46815"/>
    <x v="284"/>
    <s v="Wales"/>
    <s v="Cardiff"/>
    <x v="3"/>
    <x v="1"/>
    <x v="1"/>
    <s v="Ios"/>
    <s v="Iphone"/>
    <s v="1-2 years"/>
    <x v="2"/>
    <x v="5"/>
    <x v="1"/>
    <s v="Repeat Use"/>
    <s v="Simplified Onboarding"/>
    <s v="Treatment"/>
    <n v="4"/>
    <n v="4"/>
    <n v="94"/>
    <s v="No"/>
    <x v="0"/>
    <x v="1"/>
    <x v="1"/>
    <x v="0"/>
    <n v="93.67"/>
    <x v="7"/>
    <x v="2"/>
    <s v="Fees And Pricing"/>
    <s v="Yes"/>
    <s v="Fees And Pricing"/>
    <s v="Resolved"/>
    <n v="28"/>
    <s v="No drop-off"/>
    <n v="5"/>
    <n v="14"/>
    <n v="17"/>
    <x v="0"/>
    <n v="1"/>
    <n v="1"/>
    <n v="0"/>
    <n v="0"/>
  </r>
  <r>
    <x v="1026"/>
    <s v="USR-00685"/>
    <s v="SES-2510-84467"/>
    <x v="93"/>
    <s v="London"/>
    <s v="Camden"/>
    <x v="1"/>
    <x v="1"/>
    <x v="1"/>
    <s v="Ios"/>
    <s v="Iphone"/>
    <s v="7-12 months"/>
    <x v="0"/>
    <x v="6"/>
    <x v="1"/>
    <s v="First Use"/>
    <s v="New Cta Copy"/>
    <s v="Control"/>
    <n v="4"/>
    <n v="3"/>
    <n v="152"/>
    <s v="Yes"/>
    <x v="0"/>
    <x v="1"/>
    <x v="1"/>
    <x v="1"/>
    <n v="0"/>
    <x v="0"/>
    <x v="0"/>
    <s v="No Support Contact"/>
    <s v="No"/>
    <s v="No Support Contact"/>
    <s v="Not Applicable"/>
    <m/>
    <s v="No drop-off"/>
    <n v="3"/>
    <n v="13"/>
    <n v="0"/>
    <x v="1"/>
    <n v="1"/>
    <n v="0"/>
    <n v="0"/>
    <n v="1"/>
  </r>
  <r>
    <x v="1027"/>
    <s v="USR-00713"/>
    <s v="SES-2511-83750"/>
    <x v="156"/>
    <s v="South East"/>
    <s v="Guildford"/>
    <x v="2"/>
    <x v="0"/>
    <x v="0"/>
    <s v="Ios"/>
    <s v="Iphone"/>
    <s v="1-2 years"/>
    <x v="0"/>
    <x v="3"/>
    <x v="0"/>
    <s v="Repeat Use"/>
    <s v="No Experiment"/>
    <s v="Control"/>
    <n v="7"/>
    <n v="7"/>
    <n v="201"/>
    <s v="No"/>
    <x v="1"/>
    <x v="1"/>
    <x v="1"/>
    <x v="1"/>
    <n v="0"/>
    <x v="0"/>
    <x v="0"/>
    <s v="No Support Contact"/>
    <s v="No"/>
    <s v="No Support Contact"/>
    <s v="Not Applicable"/>
    <m/>
    <s v="No drop-off"/>
    <n v="3"/>
    <n v="13"/>
    <s v="63 days"/>
    <x v="0"/>
    <n v="0"/>
    <n v="0"/>
    <n v="0"/>
    <n v="0"/>
  </r>
  <r>
    <x v="1028"/>
    <s v="USR-00300"/>
    <s v="SES-2511-54877"/>
    <x v="322"/>
    <s v="Yorkshire &amp; Humber"/>
    <s v="York"/>
    <x v="2"/>
    <x v="2"/>
    <x v="1"/>
    <s v="Web"/>
    <s v="Desktop"/>
    <s v="&lt;3 months"/>
    <x v="0"/>
    <x v="2"/>
    <x v="3"/>
    <s v="First Use"/>
    <s v="No Experiment"/>
    <s v="Control"/>
    <n v="6"/>
    <n v="6"/>
    <n v="189"/>
    <s v="No"/>
    <x v="0"/>
    <x v="1"/>
    <x v="1"/>
    <x v="0"/>
    <n v="80.63"/>
    <x v="17"/>
    <x v="0"/>
    <s v="No Support Contact"/>
    <s v="No"/>
    <s v="No Support Contact"/>
    <s v="Not Applicable"/>
    <m/>
    <s v="No drop-off"/>
    <n v="4"/>
    <n v="23"/>
    <n v="0"/>
    <x v="0"/>
    <n v="1"/>
    <n v="1"/>
    <n v="0"/>
    <n v="0"/>
  </r>
  <r>
    <x v="1029"/>
    <s v="USR-00331"/>
    <s v="SES-2507-96071"/>
    <x v="468"/>
    <s v="Northern Ireland"/>
    <s v="Belfast"/>
    <x v="1"/>
    <x v="2"/>
    <x v="1"/>
    <s v="Ios"/>
    <s v="Iphone"/>
    <s v="&lt;3 months"/>
    <x v="1"/>
    <x v="4"/>
    <x v="2"/>
    <s v="Repeat Use"/>
    <s v="New Cta Copy"/>
    <s v="Control"/>
    <n v="5"/>
    <n v="5"/>
    <n v="135"/>
    <s v="No"/>
    <x v="1"/>
    <x v="1"/>
    <x v="1"/>
    <x v="0"/>
    <n v="133.34"/>
    <x v="0"/>
    <x v="1"/>
    <s v="No Support Contact"/>
    <s v="No"/>
    <s v="No Support Contact"/>
    <s v="Not Applicable"/>
    <m/>
    <s v="Instructions unclear"/>
    <n v="3"/>
    <n v="21"/>
    <n v="16"/>
    <x v="1"/>
    <n v="0"/>
    <n v="1"/>
    <n v="0"/>
    <n v="1"/>
  </r>
  <r>
    <x v="1030"/>
    <s v="USR-00399"/>
    <s v="SES-2503-95001"/>
    <x v="275"/>
    <s v="South East"/>
    <s v="Oxford"/>
    <x v="0"/>
    <x v="1"/>
    <x v="0"/>
    <s v="Ios"/>
    <s v="Iphone"/>
    <s v="7-12 months"/>
    <x v="0"/>
    <x v="2"/>
    <x v="0"/>
    <s v="First Use"/>
    <s v="No Experiment"/>
    <s v="Control"/>
    <s v="many"/>
    <n v="5"/>
    <n v="270"/>
    <s v="Yes"/>
    <x v="0"/>
    <x v="1"/>
    <x v="1"/>
    <x v="0"/>
    <n v="61.04"/>
    <x v="0"/>
    <x v="0"/>
    <s v="No Support Contact"/>
    <s v="No"/>
    <s v="No Support Contact"/>
    <s v="Not Applicable"/>
    <m/>
    <s v="No drop-off"/>
    <n v="2"/>
    <n v="-25"/>
    <n v="0"/>
    <x v="2"/>
    <n v="1"/>
    <n v="1"/>
    <n v="0"/>
    <n v="0"/>
  </r>
  <r>
    <x v="1031"/>
    <s v="USR-00042"/>
    <s v="SES-2605-12918"/>
    <x v="162"/>
    <s v="Scotland"/>
    <s v="Glasgow"/>
    <x v="0"/>
    <x v="3"/>
    <x v="2"/>
    <s v="Android"/>
    <s v="Android Phone"/>
    <s v="&lt;3 months"/>
    <x v="0"/>
    <x v="0"/>
    <x v="8"/>
    <s v="First Use"/>
    <s v="Simplified Onboarding"/>
    <s v="Control"/>
    <n v="5"/>
    <n v="4"/>
    <n v="171"/>
    <s v="Yes"/>
    <x v="1"/>
    <x v="1"/>
    <x v="1"/>
    <x v="1"/>
    <n v="0"/>
    <x v="0"/>
    <x v="0"/>
    <s v="Feature Navigation"/>
    <s v="Yes"/>
    <s v="Feature Navigation"/>
    <s v="Resolved"/>
    <n v="20"/>
    <s v="Instructions unclear"/>
    <n v="3"/>
    <n v="-49"/>
    <n v="0"/>
    <x v="0"/>
    <n v="0"/>
    <n v="0"/>
    <n v="0"/>
    <n v="0"/>
  </r>
  <r>
    <x v="1032"/>
    <s v="USR-00830"/>
    <s v="SES-2511-58554"/>
    <x v="298"/>
    <s v="Northern Ireland"/>
    <s v="Derry"/>
    <x v="1"/>
    <x v="1"/>
    <x v="1"/>
    <s v="Android"/>
    <s v="Android Phone"/>
    <s v="7-12 months"/>
    <x v="0"/>
    <x v="4"/>
    <x v="2"/>
    <s v="Reactivated"/>
    <s v="No Experiment"/>
    <s v="Control"/>
    <n v="5"/>
    <n v="3"/>
    <n v="153"/>
    <s v="Yes"/>
    <x v="1"/>
    <x v="1"/>
    <x v="1"/>
    <x v="1"/>
    <n v="0"/>
    <x v="0"/>
    <x v="0"/>
    <s v="No Support Contact"/>
    <s v="No"/>
    <s v="No Support Contact"/>
    <s v="Not Applicable"/>
    <m/>
    <s v="Unexpected fee"/>
    <n v="2"/>
    <n v="-7"/>
    <n v="11"/>
    <x v="0"/>
    <n v="0"/>
    <n v="0"/>
    <n v="0"/>
    <n v="0"/>
  </r>
  <r>
    <x v="1033"/>
    <s v="USR-00655"/>
    <s v="SES-2507-55730"/>
    <x v="332"/>
    <s v="North West"/>
    <s v="Manchester"/>
    <x v="0"/>
    <x v="0"/>
    <x v="0"/>
    <s v="Android"/>
    <s v="Android Phone"/>
    <s v="7-12 months"/>
    <x v="0"/>
    <x v="5"/>
    <x v="2"/>
    <s v="First Use"/>
    <s v="Fee Transparency Panel"/>
    <s v="Control"/>
    <n v="5"/>
    <n v="5"/>
    <n v="124"/>
    <s v="No"/>
    <x v="0"/>
    <x v="1"/>
    <x v="1"/>
    <x v="0"/>
    <n v="118.13"/>
    <x v="0"/>
    <x v="0"/>
    <s v="No Support Contact"/>
    <s v="No"/>
    <s v="No Support Contact"/>
    <s v="Not Applicable"/>
    <m/>
    <s v="No drop-off"/>
    <n v="4"/>
    <n v="-1"/>
    <n v="999"/>
    <x v="1"/>
    <n v="1"/>
    <n v="1"/>
    <n v="0"/>
    <n v="1"/>
  </r>
  <r>
    <x v="1034"/>
    <s v="USR-00025"/>
    <s v="SES-2505-93145"/>
    <x v="469"/>
    <s v="North East"/>
    <s v="Middlesbrough"/>
    <x v="2"/>
    <x v="4"/>
    <x v="0"/>
    <s v="Ios"/>
    <s v="Iphone"/>
    <s v="&lt;3 months"/>
    <x v="0"/>
    <x v="4"/>
    <x v="1"/>
    <s v="Repeat Use"/>
    <s v="No Experiment"/>
    <s v="Control"/>
    <n v="4"/>
    <n v="4"/>
    <n v="90"/>
    <s v="No"/>
    <x v="0"/>
    <x v="1"/>
    <x v="1"/>
    <x v="0"/>
    <n v="220.15"/>
    <x v="6"/>
    <x v="0"/>
    <s v="No Support Contact"/>
    <s v="No"/>
    <s v="No Support Contact"/>
    <s v="Not Applicable"/>
    <m/>
    <s v="No drop-off"/>
    <n v="3"/>
    <n v="28"/>
    <n v="10"/>
    <x v="0"/>
    <n v="1"/>
    <n v="1"/>
    <n v="0"/>
    <n v="0"/>
  </r>
  <r>
    <x v="1035"/>
    <s v="USR-00647"/>
    <s v="SES-2511-26494"/>
    <x v="322"/>
    <s v="East England"/>
    <s v="Norwich"/>
    <x v="0"/>
    <x v="1"/>
    <x v="1"/>
    <s v="Ios"/>
    <s v="Iphone"/>
    <s v="1-2 years"/>
    <x v="0"/>
    <x v="5"/>
    <x v="3"/>
    <s v="Trial/Exploration"/>
    <s v="No Experiment"/>
    <s v="Control"/>
    <n v="6"/>
    <s v="6 steps"/>
    <n v="166"/>
    <s v="No"/>
    <x v="1"/>
    <x v="0"/>
    <x v="15"/>
    <x v="1"/>
    <n v="0"/>
    <x v="0"/>
    <x v="0"/>
    <s v="No Support Contact"/>
    <s v="No"/>
    <s v="No Support Contact"/>
    <s v="Not Applicable"/>
    <m/>
    <s v="No drop-off"/>
    <n v="2"/>
    <n v="12"/>
    <n v="59"/>
    <x v="0"/>
    <n v="0"/>
    <n v="0"/>
    <n v="1"/>
    <n v="0"/>
  </r>
  <r>
    <x v="1036"/>
    <s v="USR-00551"/>
    <s v="SES-2502-50885"/>
    <x v="445"/>
    <s v="London"/>
    <s v="Camden"/>
    <x v="3"/>
    <x v="0"/>
    <x v="0"/>
    <s v="Web"/>
    <s v="Mobile Browser"/>
    <s v="7-12 months"/>
    <x v="3"/>
    <x v="1"/>
    <x v="10"/>
    <s v="First Use"/>
    <s v="No Experiment"/>
    <s v="Control"/>
    <n v="9"/>
    <n v="9"/>
    <n v="264"/>
    <s v="No"/>
    <x v="0"/>
    <x v="1"/>
    <x v="1"/>
    <x v="0"/>
    <n v="94.52"/>
    <x v="82"/>
    <x v="0"/>
    <s v="No Support Contact"/>
    <s v="No"/>
    <s v="No Support Contact"/>
    <s v="Not Applicable"/>
    <m/>
    <s v="No drop-off"/>
    <n v="4"/>
    <n v="-9"/>
    <n v="0"/>
    <x v="0"/>
    <n v="1"/>
    <n v="1"/>
    <n v="0"/>
    <n v="0"/>
  </r>
  <r>
    <x v="1037"/>
    <s v="USR-00666"/>
    <s v="SES-2508-56094"/>
    <x v="135"/>
    <s v="East England"/>
    <s v="Cambridge"/>
    <x v="3"/>
    <x v="2"/>
    <x v="0"/>
    <s v="Ios"/>
    <s v="Iphone"/>
    <s v="7-12 months"/>
    <x v="0"/>
    <x v="4"/>
    <x v="1"/>
    <s v="First Use"/>
    <s v="No Experiment"/>
    <s v="Control"/>
    <n v="4"/>
    <n v="4"/>
    <n v="82"/>
    <s v="No"/>
    <x v="0"/>
    <x v="1"/>
    <x v="1"/>
    <x v="0"/>
    <n v="230.31"/>
    <x v="15"/>
    <x v="0"/>
    <s v="No Support Contact"/>
    <s v="No"/>
    <s v="No Support Contact"/>
    <s v="Not Applicable"/>
    <m/>
    <s v="No drop-off"/>
    <n v="5"/>
    <n v="39"/>
    <n v="0"/>
    <x v="1"/>
    <n v="1"/>
    <n v="1"/>
    <n v="0"/>
    <n v="1"/>
  </r>
  <r>
    <x v="1038"/>
    <s v="USR-00052"/>
    <s v="SES-2601-76242"/>
    <x v="258"/>
    <s v="Yorkshire &amp; Humber"/>
    <s v="Sheffield"/>
    <x v="3"/>
    <x v="5"/>
    <x v="0"/>
    <s v="Android"/>
    <s v="Android Phone"/>
    <s v="2+ years"/>
    <x v="0"/>
    <x v="1"/>
    <x v="5"/>
    <s v="Repeat Use"/>
    <s v="Simplified Onboarding"/>
    <s v="Control"/>
    <n v="8"/>
    <n v="6"/>
    <n v="354"/>
    <s v="Yes"/>
    <x v="1"/>
    <x v="0"/>
    <x v="7"/>
    <x v="1"/>
    <n v="0"/>
    <x v="0"/>
    <x v="0"/>
    <s v="No Support Contact"/>
    <s v="No"/>
    <s v="No Support Contact"/>
    <s v="Not Applicable"/>
    <m/>
    <s v="Technical error"/>
    <n v="1"/>
    <n v="-31"/>
    <n v="16"/>
    <x v="0"/>
    <n v="0"/>
    <n v="0"/>
    <n v="1"/>
    <n v="0"/>
  </r>
  <r>
    <x v="774"/>
    <s v="USR-00301"/>
    <s v="SES-2510-56819"/>
    <x v="79"/>
    <s v="South East"/>
    <s v="Oxford"/>
    <x v="1"/>
    <x v="0"/>
    <x v="1"/>
    <s v="Android"/>
    <s v="Android Phone"/>
    <s v="7-12 months"/>
    <x v="0"/>
    <x v="4"/>
    <x v="3"/>
    <s v="Trial/Exploration"/>
    <s v="No Experiment"/>
    <s v="Control"/>
    <n v="6"/>
    <n v="3"/>
    <n v="220"/>
    <s v="Yes"/>
    <x v="0"/>
    <x v="1"/>
    <x v="1"/>
    <x v="0"/>
    <n v="0"/>
    <x v="17"/>
    <x v="0"/>
    <s v="No Support Contact"/>
    <s v="No"/>
    <s v="No Support Contact"/>
    <s v="Not Applicable"/>
    <m/>
    <s v="No drop-off"/>
    <n v="3"/>
    <n v="10"/>
    <n v="8"/>
    <x v="1"/>
    <n v="1"/>
    <n v="1"/>
    <n v="0"/>
    <n v="1"/>
  </r>
  <r>
    <x v="1039"/>
    <s v="USR-00487"/>
    <s v="SES-2506-21393"/>
    <x v="354"/>
    <s v="South East"/>
    <s v="Reading"/>
    <x v="7"/>
    <x v="2"/>
    <x v="2"/>
    <s v="Android"/>
    <s v="Android Phone"/>
    <s v="&lt;3 months"/>
    <x v="1"/>
    <x v="4"/>
    <x v="1"/>
    <s v="Repeat Use"/>
    <s v="New Cta Copy"/>
    <s v="Control"/>
    <n v="4"/>
    <n v="4"/>
    <n v="85"/>
    <s v="No"/>
    <x v="1"/>
    <x v="1"/>
    <x v="1"/>
    <x v="1"/>
    <n v="0"/>
    <x v="0"/>
    <x v="0"/>
    <s v="No Support Contact"/>
    <s v="No"/>
    <s v="No Support Contact"/>
    <s v="Not Applicable"/>
    <m/>
    <s v="Verification took too long"/>
    <n v="3"/>
    <n v="34"/>
    <n v="53"/>
    <x v="0"/>
    <n v="0"/>
    <n v="0"/>
    <n v="0"/>
    <n v="0"/>
  </r>
  <r>
    <x v="1040"/>
    <s v="USR-00808"/>
    <s v="SES-2502-32600"/>
    <x v="360"/>
    <s v="London"/>
    <s v="Hammersmith"/>
    <x v="2"/>
    <x v="0"/>
    <x v="0"/>
    <s v="Android"/>
    <s v="Android Phone"/>
    <s v="2+ years"/>
    <x v="0"/>
    <x v="5"/>
    <x v="5"/>
    <s v="Trial/Exploration"/>
    <s v="New Cta Copy"/>
    <s v="Control"/>
    <n v="8"/>
    <n v="8"/>
    <n v="244"/>
    <s v="No"/>
    <x v="0"/>
    <x v="1"/>
    <x v="1"/>
    <x v="1"/>
    <n v="0"/>
    <x v="0"/>
    <x v="0"/>
    <s v="No Support Contact"/>
    <s v="No"/>
    <s v="No Support Contact"/>
    <s v="Not Applicable"/>
    <m/>
    <s v="No drop-off"/>
    <n v="3"/>
    <n v="33"/>
    <n v="34"/>
    <x v="1"/>
    <n v="1"/>
    <n v="0"/>
    <n v="0"/>
    <n v="1"/>
  </r>
  <r>
    <x v="1041"/>
    <s v="USR-00308"/>
    <s v="SES-2511-38064"/>
    <x v="156"/>
    <s v="South West"/>
    <s v="Bristol"/>
    <x v="5"/>
    <x v="0"/>
    <x v="1"/>
    <s v="Android"/>
    <s v="Android Phone"/>
    <s v="7-12 months"/>
    <x v="0"/>
    <x v="6"/>
    <x v="7"/>
    <s v="Reactivated"/>
    <s v="Simplified Onboarding"/>
    <s v="Control"/>
    <n v="4"/>
    <n v="4"/>
    <n v="96"/>
    <s v="No"/>
    <x v="0"/>
    <x v="1"/>
    <x v="1"/>
    <x v="0"/>
    <n v="0"/>
    <x v="20"/>
    <x v="0"/>
    <s v="No Support Contact"/>
    <s v="No"/>
    <s v="No Support Contact"/>
    <s v="Not Applicable"/>
    <m/>
    <s v="No drop-off"/>
    <n v="4"/>
    <n v="12"/>
    <s v="60 days"/>
    <x v="0"/>
    <n v="1"/>
    <n v="1"/>
    <n v="0"/>
    <n v="0"/>
  </r>
  <r>
    <x v="1042"/>
    <s v="USR-00054"/>
    <s v="SES-2509-34857"/>
    <x v="128"/>
    <s v="Wales"/>
    <s v="Swansea"/>
    <x v="7"/>
    <x v="1"/>
    <x v="0"/>
    <s v="Ios"/>
    <s v="Iphone"/>
    <s v="1-2 years"/>
    <x v="1"/>
    <x v="2"/>
    <x v="4"/>
    <s v="First Use"/>
    <s v="Simplified Onboarding"/>
    <s v="Control"/>
    <n v="6"/>
    <n v="6"/>
    <n v="169"/>
    <s v="No"/>
    <x v="0"/>
    <x v="1"/>
    <x v="1"/>
    <x v="0"/>
    <n v="35.74"/>
    <x v="0"/>
    <x v="1"/>
    <s v="Fees And Pricing"/>
    <s v="Yes"/>
    <s v="Fees And Pricing"/>
    <s v="Resolved"/>
    <n v="20"/>
    <s v="No drop-off"/>
    <n v="5"/>
    <n v="64"/>
    <n v="0"/>
    <x v="1"/>
    <n v="1"/>
    <n v="1"/>
    <n v="0"/>
    <n v="1"/>
  </r>
  <r>
    <x v="1043"/>
    <s v="USR-00414"/>
    <s v="SES-2604-76519"/>
    <x v="44"/>
    <s v="East England"/>
    <s v="Ipswich"/>
    <x v="0"/>
    <x v="0"/>
    <x v="1"/>
    <s v="Web"/>
    <s v="Tablet Browser"/>
    <s v="7-12 months"/>
    <x v="0"/>
    <x v="0"/>
    <x v="5"/>
    <s v="Repeat Use"/>
    <s v="No Experiment"/>
    <s v="Control"/>
    <n v="8"/>
    <n v="8"/>
    <n v="189"/>
    <s v="No"/>
    <x v="1"/>
    <x v="1"/>
    <x v="1"/>
    <x v="1"/>
    <n v="0"/>
    <x v="0"/>
    <x v="0"/>
    <s v="No Support Contact"/>
    <s v="No"/>
    <s v="No Support Contact"/>
    <s v="Not Applicable"/>
    <m/>
    <s v="No drop-off"/>
    <n v="3"/>
    <n v="7"/>
    <n v="82"/>
    <x v="0"/>
    <n v="0"/>
    <n v="0"/>
    <n v="0"/>
    <n v="0"/>
  </r>
  <r>
    <x v="1044"/>
    <s v="USR-00485"/>
    <s v="SES-2509-53854"/>
    <x v="427"/>
    <s v="East England"/>
    <s v="Ipswich"/>
    <x v="3"/>
    <x v="1"/>
    <x v="1"/>
    <s v="Ios"/>
    <s v="Ipad"/>
    <s v="7-12 months"/>
    <x v="0"/>
    <x v="7"/>
    <x v="1"/>
    <s v="First Use"/>
    <s v="Progress Indicator"/>
    <s v="Control"/>
    <n v="4"/>
    <n v="4"/>
    <n v="90"/>
    <s v="No"/>
    <x v="0"/>
    <x v="1"/>
    <x v="1"/>
    <x v="0"/>
    <n v="119.87"/>
    <x v="4"/>
    <x v="0"/>
    <s v="No Support Contact"/>
    <s v="No"/>
    <s v="No Support Contact"/>
    <s v="Not Applicable"/>
    <m/>
    <s v="No drop-off"/>
    <n v="4"/>
    <n v="57"/>
    <n v="0"/>
    <x v="1"/>
    <n v="1"/>
    <n v="1"/>
    <n v="0"/>
    <n v="1"/>
  </r>
  <r>
    <x v="1045"/>
    <s v="USR-00150"/>
    <s v="SES-2511-29564"/>
    <x v="350"/>
    <s v="South West"/>
    <s v="Plymouth"/>
    <x v="2"/>
    <x v="2"/>
    <x v="0"/>
    <s v="Ios"/>
    <s v="Iphone"/>
    <s v="7-12 months"/>
    <x v="2"/>
    <x v="1"/>
    <x v="8"/>
    <s v="Repeat Use"/>
    <s v="Progress Indicator"/>
    <s v="Treatment"/>
    <n v="5"/>
    <n v="5"/>
    <n v="140"/>
    <s v="No"/>
    <x v="0"/>
    <x v="0"/>
    <x v="28"/>
    <x v="1"/>
    <n v="0"/>
    <x v="0"/>
    <x v="0"/>
    <s v="No Support Contact"/>
    <s v="No"/>
    <s v="No Support Contact"/>
    <s v="Not Applicable"/>
    <m/>
    <s v="No drop-off"/>
    <n v="3"/>
    <n v="40"/>
    <n v="11"/>
    <x v="0"/>
    <n v="1"/>
    <n v="0"/>
    <n v="1"/>
    <n v="0"/>
  </r>
  <r>
    <x v="1046"/>
    <s v="USR-00422"/>
    <s v="SES-2606-58845"/>
    <x v="463"/>
    <s v="London"/>
    <s v="Camden"/>
    <x v="0"/>
    <x v="1"/>
    <x v="0"/>
    <s v="Ios"/>
    <s v="Iphone"/>
    <s v="2+ years"/>
    <x v="0"/>
    <x v="2"/>
    <x v="1"/>
    <s v="Repeat Use"/>
    <s v="No Experiment"/>
    <s v="Control"/>
    <n v="4"/>
    <n v="4"/>
    <n v="116"/>
    <s v="No"/>
    <x v="0"/>
    <x v="1"/>
    <x v="1"/>
    <x v="0"/>
    <n v="130.44999999999999"/>
    <x v="6"/>
    <x v="0"/>
    <s v="No Support Contact"/>
    <s v="No"/>
    <s v="No Support Contact"/>
    <s v="Not Applicable"/>
    <m/>
    <s v="No drop-off"/>
    <n v="4"/>
    <n v="31"/>
    <n v="57"/>
    <x v="0"/>
    <n v="1"/>
    <n v="1"/>
    <n v="0"/>
    <n v="0"/>
  </r>
  <r>
    <x v="1047"/>
    <s v="USR-00125"/>
    <s v="SES-2511-92837"/>
    <x v="212"/>
    <s v="West Midlands"/>
    <s v="COVENTRY"/>
    <x v="3"/>
    <x v="2"/>
    <x v="0"/>
    <s v="Ios"/>
    <s v="Iphone"/>
    <s v="2+ years"/>
    <x v="1"/>
    <x v="1"/>
    <x v="7"/>
    <s v="First Use"/>
    <s v="No Experiment"/>
    <s v="Control"/>
    <n v="4"/>
    <n v="4"/>
    <n v="97"/>
    <s v="No"/>
    <x v="0"/>
    <x v="1"/>
    <x v="1"/>
    <x v="0"/>
    <n v="37.4"/>
    <x v="50"/>
    <x v="1"/>
    <s v="No Support Contact"/>
    <s v="No"/>
    <s v="No Support Contact"/>
    <s v="Not Applicable"/>
    <m/>
    <s v="No drop-off"/>
    <n v="3"/>
    <n v="2"/>
    <n v="0"/>
    <x v="1"/>
    <n v="1"/>
    <n v="1"/>
    <n v="0"/>
    <n v="1"/>
  </r>
  <r>
    <x v="1048"/>
    <s v="USR-00352"/>
    <s v="SES-2602-88312"/>
    <x v="462"/>
    <s v="West Midlands"/>
    <s v="Solihull"/>
    <x v="5"/>
    <x v="0"/>
    <x v="0"/>
    <s v="Web"/>
    <s v="Desktop"/>
    <s v="&lt;3 months"/>
    <x v="0"/>
    <x v="1"/>
    <x v="7"/>
    <s v="Repeat Use"/>
    <s v="No Experiment"/>
    <s v="Control"/>
    <n v="4"/>
    <n v="4"/>
    <n v="108"/>
    <s v="No"/>
    <x v="0"/>
    <x v="1"/>
    <x v="1"/>
    <x v="0"/>
    <n v="19.64"/>
    <x v="28"/>
    <x v="0"/>
    <s v="No Support Contact"/>
    <s v="No"/>
    <s v="No Support Contact"/>
    <s v="Not Applicable"/>
    <m/>
    <s v="No drop-off"/>
    <n v="5"/>
    <n v="35"/>
    <n v="29"/>
    <x v="1"/>
    <n v="1"/>
    <n v="1"/>
    <n v="0"/>
    <n v="1"/>
  </r>
  <r>
    <x v="915"/>
    <s v="USR-00248"/>
    <s v="SES-2507-36575"/>
    <x v="280"/>
    <s v="Scotland"/>
    <s v="Aberdeen"/>
    <x v="5"/>
    <x v="4"/>
    <x v="1"/>
    <s v="Ios"/>
    <s v="Iphone"/>
    <s v="2+ years"/>
    <x v="0"/>
    <x v="3"/>
    <x v="8"/>
    <s v="Repeat Use"/>
    <s v="Contextual Help"/>
    <s v="Control"/>
    <n v="5"/>
    <n v="5"/>
    <n v="93"/>
    <s v="No"/>
    <x v="0"/>
    <x v="1"/>
    <x v="1"/>
    <x v="0"/>
    <n v="76.349999999999994"/>
    <x v="0"/>
    <x v="0"/>
    <s v="No Support Contact"/>
    <s v="No"/>
    <s v="No Support Contact"/>
    <s v="Not Applicable"/>
    <m/>
    <s v="No drop-off"/>
    <n v="5"/>
    <n v="-12"/>
    <n v="37"/>
    <x v="1"/>
    <n v="1"/>
    <n v="1"/>
    <n v="0"/>
    <n v="1"/>
  </r>
  <r>
    <x v="1049"/>
    <s v="USR-00749"/>
    <s v="SES-2509-37293"/>
    <x v="189"/>
    <s v="East Midlands"/>
    <s v="Leicester"/>
    <x v="1"/>
    <x v="0"/>
    <x v="1"/>
    <s v="Android"/>
    <s v="Android Phone"/>
    <s v="7-12 months"/>
    <x v="1"/>
    <x v="5"/>
    <x v="2"/>
    <s v="First Use"/>
    <s v="No Experiment"/>
    <s v="Control"/>
    <s v="5 steps"/>
    <n v="4"/>
    <n v="250"/>
    <s v="Yes"/>
    <x v="0"/>
    <x v="1"/>
    <x v="1"/>
    <x v="0"/>
    <n v="104.1"/>
    <x v="0"/>
    <x v="1"/>
    <s v="No Support Contact"/>
    <s v="No"/>
    <s v="No Support Contact"/>
    <s v="Not Applicable"/>
    <m/>
    <s v="No drop-off"/>
    <n v="4"/>
    <n v="-7"/>
    <n v="0"/>
    <x v="1"/>
    <n v="1"/>
    <n v="1"/>
    <n v="0"/>
    <n v="1"/>
  </r>
  <r>
    <x v="1050"/>
    <s v="USR-00031"/>
    <s v="SES-2505-24576"/>
    <x v="416"/>
    <s v="London"/>
    <s v="Hammersmith"/>
    <x v="1"/>
    <x v="1"/>
    <x v="0"/>
    <s v="Web"/>
    <s v="Desktop"/>
    <s v="1-2 years"/>
    <x v="0"/>
    <x v="5"/>
    <x v="7"/>
    <s v="Repeat Use"/>
    <s v="Simplified Onboarding"/>
    <s v="Control"/>
    <n v="4"/>
    <n v="3"/>
    <n v="197"/>
    <s v="Yes"/>
    <x v="1"/>
    <x v="1"/>
    <x v="1"/>
    <x v="1"/>
    <n v="0"/>
    <x v="0"/>
    <x v="0"/>
    <s v="No Support Contact"/>
    <s v="No"/>
    <s v="No Support Contact"/>
    <s v="Not Applicable"/>
    <m/>
    <s v="Privacy concern"/>
    <n v="3"/>
    <n v="-26"/>
    <n v="32"/>
    <x v="0"/>
    <n v="0"/>
    <n v="0"/>
    <n v="0"/>
    <n v="0"/>
  </r>
  <r>
    <x v="1051"/>
    <s v="USR-00483"/>
    <s v="SES-2510-93474"/>
    <x v="99"/>
    <s v="Scotland"/>
    <s v="Edinburgh"/>
    <x v="2"/>
    <x v="3"/>
    <x v="0"/>
    <s v="Web"/>
    <s v="Mobile Browser"/>
    <s v="2+ years"/>
    <x v="0"/>
    <x v="0"/>
    <x v="2"/>
    <s v="Trial/Exploration"/>
    <s v="Progress Indicator"/>
    <s v="Treatment"/>
    <n v="5"/>
    <n v="5"/>
    <n v="131"/>
    <s v="No"/>
    <x v="0"/>
    <x v="1"/>
    <x v="1"/>
    <x v="0"/>
    <n v="21.61"/>
    <x v="0"/>
    <x v="0"/>
    <s v="No Support Contact"/>
    <s v="No"/>
    <s v="No Support Contact"/>
    <s v="Not Applicable"/>
    <m/>
    <s v="No drop-off"/>
    <n v="5"/>
    <n v="43"/>
    <n v="21"/>
    <x v="1"/>
    <n v="1"/>
    <n v="1"/>
    <n v="0"/>
    <n v="1"/>
  </r>
  <r>
    <x v="1052"/>
    <s v="USR-00549"/>
    <s v="SES-2601-57202"/>
    <x v="51"/>
    <s v="North West"/>
    <s v="Preston"/>
    <x v="5"/>
    <x v="2"/>
    <x v="1"/>
    <s v="Ios"/>
    <s v="Iphone"/>
    <s v="7-12 months"/>
    <x v="2"/>
    <x v="1"/>
    <x v="0"/>
    <s v="Repeat Use"/>
    <s v="No Experiment"/>
    <s v="Control"/>
    <n v="7"/>
    <n v="4"/>
    <n v="382"/>
    <s v="Yes"/>
    <x v="1"/>
    <x v="2"/>
    <x v="11"/>
    <x v="1"/>
    <n v="0"/>
    <x v="0"/>
    <x v="0"/>
    <s v="Transaction Failure"/>
    <s v="Yes"/>
    <s v="Transaction Failure"/>
    <s v="Unresolved"/>
    <n v="31"/>
    <s v="Too many steps"/>
    <n v="1"/>
    <n v="-17"/>
    <n v="1"/>
    <x v="1"/>
    <n v="0"/>
    <n v="0"/>
    <n v="0"/>
    <n v="1"/>
  </r>
  <r>
    <x v="1053"/>
    <s v="USR-00656"/>
    <s v="SES-2505-37339"/>
    <x v="21"/>
    <s v="Northern Ireland"/>
    <s v="Belfast"/>
    <x v="0"/>
    <x v="0"/>
    <x v="0"/>
    <s v="Ios"/>
    <s v="Iphone"/>
    <s v="3-6 months"/>
    <x v="0"/>
    <x v="8"/>
    <x v="7"/>
    <s v="Repeat Use"/>
    <s v="No Experiment"/>
    <s v="Control"/>
    <s v="4 steps"/>
    <n v="4"/>
    <n v="100"/>
    <s v="Unknown"/>
    <x v="0"/>
    <x v="1"/>
    <x v="1"/>
    <x v="0"/>
    <n v="92.48"/>
    <x v="20"/>
    <x v="0"/>
    <s v="No Support Contact"/>
    <s v="No"/>
    <s v="No Support Contact"/>
    <s v="Not Applicable"/>
    <m/>
    <s v="No drop-off"/>
    <n v="5"/>
    <n v="26"/>
    <n v="41"/>
    <x v="2"/>
    <n v="1"/>
    <n v="1"/>
    <n v="0"/>
    <n v="0"/>
  </r>
  <r>
    <x v="1054"/>
    <s v="USR-00376"/>
    <s v="SES-2604-27720"/>
    <x v="278"/>
    <s v="Yorkshire &amp; Humber"/>
    <s v="Leeds"/>
    <x v="3"/>
    <x v="2"/>
    <x v="1"/>
    <s v="Ios"/>
    <s v="Ipad"/>
    <s v="3-6 months"/>
    <x v="0"/>
    <x v="0"/>
    <x v="1"/>
    <s v="Trial/Exploration"/>
    <s v="No Experiment"/>
    <s v="Control"/>
    <n v="4"/>
    <n v="4"/>
    <n v="107"/>
    <s v="No"/>
    <x v="1"/>
    <x v="1"/>
    <x v="1"/>
    <x v="0"/>
    <n v="164.47"/>
    <x v="1"/>
    <x v="0"/>
    <s v="Fees And Pricing"/>
    <s v="Yes"/>
    <s v="Fees And Pricing"/>
    <s v="Resolved"/>
    <n v="38"/>
    <s v="No drop-off"/>
    <n v="4"/>
    <n v="59"/>
    <n v="46"/>
    <x v="1"/>
    <n v="0"/>
    <n v="1"/>
    <n v="0"/>
    <n v="1"/>
  </r>
  <r>
    <x v="1055"/>
    <s v="USR-00176"/>
    <s v="SES-2601-45994"/>
    <x v="155"/>
    <s v="Wales"/>
    <s v="Newport"/>
    <x v="0"/>
    <x v="1"/>
    <x v="2"/>
    <s v="Ios"/>
    <s v="Iphone"/>
    <s v="1-2 years"/>
    <x v="2"/>
    <x v="4"/>
    <x v="4"/>
    <s v="First Use"/>
    <s v="No Experiment"/>
    <s v="Control"/>
    <n v="6"/>
    <n v="6"/>
    <n v="144"/>
    <s v="No"/>
    <x v="0"/>
    <x v="1"/>
    <x v="1"/>
    <x v="0"/>
    <n v="11.54"/>
    <x v="0"/>
    <x v="2"/>
    <s v="No Support Contact"/>
    <s v="No"/>
    <s v="No Support Contact"/>
    <s v="Not Applicable"/>
    <m/>
    <s v="No drop-off"/>
    <n v="4"/>
    <n v="13"/>
    <n v="0"/>
    <x v="0"/>
    <n v="1"/>
    <n v="1"/>
    <n v="0"/>
    <n v="0"/>
  </r>
  <r>
    <x v="1056"/>
    <s v="USR-00202"/>
    <s v="SES-2604-20278"/>
    <x v="330"/>
    <s v="North West"/>
    <s v="Liverpool"/>
    <x v="1"/>
    <x v="1"/>
    <x v="1"/>
    <s v="Android"/>
    <s v="Android Phone"/>
    <s v="7-12 months"/>
    <x v="0"/>
    <x v="1"/>
    <x v="2"/>
    <s v="Reactivated"/>
    <s v="Simplified Onboarding"/>
    <s v="Control"/>
    <s v="5 steps"/>
    <n v="3"/>
    <n v="211"/>
    <s v="Yes"/>
    <x v="1"/>
    <x v="1"/>
    <x v="1"/>
    <x v="0"/>
    <n v="34.78"/>
    <x v="0"/>
    <x v="0"/>
    <s v="No Support Contact"/>
    <s v="No"/>
    <s v="No Support Contact"/>
    <s v="Not Applicable"/>
    <m/>
    <s v="Instructions unclear"/>
    <n v="4"/>
    <n v="-29"/>
    <n v="36"/>
    <x v="1"/>
    <n v="0"/>
    <n v="1"/>
    <n v="0"/>
    <n v="1"/>
  </r>
  <r>
    <x v="1057"/>
    <s v="USR-00835"/>
    <s v="SES-2502-13582"/>
    <x v="286"/>
    <s v="East England"/>
    <s v="Norwich"/>
    <x v="3"/>
    <x v="4"/>
    <x v="1"/>
    <s v="Android"/>
    <s v="Android Phone"/>
    <s v="3-6 months"/>
    <x v="2"/>
    <x v="5"/>
    <x v="3"/>
    <s v="Repeat Use"/>
    <s v="No Experiment"/>
    <s v="Control"/>
    <n v="6"/>
    <n v="6"/>
    <n v="189"/>
    <s v="No"/>
    <x v="1"/>
    <x v="1"/>
    <x v="1"/>
    <x v="1"/>
    <n v="0"/>
    <x v="0"/>
    <x v="0"/>
    <s v="No Support Contact"/>
    <s v="No"/>
    <s v="No Support Contact"/>
    <s v="Not Applicable"/>
    <m/>
    <s v="Too many steps"/>
    <n v="3"/>
    <n v="34"/>
    <n v="20"/>
    <x v="0"/>
    <n v="0"/>
    <n v="0"/>
    <n v="0"/>
    <n v="0"/>
  </r>
  <r>
    <x v="1058"/>
    <s v="USR-00610"/>
    <s v="SES-2606-25263"/>
    <x v="347"/>
    <s v="South East"/>
    <s v="Canterbury"/>
    <x v="7"/>
    <x v="5"/>
    <x v="0"/>
    <s v="Ios"/>
    <s v="Iphone"/>
    <s v="2+ years"/>
    <x v="0"/>
    <x v="1"/>
    <x v="0"/>
    <s v="Repeat Use"/>
    <s v="New Cta Copy"/>
    <s v="Control"/>
    <n v="7"/>
    <n v="7"/>
    <n v="194"/>
    <s v="No"/>
    <x v="1"/>
    <x v="1"/>
    <x v="1"/>
    <x v="1"/>
    <n v="0"/>
    <x v="0"/>
    <x v="0"/>
    <s v="No Support Contact"/>
    <s v="No"/>
    <s v="No Support Contact"/>
    <s v="Not Applicable"/>
    <m/>
    <s v="Changed mind"/>
    <n v="2"/>
    <n v="-8"/>
    <n v="46"/>
    <x v="1"/>
    <n v="0"/>
    <n v="0"/>
    <n v="0"/>
    <n v="1"/>
  </r>
  <r>
    <x v="1059"/>
    <s v="USR-00685"/>
    <s v="SES-2506-43749"/>
    <x v="336"/>
    <s v="North West"/>
    <s v="Chester"/>
    <x v="0"/>
    <x v="4"/>
    <x v="1"/>
    <s v="Ios"/>
    <s v="Iphone"/>
    <s v="1-2 years"/>
    <x v="0"/>
    <x v="1"/>
    <x v="2"/>
    <s v="Repeat Use"/>
    <s v="No Experiment"/>
    <s v="Control"/>
    <n v="5"/>
    <s v="5 steps"/>
    <n v="115"/>
    <s v="No"/>
    <x v="0"/>
    <x v="1"/>
    <x v="1"/>
    <x v="0"/>
    <n v="18.89"/>
    <x v="0"/>
    <x v="0"/>
    <s v="No Support Contact"/>
    <s v="No"/>
    <s v="No Support Contact"/>
    <s v="Not Applicable"/>
    <m/>
    <s v="No drop-off"/>
    <n v="4"/>
    <n v="75"/>
    <n v="25"/>
    <x v="1"/>
    <n v="1"/>
    <n v="1"/>
    <n v="0"/>
    <n v="1"/>
  </r>
  <r>
    <x v="1060"/>
    <s v="USR-00403"/>
    <s v="SES-2501-86479"/>
    <x v="404"/>
    <s v="Northern Ireland"/>
    <s v="Newry"/>
    <x v="3"/>
    <x v="2"/>
    <x v="1"/>
    <s v="Ios"/>
    <s v="Iphone"/>
    <s v="1-2 years"/>
    <x v="0"/>
    <x v="1"/>
    <x v="5"/>
    <s v="Repeat Use"/>
    <s v="No Experiment"/>
    <s v="Control"/>
    <n v="8"/>
    <s v="8 steps"/>
    <n v="195"/>
    <s v="No"/>
    <x v="1"/>
    <x v="1"/>
    <x v="1"/>
    <x v="1"/>
    <n v="0"/>
    <x v="0"/>
    <x v="0"/>
    <s v="No Support Contact"/>
    <s v="No"/>
    <s v="No Support Contact"/>
    <s v="Not Applicable"/>
    <m/>
    <s v="Instructions unclear"/>
    <n v="2"/>
    <n v="-38"/>
    <n v="19"/>
    <x v="1"/>
    <n v="0"/>
    <n v="0"/>
    <n v="0"/>
    <n v="1"/>
  </r>
  <r>
    <x v="1061"/>
    <s v="USR-00497"/>
    <s v="SES-2507-80831"/>
    <x v="69"/>
    <s v="East Midlands"/>
    <s v="Leicester"/>
    <x v="2"/>
    <x v="0"/>
    <x v="1"/>
    <s v="Android"/>
    <s v="Android Phone"/>
    <s v="3-6 months"/>
    <x v="0"/>
    <x v="4"/>
    <x v="0"/>
    <s v="Repeat Use"/>
    <s v="Progress Indicator"/>
    <s v="Treatment"/>
    <n v="7"/>
    <n v="6"/>
    <n v="291"/>
    <s v="Yes"/>
    <x v="1"/>
    <x v="1"/>
    <x v="1"/>
    <x v="1"/>
    <n v="0"/>
    <x v="0"/>
    <x v="0"/>
    <s v="Fees And Pricing"/>
    <s v="Yes"/>
    <s v="Fees And Pricing"/>
    <s v="Unresolved"/>
    <n v="19"/>
    <s v="Instructions unclear"/>
    <n v="2"/>
    <n v="20"/>
    <n v="2"/>
    <x v="1"/>
    <n v="0"/>
    <n v="0"/>
    <n v="0"/>
    <n v="1"/>
  </r>
  <r>
    <x v="1062"/>
    <s v="USR-00295"/>
    <s v="SES-2502-60098"/>
    <x v="352"/>
    <s v="North West"/>
    <s v="Chester"/>
    <x v="5"/>
    <x v="2"/>
    <x v="1"/>
    <s v="Android"/>
    <s v="Android Phone"/>
    <s v="2+ years"/>
    <x v="3"/>
    <x v="0"/>
    <x v="2"/>
    <s v="Reactivated"/>
    <s v="New Cta Copy"/>
    <s v="Treatment"/>
    <n v="5"/>
    <n v="3"/>
    <n v="233"/>
    <s v="Yes"/>
    <x v="0"/>
    <x v="1"/>
    <x v="1"/>
    <x v="0"/>
    <n v="17.809999999999999"/>
    <x v="0"/>
    <x v="0"/>
    <s v="No Support Contact"/>
    <s v="No"/>
    <s v="No Support Contact"/>
    <s v="Not Applicable"/>
    <m/>
    <s v="No drop-off"/>
    <n v="4"/>
    <n v="26"/>
    <n v="14"/>
    <x v="0"/>
    <n v="1"/>
    <n v="1"/>
    <n v="0"/>
    <n v="0"/>
  </r>
  <r>
    <x v="397"/>
    <s v="USR-00265"/>
    <s v="SES-2601-49356"/>
    <x v="470"/>
    <s v="Northern Ireland"/>
    <s v="Belfast"/>
    <x v="3"/>
    <x v="0"/>
    <x v="1"/>
    <s v="Web"/>
    <s v="Desktop"/>
    <s v="2+ years"/>
    <x v="0"/>
    <x v="0"/>
    <x v="0"/>
    <s v="Repeat Use"/>
    <s v="New Cta Copy"/>
    <s v="Treatment"/>
    <n v="7"/>
    <n v="7"/>
    <n v="221"/>
    <s v="No"/>
    <x v="0"/>
    <x v="1"/>
    <x v="1"/>
    <x v="1"/>
    <n v="0"/>
    <x v="0"/>
    <x v="0"/>
    <s v="No Support Contact"/>
    <s v="No"/>
    <s v="No Support Contact"/>
    <s v="Not Applicable"/>
    <m/>
    <s v="No drop-off"/>
    <n v="4"/>
    <n v="7"/>
    <n v="16"/>
    <x v="0"/>
    <n v="1"/>
    <n v="0"/>
    <n v="0"/>
    <n v="0"/>
  </r>
  <r>
    <x v="1063"/>
    <s v="USR-00695"/>
    <s v="SES-2512-35171"/>
    <x v="12"/>
    <s v="South East"/>
    <s v="Canterbury"/>
    <x v="3"/>
    <x v="1"/>
    <x v="0"/>
    <s v="Ios"/>
    <s v="Iphone"/>
    <s v="1-2 years"/>
    <x v="0"/>
    <x v="5"/>
    <x v="5"/>
    <s v="Repeat Use"/>
    <s v="No Experiment"/>
    <s v="Control"/>
    <n v="8"/>
    <n v="5"/>
    <n v="232"/>
    <s v="Yes"/>
    <x v="1"/>
    <x v="1"/>
    <x v="1"/>
    <x v="1"/>
    <n v="0"/>
    <x v="0"/>
    <x v="0"/>
    <s v="No Support Contact"/>
    <s v="No"/>
    <s v="No Support Contact"/>
    <s v="Not Applicable"/>
    <m/>
    <s v="Too many steps"/>
    <n v="3"/>
    <n v="-26"/>
    <n v="24"/>
    <x v="1"/>
    <n v="0"/>
    <n v="0"/>
    <n v="0"/>
    <n v="1"/>
  </r>
  <r>
    <x v="1064"/>
    <s v="USR-00643"/>
    <s v="SES-2509-29393"/>
    <x v="284"/>
    <s v="Yorkshire &amp; Humber"/>
    <s v="Leeds"/>
    <x v="1"/>
    <x v="2"/>
    <x v="0"/>
    <s v="Ios"/>
    <s v="Iphone"/>
    <s v="3-6 months"/>
    <x v="1"/>
    <x v="7"/>
    <x v="1"/>
    <s v="First Use"/>
    <s v="Progress Indicator"/>
    <s v="Treatment"/>
    <n v="4"/>
    <n v="4"/>
    <n v="83"/>
    <s v="No"/>
    <x v="0"/>
    <x v="1"/>
    <x v="1"/>
    <x v="0"/>
    <n v="178.58"/>
    <x v="7"/>
    <x v="1"/>
    <s v="No Support Contact"/>
    <s v="No"/>
    <s v="No Support Contact"/>
    <s v="Not Applicable"/>
    <m/>
    <s v="No drop-off"/>
    <n v="5"/>
    <n v="73"/>
    <n v="0"/>
    <x v="1"/>
    <n v="1"/>
    <n v="1"/>
    <n v="0"/>
    <n v="1"/>
  </r>
  <r>
    <x v="1065"/>
    <s v="USR-00655"/>
    <s v="SES-2602-76894"/>
    <x v="164"/>
    <s v="Wales"/>
    <s v="Cardiff"/>
    <x v="0"/>
    <x v="0"/>
    <x v="0"/>
    <s v="Ios"/>
    <s v="Iphone"/>
    <s v="2+ years"/>
    <x v="0"/>
    <x v="4"/>
    <x v="3"/>
    <s v="First Use"/>
    <s v="Contextual Help"/>
    <s v="Treatment"/>
    <n v="6"/>
    <n v="6"/>
    <n v="133"/>
    <s v="No"/>
    <x v="0"/>
    <x v="1"/>
    <x v="1"/>
    <x v="0"/>
    <n v="0"/>
    <x v="2"/>
    <x v="0"/>
    <s v="No Support Contact"/>
    <s v="No"/>
    <s v="No Support Contact"/>
    <s v="Not Applicable"/>
    <m/>
    <s v="No drop-off"/>
    <n v="4"/>
    <n v="-5"/>
    <n v="0"/>
    <x v="0"/>
    <n v="1"/>
    <n v="1"/>
    <n v="0"/>
    <n v="0"/>
  </r>
  <r>
    <x v="1066"/>
    <s v="USR-00015"/>
    <s v="SES-2508-30442"/>
    <x v="324"/>
    <s v="North East"/>
    <s v="Middlesbrough"/>
    <x v="4"/>
    <x v="3"/>
    <x v="1"/>
    <s v="Ios"/>
    <s v="Iphone"/>
    <s v="7-12 months"/>
    <x v="0"/>
    <x v="5"/>
    <x v="5"/>
    <s v="Repeat Use"/>
    <s v="Simplified Onboarding"/>
    <s v="Control"/>
    <n v="8"/>
    <n v="8"/>
    <n v="161"/>
    <s v="No"/>
    <x v="0"/>
    <x v="1"/>
    <x v="1"/>
    <x v="0"/>
    <n v="412.23"/>
    <x v="77"/>
    <x v="0"/>
    <s v="Transaction Failure"/>
    <s v="Yes"/>
    <s v="Transaction Failure"/>
    <s v="Resolved"/>
    <n v="32"/>
    <s v="No drop-off"/>
    <n v="3"/>
    <n v="23"/>
    <n v="61"/>
    <x v="1"/>
    <n v="1"/>
    <n v="1"/>
    <n v="0"/>
    <n v="1"/>
  </r>
  <r>
    <x v="1067"/>
    <s v="USR-00580"/>
    <s v="SES-2506-86073"/>
    <x v="471"/>
    <s v="Yorkshire &amp; Humber"/>
    <s v="Hull"/>
    <x v="0"/>
    <x v="0"/>
    <x v="1"/>
    <s v="Android"/>
    <s v="Android Phone"/>
    <s v="3-6 months"/>
    <x v="0"/>
    <x v="4"/>
    <x v="3"/>
    <s v="First Use"/>
    <s v="Progress Indicator"/>
    <s v="Control"/>
    <n v="6"/>
    <n v="6"/>
    <n v="118"/>
    <s v="No"/>
    <x v="1"/>
    <x v="1"/>
    <x v="1"/>
    <x v="1"/>
    <n v="0"/>
    <x v="0"/>
    <x v="0"/>
    <s v="No Support Contact"/>
    <s v="No"/>
    <s v="No Support Contact"/>
    <s v="Not Applicable"/>
    <m/>
    <s v="Too many steps"/>
    <n v="3"/>
    <n v="-24"/>
    <n v="0"/>
    <x v="1"/>
    <n v="0"/>
    <n v="0"/>
    <n v="0"/>
    <n v="1"/>
  </r>
  <r>
    <x v="1068"/>
    <s v="USR-00328"/>
    <s v="SES-2502-83881"/>
    <x v="472"/>
    <s v="East Midlands"/>
    <s v="Leicester"/>
    <x v="2"/>
    <x v="2"/>
    <x v="1"/>
    <s v="Ios"/>
    <s v="Iphone"/>
    <s v="&lt;3 months"/>
    <x v="3"/>
    <x v="4"/>
    <x v="5"/>
    <s v="First Use"/>
    <s v="No Experiment"/>
    <s v="Control"/>
    <n v="8"/>
    <n v="8"/>
    <n v="175"/>
    <s v="No"/>
    <x v="0"/>
    <x v="1"/>
    <x v="1"/>
    <x v="1"/>
    <n v="0"/>
    <x v="0"/>
    <x v="0"/>
    <s v="No Support Contact"/>
    <s v="No"/>
    <s v="No Support Contact"/>
    <s v="Not Applicable"/>
    <m/>
    <s v="No drop-off"/>
    <n v="4"/>
    <n v="55"/>
    <n v="0"/>
    <x v="1"/>
    <n v="1"/>
    <n v="0"/>
    <n v="0"/>
    <n v="1"/>
  </r>
  <r>
    <x v="1069"/>
    <s v="USR-00453"/>
    <s v="SES-2508-45495"/>
    <x v="199"/>
    <s v="East England"/>
    <s v="Ipswich"/>
    <x v="3"/>
    <x v="2"/>
    <x v="0"/>
    <s v="Ios"/>
    <s v="Iphone"/>
    <s v="7-12 months"/>
    <x v="0"/>
    <x v="7"/>
    <x v="8"/>
    <s v="Trial/Exploration"/>
    <s v="Simplified Onboarding"/>
    <s v="Control"/>
    <n v="5"/>
    <n v="5"/>
    <n v="135"/>
    <s v="No"/>
    <x v="0"/>
    <x v="1"/>
    <x v="1"/>
    <x v="0"/>
    <n v="0"/>
    <x v="0"/>
    <x v="0"/>
    <s v="No Support Contact"/>
    <s v="No"/>
    <s v="No Support Contact"/>
    <s v="Not Applicable"/>
    <m/>
    <s v="No drop-off"/>
    <n v="4"/>
    <n v="47"/>
    <n v="44"/>
    <x v="1"/>
    <n v="1"/>
    <n v="1"/>
    <n v="0"/>
    <n v="1"/>
  </r>
  <r>
    <x v="1070"/>
    <s v="USR-00290"/>
    <s v="SES-2606-11058"/>
    <x v="87"/>
    <s v="Northern Ireland"/>
    <s v="Lisburn"/>
    <x v="1"/>
    <x v="1"/>
    <x v="1"/>
    <s v="Web"/>
    <s v="Desktop"/>
    <s v="&lt;3 months"/>
    <x v="0"/>
    <x v="5"/>
    <x v="5"/>
    <s v="First Use"/>
    <s v="Contextual Help"/>
    <s v="Control"/>
    <n v="8"/>
    <n v="8"/>
    <n v="195"/>
    <s v="No"/>
    <x v="1"/>
    <x v="1"/>
    <x v="1"/>
    <x v="1"/>
    <n v="0"/>
    <x v="0"/>
    <x v="0"/>
    <s v="Transaction Failure"/>
    <s v="Yes"/>
    <s v="Transaction Failure"/>
    <s v="Resolved"/>
    <n v="22"/>
    <s v="Unexpected fee"/>
    <n v="2"/>
    <n v="15"/>
    <n v="0"/>
    <x v="1"/>
    <n v="0"/>
    <n v="0"/>
    <n v="0"/>
    <n v="1"/>
  </r>
  <r>
    <x v="1071"/>
    <s v="USR-00196"/>
    <s v="SES-2501-53144"/>
    <x v="68"/>
    <s v="North East"/>
    <s v="Middlesbrough"/>
    <x v="3"/>
    <x v="3"/>
    <x v="2"/>
    <s v="Android"/>
    <s v="Android Phone"/>
    <s v="3-6 months"/>
    <x v="0"/>
    <x v="6"/>
    <x v="4"/>
    <s v="Repeat Use"/>
    <s v="Simplified Onboarding"/>
    <s v="Control"/>
    <n v="6"/>
    <n v="6"/>
    <n v="138"/>
    <s v="No"/>
    <x v="0"/>
    <x v="1"/>
    <x v="1"/>
    <x v="0"/>
    <n v="41.14"/>
    <x v="0"/>
    <x v="0"/>
    <s v="No Support Contact"/>
    <s v="No"/>
    <s v="No Support Contact"/>
    <s v="Not Applicable"/>
    <m/>
    <s v="No drop-off"/>
    <n v="3"/>
    <n v="57"/>
    <n v="12"/>
    <x v="1"/>
    <n v="1"/>
    <n v="1"/>
    <n v="0"/>
    <n v="1"/>
  </r>
  <r>
    <x v="1072"/>
    <s v="USR-00564"/>
    <s v="SES-2503-51866"/>
    <x v="340"/>
    <s v="Scotland"/>
    <s v="Edinburgh"/>
    <x v="5"/>
    <x v="3"/>
    <x v="1"/>
    <s v="Android"/>
    <s v="Android Phone"/>
    <s v="7-12 months"/>
    <x v="0"/>
    <x v="4"/>
    <x v="3"/>
    <s v="Reactivated"/>
    <s v="Contextual Help"/>
    <s v="Control"/>
    <n v="6"/>
    <n v="4"/>
    <n v="237"/>
    <s v="Yes"/>
    <x v="0"/>
    <x v="1"/>
    <x v="1"/>
    <x v="0"/>
    <n v="46.34"/>
    <x v="2"/>
    <x v="0"/>
    <s v="No Support Contact"/>
    <s v="No"/>
    <s v="No Support Contact"/>
    <s v="Not Applicable"/>
    <m/>
    <s v="No drop-off"/>
    <n v="4"/>
    <n v="-19"/>
    <n v="45"/>
    <x v="1"/>
    <n v="1"/>
    <n v="1"/>
    <n v="0"/>
    <n v="1"/>
  </r>
  <r>
    <x v="1073"/>
    <s v="USR-00625"/>
    <s v="SES-2604-52683"/>
    <x v="76"/>
    <s v="East Midlands"/>
    <s v="Leicester"/>
    <x v="7"/>
    <x v="0"/>
    <x v="1"/>
    <s v="Ios"/>
    <s v="Iphone"/>
    <s v="7-12 months"/>
    <x v="0"/>
    <x v="1"/>
    <x v="7"/>
    <s v="Repeat Use"/>
    <s v="Fee Transparency Panel"/>
    <s v="Treatment"/>
    <n v="4"/>
    <n v="4"/>
    <n v="104"/>
    <s v="No"/>
    <x v="0"/>
    <x v="0"/>
    <x v="26"/>
    <x v="0"/>
    <n v="84.39"/>
    <x v="13"/>
    <x v="0"/>
    <s v="No Support Contact"/>
    <s v="No"/>
    <s v="No Support Contact"/>
    <s v="Not Applicable"/>
    <m/>
    <s v="No drop-off"/>
    <n v="3"/>
    <n v="-38"/>
    <n v="11"/>
    <x v="1"/>
    <n v="1"/>
    <n v="1"/>
    <n v="1"/>
    <n v="1"/>
  </r>
  <r>
    <x v="1074"/>
    <s v="USR-00549"/>
    <s v="SES-2506-85458"/>
    <x v="131"/>
    <s v="North West"/>
    <s v="Preston"/>
    <x v="2"/>
    <x v="4"/>
    <x v="1"/>
    <s v="Android"/>
    <s v="Android Phone"/>
    <s v="2+ years"/>
    <x v="0"/>
    <x v="7"/>
    <x v="3"/>
    <s v="Repeat Use"/>
    <s v="Contextual Help"/>
    <s v="Treatment"/>
    <n v="6"/>
    <n v="5"/>
    <n v="183"/>
    <s v="Yes"/>
    <x v="0"/>
    <x v="1"/>
    <x v="1"/>
    <x v="1"/>
    <n v="0"/>
    <x v="0"/>
    <x v="0"/>
    <s v="No Support Contact"/>
    <s v="No"/>
    <s v="No Support Contact"/>
    <s v="Not Applicable"/>
    <m/>
    <s v="No drop-off"/>
    <n v="4"/>
    <n v="35"/>
    <n v="27"/>
    <x v="1"/>
    <n v="1"/>
    <n v="0"/>
    <n v="0"/>
    <n v="1"/>
  </r>
  <r>
    <x v="1075"/>
    <s v="USR-00714"/>
    <s v="SES-2606-29084"/>
    <x v="473"/>
    <s v="North West"/>
    <s v="Chester"/>
    <x v="2"/>
    <x v="1"/>
    <x v="0"/>
    <s v="Android"/>
    <s v="Android Phone"/>
    <s v="1-2 years"/>
    <x v="0"/>
    <x v="5"/>
    <x v="1"/>
    <s v="First Use"/>
    <s v="Simplified Onboarding"/>
    <s v="Treatment"/>
    <n v="4"/>
    <n v="4"/>
    <n v="139"/>
    <s v="No"/>
    <x v="0"/>
    <x v="0"/>
    <x v="14"/>
    <x v="0"/>
    <n v="111.79"/>
    <x v="25"/>
    <x v="0"/>
    <s v="No Support Contact"/>
    <s v="No"/>
    <s v="No Support Contact"/>
    <s v="Not Applicable"/>
    <m/>
    <s v="No drop-off"/>
    <n v="5"/>
    <n v="-10"/>
    <n v="0"/>
    <x v="0"/>
    <n v="1"/>
    <n v="1"/>
    <n v="1"/>
    <n v="0"/>
  </r>
  <r>
    <x v="1076"/>
    <s v="USR-00325"/>
    <s v="SES-2503-32886"/>
    <x v="294"/>
    <s v="Yorkshire &amp; Humber"/>
    <s v="Leeds"/>
    <x v="2"/>
    <x v="3"/>
    <x v="0"/>
    <s v="Android"/>
    <s v="Android Phone"/>
    <s v="7-12 months"/>
    <x v="1"/>
    <x v="1"/>
    <x v="1"/>
    <s v="First Use"/>
    <s v="Contextual Help"/>
    <s v="Treatment"/>
    <n v="4"/>
    <n v="4"/>
    <n v="84"/>
    <s v="No"/>
    <x v="0"/>
    <x v="1"/>
    <x v="1"/>
    <x v="0"/>
    <n v="-10"/>
    <x v="4"/>
    <x v="1"/>
    <s v="No Support Contact"/>
    <s v="No"/>
    <s v="No Support Contact"/>
    <s v="Not Applicable"/>
    <m/>
    <s v="No drop-off"/>
    <n v="5"/>
    <n v="52"/>
    <n v="0"/>
    <x v="1"/>
    <n v="1"/>
    <n v="1"/>
    <n v="0"/>
    <n v="1"/>
  </r>
  <r>
    <x v="1077"/>
    <s v="USR-00144"/>
    <s v="SES-2505-31261"/>
    <x v="474"/>
    <s v="Northern Ireland"/>
    <s v="Derry"/>
    <x v="1"/>
    <x v="3"/>
    <x v="0"/>
    <s v="Web"/>
    <s v="Desktop"/>
    <s v="1-2 years"/>
    <x v="0"/>
    <x v="2"/>
    <x v="4"/>
    <s v="Repeat Use"/>
    <s v="No Experiment"/>
    <s v="Control"/>
    <n v="6"/>
    <n v="6"/>
    <n v="151"/>
    <s v="No"/>
    <x v="0"/>
    <x v="1"/>
    <x v="1"/>
    <x v="0"/>
    <n v="0"/>
    <x v="0"/>
    <x v="0"/>
    <s v="No Support Contact"/>
    <s v="No"/>
    <s v="No Support Contact"/>
    <s v="Not Applicable"/>
    <m/>
    <s v="No drop-off"/>
    <n v="4"/>
    <n v="32"/>
    <n v="14"/>
    <x v="1"/>
    <n v="1"/>
    <n v="1"/>
    <n v="0"/>
    <n v="1"/>
  </r>
  <r>
    <x v="1078"/>
    <s v="USR-00603"/>
    <s v="SES-2601-69818"/>
    <x v="51"/>
    <s v="East Midlands"/>
    <s v="Lincoln"/>
    <x v="0"/>
    <x v="0"/>
    <x v="1"/>
    <s v="Android"/>
    <s v="Android Phone"/>
    <s v="1-2 years"/>
    <x v="0"/>
    <x v="6"/>
    <x v="2"/>
    <s v="Trial/Exploration"/>
    <s v="No Experiment"/>
    <s v="Control"/>
    <n v="5"/>
    <n v="5"/>
    <n v="102"/>
    <s v="Unknown"/>
    <x v="0"/>
    <x v="1"/>
    <x v="1"/>
    <x v="0"/>
    <n v="138.34"/>
    <x v="0"/>
    <x v="0"/>
    <s v="Account Verification"/>
    <s v="Yes"/>
    <s v="Account Verification"/>
    <s v="Resolved"/>
    <n v="14"/>
    <s v="No drop-off"/>
    <n v="4"/>
    <n v="4"/>
    <n v="30"/>
    <x v="1"/>
    <n v="1"/>
    <n v="1"/>
    <n v="0"/>
    <n v="1"/>
  </r>
  <r>
    <x v="1079"/>
    <s v="USR-00466"/>
    <s v="SES-2512-59612"/>
    <x v="395"/>
    <s v="North West"/>
    <s v="Manchester"/>
    <x v="2"/>
    <x v="4"/>
    <x v="0"/>
    <s v="Web"/>
    <s v="Desktop"/>
    <s v="2+ years"/>
    <x v="0"/>
    <x v="6"/>
    <x v="5"/>
    <s v="Repeat Use"/>
    <s v="No Experiment"/>
    <s v="Control"/>
    <n v="8"/>
    <s v="8 steps"/>
    <n v="239"/>
    <s v="No"/>
    <x v="1"/>
    <x v="1"/>
    <x v="1"/>
    <x v="1"/>
    <n v="0"/>
    <x v="0"/>
    <x v="0"/>
    <s v="No Support Contact"/>
    <s v="No"/>
    <s v="No Support Contact"/>
    <s v="Not Applicable"/>
    <m/>
    <s v="No drop-off"/>
    <n v="3"/>
    <n v="-31"/>
    <n v="8"/>
    <x v="0"/>
    <n v="0"/>
    <n v="0"/>
    <n v="0"/>
    <n v="0"/>
  </r>
  <r>
    <x v="1080"/>
    <s v="USR-00378"/>
    <s v="SES-2502-84520"/>
    <x v="171"/>
    <s v="London"/>
    <s v="Camden"/>
    <x v="2"/>
    <x v="0"/>
    <x v="2"/>
    <s v="Ios"/>
    <s v="Iphone"/>
    <s v="&lt;3 months"/>
    <x v="0"/>
    <x v="5"/>
    <x v="7"/>
    <s v="Repeat Use"/>
    <s v="No Experiment"/>
    <s v="Control"/>
    <n v="4"/>
    <n v="4"/>
    <n v="106"/>
    <s v="No"/>
    <x v="0"/>
    <x v="1"/>
    <x v="1"/>
    <x v="0"/>
    <n v="28.12"/>
    <x v="42"/>
    <x v="0"/>
    <s v="Fees And Pricing"/>
    <s v="Yes"/>
    <s v="Fees And Pricing"/>
    <s v="Resolved"/>
    <n v="16"/>
    <s v="No drop-off"/>
    <n v="5"/>
    <n v="29"/>
    <n v="37"/>
    <x v="0"/>
    <n v="1"/>
    <n v="1"/>
    <n v="0"/>
    <n v="0"/>
  </r>
  <r>
    <x v="1081"/>
    <s v="USR-00085"/>
    <s v="SES-2501-49611"/>
    <x v="100"/>
    <s v="East Midlands"/>
    <s v="Leicester"/>
    <x v="0"/>
    <x v="0"/>
    <x v="0"/>
    <s v="Android"/>
    <s v="Android Phone"/>
    <s v="&lt;3 months"/>
    <x v="0"/>
    <x v="5"/>
    <x v="7"/>
    <s v="Repeat Use"/>
    <s v="No Experiment"/>
    <s v="Control"/>
    <n v="4"/>
    <n v="4"/>
    <n v="99"/>
    <s v="No"/>
    <x v="0"/>
    <x v="1"/>
    <x v="1"/>
    <x v="0"/>
    <n v="91.11"/>
    <x v="32"/>
    <x v="0"/>
    <s v="No Support Contact"/>
    <s v="No"/>
    <s v="No Support Contact"/>
    <s v="N/A"/>
    <m/>
    <s v="No drop-off"/>
    <n v="5"/>
    <n v="24"/>
    <n v="37"/>
    <x v="1"/>
    <n v="1"/>
    <n v="1"/>
    <n v="0"/>
    <n v="1"/>
  </r>
  <r>
    <x v="1082"/>
    <s v="USR-00116"/>
    <s v="SES-2501-55647"/>
    <x v="299"/>
    <s v="North East"/>
    <s v="Middlesbrough"/>
    <x v="3"/>
    <x v="2"/>
    <x v="0"/>
    <s v="Ios"/>
    <s v="Iphone"/>
    <s v="&lt;3 months"/>
    <x v="0"/>
    <x v="7"/>
    <x v="8"/>
    <s v="Reactivated"/>
    <s v="No Experiment"/>
    <s v="Control"/>
    <s v="5 steps"/>
    <n v="5"/>
    <n v="150"/>
    <s v="No"/>
    <x v="0"/>
    <x v="1"/>
    <x v="1"/>
    <x v="0"/>
    <n v="0"/>
    <x v="0"/>
    <x v="0"/>
    <s v="No Support Contact"/>
    <s v="No"/>
    <s v="No Support Contact"/>
    <s v="Not Applicable"/>
    <m/>
    <s v="No drop-off"/>
    <n v="5"/>
    <n v="42"/>
    <n v="32"/>
    <x v="0"/>
    <n v="1"/>
    <n v="1"/>
    <n v="0"/>
    <n v="0"/>
  </r>
  <r>
    <x v="1083"/>
    <s v="USR-00195"/>
    <s v="SES-2512-50124"/>
    <x v="319"/>
    <s v="South West"/>
    <s v="Plymouth"/>
    <x v="3"/>
    <x v="1"/>
    <x v="1"/>
    <s v="Ios"/>
    <s v="Iphone"/>
    <s v="1-2 years"/>
    <x v="0"/>
    <x v="1"/>
    <x v="7"/>
    <s v="First Use"/>
    <s v="Simplified Onboarding"/>
    <s v="Control"/>
    <n v="4"/>
    <n v="4"/>
    <n v="91"/>
    <s v="No"/>
    <x v="0"/>
    <x v="1"/>
    <x v="1"/>
    <x v="0"/>
    <n v="72.84"/>
    <x v="32"/>
    <x v="0"/>
    <s v="Feature Navigation"/>
    <s v="Yes"/>
    <s v="Feature Navigation"/>
    <s v="Resolved"/>
    <n v="48"/>
    <s v="No drop-off"/>
    <n v="5"/>
    <n v="62"/>
    <n v="0"/>
    <x v="1"/>
    <n v="1"/>
    <n v="1"/>
    <n v="0"/>
    <n v="1"/>
  </r>
  <r>
    <x v="1084"/>
    <s v="USR-00829"/>
    <s v="SES-2509-65105"/>
    <x v="252"/>
    <s v="Wales"/>
    <s v="Cardiff"/>
    <x v="2"/>
    <x v="0"/>
    <x v="1"/>
    <s v="Android"/>
    <s v="Android Phone"/>
    <s v="3-6 months"/>
    <x v="0"/>
    <x v="4"/>
    <x v="10"/>
    <s v="Repeat Use"/>
    <s v="No Experiment"/>
    <s v="Control"/>
    <n v="9"/>
    <n v="9"/>
    <n v="182"/>
    <s v="No"/>
    <x v="1"/>
    <x v="1"/>
    <x v="1"/>
    <x v="1"/>
    <n v="0"/>
    <x v="0"/>
    <x v="0"/>
    <s v="No Support Contact"/>
    <s v="No"/>
    <s v="No Support Contact"/>
    <s v="Not Applicable"/>
    <m/>
    <s v="Unexpected fee"/>
    <n v="2"/>
    <n v="-4"/>
    <n v="1"/>
    <x v="0"/>
    <n v="0"/>
    <n v="0"/>
    <n v="0"/>
    <n v="0"/>
  </r>
  <r>
    <x v="1085"/>
    <s v="USR-00295"/>
    <s v="SES-2508-42489"/>
    <x v="297"/>
    <s v="Wales"/>
    <s v="Cardiff"/>
    <x v="4"/>
    <x v="0"/>
    <x v="1"/>
    <s v="Android"/>
    <s v="Android Phone"/>
    <s v="3-6 months"/>
    <x v="0"/>
    <x v="0"/>
    <x v="5"/>
    <s v="First Use"/>
    <s v="New Cta Copy"/>
    <s v="Treatment"/>
    <n v="8"/>
    <n v="8"/>
    <n v="190"/>
    <s v="No"/>
    <x v="0"/>
    <x v="1"/>
    <x v="1"/>
    <x v="0"/>
    <n v="358.75"/>
    <x v="47"/>
    <x v="0"/>
    <s v="No Support Contact"/>
    <s v="No"/>
    <s v="No Support Contact"/>
    <s v="Not Applicable"/>
    <m/>
    <s v="No drop-off"/>
    <n v="4"/>
    <n v="-10"/>
    <n v="0"/>
    <x v="0"/>
    <n v="1"/>
    <n v="1"/>
    <n v="0"/>
    <n v="0"/>
  </r>
  <r>
    <x v="1086"/>
    <s v="USR-00754"/>
    <s v="SES-2502-17878"/>
    <x v="475"/>
    <s v="North West"/>
    <s v="LIVERPOOL"/>
    <x v="1"/>
    <x v="0"/>
    <x v="1"/>
    <s v="Web"/>
    <s v="Tablet Browser"/>
    <s v="2+ years"/>
    <x v="0"/>
    <x v="2"/>
    <x v="10"/>
    <s v="Repeat Use"/>
    <s v="No Experiment"/>
    <s v="Control"/>
    <n v="9"/>
    <n v="9"/>
    <n v="210"/>
    <s v="No"/>
    <x v="1"/>
    <x v="1"/>
    <x v="1"/>
    <x v="1"/>
    <n v="0"/>
    <x v="0"/>
    <x v="0"/>
    <s v="No Support Contact"/>
    <s v="No"/>
    <s v="No Support Contact"/>
    <s v="Not Applicable"/>
    <m/>
    <s v="Instructions unclear"/>
    <n v="3"/>
    <n v="-12"/>
    <n v="33"/>
    <x v="0"/>
    <n v="0"/>
    <n v="0"/>
    <n v="0"/>
    <n v="0"/>
  </r>
  <r>
    <x v="1087"/>
    <s v="USR-00672"/>
    <s v="SES-2504-42039"/>
    <x v="306"/>
    <s v="North East"/>
    <s v="Newcastle"/>
    <x v="2"/>
    <x v="0"/>
    <x v="0"/>
    <s v="Ios"/>
    <s v="Iphone"/>
    <s v="1-2 years"/>
    <x v="0"/>
    <x v="1"/>
    <x v="2"/>
    <s v="Repeat Use"/>
    <s v="Simplified Onboarding"/>
    <s v="Control"/>
    <n v="5"/>
    <n v="5"/>
    <n v="131"/>
    <s v="No"/>
    <x v="0"/>
    <x v="0"/>
    <x v="21"/>
    <x v="0"/>
    <n v="52.53"/>
    <x v="0"/>
    <x v="0"/>
    <s v="No Support Contact"/>
    <s v="No"/>
    <s v="No Support Contact"/>
    <s v="Not Applicable"/>
    <m/>
    <s v="No drop-off"/>
    <n v="3"/>
    <n v="6"/>
    <n v="11"/>
    <x v="1"/>
    <n v="1"/>
    <n v="1"/>
    <n v="1"/>
    <n v="1"/>
  </r>
  <r>
    <x v="1088"/>
    <s v="USR-00036"/>
    <s v="SES-2606-33206"/>
    <x v="463"/>
    <s v="North West"/>
    <s v="Preston"/>
    <x v="3"/>
    <x v="1"/>
    <x v="0"/>
    <s v="Android"/>
    <s v="Android Phone"/>
    <s v="2+ years"/>
    <x v="0"/>
    <x v="4"/>
    <x v="1"/>
    <s v="First Use"/>
    <s v="No Experiment"/>
    <s v="Control"/>
    <n v="4"/>
    <n v="4"/>
    <n v="85"/>
    <s v="No"/>
    <x v="0"/>
    <x v="1"/>
    <x v="1"/>
    <x v="0"/>
    <n v="106.47"/>
    <x v="4"/>
    <x v="0"/>
    <s v="No Support Contact"/>
    <s v="No"/>
    <s v="No Support Contact"/>
    <s v="Not Applicable"/>
    <m/>
    <s v="No drop-off"/>
    <n v="4"/>
    <n v="23"/>
    <s v="0 days"/>
    <x v="1"/>
    <n v="1"/>
    <n v="1"/>
    <n v="0"/>
    <n v="1"/>
  </r>
  <r>
    <x v="1089"/>
    <s v="USR-00060"/>
    <s v="SES-2502-47525"/>
    <x v="402"/>
    <s v="North West"/>
    <s v="Liverpool"/>
    <x v="4"/>
    <x v="0"/>
    <x v="0"/>
    <s v="Android"/>
    <s v="Android Phone"/>
    <s v="1-2 years"/>
    <x v="0"/>
    <x v="6"/>
    <x v="5"/>
    <s v="Repeat Use"/>
    <s v="Simplified Onboarding"/>
    <s v="Treatment"/>
    <n v="8"/>
    <n v="6"/>
    <n v="313"/>
    <s v="Yes"/>
    <x v="0"/>
    <x v="1"/>
    <x v="1"/>
    <x v="0"/>
    <n v="399.08"/>
    <x v="83"/>
    <x v="0"/>
    <s v="No Support Contact"/>
    <s v="No"/>
    <s v="No Support Contact"/>
    <s v="Not Applicable"/>
    <m/>
    <s v="No drop-off"/>
    <n v="3"/>
    <n v="5"/>
    <n v="29"/>
    <x v="1"/>
    <n v="1"/>
    <n v="1"/>
    <n v="0"/>
    <n v="1"/>
  </r>
  <r>
    <x v="1090"/>
    <s v="USR-00661"/>
    <s v="SES-2603-87948"/>
    <x v="476"/>
    <s v="East Midlands"/>
    <s v="Lincoln"/>
    <x v="0"/>
    <x v="1"/>
    <x v="0"/>
    <s v="Android"/>
    <s v="Android Phone"/>
    <s v="1-2 years"/>
    <x v="2"/>
    <x v="1"/>
    <x v="3"/>
    <s v="Repeat Use"/>
    <s v="Fee Transparency Panel"/>
    <s v="Control"/>
    <n v="6"/>
    <n v="6"/>
    <n v="139"/>
    <s v="No"/>
    <x v="0"/>
    <x v="1"/>
    <x v="1"/>
    <x v="0"/>
    <n v="18.57"/>
    <x v="2"/>
    <x v="2"/>
    <s v="No Support Contact"/>
    <s v="No"/>
    <s v="No Support Contact"/>
    <s v="Not Applicable"/>
    <m/>
    <s v="No drop-off"/>
    <n v="5"/>
    <n v="-38"/>
    <n v="42"/>
    <x v="0"/>
    <n v="1"/>
    <n v="1"/>
    <n v="0"/>
    <n v="0"/>
  </r>
  <r>
    <x v="1091"/>
    <s v="USR-00376"/>
    <s v="SES-2504-31048"/>
    <x v="142"/>
    <s v="Scotland"/>
    <s v="Aberdeen"/>
    <x v="7"/>
    <x v="3"/>
    <x v="1"/>
    <s v="Ios"/>
    <s v="Ipad"/>
    <s v="1-2 years"/>
    <x v="0"/>
    <x v="1"/>
    <x v="7"/>
    <s v="Reactivated"/>
    <s v="New Cta Copy"/>
    <s v="Control"/>
    <n v="4"/>
    <n v="3"/>
    <n v="205"/>
    <s v="Yes"/>
    <x v="1"/>
    <x v="1"/>
    <x v="1"/>
    <x v="0"/>
    <n v="60.91"/>
    <x v="10"/>
    <x v="0"/>
    <s v="No Support Contact"/>
    <s v="No"/>
    <s v="No Support Contact"/>
    <s v="Not Applicable"/>
    <m/>
    <s v="Unexpected fee"/>
    <n v="2"/>
    <n v="-5"/>
    <n v="60"/>
    <x v="1"/>
    <n v="0"/>
    <n v="1"/>
    <n v="0"/>
    <n v="1"/>
  </r>
  <r>
    <x v="1092"/>
    <s v="USR-00815"/>
    <s v="SES-2506-58832"/>
    <x v="287"/>
    <s v="Northern Ireland"/>
    <s v="Belfast"/>
    <x v="7"/>
    <x v="2"/>
    <x v="0"/>
    <s v="Web"/>
    <s v="Mobile Browser"/>
    <s v="7-12 months"/>
    <x v="1"/>
    <x v="4"/>
    <x v="0"/>
    <s v="First Use"/>
    <s v="No Experiment"/>
    <s v="Control"/>
    <n v="7"/>
    <n v="7"/>
    <n v="132"/>
    <s v="No"/>
    <x v="0"/>
    <x v="1"/>
    <x v="1"/>
    <x v="0"/>
    <n v="0"/>
    <x v="0"/>
    <x v="1"/>
    <s v="No Support Contact"/>
    <s v="No"/>
    <s v="No Support Contact"/>
    <s v="Not Applicable"/>
    <m/>
    <s v="No drop-off"/>
    <n v="4"/>
    <n v="8"/>
    <n v="0"/>
    <x v="1"/>
    <n v="1"/>
    <n v="1"/>
    <n v="0"/>
    <n v="1"/>
  </r>
  <r>
    <x v="1093"/>
    <s v="USR-00775"/>
    <s v="SES-2503-26171"/>
    <x v="37"/>
    <s v="East England"/>
    <s v="Norwich"/>
    <x v="3"/>
    <x v="1"/>
    <x v="0"/>
    <s v="Ios"/>
    <s v="Iphone"/>
    <s v="7-12 months"/>
    <x v="1"/>
    <x v="4"/>
    <x v="2"/>
    <s v="Trial/Exploration"/>
    <s v="New Cta Copy"/>
    <s v="Control"/>
    <n v="5"/>
    <n v="5"/>
    <n v="127"/>
    <s v="No"/>
    <x v="0"/>
    <x v="1"/>
    <x v="1"/>
    <x v="1"/>
    <n v="0"/>
    <x v="0"/>
    <x v="0"/>
    <s v="No Support Contact"/>
    <s v="No"/>
    <s v="No Support Contact"/>
    <s v="Not Applicable"/>
    <m/>
    <s v="No drop-off"/>
    <n v="4"/>
    <n v="46"/>
    <n v="24"/>
    <x v="0"/>
    <n v="1"/>
    <n v="0"/>
    <n v="0"/>
    <n v="0"/>
  </r>
  <r>
    <x v="1094"/>
    <s v="USR-00155"/>
    <s v="SES-2501-67266"/>
    <x v="412"/>
    <s v="London"/>
    <s v="Southwark"/>
    <x v="3"/>
    <x v="1"/>
    <x v="0"/>
    <s v="Web"/>
    <s v="Desktop"/>
    <s v="3-6 months"/>
    <x v="0"/>
    <x v="1"/>
    <x v="1"/>
    <s v="First Use"/>
    <s v="No Experiment"/>
    <s v="Control"/>
    <s v="4 steps"/>
    <s v="4 steps"/>
    <n v="120"/>
    <s v="No"/>
    <x v="0"/>
    <x v="1"/>
    <x v="1"/>
    <x v="0"/>
    <n v="147.80000000000001"/>
    <x v="4"/>
    <x v="0"/>
    <s v="No Support Contact"/>
    <s v="No"/>
    <s v="No Support Contact"/>
    <s v="Not Applicable"/>
    <m/>
    <s v="No drop-off"/>
    <n v="4"/>
    <n v="36"/>
    <n v="0"/>
    <x v="1"/>
    <n v="1"/>
    <n v="1"/>
    <n v="0"/>
    <n v="1"/>
  </r>
  <r>
    <x v="1095"/>
    <s v="USR-00323"/>
    <s v="SES-2606-58842"/>
    <x v="477"/>
    <s v="West Midlands"/>
    <s v="Wolverhampton"/>
    <x v="7"/>
    <x v="3"/>
    <x v="1"/>
    <s v="Ios"/>
    <s v="Iphone"/>
    <s v="1-2 years"/>
    <x v="1"/>
    <x v="5"/>
    <x v="10"/>
    <s v="Repeat Use"/>
    <s v="Fee Transparency Panel"/>
    <s v="Control"/>
    <n v="9"/>
    <n v="6"/>
    <n v="280"/>
    <s v="Yes"/>
    <x v="1"/>
    <x v="1"/>
    <x v="1"/>
    <x v="1"/>
    <n v="0"/>
    <x v="0"/>
    <x v="0"/>
    <s v="No Support Contact"/>
    <s v="No"/>
    <s v="No Support Contact"/>
    <s v="Not Applicable"/>
    <m/>
    <s v="Too many steps"/>
    <n v="1"/>
    <n v="-66"/>
    <s v="33 days"/>
    <x v="0"/>
    <n v="0"/>
    <n v="0"/>
    <n v="0"/>
    <n v="0"/>
  </r>
  <r>
    <x v="1096"/>
    <s v="USR-00469"/>
    <s v="SES-2501-12503"/>
    <x v="283"/>
    <s v="London"/>
    <s v="Croydon"/>
    <x v="5"/>
    <x v="1"/>
    <x v="0"/>
    <s v="Android"/>
    <s v="Android Phone"/>
    <s v="2+ years"/>
    <x v="2"/>
    <x v="5"/>
    <x v="2"/>
    <s v="First Use"/>
    <s v="New Cta Copy"/>
    <s v="Control"/>
    <n v="5"/>
    <n v="3"/>
    <n v="209"/>
    <s v="Yes"/>
    <x v="0"/>
    <x v="1"/>
    <x v="1"/>
    <x v="1"/>
    <n v="0"/>
    <x v="0"/>
    <x v="0"/>
    <s v="Feature Navigation"/>
    <s v="Yes"/>
    <s v="Feature Navigation"/>
    <s v="Resolved"/>
    <n v="22"/>
    <s v="No drop-off"/>
    <n v="3"/>
    <n v="-25"/>
    <n v="0"/>
    <x v="1"/>
    <n v="1"/>
    <n v="0"/>
    <n v="0"/>
    <n v="1"/>
  </r>
  <r>
    <x v="1097"/>
    <s v="USR-00567"/>
    <s v="SES-2503-87364"/>
    <x v="10"/>
    <s v="South East"/>
    <s v="Brighton"/>
    <x v="4"/>
    <x v="0"/>
    <x v="1"/>
    <s v="Ios"/>
    <s v="Iphone"/>
    <s v="1-2 years"/>
    <x v="0"/>
    <x v="5"/>
    <x v="1"/>
    <s v="Repeat Use"/>
    <s v="Simplified Onboarding"/>
    <s v="Control"/>
    <n v="4"/>
    <n v="4"/>
    <n v="72"/>
    <s v="No"/>
    <x v="1"/>
    <x v="1"/>
    <x v="1"/>
    <x v="1"/>
    <n v="0"/>
    <x v="0"/>
    <x v="0"/>
    <s v="No Support Contact"/>
    <s v="No"/>
    <s v="No Support Contact"/>
    <s v="Not Applicable"/>
    <m/>
    <s v="No drop-off"/>
    <n v="3"/>
    <n v="15"/>
    <n v="7"/>
    <x v="0"/>
    <n v="0"/>
    <n v="0"/>
    <n v="0"/>
    <n v="0"/>
  </r>
  <r>
    <x v="1098"/>
    <s v="USR-00836"/>
    <s v="SES-2505-51826"/>
    <x v="6"/>
    <s v="East Midlands"/>
    <s v="Derby"/>
    <x v="0"/>
    <x v="0"/>
    <x v="1"/>
    <s v="Android"/>
    <s v="Android Phone"/>
    <s v="&lt;3 months"/>
    <x v="1"/>
    <x v="5"/>
    <x v="2"/>
    <s v="Repeat Use"/>
    <s v="Simplified Onboarding"/>
    <s v="Control"/>
    <n v="5"/>
    <n v="4"/>
    <n v="203"/>
    <s v="Yes"/>
    <x v="1"/>
    <x v="0"/>
    <x v="23"/>
    <x v="1"/>
    <n v="0"/>
    <x v="0"/>
    <x v="0"/>
    <s v="No Support Contact"/>
    <s v="No"/>
    <s v="No Support Contact"/>
    <s v="Not Applicable"/>
    <m/>
    <s v="Technical error"/>
    <n v="2"/>
    <n v="-12"/>
    <n v="38"/>
    <x v="0"/>
    <n v="0"/>
    <n v="0"/>
    <n v="1"/>
    <n v="0"/>
  </r>
  <r>
    <x v="1099"/>
    <s v="USR-00664"/>
    <s v="SES-2509-49686"/>
    <x v="90"/>
    <s v="London"/>
    <s v="Hammersmith"/>
    <x v="0"/>
    <x v="0"/>
    <x v="1"/>
    <s v="Android"/>
    <s v="Android Phone"/>
    <s v="2+ years"/>
    <x v="0"/>
    <x v="1"/>
    <x v="7"/>
    <s v="Repeat Use"/>
    <s v="No Experiment"/>
    <s v="Control"/>
    <n v="4"/>
    <s v="4 steps"/>
    <n v="103"/>
    <s v="No"/>
    <x v="0"/>
    <x v="1"/>
    <x v="1"/>
    <x v="0"/>
    <n v="70.63"/>
    <x v="41"/>
    <x v="0"/>
    <s v="No Support Contact"/>
    <s v="No"/>
    <s v="No Support Contact"/>
    <s v="Not Applicable"/>
    <m/>
    <s v="No drop-off"/>
    <n v="3"/>
    <n v="34"/>
    <n v="18"/>
    <x v="1"/>
    <n v="1"/>
    <n v="1"/>
    <n v="0"/>
    <n v="1"/>
  </r>
  <r>
    <x v="1100"/>
    <s v="USR-00618"/>
    <s v="SES-2503-90682"/>
    <x v="177"/>
    <s v="London"/>
    <s v="Croydon"/>
    <x v="1"/>
    <x v="2"/>
    <x v="0"/>
    <s v="Android"/>
    <s v="Android Phone"/>
    <s v="2+ years"/>
    <x v="4"/>
    <x v="4"/>
    <x v="8"/>
    <s v="Repeat Use"/>
    <s v="New Cta Copy"/>
    <s v="Control"/>
    <n v="5"/>
    <s v="5 steps"/>
    <n v="126"/>
    <s v="No"/>
    <x v="1"/>
    <x v="1"/>
    <x v="1"/>
    <x v="1"/>
    <n v="0"/>
    <x v="0"/>
    <x v="0"/>
    <s v="Fees And Pricing"/>
    <s v="Yes"/>
    <s v="Fees And Pricing"/>
    <s v="Unresolved"/>
    <n v="11"/>
    <s v="No drop-off"/>
    <n v="3"/>
    <n v="46"/>
    <n v="27"/>
    <x v="0"/>
    <n v="0"/>
    <n v="0"/>
    <n v="0"/>
    <n v="0"/>
  </r>
  <r>
    <x v="1101"/>
    <s v="USR-00616"/>
    <s v="SES-2603-75487"/>
    <x v="415"/>
    <s v="North East"/>
    <s v="Durham"/>
    <x v="0"/>
    <x v="1"/>
    <x v="0"/>
    <s v="Android"/>
    <s v="Android Tablet"/>
    <s v="7-12 months"/>
    <x v="0"/>
    <x v="1"/>
    <x v="3"/>
    <s v="First Use"/>
    <s v="New Cta Copy"/>
    <s v="Control"/>
    <n v="6"/>
    <n v="6"/>
    <n v="146"/>
    <s v="No"/>
    <x v="1"/>
    <x v="0"/>
    <x v="8"/>
    <x v="1"/>
    <n v="0"/>
    <x v="0"/>
    <x v="0"/>
    <s v="No Support Contact"/>
    <s v="No"/>
    <s v="No Support Contact"/>
    <s v="Not Applicable"/>
    <m/>
    <s v="No drop-off"/>
    <n v="3"/>
    <n v="-70"/>
    <n v="0"/>
    <x v="1"/>
    <n v="0"/>
    <n v="0"/>
    <n v="1"/>
    <n v="1"/>
  </r>
  <r>
    <x v="1102"/>
    <s v="USR-00529"/>
    <s v="SES-2505-22643"/>
    <x v="300"/>
    <s v="North East"/>
    <s v="Middlesbrough"/>
    <x v="5"/>
    <x v="0"/>
    <x v="1"/>
    <s v="Ios"/>
    <s v="Iphone"/>
    <s v="7-12 months"/>
    <x v="0"/>
    <x v="6"/>
    <x v="7"/>
    <s v="Reactivated"/>
    <s v="Simplified Onboarding"/>
    <s v="Treatment"/>
    <n v="4"/>
    <n v="3"/>
    <n v="198"/>
    <s v="Yes"/>
    <x v="0"/>
    <x v="1"/>
    <x v="1"/>
    <x v="0"/>
    <n v="77.92"/>
    <x v="54"/>
    <x v="0"/>
    <s v="No Support Contact"/>
    <s v="No"/>
    <s v="No Support Contact"/>
    <s v="Not Applicable"/>
    <m/>
    <s v="No drop-off"/>
    <n v="4"/>
    <n v="30"/>
    <n v="40"/>
    <x v="1"/>
    <n v="1"/>
    <n v="1"/>
    <n v="0"/>
    <n v="1"/>
  </r>
  <r>
    <x v="1103"/>
    <s v="USR-00430"/>
    <s v="SES-2502-52274"/>
    <x v="163"/>
    <s v="North West"/>
    <s v="Preston"/>
    <x v="2"/>
    <x v="2"/>
    <x v="1"/>
    <s v="Android"/>
    <s v="Android Phone"/>
    <s v="2+ years"/>
    <x v="1"/>
    <x v="6"/>
    <x v="1"/>
    <s v="Trial/Exploration"/>
    <s v="No Experiment"/>
    <s v="Control"/>
    <n v="4"/>
    <n v="4"/>
    <n v="123"/>
    <s v="No"/>
    <x v="1"/>
    <x v="1"/>
    <x v="1"/>
    <x v="1"/>
    <n v="0"/>
    <x v="0"/>
    <x v="0"/>
    <s v="Feature Navigation"/>
    <s v="Yes"/>
    <s v="Feature Navigation"/>
    <s v="Resolved"/>
    <n v="41"/>
    <s v="No drop-off"/>
    <n v="4"/>
    <n v="28"/>
    <n v="22"/>
    <x v="1"/>
    <n v="0"/>
    <n v="0"/>
    <n v="0"/>
    <n v="1"/>
  </r>
  <r>
    <x v="1104"/>
    <s v="USR-00292"/>
    <s v="SES-2602-75274"/>
    <x v="433"/>
    <s v="East Midlands"/>
    <s v="Leicester"/>
    <x v="0"/>
    <x v="1"/>
    <x v="0"/>
    <s v="Ios"/>
    <s v="Iphone"/>
    <s v="2+ years"/>
    <x v="0"/>
    <x v="5"/>
    <x v="1"/>
    <s v="First Use"/>
    <s v="No Experiment"/>
    <s v="Control"/>
    <n v="4"/>
    <n v="4"/>
    <n v="84"/>
    <s v="Unknown"/>
    <x v="0"/>
    <x v="1"/>
    <x v="1"/>
    <x v="0"/>
    <n v="132.97"/>
    <x v="6"/>
    <x v="0"/>
    <s v="Feature Navigation"/>
    <s v="Yes"/>
    <s v="Feature Navigation"/>
    <s v="Resolved"/>
    <n v="40"/>
    <s v="No drop-off"/>
    <n v="5"/>
    <n v="-19"/>
    <n v="0"/>
    <x v="1"/>
    <n v="1"/>
    <n v="1"/>
    <n v="0"/>
    <n v="1"/>
  </r>
  <r>
    <x v="1105"/>
    <s v="USR-00297"/>
    <s v="SES-2504-41444"/>
    <x v="139"/>
    <s v="South West"/>
    <s v="Bath"/>
    <x v="0"/>
    <x v="3"/>
    <x v="1"/>
    <s v="Ios"/>
    <s v="Iphone"/>
    <s v="3-6 months"/>
    <x v="0"/>
    <x v="2"/>
    <x v="10"/>
    <s v="Repeat Use"/>
    <s v="No Experiment"/>
    <s v="Control"/>
    <n v="9"/>
    <n v="9"/>
    <n v="175"/>
    <s v="No"/>
    <x v="0"/>
    <x v="1"/>
    <x v="1"/>
    <x v="0"/>
    <n v="0"/>
    <x v="0"/>
    <x v="0"/>
    <s v="No Support Contact"/>
    <s v="No"/>
    <s v="No Support Contact"/>
    <s v="Not Applicable"/>
    <m/>
    <s v="No drop-off"/>
    <n v="4"/>
    <n v="10"/>
    <n v="30"/>
    <x v="1"/>
    <n v="1"/>
    <n v="1"/>
    <n v="0"/>
    <n v="1"/>
  </r>
  <r>
    <x v="1106"/>
    <s v="USR-00549"/>
    <s v="SES-2508-86040"/>
    <x v="199"/>
    <s v="Wales"/>
    <s v="Swansea"/>
    <x v="0"/>
    <x v="2"/>
    <x v="1"/>
    <s v="Ios"/>
    <s v="Iphone"/>
    <s v="&lt;3 months"/>
    <x v="1"/>
    <x v="5"/>
    <x v="1"/>
    <s v="First Use"/>
    <s v="No Experiment"/>
    <s v="Control"/>
    <n v="4"/>
    <n v="4"/>
    <n v="121"/>
    <s v="No"/>
    <x v="0"/>
    <x v="1"/>
    <x v="1"/>
    <x v="0"/>
    <n v="115.14"/>
    <x v="15"/>
    <x v="1"/>
    <s v="No Support Contact"/>
    <s v="No"/>
    <s v="No Support Contact"/>
    <s v="Not Applicable"/>
    <m/>
    <s v="No drop-off"/>
    <n v="4"/>
    <n v="12"/>
    <n v="0"/>
    <x v="1"/>
    <n v="1"/>
    <n v="1"/>
    <n v="0"/>
    <n v="1"/>
  </r>
  <r>
    <x v="1107"/>
    <s v="USR-00256"/>
    <s v="SES-2507-74724"/>
    <x v="332"/>
    <s v="Northern Ireland"/>
    <s v="Derry"/>
    <x v="1"/>
    <x v="0"/>
    <x v="0"/>
    <s v="Android"/>
    <s v="Android Phone"/>
    <s v="7-12 months"/>
    <x v="0"/>
    <x v="5"/>
    <x v="4"/>
    <s v="Repeat Use"/>
    <s v="Progress Indicator"/>
    <s v="Treatment"/>
    <n v="6"/>
    <n v="4"/>
    <n v="388"/>
    <s v="Yes"/>
    <x v="1"/>
    <x v="0"/>
    <x v="5"/>
    <x v="1"/>
    <n v="0"/>
    <x v="0"/>
    <x v="0"/>
    <s v="No Support Contact"/>
    <s v="No"/>
    <s v="No Support Contact"/>
    <s v="Not Applicable"/>
    <m/>
    <s v="Instructions unclear"/>
    <n v="1"/>
    <n v="-6"/>
    <n v="24"/>
    <x v="0"/>
    <n v="0"/>
    <n v="0"/>
    <n v="1"/>
    <n v="0"/>
  </r>
  <r>
    <x v="1108"/>
    <s v="USR-00288"/>
    <s v="SES-2503-89537"/>
    <x v="43"/>
    <s v="South East"/>
    <s v="Guildford"/>
    <x v="2"/>
    <x v="2"/>
    <x v="1"/>
    <s v="Android"/>
    <s v="Android Phone"/>
    <s v="7-12 months"/>
    <x v="0"/>
    <x v="2"/>
    <x v="8"/>
    <s v="Repeat Use"/>
    <s v="New Cta Copy"/>
    <s v="Control"/>
    <n v="5"/>
    <n v="5"/>
    <n v="93"/>
    <s v="No"/>
    <x v="0"/>
    <x v="1"/>
    <x v="1"/>
    <x v="0"/>
    <n v="0"/>
    <x v="0"/>
    <x v="0"/>
    <s v="No Support Contact"/>
    <s v="No"/>
    <s v="No Support Contact"/>
    <s v="Not Applicable"/>
    <m/>
    <s v="No drop-off"/>
    <n v="3"/>
    <n v="59"/>
    <n v="18"/>
    <x v="1"/>
    <n v="1"/>
    <n v="1"/>
    <n v="0"/>
    <n v="1"/>
  </r>
  <r>
    <x v="1109"/>
    <s v="USR-00812"/>
    <s v="SES-2510-22937"/>
    <x v="478"/>
    <s v="Northern Ireland"/>
    <s v="Belfast"/>
    <x v="3"/>
    <x v="2"/>
    <x v="0"/>
    <s v="Android"/>
    <s v="Android Phone"/>
    <s v="1-2 years"/>
    <x v="0"/>
    <x v="1"/>
    <x v="8"/>
    <s v="Reactivated"/>
    <s v="No Experiment"/>
    <s v="Control"/>
    <n v="5"/>
    <n v="5"/>
    <n v="155"/>
    <s v="No"/>
    <x v="0"/>
    <x v="1"/>
    <x v="1"/>
    <x v="0"/>
    <n v="31.13"/>
    <x v="0"/>
    <x v="0"/>
    <s v="No Support Contact"/>
    <s v="No"/>
    <s v="No Support Contact"/>
    <s v="Not Applicable"/>
    <m/>
    <s v="No drop-off"/>
    <n v="5"/>
    <n v="88"/>
    <n v="25"/>
    <x v="1"/>
    <n v="1"/>
    <n v="1"/>
    <n v="0"/>
    <n v="1"/>
  </r>
  <r>
    <x v="1110"/>
    <s v="USR-00597"/>
    <s v="SES-2603-75317"/>
    <x v="479"/>
    <s v="Yorkshire &amp; Humber"/>
    <s v="SHEFFIELD"/>
    <x v="4"/>
    <x v="1"/>
    <x v="1"/>
    <s v="Android"/>
    <s v="Android Phone"/>
    <s v="2+ years"/>
    <x v="0"/>
    <x v="5"/>
    <x v="7"/>
    <s v="Trial/Exploration"/>
    <s v="No Experiment"/>
    <s v="Control"/>
    <n v="4"/>
    <n v="2"/>
    <n v="257"/>
    <s v="Yes"/>
    <x v="1"/>
    <x v="0"/>
    <x v="30"/>
    <x v="1"/>
    <n v="0"/>
    <x v="0"/>
    <x v="0"/>
    <s v="No Support Contact"/>
    <s v="No"/>
    <s v="No Support Contact"/>
    <s v="Not Applicable"/>
    <m/>
    <s v="Technical error"/>
    <n v="5"/>
    <n v="-44"/>
    <n v="40"/>
    <x v="0"/>
    <n v="0"/>
    <n v="0"/>
    <n v="1"/>
    <n v="0"/>
  </r>
  <r>
    <x v="1111"/>
    <s v="USR-00482"/>
    <s v="SES-2605-32163"/>
    <x v="480"/>
    <s v="South West"/>
    <s v="Bristol"/>
    <x v="0"/>
    <x v="4"/>
    <x v="0"/>
    <s v="Ios"/>
    <s v="Iphone"/>
    <s v="3-6 months"/>
    <x v="0"/>
    <x v="7"/>
    <x v="10"/>
    <s v="Repeat Use"/>
    <s v="No Experiment"/>
    <s v="Control"/>
    <n v="9"/>
    <n v="9"/>
    <n v="360"/>
    <s v="No"/>
    <x v="1"/>
    <x v="0"/>
    <x v="17"/>
    <x v="1"/>
    <n v="0"/>
    <x v="0"/>
    <x v="0"/>
    <s v="No Support Contact"/>
    <s v="No"/>
    <s v="No Support Contact"/>
    <s v="Not Applicable"/>
    <m/>
    <s v="Verification took too long"/>
    <n v="3"/>
    <n v="-55"/>
    <n v="18"/>
    <x v="0"/>
    <n v="0"/>
    <n v="0"/>
    <n v="1"/>
    <n v="0"/>
  </r>
  <r>
    <x v="1112"/>
    <s v="USR-00694"/>
    <s v="SES-2603-20212"/>
    <x v="46"/>
    <s v="South West"/>
    <s v="Plymouth"/>
    <x v="2"/>
    <x v="0"/>
    <x v="0"/>
    <s v="Ios"/>
    <s v="Iphone"/>
    <s v="2+ years"/>
    <x v="0"/>
    <x v="5"/>
    <x v="10"/>
    <s v="Trial/Exploration"/>
    <s v="Progress Indicator"/>
    <s v="Control"/>
    <n v="9"/>
    <n v="7"/>
    <n v="557"/>
    <s v="Yes"/>
    <x v="1"/>
    <x v="0"/>
    <x v="6"/>
    <x v="1"/>
    <n v="0"/>
    <x v="0"/>
    <x v="0"/>
    <s v="No Support Contact"/>
    <s v="No"/>
    <s v="No Support Contact"/>
    <s v="Not Applicable"/>
    <m/>
    <s v="Privacy concern"/>
    <n v="1"/>
    <n v="-80"/>
    <n v="1"/>
    <x v="1"/>
    <n v="0"/>
    <n v="0"/>
    <n v="1"/>
    <n v="1"/>
  </r>
  <r>
    <x v="413"/>
    <s v="USR-00468"/>
    <s v="SES-2603-84802"/>
    <x v="195"/>
    <s v="South West"/>
    <s v="Exeter"/>
    <x v="7"/>
    <x v="1"/>
    <x v="0"/>
    <s v="Android"/>
    <s v="Android Phone"/>
    <s v="1-2 years"/>
    <x v="0"/>
    <x v="3"/>
    <x v="1"/>
    <s v="Repeat Use"/>
    <s v="Simplified Onboarding"/>
    <s v="Treatment"/>
    <n v="4"/>
    <n v="2"/>
    <n v="199"/>
    <s v="Yes"/>
    <x v="0"/>
    <x v="0"/>
    <x v="3"/>
    <x v="0"/>
    <n v="171.32"/>
    <x v="15"/>
    <x v="0"/>
    <s v="Account Verification"/>
    <s v="Yes"/>
    <s v="Account Verification"/>
    <s v="Resolved"/>
    <n v="62"/>
    <s v="No drop-off"/>
    <n v="3"/>
    <n v="-18"/>
    <n v="24"/>
    <x v="0"/>
    <n v="1"/>
    <n v="1"/>
    <n v="1"/>
    <n v="0"/>
  </r>
  <r>
    <x v="1113"/>
    <s v="USR-00682"/>
    <s v="SES-2606-11848"/>
    <x v="347"/>
    <s v="South West"/>
    <s v="Exeter"/>
    <x v="1"/>
    <x v="3"/>
    <x v="0"/>
    <s v="Ios"/>
    <s v="Iphone"/>
    <s v="1-2 years"/>
    <x v="0"/>
    <x v="4"/>
    <x v="0"/>
    <s v="First Use"/>
    <s v="No Experiment"/>
    <s v="Control"/>
    <n v="7"/>
    <s v="7 steps"/>
    <n v="231"/>
    <s v="No"/>
    <x v="0"/>
    <x v="0"/>
    <x v="11"/>
    <x v="0"/>
    <n v="0"/>
    <x v="0"/>
    <x v="0"/>
    <s v="No Support Contact"/>
    <s v="No"/>
    <s v="No Support Contact"/>
    <s v="Not Applicable"/>
    <m/>
    <s v="No drop-off"/>
    <n v="4"/>
    <n v="-25"/>
    <n v="0"/>
    <x v="1"/>
    <n v="1"/>
    <n v="1"/>
    <n v="1"/>
    <n v="1"/>
  </r>
  <r>
    <x v="1114"/>
    <s v="USR-00407"/>
    <s v="SES-2502-10368"/>
    <x v="209"/>
    <s v="Scotland"/>
    <s v="Aberdeen"/>
    <x v="5"/>
    <x v="1"/>
    <x v="3"/>
    <s v="Web"/>
    <s v="Mobile Browser"/>
    <s v="1-2 years"/>
    <x v="0"/>
    <x v="3"/>
    <x v="9"/>
    <s v="First Use"/>
    <s v="Simplified Onboarding"/>
    <s v="Control"/>
    <n v="5"/>
    <n v="5"/>
    <n v="91"/>
    <s v="No"/>
    <x v="0"/>
    <x v="1"/>
    <x v="1"/>
    <x v="0"/>
    <n v="76.13"/>
    <x v="0"/>
    <x v="0"/>
    <s v="No Support Contact"/>
    <s v="No"/>
    <s v="No Support Contact"/>
    <s v="Not Applicable"/>
    <m/>
    <s v="No drop-off"/>
    <n v="5"/>
    <n v="43"/>
    <n v="0"/>
    <x v="1"/>
    <n v="1"/>
    <n v="1"/>
    <n v="0"/>
    <n v="1"/>
  </r>
  <r>
    <x v="1115"/>
    <s v="USR-00286"/>
    <s v="SES-2508-54101"/>
    <x v="363"/>
    <s v="North East"/>
    <s v="Durham"/>
    <x v="2"/>
    <x v="0"/>
    <x v="0"/>
    <s v="Android"/>
    <s v="Android Phone"/>
    <s v="7-12 months"/>
    <x v="2"/>
    <x v="5"/>
    <x v="10"/>
    <s v="Repeat Use"/>
    <s v="New Cta Copy"/>
    <s v="Treatment"/>
    <n v="9"/>
    <n v="6"/>
    <n v="344"/>
    <s v="Yes"/>
    <x v="0"/>
    <x v="1"/>
    <x v="1"/>
    <x v="0"/>
    <n v="128.66"/>
    <x v="84"/>
    <x v="2"/>
    <s v="No Support Contact"/>
    <s v="No"/>
    <s v="No Support Contact"/>
    <s v="Not Applicable"/>
    <m/>
    <s v="No drop-off"/>
    <n v="3"/>
    <n v="-15"/>
    <n v="1"/>
    <x v="1"/>
    <n v="1"/>
    <n v="1"/>
    <n v="0"/>
    <n v="1"/>
  </r>
  <r>
    <x v="1116"/>
    <s v="USR-00110"/>
    <s v="SES-2503-19776"/>
    <x v="177"/>
    <s v="North West"/>
    <s v="Manchester"/>
    <x v="0"/>
    <x v="1"/>
    <x v="1"/>
    <s v="Ios"/>
    <s v="Iphone"/>
    <s v="1-2 years"/>
    <x v="1"/>
    <x v="4"/>
    <x v="8"/>
    <s v="Reactivated"/>
    <s v="No Experiment"/>
    <s v="Control"/>
    <n v="5"/>
    <n v="4"/>
    <n v="163"/>
    <s v="Yes"/>
    <x v="1"/>
    <x v="1"/>
    <x v="1"/>
    <x v="0"/>
    <n v="94.05"/>
    <x v="0"/>
    <x v="1"/>
    <s v="N/A"/>
    <s v="No"/>
    <s v="N/A"/>
    <s v="Not Applicable"/>
    <m/>
    <s v="Too many steps"/>
    <n v="3"/>
    <n v="32"/>
    <n v="25"/>
    <x v="0"/>
    <n v="0"/>
    <n v="1"/>
    <n v="0"/>
    <n v="0"/>
  </r>
  <r>
    <x v="1117"/>
    <s v="USR-00356"/>
    <s v="SES-2508-90443"/>
    <x v="481"/>
    <s v="East Midlands"/>
    <s v="Leicester"/>
    <x v="7"/>
    <x v="2"/>
    <x v="0"/>
    <s v="Ios"/>
    <s v="Iphone"/>
    <s v="1-2 years"/>
    <x v="0"/>
    <x v="2"/>
    <x v="4"/>
    <s v="Trial/Exploration"/>
    <s v="Contextual Help"/>
    <s v="Treatment"/>
    <n v="6"/>
    <n v="6"/>
    <n v="111"/>
    <s v="No"/>
    <x v="0"/>
    <x v="1"/>
    <x v="1"/>
    <x v="0"/>
    <n v="0"/>
    <x v="0"/>
    <x v="0"/>
    <s v="No Support Contact"/>
    <s v="No"/>
    <s v="No Support Contact"/>
    <s v="Not Applicable"/>
    <m/>
    <s v="No drop-off"/>
    <n v="4"/>
    <n v="23"/>
    <n v="1"/>
    <x v="0"/>
    <n v="1"/>
    <n v="1"/>
    <n v="0"/>
    <n v="0"/>
  </r>
  <r>
    <x v="1118"/>
    <s v="USR-00127"/>
    <s v="SES-2511-31546"/>
    <x v="482"/>
    <s v="Yorkshire &amp; Humber"/>
    <s v="Sheffield"/>
    <x v="0"/>
    <x v="0"/>
    <x v="0"/>
    <s v="Ios"/>
    <s v="Ipad"/>
    <s v="&lt;3 months"/>
    <x v="1"/>
    <x v="5"/>
    <x v="5"/>
    <s v="Repeat Use"/>
    <s v="No Experiment"/>
    <s v="Control"/>
    <n v="8"/>
    <n v="8"/>
    <n v="174"/>
    <s v="No"/>
    <x v="1"/>
    <x v="1"/>
    <x v="1"/>
    <x v="1"/>
    <n v="0"/>
    <x v="0"/>
    <x v="0"/>
    <s v="No Support Contact"/>
    <s v="No"/>
    <s v="No Support Contact"/>
    <s v="Not Applicable"/>
    <m/>
    <s v="Changed mind"/>
    <n v="3"/>
    <n v="14"/>
    <n v="36"/>
    <x v="1"/>
    <n v="0"/>
    <n v="0"/>
    <n v="0"/>
    <n v="1"/>
  </r>
  <r>
    <x v="1119"/>
    <s v="USR-00147"/>
    <s v="SES-2604-68777"/>
    <x v="400"/>
    <s v="Yorkshire &amp; Humber"/>
    <s v="York"/>
    <x v="0"/>
    <x v="0"/>
    <x v="1"/>
    <s v="Web"/>
    <s v="Desktop"/>
    <s v="1-2 years"/>
    <x v="0"/>
    <x v="1"/>
    <x v="4"/>
    <s v="Repeat Use"/>
    <s v="Simplified Onboarding"/>
    <s v="Control"/>
    <n v="6"/>
    <n v="4"/>
    <n v="284"/>
    <s v="Yes"/>
    <x v="1"/>
    <x v="1"/>
    <x v="1"/>
    <x v="1"/>
    <n v="0"/>
    <x v="0"/>
    <x v="0"/>
    <s v="No Support Contact"/>
    <s v="No"/>
    <s v="No Support Contact"/>
    <s v="Not Applicable"/>
    <m/>
    <s v="Instructions unclear"/>
    <n v="3"/>
    <n v="41"/>
    <n v="46"/>
    <x v="2"/>
    <n v="0"/>
    <n v="0"/>
    <n v="0"/>
    <n v="0"/>
  </r>
  <r>
    <x v="1120"/>
    <s v="USR-00495"/>
    <s v="SES-2511-38186"/>
    <x v="440"/>
    <s v="Wales"/>
    <s v="Cardiff"/>
    <x v="5"/>
    <x v="2"/>
    <x v="0"/>
    <s v="Web"/>
    <s v="Desktop"/>
    <s v="1-2 years"/>
    <x v="0"/>
    <x v="4"/>
    <x v="3"/>
    <s v="Repeat Use"/>
    <s v="No Experiment"/>
    <s v="Control"/>
    <n v="6"/>
    <n v="6"/>
    <n v="190"/>
    <s v="No"/>
    <x v="0"/>
    <x v="1"/>
    <x v="1"/>
    <x v="0"/>
    <n v="0"/>
    <x v="2"/>
    <x v="0"/>
    <s v="Feature Navigation"/>
    <s v="Yes"/>
    <s v="Feature Navigation"/>
    <s v="Resolved"/>
    <n v="2"/>
    <s v="No drop-off"/>
    <n v="4"/>
    <n v="21"/>
    <n v="34"/>
    <x v="1"/>
    <n v="1"/>
    <n v="1"/>
    <n v="0"/>
    <n v="1"/>
  </r>
  <r>
    <x v="1121"/>
    <s v="USR-00732"/>
    <s v="SES-2512-80516"/>
    <x v="483"/>
    <s v="East England"/>
    <s v="Luton"/>
    <x v="4"/>
    <x v="1"/>
    <x v="0"/>
    <s v="Web"/>
    <s v="Mobile Browser"/>
    <s v="7-12 months"/>
    <x v="0"/>
    <x v="4"/>
    <x v="0"/>
    <s v="First Use"/>
    <s v="New Cta Copy"/>
    <s v="Treatment"/>
    <n v="7"/>
    <n v="7"/>
    <n v="213"/>
    <s v="No"/>
    <x v="0"/>
    <x v="1"/>
    <x v="1"/>
    <x v="1"/>
    <n v="0"/>
    <x v="0"/>
    <x v="0"/>
    <s v="No Support Contact"/>
    <s v="No"/>
    <s v="No Support Contact"/>
    <s v="Not Applicable"/>
    <m/>
    <s v="No drop-off"/>
    <n v="5"/>
    <n v="-26"/>
    <s v="0 days"/>
    <x v="1"/>
    <n v="1"/>
    <n v="0"/>
    <n v="0"/>
    <n v="1"/>
  </r>
  <r>
    <x v="1122"/>
    <s v="USR-00825"/>
    <s v="SES-2502-83588"/>
    <x v="209"/>
    <s v="East England"/>
    <s v="Cambridge"/>
    <x v="4"/>
    <x v="0"/>
    <x v="1"/>
    <s v="Ios"/>
    <s v="Iphone"/>
    <s v="7-12 months"/>
    <x v="1"/>
    <x v="3"/>
    <x v="7"/>
    <s v="First Use"/>
    <s v="Fee Transparency Panel"/>
    <s v="Control"/>
    <n v="4"/>
    <s v="N/A"/>
    <n v="113"/>
    <s v="No"/>
    <x v="1"/>
    <x v="1"/>
    <x v="1"/>
    <x v="0"/>
    <n v="87.69"/>
    <x v="22"/>
    <x v="1"/>
    <s v="No Support Contact"/>
    <s v="No"/>
    <s v="No Support Contact"/>
    <s v="N/A"/>
    <m/>
    <s v="No drop-off"/>
    <n v="3"/>
    <n v="57"/>
    <n v="0"/>
    <x v="0"/>
    <n v="0"/>
    <n v="1"/>
    <n v="0"/>
    <n v="0"/>
  </r>
  <r>
    <x v="1123"/>
    <s v="USR-00263"/>
    <s v="SES-2507-55783"/>
    <x v="484"/>
    <s v="West Midlands"/>
    <s v="Solihull"/>
    <x v="0"/>
    <x v="2"/>
    <x v="1"/>
    <s v="Android"/>
    <s v="Android Phone"/>
    <s v="7-12 months"/>
    <x v="0"/>
    <x v="5"/>
    <x v="9"/>
    <s v="First Use"/>
    <s v="No Experiment"/>
    <s v="Control"/>
    <s v="5 steps"/>
    <s v="5 steps"/>
    <n v="152"/>
    <s v="No"/>
    <x v="0"/>
    <x v="1"/>
    <x v="1"/>
    <x v="0"/>
    <n v="92.39"/>
    <x v="0"/>
    <x v="0"/>
    <s v="No Support Contact"/>
    <s v="No"/>
    <s v="No Support Contact"/>
    <s v="Not Applicable"/>
    <m/>
    <s v="No drop-off"/>
    <n v="4"/>
    <n v="49"/>
    <n v="0"/>
    <x v="0"/>
    <n v="1"/>
    <n v="1"/>
    <n v="0"/>
    <n v="0"/>
  </r>
  <r>
    <x v="1124"/>
    <s v="USR-00750"/>
    <s v="SES-2605-25597"/>
    <x v="268"/>
    <s v="Wales"/>
    <s v="Wrexham"/>
    <x v="0"/>
    <x v="0"/>
    <x v="0"/>
    <s v="Ios"/>
    <s v="Iphone"/>
    <s v="&lt;3 months"/>
    <x v="0"/>
    <x v="0"/>
    <x v="9"/>
    <s v="Reactivated"/>
    <s v="New Cta Copy"/>
    <s v="Treatment"/>
    <s v="5 steps"/>
    <n v="5"/>
    <n v="148"/>
    <s v="No"/>
    <x v="0"/>
    <x v="1"/>
    <x v="1"/>
    <x v="0"/>
    <n v="83.25"/>
    <x v="0"/>
    <x v="0"/>
    <s v="No Support Contact"/>
    <s v="No"/>
    <s v="No Support Contact"/>
    <s v="Not Applicable"/>
    <m/>
    <s v="No drop-off"/>
    <n v="4"/>
    <n v="19"/>
    <n v="60"/>
    <x v="1"/>
    <n v="1"/>
    <n v="1"/>
    <n v="0"/>
    <n v="1"/>
  </r>
  <r>
    <x v="1125"/>
    <s v="USR-00485"/>
    <s v="SES-2509-98163"/>
    <x v="427"/>
    <s v="Northern Ireland"/>
    <s v="Belfast"/>
    <x v="2"/>
    <x v="4"/>
    <x v="0"/>
    <s v="Android"/>
    <s v="Android Phone"/>
    <s v="&lt;3 months"/>
    <x v="1"/>
    <x v="1"/>
    <x v="10"/>
    <s v="First Use"/>
    <s v="No Experiment"/>
    <s v="Control"/>
    <n v="9"/>
    <n v="9"/>
    <n v="264"/>
    <s v="No"/>
    <x v="1"/>
    <x v="1"/>
    <x v="1"/>
    <x v="1"/>
    <n v="0"/>
    <x v="0"/>
    <x v="0"/>
    <s v="Feature Navigation"/>
    <s v="Yes"/>
    <s v="Feature Navigation"/>
    <s v="Resolved"/>
    <n v="40"/>
    <s v="No drop-off"/>
    <n v="2"/>
    <n v="-18"/>
    <n v="0"/>
    <x v="1"/>
    <n v="0"/>
    <n v="0"/>
    <n v="0"/>
    <n v="1"/>
  </r>
  <r>
    <x v="1126"/>
    <s v="USR-00437"/>
    <s v="SES-2508-59611"/>
    <x v="267"/>
    <s v="North East"/>
    <s v="MIDDLESBROUGH"/>
    <x v="5"/>
    <x v="1"/>
    <x v="0"/>
    <s v="Ios"/>
    <s v="Iphone"/>
    <s v="3-6 months"/>
    <x v="2"/>
    <x v="5"/>
    <x v="1"/>
    <s v="Repeat Use"/>
    <s v="No Experiment"/>
    <s v="Control"/>
    <n v="4"/>
    <n v="4"/>
    <n v="110"/>
    <s v="No"/>
    <x v="0"/>
    <x v="1"/>
    <x v="1"/>
    <x v="0"/>
    <n v="171.36"/>
    <x v="25"/>
    <x v="2"/>
    <s v="No Support Contact"/>
    <s v="No"/>
    <s v="No Support Contact"/>
    <s v="Not Applicable"/>
    <m/>
    <s v="No drop-off"/>
    <n v="4"/>
    <n v="50"/>
    <n v="40"/>
    <x v="1"/>
    <n v="1"/>
    <n v="1"/>
    <n v="0"/>
    <n v="1"/>
  </r>
  <r>
    <x v="1127"/>
    <s v="USR-00638"/>
    <s v="SES-2504-97695"/>
    <x v="73"/>
    <s v="Scotland"/>
    <s v="Glasgow"/>
    <x v="2"/>
    <x v="0"/>
    <x v="0"/>
    <s v="Ios"/>
    <s v="Iphone"/>
    <s v="1-2 years"/>
    <x v="1"/>
    <x v="3"/>
    <x v="10"/>
    <s v="First Use"/>
    <s v="Progress Indicator"/>
    <s v="Treatment"/>
    <n v="9"/>
    <n v="9"/>
    <n v="175"/>
    <s v="No"/>
    <x v="0"/>
    <x v="1"/>
    <x v="1"/>
    <x v="0"/>
    <n v="218.44"/>
    <x v="85"/>
    <x v="1"/>
    <s v="No Support Contact"/>
    <s v="No"/>
    <s v="No Support Contact"/>
    <s v="Not Applicable"/>
    <m/>
    <s v="No drop-off"/>
    <n v="4"/>
    <n v="-24"/>
    <n v="0"/>
    <x v="1"/>
    <n v="1"/>
    <n v="1"/>
    <n v="0"/>
    <n v="1"/>
  </r>
  <r>
    <x v="1128"/>
    <s v="USR-00541"/>
    <s v="SES-2606-79755"/>
    <x v="485"/>
    <s v="North West"/>
    <s v="Manchester"/>
    <x v="2"/>
    <x v="0"/>
    <x v="0"/>
    <s v="Android"/>
    <s v="Android Phone"/>
    <s v="1-2 years"/>
    <x v="1"/>
    <x v="4"/>
    <x v="1"/>
    <s v="Reactivated"/>
    <s v="No Experiment"/>
    <s v="Control"/>
    <n v="4"/>
    <n v="4"/>
    <n v="86"/>
    <s v="No"/>
    <x v="1"/>
    <x v="0"/>
    <x v="12"/>
    <x v="1"/>
    <n v="0"/>
    <x v="0"/>
    <x v="0"/>
    <s v="Account Verification"/>
    <s v="Yes"/>
    <s v="Account Verification"/>
    <s v="Resolved"/>
    <n v="30"/>
    <s v="Technical error"/>
    <n v="4"/>
    <n v="26"/>
    <n v="50"/>
    <x v="1"/>
    <n v="0"/>
    <n v="0"/>
    <n v="1"/>
    <n v="1"/>
  </r>
  <r>
    <x v="1129"/>
    <s v="USR-00017"/>
    <s v="SES-2506-71554"/>
    <x v="354"/>
    <s v="East England"/>
    <s v="Cambridge"/>
    <x v="5"/>
    <x v="3"/>
    <x v="0"/>
    <s v="Ios"/>
    <s v="Iphone"/>
    <s v="1-2 years"/>
    <x v="1"/>
    <x v="1"/>
    <x v="10"/>
    <s v="Repeat Use"/>
    <s v="Progress Indicator"/>
    <s v="Control"/>
    <n v="9"/>
    <n v="5"/>
    <n v="385"/>
    <s v="Yes"/>
    <x v="0"/>
    <x v="0"/>
    <x v="17"/>
    <x v="1"/>
    <n v="0"/>
    <x v="0"/>
    <x v="0"/>
    <s v="Transaction Failure"/>
    <s v="Yes"/>
    <s v="Transaction Failure"/>
    <s v="Resolved"/>
    <n v="43"/>
    <s v="Changed mind"/>
    <n v="2"/>
    <n v="-23"/>
    <n v="1"/>
    <x v="1"/>
    <n v="1"/>
    <n v="0"/>
    <n v="1"/>
    <n v="1"/>
  </r>
  <r>
    <x v="1130"/>
    <s v="USR-00424"/>
    <s v="SES-2509-52217"/>
    <x v="181"/>
    <s v="West Midlands"/>
    <s v="Solihull"/>
    <x v="2"/>
    <x v="4"/>
    <x v="0"/>
    <s v="Ios"/>
    <s v="Iphone"/>
    <s v="3-6 months"/>
    <x v="0"/>
    <x v="6"/>
    <x v="7"/>
    <s v="Trial/Exploration"/>
    <s v="New Cta Copy"/>
    <s v="Treatment"/>
    <n v="4"/>
    <s v="2 steps"/>
    <n v="188"/>
    <s v="Yes"/>
    <x v="0"/>
    <x v="1"/>
    <x v="1"/>
    <x v="0"/>
    <n v="38.86"/>
    <x v="23"/>
    <x v="0"/>
    <s v="No Support Contact"/>
    <s v="No"/>
    <s v="No Support Contact"/>
    <s v="Not Applicable"/>
    <m/>
    <s v="No drop-off"/>
    <n v="4"/>
    <n v="-38"/>
    <n v="43"/>
    <x v="1"/>
    <n v="1"/>
    <n v="1"/>
    <n v="0"/>
    <n v="1"/>
  </r>
  <r>
    <x v="1131"/>
    <s v="USR-00184"/>
    <s v="SES-2605-21746"/>
    <x v="345"/>
    <s v="Scotland"/>
    <s v="Aberdeen"/>
    <x v="1"/>
    <x v="1"/>
    <x v="1"/>
    <s v="Ios"/>
    <s v="Iphone"/>
    <s v="1-2 years"/>
    <x v="2"/>
    <x v="1"/>
    <x v="8"/>
    <s v="Repeat Use"/>
    <s v="Fee Transparency Panel"/>
    <s v="Treatment"/>
    <n v="5"/>
    <n v="5"/>
    <n v="116"/>
    <s v="No"/>
    <x v="1"/>
    <x v="1"/>
    <x v="1"/>
    <x v="1"/>
    <n v="0"/>
    <x v="0"/>
    <x v="0"/>
    <s v="No Support Contact"/>
    <s v="No"/>
    <s v="No Support Contact"/>
    <s v="Not Applicable"/>
    <m/>
    <s v="No drop-off"/>
    <n v="4"/>
    <n v="40"/>
    <n v="29"/>
    <x v="1"/>
    <n v="0"/>
    <n v="0"/>
    <n v="0"/>
    <n v="1"/>
  </r>
  <r>
    <x v="1132"/>
    <s v="USR-00054"/>
    <s v="SES-2504-22489"/>
    <x v="122"/>
    <s v="North West"/>
    <s v="Chester"/>
    <x v="0"/>
    <x v="1"/>
    <x v="1"/>
    <s v="Android"/>
    <s v="Android Phone"/>
    <s v="&lt;3 months"/>
    <x v="0"/>
    <x v="0"/>
    <x v="8"/>
    <s v="Reactivated"/>
    <s v="No Experiment"/>
    <s v="Control"/>
    <n v="5"/>
    <s v="5 steps"/>
    <n v="115"/>
    <s v="No"/>
    <x v="0"/>
    <x v="1"/>
    <x v="1"/>
    <x v="0"/>
    <n v="61.77"/>
    <x v="0"/>
    <x v="0"/>
    <s v="Feature Navigation"/>
    <s v="Yes"/>
    <s v="Feature Navigation"/>
    <s v="Resolved"/>
    <n v="27"/>
    <s v="No drop-off"/>
    <n v="4"/>
    <n v="15"/>
    <n v="22"/>
    <x v="1"/>
    <n v="1"/>
    <n v="1"/>
    <n v="0"/>
    <n v="1"/>
  </r>
  <r>
    <x v="1133"/>
    <s v="USR-00471"/>
    <s v="SES-2504-34185"/>
    <x v="437"/>
    <s v="Scotland"/>
    <s v="Glasgow"/>
    <x v="0"/>
    <x v="1"/>
    <x v="1"/>
    <s v="Ios"/>
    <s v="Iphone"/>
    <s v="3-6 months"/>
    <x v="0"/>
    <x v="7"/>
    <x v="3"/>
    <s v="Repeat Use"/>
    <s v="No Experiment"/>
    <s v="Control"/>
    <n v="6"/>
    <n v="6"/>
    <n v="128"/>
    <s v="No"/>
    <x v="1"/>
    <x v="1"/>
    <x v="1"/>
    <x v="0"/>
    <n v="0"/>
    <x v="2"/>
    <x v="0"/>
    <s v="No Support Contact"/>
    <s v="No"/>
    <s v="No Support Contact"/>
    <s v="Not Applicable"/>
    <m/>
    <s v="No drop-off"/>
    <n v="3"/>
    <n v="20"/>
    <n v="36"/>
    <x v="1"/>
    <n v="0"/>
    <n v="1"/>
    <n v="0"/>
    <n v="1"/>
  </r>
  <r>
    <x v="1134"/>
    <s v="USR-00279"/>
    <s v="SES-2509-75680"/>
    <x v="427"/>
    <s v="North East"/>
    <s v="Middlesbrough"/>
    <x v="0"/>
    <x v="0"/>
    <x v="1"/>
    <s v="Web"/>
    <s v="Desktop"/>
    <s v="2+ years"/>
    <x v="1"/>
    <x v="1"/>
    <x v="7"/>
    <s v="Repeat Use"/>
    <s v="Simplified Onboarding"/>
    <s v="Control"/>
    <n v="4"/>
    <s v="4 steps"/>
    <n v="123"/>
    <s v="No"/>
    <x v="0"/>
    <x v="1"/>
    <x v="1"/>
    <x v="0"/>
    <n v="76.78"/>
    <x v="9"/>
    <x v="1"/>
    <s v="No Support Contact"/>
    <s v="No"/>
    <s v="No Support Contact"/>
    <s v="Not Applicable"/>
    <m/>
    <s v="No drop-off"/>
    <n v="5"/>
    <n v="23"/>
    <n v="52"/>
    <x v="1"/>
    <n v="1"/>
    <n v="1"/>
    <n v="0"/>
    <n v="1"/>
  </r>
  <r>
    <x v="1135"/>
    <s v="USR-00384"/>
    <s v="SES-2504-57611"/>
    <x v="73"/>
    <s v="East England"/>
    <s v="Cambridge"/>
    <x v="2"/>
    <x v="2"/>
    <x v="0"/>
    <s v="Ios"/>
    <s v="Iphone"/>
    <s v="2+ years"/>
    <x v="1"/>
    <x v="6"/>
    <x v="1"/>
    <s v="Repeat Use"/>
    <s v="No Experiment"/>
    <s v="Control"/>
    <n v="4"/>
    <n v="4"/>
    <n v="83"/>
    <s v="No"/>
    <x v="0"/>
    <x v="1"/>
    <x v="1"/>
    <x v="0"/>
    <n v="185.25"/>
    <x v="4"/>
    <x v="1"/>
    <s v="No Support Contact"/>
    <s v="No"/>
    <s v="No Support Contact"/>
    <s v="Not Applicable"/>
    <m/>
    <s v="No drop-off"/>
    <n v="5"/>
    <n v="53"/>
    <n v="46"/>
    <x v="1"/>
    <n v="1"/>
    <n v="1"/>
    <n v="0"/>
    <n v="1"/>
  </r>
  <r>
    <x v="1136"/>
    <s v="USR-00121"/>
    <s v="SES-2505-39727"/>
    <x v="8"/>
    <s v="Wales"/>
    <s v="Cardiff"/>
    <x v="0"/>
    <x v="0"/>
    <x v="0"/>
    <s v="Web"/>
    <s v="Desktop"/>
    <s v="&lt;3 months"/>
    <x v="0"/>
    <x v="0"/>
    <x v="1"/>
    <s v="First Use"/>
    <s v="No Experiment"/>
    <s v="Control"/>
    <n v="4"/>
    <n v="4"/>
    <n v="115"/>
    <s v="No"/>
    <x v="0"/>
    <x v="1"/>
    <x v="1"/>
    <x v="0"/>
    <n v="165.34"/>
    <x v="8"/>
    <x v="0"/>
    <s v="Feature Navigation"/>
    <s v="Yes"/>
    <s v="Feature Navigation"/>
    <s v="Resolved"/>
    <n v="29"/>
    <s v="No drop-off"/>
    <n v="5"/>
    <n v="-9"/>
    <n v="0"/>
    <x v="1"/>
    <n v="1"/>
    <n v="1"/>
    <n v="0"/>
    <n v="1"/>
  </r>
  <r>
    <x v="1137"/>
    <s v="USR-00051"/>
    <s v="SES-2605-73419"/>
    <x v="486"/>
    <s v="West Midlands"/>
    <s v="Wolverhampton"/>
    <x v="3"/>
    <x v="0"/>
    <x v="0"/>
    <s v="Android"/>
    <s v="Android Phone"/>
    <s v="3-6 months"/>
    <x v="0"/>
    <x v="4"/>
    <x v="1"/>
    <s v="Trial/Exploration"/>
    <s v="No Experiment"/>
    <s v="Control"/>
    <n v="4"/>
    <n v="4"/>
    <n v="112"/>
    <s v="No"/>
    <x v="0"/>
    <x v="1"/>
    <x v="1"/>
    <x v="1"/>
    <n v="0"/>
    <x v="0"/>
    <x v="0"/>
    <s v="No Support Contact"/>
    <s v="No"/>
    <s v="No Support Contact"/>
    <s v="Not Applicable"/>
    <m/>
    <s v="No drop-off"/>
    <n v="5"/>
    <n v="26"/>
    <n v="41"/>
    <x v="1"/>
    <n v="1"/>
    <n v="0"/>
    <n v="0"/>
    <n v="1"/>
  </r>
  <r>
    <x v="1138"/>
    <s v="USR-00129"/>
    <s v="SES-2502-62214"/>
    <x v="487"/>
    <s v="Scotland"/>
    <s v="Glasgow"/>
    <x v="5"/>
    <x v="3"/>
    <x v="1"/>
    <s v="Android"/>
    <s v="Android Phone"/>
    <s v="&lt;3 months"/>
    <x v="0"/>
    <x v="5"/>
    <x v="5"/>
    <s v="Trial/Exploration"/>
    <s v="Fee Transparency Panel"/>
    <s v="Treatment"/>
    <s v="8 steps"/>
    <n v="8"/>
    <n v="293"/>
    <s v="Unknown"/>
    <x v="1"/>
    <x v="0"/>
    <x v="24"/>
    <x v="1"/>
    <n v="0"/>
    <x v="0"/>
    <x v="0"/>
    <s v="No Support Contact"/>
    <s v="No"/>
    <s v="No Support Contact"/>
    <s v="Not Applicable"/>
    <m/>
    <s v="No drop-off"/>
    <n v="2"/>
    <n v="-3"/>
    <n v="4"/>
    <x v="1"/>
    <n v="0"/>
    <n v="0"/>
    <n v="1"/>
    <n v="1"/>
  </r>
  <r>
    <x v="1139"/>
    <s v="USR-00354"/>
    <s v="SES-2502-75016"/>
    <x v="458"/>
    <s v="East England"/>
    <s v="Ipswich"/>
    <x v="0"/>
    <x v="0"/>
    <x v="1"/>
    <s v="Ios"/>
    <s v="Iphone"/>
    <s v="1-2 years"/>
    <x v="0"/>
    <x v="1"/>
    <x v="10"/>
    <s v="Reactivated"/>
    <s v="Simplified Onboarding"/>
    <s v="Control"/>
    <n v="9"/>
    <s v="9 steps"/>
    <n v="188"/>
    <s v="Unknown"/>
    <x v="0"/>
    <x v="1"/>
    <x v="1"/>
    <x v="0"/>
    <n v="166.4"/>
    <x v="77"/>
    <x v="0"/>
    <s v="No Support Contact"/>
    <s v="No"/>
    <s v="No Support Contact"/>
    <s v="Not Applicable"/>
    <m/>
    <s v="No drop-off"/>
    <n v="4"/>
    <n v="26"/>
    <n v="13"/>
    <x v="1"/>
    <n v="1"/>
    <n v="1"/>
    <n v="0"/>
    <n v="1"/>
  </r>
  <r>
    <x v="1140"/>
    <s v="USR-00177"/>
    <s v="SES-2509-27612"/>
    <x v="80"/>
    <s v="South East"/>
    <m/>
    <x v="4"/>
    <x v="0"/>
    <x v="1"/>
    <s v="Ios"/>
    <s v="Iphone"/>
    <s v="2+ years"/>
    <x v="0"/>
    <x v="0"/>
    <x v="2"/>
    <s v="Trial/Exploration"/>
    <s v="No Experiment"/>
    <s v="Control"/>
    <n v="5"/>
    <n v="4"/>
    <n v="154"/>
    <s v="Yes"/>
    <x v="0"/>
    <x v="1"/>
    <x v="1"/>
    <x v="1"/>
    <n v="0"/>
    <x v="0"/>
    <x v="0"/>
    <s v="No Support Contact"/>
    <s v="No"/>
    <s v="No Support Contact"/>
    <s v="Not Applicable"/>
    <m/>
    <s v="No drop-off"/>
    <n v="4"/>
    <n v="10"/>
    <n v="54"/>
    <x v="0"/>
    <n v="1"/>
    <n v="0"/>
    <n v="0"/>
    <n v="0"/>
  </r>
  <r>
    <x v="1141"/>
    <s v="USR-00534"/>
    <s v="SES-2507-51233"/>
    <x v="217"/>
    <s v="West Midlands"/>
    <s v="Solihull"/>
    <x v="3"/>
    <x v="1"/>
    <x v="1"/>
    <s v="Web"/>
    <s v="Desktop"/>
    <s v="2+ years"/>
    <x v="2"/>
    <x v="1"/>
    <x v="7"/>
    <s v="First Use"/>
    <s v="No Experiment"/>
    <s v="Control"/>
    <n v="4"/>
    <n v="2"/>
    <n v="174"/>
    <s v="Yes"/>
    <x v="1"/>
    <x v="1"/>
    <x v="1"/>
    <x v="1"/>
    <n v="0"/>
    <x v="0"/>
    <x v="0"/>
    <s v="No Support Contact"/>
    <s v="No"/>
    <s v="No Support Contact"/>
    <s v="Not Applicable"/>
    <m/>
    <s v="Too many steps"/>
    <n v="2"/>
    <n v="-20"/>
    <n v="0"/>
    <x v="1"/>
    <n v="0"/>
    <n v="0"/>
    <n v="0"/>
    <n v="1"/>
  </r>
  <r>
    <x v="1142"/>
    <s v="USR-00435"/>
    <s v="SES-2511-16756"/>
    <x v="24"/>
    <s v="Northern Ireland"/>
    <s v="Derry"/>
    <x v="0"/>
    <x v="0"/>
    <x v="3"/>
    <s v="Ios"/>
    <s v="Iphone"/>
    <s v="1-2 years"/>
    <x v="0"/>
    <x v="7"/>
    <x v="7"/>
    <s v="Trial/Exploration"/>
    <s v="No Experiment"/>
    <s v="Control"/>
    <n v="4"/>
    <s v="4 steps"/>
    <n v="99"/>
    <s v="No"/>
    <x v="0"/>
    <x v="1"/>
    <x v="1"/>
    <x v="0"/>
    <n v="144.94"/>
    <x v="27"/>
    <x v="0"/>
    <s v="No Support Contact"/>
    <s v="No"/>
    <s v="No Support Contact"/>
    <s v="Not Applicable"/>
    <m/>
    <s v="No drop-off"/>
    <n v="4"/>
    <n v="27"/>
    <n v="1"/>
    <x v="1"/>
    <n v="1"/>
    <n v="1"/>
    <n v="0"/>
    <n v="1"/>
  </r>
  <r>
    <x v="1143"/>
    <s v="USR-00234"/>
    <s v="SES-2509-98510"/>
    <x v="80"/>
    <s v="Scotland"/>
    <s v="Dundee"/>
    <x v="2"/>
    <x v="0"/>
    <x v="1"/>
    <s v="Android"/>
    <s v="Android Phone"/>
    <s v="3-6 months"/>
    <x v="1"/>
    <x v="5"/>
    <x v="9"/>
    <s v="Repeat Use"/>
    <s v="No Experiment"/>
    <s v="Control"/>
    <n v="5"/>
    <n v="5"/>
    <n v="128"/>
    <s v="No"/>
    <x v="0"/>
    <x v="1"/>
    <x v="1"/>
    <x v="0"/>
    <n v="44.52"/>
    <x v="0"/>
    <x v="1"/>
    <s v="No Support Contact"/>
    <s v="No"/>
    <s v="No Support Contact"/>
    <s v="Not Applicable"/>
    <m/>
    <s v="No drop-off"/>
    <n v="5"/>
    <n v="5"/>
    <n v="59"/>
    <x v="1"/>
    <n v="1"/>
    <n v="1"/>
    <n v="0"/>
    <n v="1"/>
  </r>
  <r>
    <x v="1144"/>
    <s v="USR-00423"/>
    <s v="SES-2601-41269"/>
    <x v="290"/>
    <s v="Northern Ireland"/>
    <s v="Belfast"/>
    <x v="0"/>
    <x v="2"/>
    <x v="0"/>
    <s v="Android"/>
    <s v="Android Phone"/>
    <s v="7-12 months"/>
    <x v="2"/>
    <x v="1"/>
    <x v="7"/>
    <s v="Repeat Use"/>
    <s v="New Cta Copy"/>
    <s v="Treatment"/>
    <s v="4 steps"/>
    <n v="4"/>
    <n v="87"/>
    <s v="No"/>
    <x v="0"/>
    <x v="1"/>
    <x v="1"/>
    <x v="0"/>
    <n v="109.44"/>
    <x v="13"/>
    <x v="2"/>
    <s v="No Support Contact"/>
    <s v="No"/>
    <s v="No Support Contact"/>
    <s v="Not Applicable"/>
    <m/>
    <s v="No drop-off"/>
    <n v="5"/>
    <n v="46"/>
    <n v="46"/>
    <x v="1"/>
    <n v="1"/>
    <n v="1"/>
    <n v="0"/>
    <n v="1"/>
  </r>
  <r>
    <x v="1145"/>
    <s v="USR-00613"/>
    <s v="SES-2501-81786"/>
    <x v="389"/>
    <s v="Wales"/>
    <s v="Cardiff"/>
    <x v="5"/>
    <x v="1"/>
    <x v="2"/>
    <s v="Ios"/>
    <s v="Iphone"/>
    <s v="&lt;3 months"/>
    <x v="0"/>
    <x v="6"/>
    <x v="8"/>
    <s v="Repeat Use"/>
    <s v="New Cta Copy"/>
    <s v="Treatment"/>
    <n v="5"/>
    <n v="3"/>
    <n v="192"/>
    <s v="Yes"/>
    <x v="1"/>
    <x v="1"/>
    <x v="1"/>
    <x v="1"/>
    <n v="0"/>
    <x v="0"/>
    <x v="0"/>
    <s v="No Support Contact"/>
    <s v="No"/>
    <s v="No Support Contact"/>
    <s v="Not Applicable"/>
    <m/>
    <s v="Too many steps"/>
    <n v="3"/>
    <n v="8"/>
    <n v="21"/>
    <x v="0"/>
    <n v="0"/>
    <n v="0"/>
    <n v="0"/>
    <n v="0"/>
  </r>
  <r>
    <x v="1146"/>
    <s v="USR-00638"/>
    <s v="SES-2603-66781"/>
    <x v="91"/>
    <s v="South East"/>
    <s v="Canterbury"/>
    <x v="3"/>
    <x v="4"/>
    <x v="1"/>
    <s v="Ios"/>
    <s v="Iphone"/>
    <s v="3-6 months"/>
    <x v="0"/>
    <x v="5"/>
    <x v="2"/>
    <s v="Reactivated"/>
    <s v="No Experiment"/>
    <s v="Control"/>
    <n v="5"/>
    <n v="5"/>
    <n v="147"/>
    <s v="No"/>
    <x v="0"/>
    <x v="1"/>
    <x v="1"/>
    <x v="0"/>
    <n v="65.62"/>
    <x v="0"/>
    <x v="0"/>
    <s v="No Support Contact"/>
    <s v="No"/>
    <s v="No Support Contact"/>
    <s v="Not Applicable"/>
    <m/>
    <s v="No drop-off"/>
    <n v="4"/>
    <n v="36"/>
    <n v="45"/>
    <x v="1"/>
    <n v="1"/>
    <n v="1"/>
    <n v="0"/>
    <n v="1"/>
  </r>
  <r>
    <x v="1147"/>
    <s v="USR-00109"/>
    <s v="SES-2503-62820"/>
    <x v="145"/>
    <s v="London"/>
    <s v="Camden"/>
    <x v="2"/>
    <x v="2"/>
    <x v="0"/>
    <s v="Web"/>
    <s v="Desktop"/>
    <s v="7-12 months"/>
    <x v="2"/>
    <x v="3"/>
    <x v="4"/>
    <s v="Reactivated"/>
    <s v="No Experiment"/>
    <s v="Control"/>
    <n v="6"/>
    <n v="6"/>
    <n v="190"/>
    <s v="No"/>
    <x v="0"/>
    <x v="1"/>
    <x v="1"/>
    <x v="0"/>
    <n v="0"/>
    <x v="0"/>
    <x v="2"/>
    <s v="Feature Navigation"/>
    <s v="Yes"/>
    <s v="Feature Navigation"/>
    <s v="Unresolved"/>
    <n v="20"/>
    <s v="No drop-off"/>
    <n v="4"/>
    <n v="45"/>
    <n v="44"/>
    <x v="1"/>
    <n v="1"/>
    <n v="1"/>
    <n v="0"/>
    <n v="1"/>
  </r>
  <r>
    <x v="1148"/>
    <s v="USR-00496"/>
    <s v="SES-2512-46122"/>
    <x v="119"/>
    <s v="London"/>
    <s v="Hammersmith"/>
    <x v="2"/>
    <x v="0"/>
    <x v="0"/>
    <s v="Android"/>
    <s v="Android Phone"/>
    <s v="1-2 years"/>
    <x v="1"/>
    <x v="5"/>
    <x v="4"/>
    <s v="Repeat Use"/>
    <s v="Fee Transparency Panel"/>
    <s v="Treatment"/>
    <n v="6"/>
    <n v="3"/>
    <n v="172"/>
    <s v="Yes"/>
    <x v="1"/>
    <x v="1"/>
    <x v="1"/>
    <x v="0"/>
    <n v="0"/>
    <x v="0"/>
    <x v="1"/>
    <s v="No Support Contact"/>
    <s v="No"/>
    <s v="No Support Contact"/>
    <s v="Not Applicable"/>
    <m/>
    <s v="Too many steps"/>
    <n v="3"/>
    <n v="-4"/>
    <n v="58"/>
    <x v="0"/>
    <n v="0"/>
    <n v="1"/>
    <n v="0"/>
    <n v="0"/>
  </r>
  <r>
    <x v="1149"/>
    <s v="USR-00640"/>
    <s v="SES-2602-80522"/>
    <x v="152"/>
    <s v="East England"/>
    <s v="Cambridge"/>
    <x v="0"/>
    <x v="3"/>
    <x v="0"/>
    <s v="Web"/>
    <s v="Mobile Browser"/>
    <s v="&lt;3 months"/>
    <x v="0"/>
    <x v="1"/>
    <x v="9"/>
    <s v="Repeat Use"/>
    <s v="Fee Transparency Panel"/>
    <s v="Control"/>
    <s v="5 steps"/>
    <n v="5"/>
    <n v="142"/>
    <s v="No"/>
    <x v="0"/>
    <x v="1"/>
    <x v="1"/>
    <x v="0"/>
    <n v="110.57"/>
    <x v="0"/>
    <x v="0"/>
    <s v="Transaction Failure"/>
    <s v="Yes"/>
    <s v="Transaction Failure"/>
    <s v="Resolved"/>
    <n v="29"/>
    <s v="No drop-off"/>
    <n v="5"/>
    <n v="-40"/>
    <n v="50"/>
    <x v="1"/>
    <n v="1"/>
    <n v="1"/>
    <n v="0"/>
    <n v="1"/>
  </r>
  <r>
    <x v="1150"/>
    <s v="USR-00294"/>
    <s v="SES-2501-93984"/>
    <x v="98"/>
    <s v="South West"/>
    <s v="Bristol"/>
    <x v="0"/>
    <x v="1"/>
    <x v="1"/>
    <s v="Android"/>
    <s v="Android Phone"/>
    <s v="1-2 years"/>
    <x v="0"/>
    <x v="4"/>
    <x v="0"/>
    <s v="Repeat Use"/>
    <s v="No Experiment"/>
    <s v="Control"/>
    <n v="7"/>
    <n v="7"/>
    <n v="129"/>
    <s v="No"/>
    <x v="1"/>
    <x v="1"/>
    <x v="1"/>
    <x v="1"/>
    <n v="0"/>
    <x v="0"/>
    <x v="0"/>
    <s v="No Support Contact"/>
    <s v="No"/>
    <s v="No Support Contact"/>
    <s v="Not Applicable"/>
    <m/>
    <s v="No drop-off"/>
    <n v="3"/>
    <n v="24"/>
    <n v="18"/>
    <x v="1"/>
    <n v="0"/>
    <n v="0"/>
    <n v="0"/>
    <n v="1"/>
  </r>
  <r>
    <x v="1151"/>
    <s v="USR-00707"/>
    <s v="SES-2604-62756"/>
    <x v="488"/>
    <s v="North East"/>
    <s v="Middlesbrough"/>
    <x v="1"/>
    <x v="2"/>
    <x v="0"/>
    <s v="Ios"/>
    <s v="Iphone"/>
    <s v="7-12 months"/>
    <x v="0"/>
    <x v="4"/>
    <x v="8"/>
    <s v="First Use"/>
    <s v="Progress Indicator"/>
    <s v="Treatment"/>
    <n v="5"/>
    <n v="3"/>
    <n v="169"/>
    <s v="Yes"/>
    <x v="1"/>
    <x v="1"/>
    <x v="1"/>
    <x v="1"/>
    <n v="0"/>
    <x v="0"/>
    <x v="0"/>
    <s v="No Support Contact"/>
    <s v="No"/>
    <s v="No Support Contact"/>
    <s v="Not Applicable"/>
    <m/>
    <s v="Too many steps"/>
    <n v="3"/>
    <n v="30"/>
    <n v="0"/>
    <x v="0"/>
    <n v="0"/>
    <n v="0"/>
    <n v="0"/>
    <n v="0"/>
  </r>
  <r>
    <x v="1152"/>
    <s v="USR-00155"/>
    <s v="SES-2502-41878"/>
    <x v="85"/>
    <s v="West Midlands"/>
    <s v="Solihull"/>
    <x v="7"/>
    <x v="3"/>
    <x v="0"/>
    <s v="Web"/>
    <s v="Desktop"/>
    <s v="7-12 months"/>
    <x v="1"/>
    <x v="7"/>
    <x v="9"/>
    <s v="Repeat Use"/>
    <s v="Fee Transparency Panel"/>
    <s v="Treatment"/>
    <n v="5"/>
    <n v="5"/>
    <n v="194"/>
    <s v="No"/>
    <x v="0"/>
    <x v="0"/>
    <x v="32"/>
    <x v="1"/>
    <n v="0"/>
    <x v="0"/>
    <x v="0"/>
    <s v="Transaction Failure"/>
    <s v="Yes"/>
    <s v="Transaction Failure"/>
    <s v="Resolved"/>
    <n v="13"/>
    <s v="No drop-off"/>
    <n v="4"/>
    <n v="66"/>
    <n v="33"/>
    <x v="1"/>
    <n v="1"/>
    <n v="0"/>
    <n v="1"/>
    <n v="1"/>
  </r>
  <r>
    <x v="1153"/>
    <s v="USR-00715"/>
    <s v="SES-2503-49809"/>
    <x v="197"/>
    <s v="North East"/>
    <s v="Durham"/>
    <x v="1"/>
    <x v="1"/>
    <x v="1"/>
    <s v="Android"/>
    <s v="Android Phone"/>
    <s v="1-2 years"/>
    <x v="0"/>
    <x v="5"/>
    <x v="10"/>
    <s v="Repeat Use"/>
    <s v="No Experiment"/>
    <s v="Control"/>
    <n v="9"/>
    <n v="9"/>
    <n v="308"/>
    <s v="No"/>
    <x v="1"/>
    <x v="0"/>
    <x v="6"/>
    <x v="1"/>
    <n v="0"/>
    <x v="0"/>
    <x v="0"/>
    <s v="No Support Contact"/>
    <s v="No"/>
    <s v="No Support Contact"/>
    <s v="Not Applicable"/>
    <m/>
    <s v="Technical error"/>
    <n v="3"/>
    <n v="-28"/>
    <n v="30"/>
    <x v="0"/>
    <n v="0"/>
    <n v="0"/>
    <n v="1"/>
    <n v="0"/>
  </r>
  <r>
    <x v="1154"/>
    <s v="usr-00572"/>
    <s v="SES-2604-53050"/>
    <x v="307"/>
    <s v="East Midlands"/>
    <s v="Derby"/>
    <x v="2"/>
    <x v="4"/>
    <x v="1"/>
    <s v="Android"/>
    <s v="Android Phone"/>
    <s v="1-2 years"/>
    <x v="0"/>
    <x v="5"/>
    <x v="1"/>
    <s v="Trial/Exploration"/>
    <s v="No Experiment"/>
    <s v="Control"/>
    <n v="4"/>
    <n v="4"/>
    <n v="113"/>
    <s v="No"/>
    <x v="0"/>
    <x v="1"/>
    <x v="1"/>
    <x v="0"/>
    <n v="96.96"/>
    <x v="1"/>
    <x v="0"/>
    <s v="Other"/>
    <s v="Yes"/>
    <s v="Other"/>
    <s v="Resolved"/>
    <n v="42"/>
    <s v="No drop-off"/>
    <n v="4"/>
    <n v="2"/>
    <n v="47"/>
    <x v="1"/>
    <n v="1"/>
    <n v="1"/>
    <n v="0"/>
    <n v="1"/>
  </r>
  <r>
    <x v="1155"/>
    <s v="USR-00554"/>
    <s v="SES-2506-11453"/>
    <x v="96"/>
    <s v="East Midlands"/>
    <s v="Nottingham"/>
    <x v="0"/>
    <x v="0"/>
    <x v="1"/>
    <s v="Ios"/>
    <s v="Iphone"/>
    <s v="7-12 months"/>
    <x v="1"/>
    <x v="4"/>
    <x v="2"/>
    <s v="Repeat Use"/>
    <s v="Simplified Onboarding"/>
    <s v="Control"/>
    <n v="5"/>
    <n v="5"/>
    <n v="135"/>
    <s v="No"/>
    <x v="0"/>
    <x v="1"/>
    <x v="1"/>
    <x v="0"/>
    <n v="0"/>
    <x v="0"/>
    <x v="1"/>
    <s v="No Support Contact"/>
    <s v="No"/>
    <s v="No Support Contact"/>
    <s v="Not Applicable"/>
    <m/>
    <s v="No drop-off"/>
    <n v="4"/>
    <n v="40"/>
    <n v="46"/>
    <x v="0"/>
    <n v="1"/>
    <n v="1"/>
    <n v="0"/>
    <n v="0"/>
  </r>
  <r>
    <x v="1156"/>
    <s v="USR-00518"/>
    <s v="SES-2602-63433"/>
    <x v="152"/>
    <s v="London"/>
    <s v="Croydon"/>
    <x v="3"/>
    <x v="1"/>
    <x v="0"/>
    <s v="Ios"/>
    <s v="Iphone"/>
    <s v="&lt;3 months"/>
    <x v="2"/>
    <x v="1"/>
    <x v="3"/>
    <s v="Repeat Use"/>
    <s v="No Experiment"/>
    <s v="Control"/>
    <n v="6"/>
    <n v="6"/>
    <n v="121"/>
    <s v="No"/>
    <x v="1"/>
    <x v="1"/>
    <x v="1"/>
    <x v="0"/>
    <n v="0"/>
    <x v="2"/>
    <x v="2"/>
    <s v="No Support Contact"/>
    <s v="No"/>
    <s v="No Support Contact"/>
    <s v="Not Applicable"/>
    <m/>
    <s v="No drop-off"/>
    <n v="3"/>
    <n v="-7"/>
    <n v="35"/>
    <x v="0"/>
    <n v="0"/>
    <n v="1"/>
    <n v="0"/>
    <n v="0"/>
  </r>
  <r>
    <x v="1157"/>
    <s v="USR-00100"/>
    <s v="SES-2502-13417"/>
    <x v="315"/>
    <s v="East Midlands"/>
    <s v="Lincoln"/>
    <x v="0"/>
    <x v="4"/>
    <x v="2"/>
    <s v="Ios"/>
    <s v="Iphone"/>
    <s v="7-12 months"/>
    <x v="0"/>
    <x v="0"/>
    <x v="4"/>
    <s v="Repeat Use"/>
    <s v="Progress Indicator"/>
    <s v="Control"/>
    <n v="6"/>
    <n v="6"/>
    <n v="133"/>
    <s v="No"/>
    <x v="1"/>
    <x v="1"/>
    <x v="1"/>
    <x v="1"/>
    <n v="0"/>
    <x v="0"/>
    <x v="0"/>
    <s v="No Support Contact"/>
    <s v="No"/>
    <s v="No Support Contact"/>
    <s v="Not Applicable"/>
    <m/>
    <s v="No drop-off"/>
    <n v="4"/>
    <n v="49"/>
    <n v="10"/>
    <x v="0"/>
    <n v="0"/>
    <n v="0"/>
    <n v="0"/>
    <n v="0"/>
  </r>
  <r>
    <x v="1158"/>
    <s v="USR-00302"/>
    <s v="SES-2604-92598"/>
    <x v="488"/>
    <s v="Yorkshire &amp; Humber"/>
    <s v="Sheffield"/>
    <x v="0"/>
    <x v="0"/>
    <x v="1"/>
    <s v="Android"/>
    <s v="Android Phone"/>
    <s v="&lt;3 months"/>
    <x v="1"/>
    <x v="6"/>
    <x v="3"/>
    <s v="Repeat Use"/>
    <s v="No Experiment"/>
    <s v="Control"/>
    <n v="6"/>
    <n v="4"/>
    <n v="294"/>
    <s v="Yes"/>
    <x v="0"/>
    <x v="0"/>
    <x v="8"/>
    <x v="1"/>
    <n v="0"/>
    <x v="0"/>
    <x v="0"/>
    <s v="Feature Navigation"/>
    <s v="Yes"/>
    <s v="Feature Navigation"/>
    <s v="Resolved"/>
    <n v="22"/>
    <s v="No drop-off"/>
    <n v="1"/>
    <n v="-49"/>
    <n v="53"/>
    <x v="0"/>
    <n v="1"/>
    <n v="0"/>
    <n v="1"/>
    <n v="0"/>
  </r>
  <r>
    <x v="1159"/>
    <s v="USR-00221"/>
    <s v="SES-2512-97252"/>
    <x v="317"/>
    <s v="East Midlands"/>
    <s v="Nottingham"/>
    <x v="1"/>
    <x v="2"/>
    <x v="1"/>
    <s v="Android"/>
    <s v="Android Phone"/>
    <s v="1-2 years"/>
    <x v="1"/>
    <x v="0"/>
    <x v="5"/>
    <s v="First Use"/>
    <s v="No Experiment"/>
    <s v="Control"/>
    <n v="8"/>
    <n v="8"/>
    <n v="310"/>
    <s v="No"/>
    <x v="1"/>
    <x v="0"/>
    <x v="24"/>
    <x v="1"/>
    <n v="0"/>
    <x v="0"/>
    <x v="0"/>
    <s v="Feature Navigation"/>
    <s v="Yes"/>
    <s v="Feature Navigation"/>
    <s v="Resolved"/>
    <n v="24"/>
    <s v="Technical error"/>
    <n v="2"/>
    <n v="-30"/>
    <n v="0"/>
    <x v="0"/>
    <n v="0"/>
    <n v="0"/>
    <n v="1"/>
    <n v="0"/>
  </r>
  <r>
    <x v="1160"/>
    <s v="USR-00771"/>
    <s v="SES-2507-14405"/>
    <x v="217"/>
    <s v="West Midlands"/>
    <s v="Wolverhampton"/>
    <x v="5"/>
    <x v="3"/>
    <x v="0"/>
    <s v="Android"/>
    <s v="Android Phone"/>
    <s v="3-6 months"/>
    <x v="0"/>
    <x v="1"/>
    <x v="7"/>
    <s v="Repeat Use"/>
    <s v="No Experiment"/>
    <s v="Control"/>
    <n v="4"/>
    <s v="4 steps"/>
    <n v="78"/>
    <s v="No"/>
    <x v="0"/>
    <x v="1"/>
    <x v="1"/>
    <x v="0"/>
    <n v="123.9"/>
    <x v="31"/>
    <x v="0"/>
    <s v="No Support Contact"/>
    <s v="No"/>
    <s v="No Support Contact"/>
    <s v="Not Applicable"/>
    <m/>
    <s v="No drop-off"/>
    <n v="6"/>
    <n v="60"/>
    <n v="25"/>
    <x v="1"/>
    <n v="1"/>
    <n v="1"/>
    <n v="0"/>
    <n v="1"/>
  </r>
  <r>
    <x v="1161"/>
    <s v="USR-00823"/>
    <s v="SES-2502-14337"/>
    <x v="378"/>
    <s v="East England"/>
    <s v="Ipswich"/>
    <x v="0"/>
    <x v="1"/>
    <x v="0"/>
    <s v="Android"/>
    <s v="Android Tablet"/>
    <s v="1-2 years"/>
    <x v="0"/>
    <x v="2"/>
    <x v="0"/>
    <s v="Repeat Use"/>
    <s v="No Experiment"/>
    <s v="Control"/>
    <n v="7"/>
    <n v="7"/>
    <n v="131"/>
    <s v="No"/>
    <x v="0"/>
    <x v="1"/>
    <x v="1"/>
    <x v="0"/>
    <n v="32.43"/>
    <x v="0"/>
    <x v="0"/>
    <s v="No Support Contact"/>
    <s v="No"/>
    <s v="No Support Contact"/>
    <s v="Not Applicable"/>
    <m/>
    <s v="No drop-off"/>
    <n v="4"/>
    <n v="36"/>
    <n v="9"/>
    <x v="1"/>
    <n v="1"/>
    <n v="1"/>
    <n v="0"/>
    <n v="1"/>
  </r>
  <r>
    <x v="1162"/>
    <s v="USR-00532"/>
    <s v="SES-2504-37656"/>
    <x v="125"/>
    <s v="North East"/>
    <s v="Middlesbrough"/>
    <x v="3"/>
    <x v="4"/>
    <x v="1"/>
    <s v="Android"/>
    <s v="Android Phone"/>
    <s v="2+ years"/>
    <x v="0"/>
    <x v="1"/>
    <x v="2"/>
    <s v="Reactivated"/>
    <s v="New Cta Copy"/>
    <s v="Control"/>
    <n v="5"/>
    <n v="5"/>
    <n v="105"/>
    <s v="No"/>
    <x v="0"/>
    <x v="1"/>
    <x v="1"/>
    <x v="0"/>
    <n v="4.54"/>
    <x v="0"/>
    <x v="0"/>
    <s v="Account Verification"/>
    <s v="Yes"/>
    <s v="Account Verification"/>
    <s v="Unresolved"/>
    <n v="3"/>
    <s v="No drop-off"/>
    <n v="3"/>
    <n v="18"/>
    <n v="37"/>
    <x v="0"/>
    <n v="1"/>
    <n v="1"/>
    <n v="0"/>
    <n v="0"/>
  </r>
  <r>
    <x v="1163"/>
    <s v="USR-00147"/>
    <s v="SES-2507-23626"/>
    <x v="230"/>
    <s v="Scotland"/>
    <s v="Dundee"/>
    <x v="0"/>
    <x v="2"/>
    <x v="0"/>
    <s v="Ios"/>
    <s v="Iphone"/>
    <s v="2+ years"/>
    <x v="1"/>
    <x v="3"/>
    <x v="4"/>
    <s v="First Use"/>
    <s v="No Experiment"/>
    <s v="Control"/>
    <n v="6"/>
    <n v="6"/>
    <n v="189"/>
    <s v="No"/>
    <x v="0"/>
    <x v="1"/>
    <x v="1"/>
    <x v="0"/>
    <n v="0.45"/>
    <x v="0"/>
    <x v="1"/>
    <s v="Feature Navigation"/>
    <s v="Yes"/>
    <s v="Feature Navigation"/>
    <s v="Unresolved"/>
    <n v="34"/>
    <s v="No drop-off"/>
    <n v="4"/>
    <n v="-26"/>
    <n v="0"/>
    <x v="1"/>
    <n v="1"/>
    <n v="1"/>
    <n v="0"/>
    <n v="1"/>
  </r>
  <r>
    <x v="1164"/>
    <s v="USR-00019"/>
    <s v="SES-2501-57907"/>
    <x v="404"/>
    <s v="West Midlands"/>
    <s v="Wolverhampton"/>
    <x v="0"/>
    <x v="0"/>
    <x v="0"/>
    <s v="Android"/>
    <s v="Android Phone"/>
    <s v="2+ years"/>
    <x v="0"/>
    <x v="0"/>
    <x v="8"/>
    <s v="Repeat Use"/>
    <s v="No Experiment"/>
    <s v="Control"/>
    <n v="5"/>
    <n v="5"/>
    <n v="91"/>
    <s v="No"/>
    <x v="0"/>
    <x v="1"/>
    <x v="1"/>
    <x v="0"/>
    <n v="41.03"/>
    <x v="0"/>
    <x v="0"/>
    <s v="No Support Contact"/>
    <s v="No"/>
    <s v="No Support Contact"/>
    <s v="Not Applicable"/>
    <m/>
    <s v="No drop-off"/>
    <n v="4"/>
    <n v="31"/>
    <s v="1 days"/>
    <x v="1"/>
    <n v="1"/>
    <n v="1"/>
    <n v="0"/>
    <n v="1"/>
  </r>
  <r>
    <x v="332"/>
    <s v="USR-00336"/>
    <s v="SES-2502-11084"/>
    <x v="251"/>
    <s v="East England"/>
    <s v="Norwich"/>
    <x v="0"/>
    <x v="0"/>
    <x v="1"/>
    <s v="Ios"/>
    <s v="Iphone"/>
    <s v="3-6 months"/>
    <x v="0"/>
    <x v="6"/>
    <x v="2"/>
    <s v="Repeat Use"/>
    <s v="Simplified Onboarding"/>
    <s v="Treatment"/>
    <n v="5"/>
    <n v="5"/>
    <n v="146"/>
    <s v="No"/>
    <x v="1"/>
    <x v="1"/>
    <x v="1"/>
    <x v="0"/>
    <n v="8.27"/>
    <x v="0"/>
    <x v="0"/>
    <s v="No Support Contact"/>
    <s v="No"/>
    <s v="No Support Contact"/>
    <s v="Not Applicable"/>
    <m/>
    <s v="No drop-off"/>
    <n v="3"/>
    <n v="32"/>
    <n v="46"/>
    <x v="1"/>
    <n v="0"/>
    <n v="1"/>
    <n v="0"/>
    <n v="1"/>
  </r>
  <r>
    <x v="1165"/>
    <s v="USR-00063"/>
    <s v="SES-2504-86648"/>
    <x v="185"/>
    <s v="Wales"/>
    <s v="Cardiff"/>
    <x v="3"/>
    <x v="1"/>
    <x v="0"/>
    <s v="Ios"/>
    <s v="Iphone"/>
    <s v="3-6 months"/>
    <x v="2"/>
    <x v="3"/>
    <x v="8"/>
    <s v="Repeat Use"/>
    <s v="No Experiment"/>
    <s v="Control"/>
    <n v="5"/>
    <n v="5"/>
    <n v="105"/>
    <s v="No"/>
    <x v="0"/>
    <x v="1"/>
    <x v="1"/>
    <x v="0"/>
    <n v="72.760000000000005"/>
    <x v="0"/>
    <x v="2"/>
    <s v="Other"/>
    <s v="Yes"/>
    <s v="Other"/>
    <s v="Resolved"/>
    <n v="28"/>
    <s v="No drop-off"/>
    <n v="5"/>
    <n v="12"/>
    <s v="36 days"/>
    <x v="1"/>
    <n v="1"/>
    <n v="1"/>
    <n v="0"/>
    <n v="1"/>
  </r>
  <r>
    <x v="1166"/>
    <s v="USR-00307"/>
    <s v="SES-2604-43043"/>
    <x v="76"/>
    <s v="East Midlands"/>
    <s v="Derby"/>
    <x v="3"/>
    <x v="0"/>
    <x v="0"/>
    <s v="Ios"/>
    <s v="Iphone"/>
    <s v="&lt;3 months"/>
    <x v="0"/>
    <x v="6"/>
    <x v="10"/>
    <s v="First Use"/>
    <s v="Fee Transparency Panel"/>
    <s v="Control"/>
    <n v="9"/>
    <n v="7"/>
    <n v="362"/>
    <s v="Yes"/>
    <x v="1"/>
    <x v="1"/>
    <x v="1"/>
    <x v="1"/>
    <n v="0"/>
    <x v="0"/>
    <x v="0"/>
    <s v="No Support Contact"/>
    <s v="No"/>
    <s v="No Support Contact"/>
    <s v="Not Applicable"/>
    <m/>
    <s v="Unexpected fee"/>
    <n v="2"/>
    <n v="-35"/>
    <n v="0"/>
    <x v="1"/>
    <n v="0"/>
    <n v="0"/>
    <n v="0"/>
    <n v="1"/>
  </r>
  <r>
    <x v="1167"/>
    <s v="USR-00404"/>
    <s v="SES-2603-66298"/>
    <x v="401"/>
    <s v="London"/>
    <s v="Southwark"/>
    <x v="0"/>
    <x v="2"/>
    <x v="1"/>
    <s v="Android"/>
    <s v="Android Phone"/>
    <s v="1-2 years"/>
    <x v="0"/>
    <x v="0"/>
    <x v="3"/>
    <s v="Reactivated"/>
    <s v="Contextual Help"/>
    <s v="Treatment"/>
    <n v="6"/>
    <n v="6"/>
    <n v="162"/>
    <s v="No"/>
    <x v="1"/>
    <x v="1"/>
    <x v="1"/>
    <x v="0"/>
    <n v="32.64"/>
    <x v="17"/>
    <x v="0"/>
    <s v="No Support Contact"/>
    <s v="No"/>
    <s v="No Support Contact"/>
    <s v="Not Applicable"/>
    <m/>
    <s v="No drop-off"/>
    <n v="4"/>
    <n v="7"/>
    <n v="44"/>
    <x v="1"/>
    <n v="0"/>
    <n v="1"/>
    <n v="0"/>
    <n v="1"/>
  </r>
  <r>
    <x v="1168"/>
    <s v="USR-00229"/>
    <s v="SES-2601-93197"/>
    <x v="425"/>
    <s v="Wales"/>
    <s v="Newport"/>
    <x v="2"/>
    <x v="0"/>
    <x v="1"/>
    <s v="Ios"/>
    <s v="Iphone"/>
    <s v="1-2 years"/>
    <x v="0"/>
    <x v="1"/>
    <x v="8"/>
    <s v="Repeat Use"/>
    <s v="No Experiment"/>
    <s v="Control"/>
    <n v="5"/>
    <n v="5"/>
    <n v="127"/>
    <s v="No"/>
    <x v="0"/>
    <x v="1"/>
    <x v="1"/>
    <x v="0"/>
    <n v="70.27"/>
    <x v="0"/>
    <x v="0"/>
    <s v="No Support Contact"/>
    <s v="No"/>
    <s v="No Support Contact"/>
    <s v="Not Applicable"/>
    <m/>
    <s v="No drop-off"/>
    <n v="5"/>
    <n v="15"/>
    <n v="33"/>
    <x v="1"/>
    <n v="1"/>
    <n v="1"/>
    <n v="0"/>
    <n v="1"/>
  </r>
  <r>
    <x v="1169"/>
    <s v="USR-00558"/>
    <s v="SES-2501-98284"/>
    <x v="196"/>
    <s v="North East"/>
    <s v="Durham"/>
    <x v="5"/>
    <x v="3"/>
    <x v="1"/>
    <s v="Ios"/>
    <s v="Iphone"/>
    <s v="2+ years"/>
    <x v="2"/>
    <x v="6"/>
    <x v="0"/>
    <s v="First Use"/>
    <s v="No Experiment"/>
    <s v="Control"/>
    <n v="7"/>
    <n v="4"/>
    <n v="221"/>
    <s v="Yes"/>
    <x v="0"/>
    <x v="1"/>
    <x v="1"/>
    <x v="0"/>
    <n v="0"/>
    <x v="0"/>
    <x v="2"/>
    <s v="No Support Contact"/>
    <s v="No"/>
    <s v="No Support Contact"/>
    <s v="Not Applicable"/>
    <m/>
    <s v="No drop-off"/>
    <n v="2"/>
    <n v="5"/>
    <n v="0"/>
    <x v="0"/>
    <n v="1"/>
    <n v="1"/>
    <n v="0"/>
    <n v="0"/>
  </r>
  <r>
    <x v="1170"/>
    <s v="USR-00186"/>
    <s v="SES-2505-18110"/>
    <x v="109"/>
    <s v="West Midlands"/>
    <s v="Solihull"/>
    <x v="0"/>
    <x v="2"/>
    <x v="1"/>
    <s v="Web"/>
    <s v="Desktop"/>
    <s v="1-2 years"/>
    <x v="0"/>
    <x v="0"/>
    <x v="0"/>
    <s v="First Use"/>
    <s v="Progress Indicator"/>
    <s v="Treatment"/>
    <s v="7 steps"/>
    <n v="7"/>
    <n v="187"/>
    <s v="No"/>
    <x v="0"/>
    <x v="1"/>
    <x v="1"/>
    <x v="0"/>
    <n v="31.48"/>
    <x v="0"/>
    <x v="0"/>
    <s v="No Support Contact"/>
    <s v="No"/>
    <s v="No Support Contact"/>
    <s v="Not Applicable"/>
    <m/>
    <s v="No drop-off"/>
    <n v="4"/>
    <n v="16"/>
    <n v="0"/>
    <x v="1"/>
    <n v="1"/>
    <n v="1"/>
    <n v="0"/>
    <n v="1"/>
  </r>
  <r>
    <x v="1171"/>
    <s v="USR-00605"/>
    <s v="SES-2511-29809"/>
    <x v="298"/>
    <s v="Yorkshire &amp; Humber"/>
    <s v="York"/>
    <x v="1"/>
    <x v="2"/>
    <x v="1"/>
    <s v="Ios"/>
    <s v="Iphone"/>
    <s v="&lt;3 months"/>
    <x v="0"/>
    <x v="2"/>
    <x v="3"/>
    <s v="Repeat Use"/>
    <s v="No Experiment"/>
    <s v="Control"/>
    <n v="6"/>
    <n v="6"/>
    <n v="120"/>
    <s v="No"/>
    <x v="0"/>
    <x v="1"/>
    <x v="1"/>
    <x v="1"/>
    <n v="0"/>
    <x v="0"/>
    <x v="0"/>
    <s v="Other"/>
    <s v="Yes"/>
    <s v="Other"/>
    <s v="Resolved"/>
    <n v="30"/>
    <s v="No drop-off"/>
    <n v="4"/>
    <n v="17"/>
    <n v="29"/>
    <x v="0"/>
    <n v="1"/>
    <n v="0"/>
    <n v="0"/>
    <n v="0"/>
  </r>
  <r>
    <x v="1172"/>
    <s v="USR-00271"/>
    <s v="SES-2603-81255"/>
    <x v="489"/>
    <s v="Scotland"/>
    <s v="Glasgow"/>
    <x v="0"/>
    <x v="3"/>
    <x v="1"/>
    <s v="Ios"/>
    <s v="Iphone"/>
    <s v="2+ years"/>
    <x v="0"/>
    <x v="4"/>
    <x v="3"/>
    <s v="Repeat Use"/>
    <s v="No Experiment"/>
    <s v="Control"/>
    <n v="6"/>
    <n v="6"/>
    <n v="182"/>
    <s v="No"/>
    <x v="1"/>
    <x v="0"/>
    <x v="8"/>
    <x v="1"/>
    <n v="0"/>
    <x v="0"/>
    <x v="0"/>
    <s v="No Support Contact"/>
    <s v="No"/>
    <s v="No Support Contact"/>
    <s v="Not Applicable"/>
    <m/>
    <s v="No drop-off"/>
    <n v="3"/>
    <n v="-5"/>
    <s v="51 days"/>
    <x v="1"/>
    <n v="0"/>
    <n v="0"/>
    <n v="1"/>
    <n v="1"/>
  </r>
  <r>
    <x v="1173"/>
    <s v="USR-00649"/>
    <s v="SES-2601-48290"/>
    <x v="290"/>
    <s v="Scotland"/>
    <s v="Glasgow"/>
    <x v="3"/>
    <x v="0"/>
    <x v="0"/>
    <s v="Ios"/>
    <s v="Iphone"/>
    <s v="7-12 months"/>
    <x v="2"/>
    <x v="2"/>
    <x v="7"/>
    <s v="Repeat Use"/>
    <s v="Simplified Onboarding"/>
    <s v="Treatment"/>
    <n v="4"/>
    <n v="2"/>
    <n v="204"/>
    <s v="Yes"/>
    <x v="1"/>
    <x v="1"/>
    <x v="1"/>
    <x v="0"/>
    <n v="100.54"/>
    <x v="13"/>
    <x v="2"/>
    <s v="No Support Contact"/>
    <s v="No"/>
    <s v="No Support Contact"/>
    <s v="Not Applicable"/>
    <m/>
    <s v="Instructions unclear"/>
    <n v="2"/>
    <n v="6"/>
    <n v="61"/>
    <x v="0"/>
    <n v="0"/>
    <n v="1"/>
    <n v="0"/>
    <n v="0"/>
  </r>
  <r>
    <x v="1174"/>
    <s v="USR-00399"/>
    <s v="SES-2501-43951"/>
    <x v="454"/>
    <s v="South East"/>
    <s v="Guildford"/>
    <x v="0"/>
    <x v="0"/>
    <x v="1"/>
    <s v="Ios"/>
    <s v="Iphone"/>
    <s v="&lt;3 months"/>
    <x v="0"/>
    <x v="4"/>
    <x v="0"/>
    <s v="Trial/Exploration"/>
    <s v="No Experiment"/>
    <s v="Control"/>
    <n v="7"/>
    <n v="7"/>
    <n v="130"/>
    <s v="No"/>
    <x v="0"/>
    <x v="1"/>
    <x v="1"/>
    <x v="0"/>
    <n v="0"/>
    <x v="0"/>
    <x v="0"/>
    <s v="No Support Contact"/>
    <s v="No"/>
    <s v="No Support Contact"/>
    <s v="Not Applicable"/>
    <m/>
    <s v="No drop-off"/>
    <n v="3"/>
    <n v="41"/>
    <n v="1"/>
    <x v="1"/>
    <n v="1"/>
    <n v="1"/>
    <n v="0"/>
    <n v="1"/>
  </r>
  <r>
    <x v="1175"/>
    <s v="USR-00743"/>
    <s v="SES-2502-70391"/>
    <x v="178"/>
    <s v="North East"/>
    <s v="Sunderland"/>
    <x v="0"/>
    <x v="3"/>
    <x v="0"/>
    <s v="Ios"/>
    <s v="Iphone"/>
    <s v="3-6 months"/>
    <x v="0"/>
    <x v="6"/>
    <x v="5"/>
    <s v="First Use"/>
    <s v="Fee Transparency Panel"/>
    <s v="Control"/>
    <n v="8"/>
    <n v="8"/>
    <n v="182"/>
    <s v="No"/>
    <x v="1"/>
    <x v="1"/>
    <x v="1"/>
    <x v="0"/>
    <n v="316.73"/>
    <x v="86"/>
    <x v="0"/>
    <s v="No Support Contact"/>
    <s v="No"/>
    <s v="No Support Contact"/>
    <s v="Not Applicable"/>
    <m/>
    <s v="No drop-off"/>
    <n v="3"/>
    <n v="-32"/>
    <n v="0"/>
    <x v="0"/>
    <n v="0"/>
    <n v="1"/>
    <n v="0"/>
    <n v="0"/>
  </r>
  <r>
    <x v="1176"/>
    <s v="USR-00437"/>
    <s v="SES-2504-65753"/>
    <x v="1"/>
    <s v="West Midlands"/>
    <s v="Birmingham"/>
    <x v="0"/>
    <x v="2"/>
    <x v="0"/>
    <s v="Ios"/>
    <s v="Iphone"/>
    <s v="&lt;3 months"/>
    <x v="1"/>
    <x v="0"/>
    <x v="2"/>
    <s v="Repeat Use"/>
    <s v="Fee Transparency Panel"/>
    <s v="Treatment"/>
    <n v="5"/>
    <n v="4"/>
    <n v="145"/>
    <s v="Yes"/>
    <x v="0"/>
    <x v="1"/>
    <x v="1"/>
    <x v="0"/>
    <n v="57.68"/>
    <x v="0"/>
    <x v="1"/>
    <s v="No Support Contact"/>
    <s v="No"/>
    <s v="No Support Contact"/>
    <s v="Not Applicable"/>
    <m/>
    <s v="No drop-off"/>
    <n v="5"/>
    <n v="50"/>
    <n v="3"/>
    <x v="1"/>
    <n v="1"/>
    <n v="1"/>
    <n v="0"/>
    <n v="1"/>
  </r>
  <r>
    <x v="1177"/>
    <s v="USR-00162"/>
    <s v="SES-2502-92203"/>
    <x v="85"/>
    <s v="Scotland"/>
    <s v="Aberdeen"/>
    <x v="5"/>
    <x v="4"/>
    <x v="0"/>
    <s v="Web"/>
    <s v="Mobile Browser"/>
    <s v="&lt;3 months"/>
    <x v="0"/>
    <x v="2"/>
    <x v="2"/>
    <s v="First Use"/>
    <s v="No Experiment"/>
    <s v="Control"/>
    <n v="5"/>
    <n v="3"/>
    <n v="170"/>
    <s v="Yes"/>
    <x v="0"/>
    <x v="1"/>
    <x v="1"/>
    <x v="0"/>
    <n v="104.05"/>
    <x v="0"/>
    <x v="0"/>
    <s v="No Support Contact"/>
    <s v="No"/>
    <s v="No Support Contact"/>
    <s v="Not Applicable"/>
    <m/>
    <s v="No drop-off"/>
    <n v="3"/>
    <n v="27"/>
    <n v="0"/>
    <x v="1"/>
    <n v="1"/>
    <n v="1"/>
    <n v="0"/>
    <n v="1"/>
  </r>
  <r>
    <x v="1178"/>
    <s v="USR-00007"/>
    <s v="SES-2505-38225"/>
    <x v="144"/>
    <s v="North West"/>
    <s v="Preston"/>
    <x v="0"/>
    <x v="0"/>
    <x v="0"/>
    <s v="Ios"/>
    <s v="Iphone"/>
    <s v="&lt;3 months"/>
    <x v="0"/>
    <x v="4"/>
    <x v="5"/>
    <s v="Repeat Use"/>
    <s v="New Cta Copy"/>
    <s v="Treatment"/>
    <n v="8"/>
    <n v="8"/>
    <n v="229"/>
    <s v="No"/>
    <x v="0"/>
    <x v="1"/>
    <x v="1"/>
    <x v="0"/>
    <n v="427.27"/>
    <x v="80"/>
    <x v="0"/>
    <s v="No Support Contact"/>
    <s v="No"/>
    <s v="No Support Contact"/>
    <s v="Not Applicable"/>
    <m/>
    <s v="No drop-off"/>
    <n v="4"/>
    <n v="55"/>
    <n v="28"/>
    <x v="1"/>
    <n v="1"/>
    <n v="1"/>
    <n v="0"/>
    <n v="1"/>
  </r>
  <r>
    <x v="1179"/>
    <s v="USR-00593"/>
    <s v="SES-2512-84895"/>
    <x v="2"/>
    <s v="Wales"/>
    <s v="Swansea"/>
    <x v="5"/>
    <x v="2"/>
    <x v="0"/>
    <s v="Ios"/>
    <s v="Iphone"/>
    <s v="3-6 months"/>
    <x v="0"/>
    <x v="3"/>
    <x v="9"/>
    <s v="Repeat Use"/>
    <s v="Simplified Onboarding"/>
    <s v="Treatment"/>
    <n v="5"/>
    <n v="5"/>
    <n v="184"/>
    <s v="No"/>
    <x v="0"/>
    <x v="0"/>
    <x v="32"/>
    <x v="1"/>
    <n v="0"/>
    <x v="0"/>
    <x v="0"/>
    <s v="Fees And Pricing"/>
    <s v="Yes"/>
    <s v="Fees And Pricing"/>
    <s v="Resolved"/>
    <n v="50"/>
    <s v="No drop-off"/>
    <n v="4"/>
    <n v="-14"/>
    <n v="60"/>
    <x v="1"/>
    <n v="1"/>
    <n v="0"/>
    <n v="1"/>
    <n v="1"/>
  </r>
  <r>
    <x v="1180"/>
    <s v="USR-00538"/>
    <s v="SES-2502-91406"/>
    <x v="286"/>
    <s v="East England"/>
    <s v="Norwich"/>
    <x v="3"/>
    <x v="4"/>
    <x v="0"/>
    <s v="Web"/>
    <s v="Mobile Browser"/>
    <s v="3-6 months"/>
    <x v="0"/>
    <x v="1"/>
    <x v="1"/>
    <s v="First Use"/>
    <s v="No Experiment"/>
    <s v="Control"/>
    <n v="4"/>
    <n v="4"/>
    <n v="114"/>
    <s v="No"/>
    <x v="0"/>
    <x v="1"/>
    <x v="1"/>
    <x v="0"/>
    <n v="159.13999999999999"/>
    <x v="6"/>
    <x v="0"/>
    <s v="No Support Contact"/>
    <s v="No"/>
    <s v="No Support Contact"/>
    <s v="Not Applicable"/>
    <m/>
    <s v="No drop-off"/>
    <n v="5"/>
    <n v="-8"/>
    <n v="0"/>
    <x v="1"/>
    <n v="1"/>
    <n v="1"/>
    <n v="0"/>
    <n v="1"/>
  </r>
  <r>
    <x v="1181"/>
    <s v="USR-00252"/>
    <s v="SES-2512-72029"/>
    <x v="176"/>
    <s v="East Midlands"/>
    <s v="Lincoln"/>
    <x v="2"/>
    <x v="1"/>
    <x v="0"/>
    <s v="Android"/>
    <s v="Android Phone"/>
    <s v="3-6 months"/>
    <x v="0"/>
    <x v="4"/>
    <x v="1"/>
    <s v="First Use"/>
    <s v="No Experiment"/>
    <s v="Control"/>
    <n v="4"/>
    <n v="4"/>
    <n v="107"/>
    <s v="No"/>
    <x v="0"/>
    <x v="0"/>
    <x v="3"/>
    <x v="1"/>
    <n v="0"/>
    <x v="0"/>
    <x v="0"/>
    <s v="No Support Contact"/>
    <s v="No"/>
    <s v="No Support Contact"/>
    <s v="Not Applicable"/>
    <m/>
    <s v="No drop-off"/>
    <n v="3"/>
    <n v="-14"/>
    <n v="0"/>
    <x v="1"/>
    <n v="1"/>
    <n v="0"/>
    <n v="1"/>
    <n v="1"/>
  </r>
  <r>
    <x v="1182"/>
    <s v="USR-00196"/>
    <s v="SES-2604-18608"/>
    <x v="19"/>
    <s v="North East"/>
    <s v="Sunderland"/>
    <x v="3"/>
    <x v="0"/>
    <x v="1"/>
    <s v="Ios"/>
    <s v="Iphone"/>
    <s v="&lt;3 months"/>
    <x v="1"/>
    <x v="4"/>
    <x v="8"/>
    <s v="Repeat Use"/>
    <s v="No Experiment"/>
    <s v="Control"/>
    <n v="5"/>
    <n v="3"/>
    <n v="218"/>
    <s v="Yes"/>
    <x v="1"/>
    <x v="1"/>
    <x v="1"/>
    <x v="1"/>
    <n v="0"/>
    <x v="0"/>
    <x v="0"/>
    <s v="Feature Navigation"/>
    <s v="Yes"/>
    <s v="Feature Navigation"/>
    <s v="Resolved"/>
    <n v="21"/>
    <s v="Too many steps"/>
    <n v="3"/>
    <n v="3"/>
    <n v="32"/>
    <x v="0"/>
    <n v="0"/>
    <n v="0"/>
    <n v="0"/>
    <n v="0"/>
  </r>
  <r>
    <x v="1183"/>
    <s v="USR-00724"/>
    <s v="SES-2605-80206"/>
    <x v="490"/>
    <s v="Scotland"/>
    <s v="Glasgow"/>
    <x v="3"/>
    <x v="3"/>
    <x v="0"/>
    <s v="Android"/>
    <s v="Android Phone"/>
    <s v="7-12 months"/>
    <x v="1"/>
    <x v="5"/>
    <x v="0"/>
    <s v="Repeat Use"/>
    <s v="Simplified Onboarding"/>
    <s v="Treatment"/>
    <n v="7"/>
    <n v="7"/>
    <n v="174"/>
    <s v="No"/>
    <x v="1"/>
    <x v="0"/>
    <x v="18"/>
    <x v="1"/>
    <n v="0"/>
    <x v="0"/>
    <x v="0"/>
    <s v="Transaction Failure"/>
    <s v="Yes"/>
    <s v="Transaction Failure"/>
    <s v="Resolved"/>
    <n v="28"/>
    <s v="No drop-off"/>
    <n v="3"/>
    <n v="-21"/>
    <n v="14"/>
    <x v="0"/>
    <n v="0"/>
    <n v="0"/>
    <n v="1"/>
    <n v="0"/>
  </r>
  <r>
    <x v="1184"/>
    <s v="USR-00342"/>
    <s v="SES-2604-80907"/>
    <x v="301"/>
    <s v="East Midlands"/>
    <s v="Leicester"/>
    <x v="2"/>
    <x v="2"/>
    <x v="1"/>
    <s v="Ios"/>
    <s v="Iphone"/>
    <s v="&lt;3 months"/>
    <x v="1"/>
    <x v="1"/>
    <x v="0"/>
    <s v="Repeat Use"/>
    <s v="Contextual Help"/>
    <s v="Treatment"/>
    <n v="7"/>
    <n v="7"/>
    <n v="220"/>
    <s v="No"/>
    <x v="0"/>
    <x v="1"/>
    <x v="1"/>
    <x v="0"/>
    <n v="0"/>
    <x v="0"/>
    <x v="1"/>
    <s v="No Support Contact"/>
    <s v="No"/>
    <s v="No Support Contact"/>
    <s v="Not Applicable"/>
    <m/>
    <s v="No drop-off"/>
    <n v="4"/>
    <n v="8"/>
    <n v="35"/>
    <x v="1"/>
    <n v="1"/>
    <n v="1"/>
    <n v="0"/>
    <n v="1"/>
  </r>
  <r>
    <x v="1185"/>
    <s v="USR-00028"/>
    <s v="SES-2504-40355"/>
    <x v="73"/>
    <s v="Yorkshire &amp; Humber"/>
    <s v="Leeds"/>
    <x v="5"/>
    <x v="0"/>
    <x v="1"/>
    <s v="Ios"/>
    <s v="Iphone"/>
    <s v="3-6 months"/>
    <x v="1"/>
    <x v="6"/>
    <x v="2"/>
    <s v="Repeat Use"/>
    <s v="No Experiment"/>
    <s v="Control"/>
    <n v="5"/>
    <n v="5"/>
    <n v="160"/>
    <s v="No"/>
    <x v="0"/>
    <x v="0"/>
    <x v="23"/>
    <x v="1"/>
    <n v="0"/>
    <x v="0"/>
    <x v="0"/>
    <s v="No Support Contact"/>
    <s v="No"/>
    <s v="No Support Contact"/>
    <s v="Not Applicable"/>
    <m/>
    <s v="No drop-off"/>
    <n v="2"/>
    <n v="39"/>
    <n v="29"/>
    <x v="1"/>
    <n v="1"/>
    <n v="0"/>
    <n v="1"/>
    <n v="1"/>
  </r>
  <r>
    <x v="1186"/>
    <s v="USR-00859"/>
    <s v="SES-2512-32518"/>
    <x v="22"/>
    <s v="London"/>
    <s v="Hammersmith"/>
    <x v="3"/>
    <x v="3"/>
    <x v="0"/>
    <s v="Web"/>
    <s v="Desktop"/>
    <s v="7-12 months"/>
    <x v="1"/>
    <x v="2"/>
    <x v="5"/>
    <s v="Reactivated"/>
    <s v="New Cta Copy"/>
    <s v="Treatment"/>
    <n v="8"/>
    <n v="8"/>
    <n v="171"/>
    <s v="No"/>
    <x v="0"/>
    <x v="1"/>
    <x v="1"/>
    <x v="1"/>
    <n v="0"/>
    <x v="0"/>
    <x v="0"/>
    <s v="Other"/>
    <s v="Yes"/>
    <s v="Other"/>
    <s v="Resolved"/>
    <n v="17"/>
    <s v="No drop-off"/>
    <n v="4"/>
    <n v="43"/>
    <n v="44"/>
    <x v="1"/>
    <n v="1"/>
    <n v="0"/>
    <n v="0"/>
    <n v="1"/>
  </r>
  <r>
    <x v="1187"/>
    <s v="USR-00227"/>
    <s v="SES-2508-84467"/>
    <x v="267"/>
    <s v="North West"/>
    <s v="Liverpool"/>
    <x v="1"/>
    <x v="0"/>
    <x v="0"/>
    <s v="Ios"/>
    <s v="Iphone"/>
    <s v="2+ years"/>
    <x v="0"/>
    <x v="0"/>
    <x v="7"/>
    <s v="Reactivated"/>
    <s v="Simplified Onboarding"/>
    <s v="Control"/>
    <n v="4"/>
    <n v="2"/>
    <n v="164"/>
    <s v="Yes"/>
    <x v="0"/>
    <x v="1"/>
    <x v="1"/>
    <x v="1"/>
    <n v="0"/>
    <x v="0"/>
    <x v="0"/>
    <s v="No Support Contact"/>
    <s v="No"/>
    <s v="No Support Contact"/>
    <s v="Not Applicable"/>
    <m/>
    <s v="No drop-off"/>
    <n v="4"/>
    <n v="4"/>
    <n v="24"/>
    <x v="0"/>
    <n v="1"/>
    <n v="0"/>
    <n v="0"/>
    <n v="0"/>
  </r>
  <r>
    <x v="1188"/>
    <s v="USR-00620"/>
    <s v="SES-2604-72128"/>
    <x v="295"/>
    <s v="West Midlands"/>
    <s v="Coventry"/>
    <x v="7"/>
    <x v="0"/>
    <x v="1"/>
    <s v="Ios"/>
    <s v="Iphone"/>
    <s v="3-6 months"/>
    <x v="1"/>
    <x v="6"/>
    <x v="1"/>
    <s v="Trial/Exploration"/>
    <s v="New Cta Copy"/>
    <s v="Treatment"/>
    <n v="4"/>
    <n v="4"/>
    <n v="86"/>
    <s v="No"/>
    <x v="1"/>
    <x v="1"/>
    <x v="1"/>
    <x v="0"/>
    <n v="86.88"/>
    <x v="4"/>
    <x v="1"/>
    <s v="No Support Contact"/>
    <s v="No"/>
    <s v="No Support Contact"/>
    <s v="Not Applicable"/>
    <m/>
    <s v="No drop-off"/>
    <n v="4"/>
    <n v="41"/>
    <n v="40"/>
    <x v="1"/>
    <n v="0"/>
    <n v="1"/>
    <n v="0"/>
    <n v="1"/>
  </r>
  <r>
    <x v="1189"/>
    <s v="USR-00107"/>
    <s v="SES-2508-57937"/>
    <x v="424"/>
    <s v="West Midlands"/>
    <s v="Wolverhampton"/>
    <x v="2"/>
    <x v="4"/>
    <x v="1"/>
    <s v="Android"/>
    <s v="Android Phone"/>
    <s v="&lt;3 months"/>
    <x v="5"/>
    <x v="1"/>
    <x v="10"/>
    <s v="Repeat Use"/>
    <s v="Progress Indicator"/>
    <s v="Control"/>
    <n v="9"/>
    <n v="9"/>
    <n v="263"/>
    <s v="No"/>
    <x v="0"/>
    <x v="0"/>
    <x v="9"/>
    <x v="1"/>
    <n v="0"/>
    <x v="0"/>
    <x v="0"/>
    <s v="No Support Contact"/>
    <s v="No"/>
    <s v="No Support Contact"/>
    <s v="Not Applicable"/>
    <m/>
    <s v="No drop-off"/>
    <n v="1"/>
    <n v="-13"/>
    <n v="65"/>
    <x v="1"/>
    <n v="1"/>
    <n v="0"/>
    <n v="1"/>
    <n v="1"/>
  </r>
  <r>
    <x v="1190"/>
    <s v="usr-00134"/>
    <s v="SES-2603-36799"/>
    <x v="57"/>
    <s v="Yorkshire &amp; Humber"/>
    <s v="Leeds"/>
    <x v="3"/>
    <x v="1"/>
    <x v="0"/>
    <s v="Ios"/>
    <s v="Iphone"/>
    <s v="&lt;3 months"/>
    <x v="1"/>
    <x v="4"/>
    <x v="8"/>
    <s v="Trial/Exploration"/>
    <s v="No Experiment"/>
    <s v="Control"/>
    <n v="5"/>
    <n v="5"/>
    <n v="102"/>
    <s v="No"/>
    <x v="0"/>
    <x v="1"/>
    <x v="1"/>
    <x v="0"/>
    <n v="125.8"/>
    <x v="0"/>
    <x v="1"/>
    <s v="No Support Contact"/>
    <s v="No"/>
    <s v="No Support Contact"/>
    <s v="Not Applicable"/>
    <m/>
    <s v="No drop-off"/>
    <n v="5"/>
    <n v="-52"/>
    <n v="31"/>
    <x v="1"/>
    <n v="1"/>
    <n v="1"/>
    <n v="0"/>
    <n v="1"/>
  </r>
  <r>
    <x v="1191"/>
    <s v="USR-00458"/>
    <s v="SES-2512-65489"/>
    <x v="491"/>
    <s v="London"/>
    <s v="Croydon"/>
    <x v="2"/>
    <x v="0"/>
    <x v="1"/>
    <s v="Ios"/>
    <s v="Iphone"/>
    <s v="7-12 months"/>
    <x v="0"/>
    <x v="4"/>
    <x v="2"/>
    <s v="Reactivated"/>
    <s v="No Experiment"/>
    <s v="Control"/>
    <n v="5"/>
    <s v="5 steps"/>
    <n v="97"/>
    <s v="No"/>
    <x v="0"/>
    <x v="1"/>
    <x v="1"/>
    <x v="0"/>
    <n v="116.05"/>
    <x v="0"/>
    <x v="0"/>
    <s v="No Support Contact"/>
    <s v="No"/>
    <s v="No Support Contact"/>
    <s v="Not Applicable"/>
    <m/>
    <s v="No drop-off"/>
    <n v="4"/>
    <n v="63"/>
    <n v="40"/>
    <x v="1"/>
    <n v="1"/>
    <n v="1"/>
    <n v="0"/>
    <n v="1"/>
  </r>
  <r>
    <x v="1192"/>
    <s v="USR-00610"/>
    <s v="SES-2505-42992"/>
    <x v="492"/>
    <s v="Northern Ireland"/>
    <s v="Lisburn"/>
    <x v="5"/>
    <x v="0"/>
    <x v="1"/>
    <s v="Android"/>
    <s v="Android Tablet"/>
    <s v="2+ years"/>
    <x v="0"/>
    <x v="6"/>
    <x v="8"/>
    <s v="Repeat Use"/>
    <s v="No Experiment"/>
    <s v="Control"/>
    <n v="5"/>
    <n v="5"/>
    <n v="97"/>
    <s v="No"/>
    <x v="1"/>
    <x v="1"/>
    <x v="1"/>
    <x v="0"/>
    <n v="105.45"/>
    <x v="0"/>
    <x v="0"/>
    <s v="No Support Contact"/>
    <s v="No"/>
    <s v="No Support Contact"/>
    <s v="Not Applicable"/>
    <m/>
    <s v="No drop-off"/>
    <n v="4"/>
    <n v="9"/>
    <n v="33"/>
    <x v="1"/>
    <n v="0"/>
    <n v="1"/>
    <n v="0"/>
    <n v="1"/>
  </r>
  <r>
    <x v="1193"/>
    <s v="USR-00197"/>
    <s v="SES-2601-54957"/>
    <x v="51"/>
    <s v="West Midlands"/>
    <s v="Coventry"/>
    <x v="0"/>
    <x v="4"/>
    <x v="1"/>
    <s v="Android"/>
    <s v="Android Phone"/>
    <s v="3-6 months"/>
    <x v="1"/>
    <x v="2"/>
    <x v="7"/>
    <s v="Reactivated"/>
    <s v="No Experiment"/>
    <s v="Control"/>
    <n v="4"/>
    <n v="3"/>
    <n v="152"/>
    <s v="Yes"/>
    <x v="0"/>
    <x v="1"/>
    <x v="1"/>
    <x v="0"/>
    <n v="121.02"/>
    <x v="50"/>
    <x v="1"/>
    <s v="No Support Contact"/>
    <s v="No"/>
    <s v="No Support Contact"/>
    <s v="Not Applicable"/>
    <m/>
    <s v="No drop-off"/>
    <n v="3"/>
    <n v="23"/>
    <n v="4"/>
    <x v="1"/>
    <n v="1"/>
    <n v="1"/>
    <n v="0"/>
    <n v="1"/>
  </r>
  <r>
    <x v="1194"/>
    <s v="USR-00119"/>
    <s v="SES-2606-00006"/>
    <x v="25"/>
    <s v="Northern Ireland"/>
    <s v="Lisburn"/>
    <x v="0"/>
    <x v="1"/>
    <x v="1"/>
    <s v="Android"/>
    <s v="Android Phone"/>
    <s v="2+ years"/>
    <x v="1"/>
    <x v="1"/>
    <x v="3"/>
    <s v="Repeat Use"/>
    <s v="Simplified Onboarding"/>
    <s v="Treatment"/>
    <n v="6"/>
    <n v="6"/>
    <n v="171"/>
    <s v="No"/>
    <x v="0"/>
    <x v="1"/>
    <x v="1"/>
    <x v="0"/>
    <n v="0.51"/>
    <x v="2"/>
    <x v="1"/>
    <s v="No Support Contact"/>
    <s v="No"/>
    <s v="No Support Contact"/>
    <s v="Not Applicable"/>
    <m/>
    <s v="No drop-off"/>
    <n v="5"/>
    <n v="23"/>
    <s v="68 days"/>
    <x v="1"/>
    <n v="1"/>
    <n v="1"/>
    <n v="0"/>
    <n v="1"/>
  </r>
  <r>
    <x v="1195"/>
    <s v="USR-00800"/>
    <s v="SES-2510-39844"/>
    <x v="387"/>
    <s v="West Midlands"/>
    <s v="Coventry"/>
    <x v="0"/>
    <x v="0"/>
    <x v="1"/>
    <s v="Android"/>
    <s v="Android Phone"/>
    <s v="3-6 months"/>
    <x v="0"/>
    <x v="0"/>
    <x v="7"/>
    <s v="Repeat Use"/>
    <s v="Progress Indicator"/>
    <s v="Control"/>
    <n v="4"/>
    <n v="4"/>
    <n v="74"/>
    <s v="No"/>
    <x v="0"/>
    <x v="1"/>
    <x v="1"/>
    <x v="0"/>
    <n v="84.18"/>
    <x v="31"/>
    <x v="0"/>
    <s v="No Support Contact"/>
    <s v="No"/>
    <s v="No Support Contact"/>
    <s v="Not Applicable"/>
    <m/>
    <s v="No drop-off"/>
    <n v="4"/>
    <n v="36"/>
    <n v="38"/>
    <x v="0"/>
    <n v="1"/>
    <n v="1"/>
    <n v="0"/>
    <n v="0"/>
  </r>
  <r>
    <x v="1196"/>
    <s v="USR-00038"/>
    <s v="SES-2502-92333"/>
    <x v="303"/>
    <s v="London"/>
    <s v="Croydon"/>
    <x v="0"/>
    <x v="0"/>
    <x v="1"/>
    <s v="Ios"/>
    <s v="Iphone"/>
    <s v="3-6 months"/>
    <x v="2"/>
    <x v="7"/>
    <x v="7"/>
    <s v="First Use"/>
    <s v="Simplified Onboarding"/>
    <s v="Control"/>
    <n v="4"/>
    <n v="4"/>
    <n v="115"/>
    <s v="No"/>
    <x v="0"/>
    <x v="1"/>
    <x v="1"/>
    <x v="0"/>
    <n v="151.69999999999999"/>
    <x v="41"/>
    <x v="2"/>
    <s v="No Support Contact"/>
    <s v="No"/>
    <s v="No Support Contact"/>
    <s v="Not Applicable"/>
    <m/>
    <s v="No drop-off"/>
    <n v="4"/>
    <n v="61"/>
    <n v="0"/>
    <x v="1"/>
    <n v="1"/>
    <n v="1"/>
    <n v="0"/>
    <n v="1"/>
  </r>
  <r>
    <x v="1197"/>
    <s v="USR-00023"/>
    <s v="SES-2504-41129"/>
    <x v="320"/>
    <s v="East Midlands"/>
    <s v="Lincoln"/>
    <x v="0"/>
    <x v="2"/>
    <x v="1"/>
    <s v="Ios"/>
    <s v="Iphone"/>
    <s v="2+ years"/>
    <x v="0"/>
    <x v="0"/>
    <x v="1"/>
    <s v="Reactivated"/>
    <s v="No Experiment"/>
    <s v="Control"/>
    <n v="4"/>
    <s v="many"/>
    <n v="93"/>
    <s v="No"/>
    <x v="0"/>
    <x v="1"/>
    <x v="1"/>
    <x v="0"/>
    <n v="199.68"/>
    <x v="25"/>
    <x v="0"/>
    <s v="No Support Contact"/>
    <s v="No"/>
    <s v="No Support Contact"/>
    <s v="Not Applicable"/>
    <m/>
    <s v="No drop-off"/>
    <n v="5"/>
    <n v="-2"/>
    <n v="46"/>
    <x v="1"/>
    <n v="1"/>
    <n v="1"/>
    <n v="0"/>
    <n v="1"/>
  </r>
  <r>
    <x v="1198"/>
    <s v="USR-00103"/>
    <s v="SES-2505-90323"/>
    <x v="109"/>
    <s v="North East"/>
    <s v="Middlesbrough"/>
    <x v="5"/>
    <x v="3"/>
    <x v="0"/>
    <s v="Android"/>
    <s v="Android Phone"/>
    <s v="&lt;3 months"/>
    <x v="0"/>
    <x v="1"/>
    <x v="4"/>
    <s v="Reactivated"/>
    <s v="Simplified Onboarding"/>
    <s v="Control"/>
    <n v="6"/>
    <n v="6"/>
    <n v="0"/>
    <s v="No"/>
    <x v="0"/>
    <x v="1"/>
    <x v="1"/>
    <x v="0"/>
    <n v="1.01"/>
    <x v="0"/>
    <x v="0"/>
    <s v="No Support Contact"/>
    <s v="No"/>
    <s v="No Support Contact"/>
    <s v="Not Applicable"/>
    <m/>
    <s v="No drop-off"/>
    <n v="4"/>
    <n v="-23"/>
    <n v="28"/>
    <x v="0"/>
    <n v="1"/>
    <n v="1"/>
    <n v="0"/>
    <n v="0"/>
  </r>
  <r>
    <x v="1199"/>
    <s v="USR-00164"/>
    <s v="SES-2506-68857"/>
    <x v="287"/>
    <s v="Yorkshire &amp; Humber"/>
    <s v="York"/>
    <x v="0"/>
    <x v="0"/>
    <x v="0"/>
    <s v="Ios"/>
    <s v="Iphone"/>
    <s v="3-6 months"/>
    <x v="1"/>
    <x v="5"/>
    <x v="4"/>
    <s v="Repeat Use"/>
    <s v="New Cta Copy"/>
    <s v="Treatment"/>
    <n v="6"/>
    <n v="6"/>
    <n v="109"/>
    <s v="No"/>
    <x v="0"/>
    <x v="1"/>
    <x v="1"/>
    <x v="0"/>
    <n v="0"/>
    <x v="0"/>
    <x v="1"/>
    <s v="No Support Contact"/>
    <s v="No"/>
    <s v="No Support Contact"/>
    <s v="Not Applicable"/>
    <m/>
    <s v="No drop-off"/>
    <n v="5"/>
    <n v="66"/>
    <n v="40"/>
    <x v="1"/>
    <n v="1"/>
    <n v="1"/>
    <n v="0"/>
    <n v="1"/>
  </r>
  <r>
    <x v="1200"/>
    <s v="USR-00434"/>
    <s v="SES-2605-47396"/>
    <x v="414"/>
    <s v="West Midlands"/>
    <s v="Wolverhampton"/>
    <x v="0"/>
    <x v="4"/>
    <x v="1"/>
    <s v="Ios"/>
    <s v="Iphone"/>
    <s v="1-2 years"/>
    <x v="0"/>
    <x v="1"/>
    <x v="2"/>
    <s v="Repeat Use"/>
    <s v="No Experiment"/>
    <s v="Control"/>
    <n v="5"/>
    <n v="5"/>
    <n v="105"/>
    <s v="No"/>
    <x v="0"/>
    <x v="1"/>
    <x v="1"/>
    <x v="0"/>
    <n v="104.07"/>
    <x v="0"/>
    <x v="0"/>
    <s v="No Support Contact"/>
    <s v="No"/>
    <s v="No Support Contact"/>
    <s v="Not Applicable"/>
    <m/>
    <s v="No drop-off"/>
    <n v="5"/>
    <n v="39"/>
    <n v="82"/>
    <x v="1"/>
    <n v="1"/>
    <n v="1"/>
    <n v="0"/>
    <n v="1"/>
  </r>
  <r>
    <x v="1201"/>
    <s v="USR-00544"/>
    <s v="SES-2503-48080"/>
    <x v="294"/>
    <s v="Wales"/>
    <s v="Wrexham"/>
    <x v="4"/>
    <x v="0"/>
    <x v="0"/>
    <s v="Ios"/>
    <s v="Iphone"/>
    <s v="2+ years"/>
    <x v="0"/>
    <x v="5"/>
    <x v="3"/>
    <s v="Repeat Use"/>
    <s v="No Experiment"/>
    <s v="Control"/>
    <n v="6"/>
    <s v="6 steps"/>
    <n v="-30"/>
    <s v="No"/>
    <x v="1"/>
    <x v="1"/>
    <x v="1"/>
    <x v="1"/>
    <n v="0"/>
    <x v="0"/>
    <x v="0"/>
    <s v="Feature Navigation"/>
    <s v="Yes"/>
    <s v="Feature Navigation"/>
    <s v="Resolved"/>
    <n v="-5"/>
    <s v="No drop-off"/>
    <n v="3"/>
    <n v="9"/>
    <n v="21"/>
    <x v="0"/>
    <n v="0"/>
    <n v="0"/>
    <n v="0"/>
    <n v="0"/>
  </r>
  <r>
    <x v="1202"/>
    <s v="USR-00626"/>
    <s v="SES-2512-67706"/>
    <x v="31"/>
    <s v="South East"/>
    <s v="Canterbury"/>
    <x v="2"/>
    <x v="0"/>
    <x v="0"/>
    <s v="Ios"/>
    <s v="Iphone"/>
    <s v="3-6 months"/>
    <x v="1"/>
    <x v="7"/>
    <x v="9"/>
    <s v="Repeat Use"/>
    <s v="Fee Transparency Panel"/>
    <s v="Control"/>
    <n v="5"/>
    <n v="4"/>
    <n v="187"/>
    <s v="Yes"/>
    <x v="1"/>
    <x v="1"/>
    <x v="1"/>
    <x v="0"/>
    <n v="0.16"/>
    <x v="0"/>
    <x v="1"/>
    <s v="No Support Contact"/>
    <s v="No"/>
    <s v="No Support Contact"/>
    <s v="Not Applicable"/>
    <m/>
    <s v="No drop-off"/>
    <n v="4"/>
    <n v="-5"/>
    <s v="48 days"/>
    <x v="0"/>
    <n v="0"/>
    <n v="1"/>
    <n v="0"/>
    <n v="0"/>
  </r>
  <r>
    <x v="1203"/>
    <s v="USR-00092"/>
    <s v="SES-2604-37272"/>
    <x v="493"/>
    <s v="West Midlands"/>
    <s v="Wolverhampton"/>
    <x v="2"/>
    <x v="1"/>
    <x v="1"/>
    <s v="Android"/>
    <s v="Android Phone"/>
    <s v="&lt;3 months"/>
    <x v="0"/>
    <x v="1"/>
    <x v="7"/>
    <s v="Repeat Use"/>
    <s v="Unknown"/>
    <s v="Control"/>
    <n v="4"/>
    <n v="4"/>
    <n v="116"/>
    <s v="No"/>
    <x v="1"/>
    <x v="0"/>
    <x v="16"/>
    <x v="1"/>
    <n v="0"/>
    <x v="0"/>
    <x v="0"/>
    <s v="No Support Contact"/>
    <s v="No"/>
    <s v="No Support Contact"/>
    <s v="Not Applicable"/>
    <m/>
    <s v="Technical error"/>
    <n v="2"/>
    <n v="43"/>
    <n v="66"/>
    <x v="0"/>
    <n v="0"/>
    <n v="0"/>
    <n v="1"/>
    <n v="0"/>
  </r>
  <r>
    <x v="1204"/>
    <s v="USR-00853"/>
    <s v="SES-2507-92003"/>
    <x v="343"/>
    <s v="London"/>
    <s v="Camden"/>
    <x v="2"/>
    <x v="0"/>
    <x v="1"/>
    <s v="Android"/>
    <s v="Android Phone"/>
    <s v="1-2 years"/>
    <x v="0"/>
    <x v="6"/>
    <x v="5"/>
    <s v="Reactivated"/>
    <s v="Unknown"/>
    <s v="Treatment"/>
    <n v="8"/>
    <n v="4"/>
    <n v="424"/>
    <s v="Yes"/>
    <x v="1"/>
    <x v="0"/>
    <x v="10"/>
    <x v="1"/>
    <n v="0"/>
    <x v="0"/>
    <x v="0"/>
    <s v="No Support Contact"/>
    <s v="No"/>
    <s v="No Support Contact"/>
    <s v="Not Applicable"/>
    <m/>
    <s v="Technical error"/>
    <n v="2"/>
    <n v="-12"/>
    <n v="19"/>
    <x v="0"/>
    <n v="0"/>
    <n v="0"/>
    <n v="1"/>
    <n v="0"/>
  </r>
  <r>
    <x v="1205"/>
    <s v="USR-00832"/>
    <s v="SES-2505-34771"/>
    <x v="6"/>
    <s v="East England"/>
    <s v="Luton"/>
    <x v="2"/>
    <x v="0"/>
    <x v="1"/>
    <s v="Web"/>
    <s v="Desktop"/>
    <s v="2+ years"/>
    <x v="0"/>
    <x v="5"/>
    <x v="1"/>
    <s v="First Use"/>
    <s v="No Experiment"/>
    <s v="Control"/>
    <n v="4"/>
    <n v="4"/>
    <n v="95"/>
    <s v="No"/>
    <x v="1"/>
    <x v="1"/>
    <x v="1"/>
    <x v="0"/>
    <n v="86.89"/>
    <x v="1"/>
    <x v="0"/>
    <s v="No Support Contact"/>
    <s v="No"/>
    <s v="No Support Contact"/>
    <s v="Not Applicable"/>
    <m/>
    <s v="No drop-off"/>
    <n v="4"/>
    <n v="99"/>
    <n v="0"/>
    <x v="0"/>
    <n v="0"/>
    <n v="1"/>
    <n v="0"/>
    <n v="0"/>
  </r>
  <r>
    <x v="1206"/>
    <s v="USR-00541"/>
    <s v="SES-2504-60292"/>
    <x v="139"/>
    <s v="South West"/>
    <s v="Exeter"/>
    <x v="0"/>
    <x v="0"/>
    <x v="1"/>
    <s v="Android"/>
    <s v="Android Phone"/>
    <s v="7-12 months"/>
    <x v="0"/>
    <x v="4"/>
    <x v="10"/>
    <s v="First Use"/>
    <s v="No Experiment"/>
    <s v="Control"/>
    <n v="9"/>
    <n v="9"/>
    <n v="162"/>
    <s v="No"/>
    <x v="1"/>
    <x v="1"/>
    <x v="1"/>
    <x v="1"/>
    <n v="0"/>
    <x v="0"/>
    <x v="0"/>
    <s v="No Support Contact"/>
    <s v="Unknown"/>
    <s v="No Support Contact"/>
    <s v="Not Applicable"/>
    <m/>
    <s v="No drop-off"/>
    <n v="3"/>
    <n v="-7"/>
    <n v="0"/>
    <x v="0"/>
    <n v="0"/>
    <n v="0"/>
    <n v="0"/>
    <n v="0"/>
  </r>
  <r>
    <x v="1207"/>
    <s v="USR-00156"/>
    <s v="SES-2605-54761"/>
    <x v="480"/>
    <s v="South East"/>
    <s v="Oxford"/>
    <x v="2"/>
    <x v="0"/>
    <x v="1"/>
    <s v="Android"/>
    <s v="Android Phone"/>
    <s v="3-6 months"/>
    <x v="0"/>
    <x v="0"/>
    <x v="1"/>
    <s v="Repeat Use"/>
    <s v="No Experiment"/>
    <s v="Control"/>
    <n v="4"/>
    <n v="4"/>
    <n v="103"/>
    <s v="No"/>
    <x v="0"/>
    <x v="1"/>
    <x v="1"/>
    <x v="0"/>
    <n v="122.83"/>
    <x v="1"/>
    <x v="0"/>
    <s v="No Support Contact"/>
    <s v="No"/>
    <s v="No Support Contact"/>
    <s v="Not Applicable"/>
    <m/>
    <s v="No drop-off"/>
    <n v="4"/>
    <n v="150"/>
    <n v="37"/>
    <x v="1"/>
    <n v="1"/>
    <n v="1"/>
    <n v="0"/>
    <n v="1"/>
  </r>
  <r>
    <x v="1208"/>
    <s v="USR-00501"/>
    <s v="SES-2503-76441"/>
    <x v="245"/>
    <s v="North East"/>
    <s v="Durham"/>
    <x v="2"/>
    <x v="1"/>
    <x v="0"/>
    <s v="Android"/>
    <s v="Android Phone"/>
    <s v="3-6 months"/>
    <x v="0"/>
    <x v="3"/>
    <x v="1"/>
    <s v="Reactivated"/>
    <s v="Simplified Onboarding"/>
    <s v="Control"/>
    <n v="4"/>
    <n v="4"/>
    <n v="105"/>
    <s v="No"/>
    <x v="0"/>
    <x v="1"/>
    <x v="1"/>
    <x v="0"/>
    <n v="142.22"/>
    <x v="4"/>
    <x v="0"/>
    <s v="Transaction Failure"/>
    <s v="Yes"/>
    <s v="Transaction Failure"/>
    <s v="Resolved"/>
    <n v="37"/>
    <s v="No drop-off"/>
    <n v="5"/>
    <n v="41"/>
    <s v="37 days"/>
    <x v="1"/>
    <n v="1"/>
    <n v="1"/>
    <n v="0"/>
    <n v="1"/>
  </r>
  <r>
    <x v="1209"/>
    <s v="USR-00145"/>
    <s v="SES-2508-11389"/>
    <x v="102"/>
    <s v="South East"/>
    <s v="Reading"/>
    <x v="0"/>
    <x v="0"/>
    <x v="1"/>
    <s v="Ios"/>
    <s v="Ipad"/>
    <s v="7-12 months"/>
    <x v="0"/>
    <x v="2"/>
    <x v="2"/>
    <s v="Repeat Use"/>
    <s v="No Experiment"/>
    <s v="Control"/>
    <s v="5 steps"/>
    <n v="5"/>
    <n v="133"/>
    <s v="No"/>
    <x v="0"/>
    <x v="1"/>
    <x v="1"/>
    <x v="0"/>
    <n v="55.93"/>
    <x v="0"/>
    <x v="0"/>
    <s v="No Support Contact"/>
    <s v="No"/>
    <s v="No Support Contact"/>
    <s v="Not Applicable"/>
    <m/>
    <s v="No drop-off"/>
    <n v="3"/>
    <n v="4"/>
    <n v="36"/>
    <x v="0"/>
    <n v="1"/>
    <n v="1"/>
    <n v="0"/>
    <n v="0"/>
  </r>
  <r>
    <x v="1210"/>
    <s v="USR-00796"/>
    <s v="SES-2509-54581"/>
    <x v="284"/>
    <s v="Yorkshire &amp; Humber"/>
    <s v="Hull"/>
    <x v="4"/>
    <x v="3"/>
    <x v="1"/>
    <s v="Ios"/>
    <s v="Iphone"/>
    <s v="&lt;3 months"/>
    <x v="0"/>
    <x v="3"/>
    <x v="7"/>
    <s v="Trial/Exploration"/>
    <s v="New Cta Copy"/>
    <s v="Control"/>
    <n v="4"/>
    <n v="4"/>
    <n v="88"/>
    <s v="No"/>
    <x v="0"/>
    <x v="1"/>
    <x v="1"/>
    <x v="1"/>
    <n v="0"/>
    <x v="0"/>
    <x v="0"/>
    <s v="No Support Contact"/>
    <s v="No"/>
    <s v="No Support Contact"/>
    <s v="Not Applicable"/>
    <m/>
    <s v="No drop-off"/>
    <n v="5"/>
    <n v="37"/>
    <n v="13"/>
    <x v="1"/>
    <n v="1"/>
    <n v="0"/>
    <n v="0"/>
    <n v="1"/>
  </r>
  <r>
    <x v="1211"/>
    <s v="USR-00330"/>
    <s v="SES-2502-59375"/>
    <x v="14"/>
    <s v="Northern Ireland"/>
    <s v="Lisburn"/>
    <x v="1"/>
    <x v="0"/>
    <x v="1"/>
    <s v="Web"/>
    <s v="Desktop"/>
    <s v="&lt;3 months"/>
    <x v="1"/>
    <x v="0"/>
    <x v="9"/>
    <s v="Repeat Use"/>
    <s v="No Experiment"/>
    <s v="Control"/>
    <n v="5"/>
    <n v="5"/>
    <n v="144"/>
    <s v="No"/>
    <x v="0"/>
    <x v="1"/>
    <x v="1"/>
    <x v="0"/>
    <n v="150.9"/>
    <x v="0"/>
    <x v="1"/>
    <s v="No Support Contact"/>
    <s v="No"/>
    <s v="No Support Contact"/>
    <s v="Not Applicable"/>
    <m/>
    <s v="No drop-off"/>
    <n v="4"/>
    <n v="14"/>
    <s v="16 days"/>
    <x v="1"/>
    <n v="1"/>
    <n v="1"/>
    <n v="0"/>
    <n v="1"/>
  </r>
  <r>
    <x v="1212"/>
    <s v="USR-00106"/>
    <s v="SES-2510-49375"/>
    <x v="28"/>
    <s v="West Midlands"/>
    <s v="Solihull"/>
    <x v="0"/>
    <x v="2"/>
    <x v="0"/>
    <s v="Android"/>
    <s v="Android Phone"/>
    <s v="2+ years"/>
    <x v="2"/>
    <x v="3"/>
    <x v="1"/>
    <s v="Reactivated"/>
    <s v="No Experiment"/>
    <s v="Control"/>
    <n v="4"/>
    <n v="4"/>
    <n v="100"/>
    <s v="No"/>
    <x v="0"/>
    <x v="1"/>
    <x v="1"/>
    <x v="0"/>
    <n v="114.18"/>
    <x v="8"/>
    <x v="2"/>
    <s v="No Support Contact"/>
    <s v="No"/>
    <s v="No Support Contact"/>
    <s v="Not Applicable"/>
    <m/>
    <s v="No drop-off"/>
    <n v="3"/>
    <n v="34"/>
    <n v="13"/>
    <x v="0"/>
    <n v="1"/>
    <n v="1"/>
    <n v="0"/>
    <n v="0"/>
  </r>
  <r>
    <x v="1213"/>
    <s v="USR-00313"/>
    <s v="SES-2601-48820"/>
    <x v="194"/>
    <s v="London"/>
    <s v="Camden"/>
    <x v="3"/>
    <x v="0"/>
    <x v="0"/>
    <s v="Ios"/>
    <s v="Iphone"/>
    <s v="3-6 months"/>
    <x v="0"/>
    <x v="0"/>
    <x v="4"/>
    <s v="Repeat Use"/>
    <s v="No Experiment"/>
    <s v="Control"/>
    <n v="6"/>
    <n v="3"/>
    <n v="241"/>
    <s v="Yes"/>
    <x v="1"/>
    <x v="1"/>
    <x v="1"/>
    <x v="1"/>
    <n v="0"/>
    <x v="0"/>
    <x v="0"/>
    <s v="Fees And Pricing"/>
    <s v="Yes"/>
    <s v="Fees And Pricing"/>
    <s v="Resolved"/>
    <n v="52"/>
    <s v="Unexpected fee"/>
    <n v="3"/>
    <n v="2"/>
    <n v="28"/>
    <x v="0"/>
    <n v="0"/>
    <n v="0"/>
    <n v="0"/>
    <n v="0"/>
  </r>
  <r>
    <x v="1214"/>
    <s v="USR-00708"/>
    <s v="SES-2602-24034"/>
    <x v="494"/>
    <s v="South East"/>
    <s v="Reading"/>
    <x v="7"/>
    <x v="0"/>
    <x v="0"/>
    <s v="Web"/>
    <s v="Desktop"/>
    <s v="3-6 months"/>
    <x v="0"/>
    <x v="0"/>
    <x v="1"/>
    <s v="Repeat Use"/>
    <s v="No Experiment"/>
    <s v="Control"/>
    <n v="4"/>
    <n v="3"/>
    <n v="190"/>
    <s v="Yes"/>
    <x v="1"/>
    <x v="1"/>
    <x v="1"/>
    <x v="1"/>
    <n v="0"/>
    <x v="0"/>
    <x v="0"/>
    <s v="No Support Contact"/>
    <s v="No"/>
    <s v="No Support Contact"/>
    <s v="Not Applicable"/>
    <m/>
    <s v="Too many steps"/>
    <n v="3"/>
    <n v="3"/>
    <n v="51"/>
    <x v="0"/>
    <n v="0"/>
    <n v="0"/>
    <n v="0"/>
    <n v="0"/>
  </r>
  <r>
    <x v="1215"/>
    <s v="USR-00698"/>
    <s v="SES-2510-30007"/>
    <x v="249"/>
    <s v="Wales"/>
    <s v="Swansea"/>
    <x v="4"/>
    <x v="0"/>
    <x v="0"/>
    <s v="Ios"/>
    <s v="Iphone"/>
    <s v="7-12 months"/>
    <x v="1"/>
    <x v="6"/>
    <x v="7"/>
    <s v="Trial/Exploration"/>
    <s v="No Experiment"/>
    <s v="Control"/>
    <n v="4"/>
    <n v="4"/>
    <n v="118"/>
    <s v="No"/>
    <x v="0"/>
    <x v="1"/>
    <x v="1"/>
    <x v="0"/>
    <n v="60.06"/>
    <x v="41"/>
    <x v="1"/>
    <s v="Transaction Failure"/>
    <s v="Yes"/>
    <s v="Transaction Failure"/>
    <s v="Resolved"/>
    <n v="38"/>
    <s v="No drop-off"/>
    <n v="5"/>
    <n v="28"/>
    <n v="36"/>
    <x v="1"/>
    <n v="1"/>
    <n v="1"/>
    <n v="0"/>
    <n v="1"/>
  </r>
  <r>
    <x v="1216"/>
    <s v="USR-00310"/>
    <s v="SES-2604-46120"/>
    <x v="400"/>
    <s v="South East"/>
    <s v="Oxford"/>
    <x v="5"/>
    <x v="2"/>
    <x v="1"/>
    <s v="Ios"/>
    <s v="Iphone"/>
    <s v="&lt;3 months"/>
    <x v="0"/>
    <x v="5"/>
    <x v="0"/>
    <s v="First Use"/>
    <s v="No Experiment"/>
    <s v="Control"/>
    <n v="7"/>
    <n v="6"/>
    <n v="238"/>
    <s v="Yes"/>
    <x v="0"/>
    <x v="1"/>
    <x v="1"/>
    <x v="0"/>
    <n v="44.21"/>
    <x v="0"/>
    <x v="0"/>
    <s v="Transaction Failure"/>
    <s v="Yes"/>
    <s v="Transaction Failure"/>
    <s v="Resolved"/>
    <n v="23"/>
    <s v="No drop-off"/>
    <n v="2"/>
    <n v="-14"/>
    <n v="0"/>
    <x v="0"/>
    <n v="1"/>
    <n v="1"/>
    <n v="0"/>
    <n v="0"/>
  </r>
  <r>
    <x v="1217"/>
    <s v="USR-00704"/>
    <s v="SES-2509-47124"/>
    <x v="428"/>
    <s v="London"/>
    <s v="Hammersmith"/>
    <x v="0"/>
    <x v="2"/>
    <x v="2"/>
    <s v="Ios"/>
    <s v="Iphone"/>
    <s v="2+ years"/>
    <x v="0"/>
    <x v="3"/>
    <x v="0"/>
    <s v="First Use"/>
    <s v="No Experiment"/>
    <s v="Control"/>
    <n v="7"/>
    <n v="5"/>
    <n v="215"/>
    <s v="Yes"/>
    <x v="0"/>
    <x v="1"/>
    <x v="1"/>
    <x v="0"/>
    <n v="141.28"/>
    <x v="0"/>
    <x v="0"/>
    <s v="No Support Contact"/>
    <s v="No"/>
    <s v="No Support Contact"/>
    <s v="Not Applicable"/>
    <m/>
    <s v="No drop-off"/>
    <n v="3"/>
    <n v="15"/>
    <n v="0"/>
    <x v="2"/>
    <n v="1"/>
    <n v="1"/>
    <n v="0"/>
    <n v="0"/>
  </r>
  <r>
    <x v="1218"/>
    <s v="USR-00151"/>
    <s v="SES-2501-56562"/>
    <x v="420"/>
    <s v="East England"/>
    <s v="Luton"/>
    <x v="0"/>
    <x v="0"/>
    <x v="0"/>
    <s v="Android"/>
    <s v="Android Tablet"/>
    <s v="3-6 months"/>
    <x v="0"/>
    <x v="4"/>
    <x v="4"/>
    <s v="Repeat Use"/>
    <s v="No Experiment"/>
    <s v="Control"/>
    <n v="6"/>
    <n v="6"/>
    <n v="177"/>
    <s v="No"/>
    <x v="0"/>
    <x v="1"/>
    <x v="1"/>
    <x v="0"/>
    <n v="37.82"/>
    <x v="0"/>
    <x v="0"/>
    <s v="No Support Contact"/>
    <s v="No"/>
    <s v="No Support Contact"/>
    <s v="Not Applicable"/>
    <m/>
    <s v="No drop-off"/>
    <n v="8"/>
    <n v="8"/>
    <n v="59"/>
    <x v="0"/>
    <n v="1"/>
    <n v="1"/>
    <n v="0"/>
    <n v="0"/>
  </r>
  <r>
    <x v="1219"/>
    <s v="USR-00099"/>
    <s v="SES-2504-24534"/>
    <x v="122"/>
    <s v="North East"/>
    <s v="Newcastle"/>
    <x v="1"/>
    <x v="0"/>
    <x v="1"/>
    <s v="Android"/>
    <s v="Android Phone"/>
    <s v="7-12 months"/>
    <x v="1"/>
    <x v="1"/>
    <x v="2"/>
    <s v="Repeat Use"/>
    <s v="No Experiment"/>
    <s v="Control"/>
    <s v="5 steps"/>
    <s v="5 steps"/>
    <n v="133"/>
    <s v="No"/>
    <x v="0"/>
    <x v="1"/>
    <x v="1"/>
    <x v="0"/>
    <n v="127.48"/>
    <x v="0"/>
    <x v="1"/>
    <s v="No Support Contact"/>
    <s v="No"/>
    <s v="No Support Contact"/>
    <s v="Not Applicable"/>
    <m/>
    <s v="No drop-off"/>
    <n v="5"/>
    <n v="-8"/>
    <n v="20"/>
    <x v="0"/>
    <n v="1"/>
    <n v="1"/>
    <n v="0"/>
    <n v="0"/>
  </r>
  <r>
    <x v="1220"/>
    <s v="USR-00651"/>
    <s v="SES-2606-41612"/>
    <x v="495"/>
    <s v="South East"/>
    <s v="Reading"/>
    <x v="4"/>
    <x v="4"/>
    <x v="0"/>
    <s v="Web"/>
    <s v="Mobile Browser"/>
    <s v="1-2 years"/>
    <x v="2"/>
    <x v="4"/>
    <x v="3"/>
    <s v="First Use"/>
    <s v="No Experiment"/>
    <s v="Control"/>
    <n v="6"/>
    <n v="6"/>
    <n v="160"/>
    <s v="No"/>
    <x v="1"/>
    <x v="1"/>
    <x v="1"/>
    <x v="1"/>
    <n v="0"/>
    <x v="0"/>
    <x v="0"/>
    <s v="No Support Contact"/>
    <s v="Unknown"/>
    <s v="No Support Contact"/>
    <s v="Not Applicable"/>
    <m/>
    <s v="No drop-off"/>
    <n v="3"/>
    <n v="14"/>
    <n v="0"/>
    <x v="2"/>
    <n v="0"/>
    <n v="0"/>
    <n v="0"/>
    <n v="0"/>
  </r>
  <r>
    <x v="1221"/>
    <s v="USR-00610"/>
    <s v="SES-2506-31234"/>
    <x v="131"/>
    <s v="North West"/>
    <s v="Liverpool"/>
    <x v="7"/>
    <x v="0"/>
    <x v="1"/>
    <s v="Android"/>
    <s v="Android Phone"/>
    <s v="3-6 months"/>
    <x v="0"/>
    <x v="4"/>
    <x v="2"/>
    <s v="First Use"/>
    <s v="No Experiment"/>
    <s v="Control"/>
    <n v="5"/>
    <n v="5"/>
    <n v="112"/>
    <s v="No"/>
    <x v="0"/>
    <x v="1"/>
    <x v="1"/>
    <x v="0"/>
    <n v="94.53"/>
    <x v="0"/>
    <x v="0"/>
    <s v="No Support Contact"/>
    <s v="No"/>
    <s v="No Support Contact"/>
    <s v="Not Applicable"/>
    <m/>
    <s v="No drop-off"/>
    <n v="4"/>
    <n v="76"/>
    <n v="0"/>
    <x v="1"/>
    <n v="1"/>
    <n v="1"/>
    <n v="0"/>
    <n v="1"/>
  </r>
  <r>
    <x v="1222"/>
    <s v="USR-00058"/>
    <s v="SES-2505-81063"/>
    <x v="431"/>
    <s v="Scotland"/>
    <s v="Edinburgh"/>
    <x v="2"/>
    <x v="2"/>
    <x v="0"/>
    <s v="Web"/>
    <s v="Mobile Browser"/>
    <s v="&lt;3 months"/>
    <x v="0"/>
    <x v="3"/>
    <x v="0"/>
    <s v="First Use"/>
    <s v="Progress Indicator"/>
    <s v="Treatment"/>
    <n v="7"/>
    <n v="7"/>
    <n v="162"/>
    <s v="No"/>
    <x v="1"/>
    <x v="1"/>
    <x v="1"/>
    <x v="1"/>
    <n v="0"/>
    <x v="0"/>
    <x v="0"/>
    <s v="No Support Contact"/>
    <s v="No"/>
    <s v="No Support Contact"/>
    <s v="Not Applicable"/>
    <m/>
    <s v="No drop-off"/>
    <n v="4"/>
    <n v="7"/>
    <n v="0"/>
    <x v="1"/>
    <n v="0"/>
    <n v="0"/>
    <n v="0"/>
    <n v="1"/>
  </r>
  <r>
    <x v="1223"/>
    <s v="USR-00337"/>
    <s v="SES-2503-40345"/>
    <x v="259"/>
    <s v="London"/>
    <s v="Croydon"/>
    <x v="7"/>
    <x v="2"/>
    <x v="1"/>
    <s v="Ios"/>
    <s v="Iphone"/>
    <s v="1-2 years"/>
    <x v="0"/>
    <x v="7"/>
    <x v="7"/>
    <s v="Repeat Use"/>
    <s v="No Experiment"/>
    <s v="Control"/>
    <n v="4"/>
    <n v="4"/>
    <n v="74"/>
    <s v="No"/>
    <x v="0"/>
    <x v="1"/>
    <x v="1"/>
    <x v="0"/>
    <n v="139.68"/>
    <x v="54"/>
    <x v="0"/>
    <s v="No Support Contact"/>
    <s v="No"/>
    <s v="No Support Contact"/>
    <s v="Not Applicable"/>
    <m/>
    <s v="No drop-off"/>
    <n v="4"/>
    <n v="-9"/>
    <n v="21"/>
    <x v="1"/>
    <n v="1"/>
    <n v="1"/>
    <n v="0"/>
    <n v="1"/>
  </r>
  <r>
    <x v="1224"/>
    <s v="USR-00779"/>
    <s v="SES-2505-94256"/>
    <x v="353"/>
    <s v="Northern Ireland"/>
    <s v="Belfast"/>
    <x v="1"/>
    <x v="1"/>
    <x v="0"/>
    <s v="Android"/>
    <s v="Android Phone"/>
    <s v="1-2 years"/>
    <x v="2"/>
    <x v="0"/>
    <x v="1"/>
    <s v="Repeat Use"/>
    <s v="No Experiment"/>
    <s v="Control"/>
    <n v="4"/>
    <n v="4"/>
    <n v="76"/>
    <s v="No"/>
    <x v="0"/>
    <x v="1"/>
    <x v="1"/>
    <x v="0"/>
    <n v="198.29"/>
    <x v="7"/>
    <x v="2"/>
    <s v="Feature Navigation"/>
    <s v="Yes"/>
    <s v="Feature Navigation"/>
    <s v="Resolved"/>
    <n v="34"/>
    <s v="No drop-off"/>
    <n v="5"/>
    <n v="25"/>
    <n v="67"/>
    <x v="1"/>
    <n v="1"/>
    <n v="1"/>
    <n v="0"/>
    <n v="1"/>
  </r>
  <r>
    <x v="1225"/>
    <s v="USR-00701"/>
    <s v="SES-2510-29036"/>
    <x v="146"/>
    <s v="West Midlands"/>
    <s v="Solihull"/>
    <x v="0"/>
    <x v="2"/>
    <x v="1"/>
    <s v="Ios"/>
    <s v="Iphone"/>
    <s v="1-2 years"/>
    <x v="0"/>
    <x v="6"/>
    <x v="8"/>
    <s v="First Use"/>
    <s v="No Experiment"/>
    <s v="Control"/>
    <n v="5"/>
    <n v="5"/>
    <n v="153"/>
    <s v="No"/>
    <x v="0"/>
    <x v="1"/>
    <x v="1"/>
    <x v="1"/>
    <n v="0"/>
    <x v="0"/>
    <x v="0"/>
    <s v="No Support Contact"/>
    <s v="No"/>
    <s v="No Support Contact"/>
    <s v="Not Applicable"/>
    <m/>
    <s v="No drop-off"/>
    <n v="4"/>
    <n v="27"/>
    <n v="0"/>
    <x v="1"/>
    <n v="1"/>
    <n v="0"/>
    <n v="0"/>
    <n v="1"/>
  </r>
  <r>
    <x v="1226"/>
    <s v="USR-00547"/>
    <s v="SES-2502-67337"/>
    <x v="14"/>
    <s v="North West"/>
    <s v="Chester"/>
    <x v="7"/>
    <x v="5"/>
    <x v="0"/>
    <s v="Web"/>
    <s v="Mobile Browser"/>
    <s v="3-6 months"/>
    <x v="0"/>
    <x v="2"/>
    <x v="8"/>
    <s v="Repeat Use"/>
    <s v="Simplified Onboarding"/>
    <s v="Control"/>
    <n v="5"/>
    <n v="5"/>
    <n v="96"/>
    <s v="No"/>
    <x v="1"/>
    <x v="1"/>
    <x v="1"/>
    <x v="1"/>
    <n v="0"/>
    <x v="0"/>
    <x v="0"/>
    <s v="No Support Contact"/>
    <s v="No"/>
    <s v="No Support Contact"/>
    <s v="Not Applicable"/>
    <m/>
    <s v="Verification took too long"/>
    <n v="4"/>
    <n v="34"/>
    <n v="1"/>
    <x v="0"/>
    <n v="0"/>
    <n v="0"/>
    <n v="0"/>
    <n v="0"/>
  </r>
  <r>
    <x v="1227"/>
    <s v="USR-00216"/>
    <s v="SES-2504-82545"/>
    <x v="20"/>
    <s v="East England"/>
    <s v="Cambridge"/>
    <x v="3"/>
    <x v="0"/>
    <x v="1"/>
    <s v="Android"/>
    <s v="Android Phone"/>
    <s v="7-12 months"/>
    <x v="1"/>
    <x v="5"/>
    <x v="7"/>
    <s v="First Use"/>
    <s v="Progress Indicator"/>
    <s v="Control"/>
    <n v="4"/>
    <n v="4"/>
    <n v="99"/>
    <s v="No"/>
    <x v="0"/>
    <x v="1"/>
    <x v="1"/>
    <x v="0"/>
    <n v="46.76"/>
    <x v="20"/>
    <x v="1"/>
    <s v="No Support Contact"/>
    <s v="No"/>
    <s v="No Support Contact"/>
    <s v="Not Applicable"/>
    <m/>
    <s v="No drop-off"/>
    <n v="4"/>
    <n v="54"/>
    <n v="0"/>
    <x v="1"/>
    <n v="1"/>
    <n v="1"/>
    <n v="0"/>
    <n v="1"/>
  </r>
  <r>
    <x v="1228"/>
    <s v="USR-00634"/>
    <s v="SES-2504-57182"/>
    <x v="63"/>
    <s v="Yorkshire &amp; Humber"/>
    <s v="York"/>
    <x v="7"/>
    <x v="1"/>
    <x v="0"/>
    <s v="Android"/>
    <s v="Android Phone"/>
    <s v="3-6 months"/>
    <x v="1"/>
    <x v="2"/>
    <x v="10"/>
    <s v="Repeat Use"/>
    <s v="Simplified Onboarding"/>
    <s v="Treatment"/>
    <n v="9"/>
    <n v="9"/>
    <n v="218"/>
    <s v="No"/>
    <x v="0"/>
    <x v="1"/>
    <x v="1"/>
    <x v="0"/>
    <n v="98.17"/>
    <x v="18"/>
    <x v="1"/>
    <s v="No Support Contact"/>
    <s v="No"/>
    <s v="No Support Contact"/>
    <s v="Not Applicable"/>
    <m/>
    <s v="No drop-off"/>
    <n v="4"/>
    <n v="17"/>
    <n v="19"/>
    <x v="1"/>
    <n v="1"/>
    <n v="1"/>
    <n v="0"/>
    <n v="1"/>
  </r>
  <r>
    <x v="1229"/>
    <s v="USR-00243"/>
    <s v="SES-2510-71645"/>
    <x v="79"/>
    <s v="Scotland"/>
    <s v="Edinburgh"/>
    <x v="5"/>
    <x v="4"/>
    <x v="0"/>
    <s v="Ios"/>
    <s v="Iphone"/>
    <s v="&lt;3 months"/>
    <x v="1"/>
    <x v="0"/>
    <x v="1"/>
    <s v="Repeat Use"/>
    <s v="No Experiment"/>
    <s v="Control"/>
    <s v="4 steps"/>
    <n v="4"/>
    <n v="81"/>
    <s v="No"/>
    <x v="0"/>
    <x v="1"/>
    <x v="1"/>
    <x v="0"/>
    <n v="139.04"/>
    <x v="25"/>
    <x v="1"/>
    <s v="No Support Contact"/>
    <s v="No"/>
    <s v="No Support Contact"/>
    <s v="Not Applicable"/>
    <m/>
    <s v="No drop-off"/>
    <n v="5"/>
    <n v="70"/>
    <n v="21"/>
    <x v="0"/>
    <n v="1"/>
    <n v="1"/>
    <n v="0"/>
    <n v="0"/>
  </r>
  <r>
    <x v="1230"/>
    <s v="USR-00515"/>
    <s v="SES-2505-29714"/>
    <x v="144"/>
    <s v="East Midlands"/>
    <s v="Lincoln"/>
    <x v="0"/>
    <x v="0"/>
    <x v="0"/>
    <s v="Ios"/>
    <s v="Iphone"/>
    <s v="2+ years"/>
    <x v="0"/>
    <x v="5"/>
    <x v="7"/>
    <s v="Reactivated"/>
    <s v="Fee Transparency Panel"/>
    <s v="Treatment"/>
    <n v="4"/>
    <n v="4"/>
    <n v="125"/>
    <s v="No"/>
    <x v="0"/>
    <x v="1"/>
    <x v="1"/>
    <x v="0"/>
    <n v="125.41"/>
    <x v="31"/>
    <x v="0"/>
    <s v="No Support Contact"/>
    <s v="No"/>
    <s v="No Support Contact"/>
    <s v="Not Applicable"/>
    <m/>
    <s v="No drop-off"/>
    <n v="4"/>
    <n v="47"/>
    <n v="11"/>
    <x v="1"/>
    <n v="1"/>
    <n v="1"/>
    <n v="0"/>
    <n v="1"/>
  </r>
  <r>
    <x v="1231"/>
    <s v="USR-00289"/>
    <s v="SES-2512-22525"/>
    <x v="410"/>
    <s v="South West"/>
    <s v="Bristol"/>
    <x v="3"/>
    <x v="0"/>
    <x v="0"/>
    <s v="Web"/>
    <s v="Mobile Browser"/>
    <s v="7-12 months"/>
    <x v="0"/>
    <x v="0"/>
    <x v="0"/>
    <s v="Repeat Use"/>
    <s v="New Cta Copy"/>
    <s v="Treatment"/>
    <n v="7"/>
    <n v="7"/>
    <n v="195"/>
    <s v="No"/>
    <x v="1"/>
    <x v="1"/>
    <x v="1"/>
    <x v="1"/>
    <n v="0"/>
    <x v="0"/>
    <x v="0"/>
    <s v="Transaction Failure"/>
    <s v="Yes"/>
    <s v="Transaction Failure"/>
    <s v="Resolved"/>
    <n v="40"/>
    <s v="Too many steps"/>
    <n v="3"/>
    <n v="20"/>
    <n v="36"/>
    <x v="1"/>
    <n v="0"/>
    <n v="0"/>
    <n v="0"/>
    <n v="1"/>
  </r>
  <r>
    <x v="1232"/>
    <s v="USR-00823"/>
    <s v="SES-2602-29776"/>
    <x v="368"/>
    <s v="East England"/>
    <s v="Norwich"/>
    <x v="5"/>
    <x v="0"/>
    <x v="0"/>
    <s v="Android"/>
    <s v="Android Phone"/>
    <s v="&lt;3 months"/>
    <x v="0"/>
    <x v="5"/>
    <x v="7"/>
    <s v="Reactivated"/>
    <s v="New Cta Copy"/>
    <s v="Control"/>
    <n v="4"/>
    <n v="4"/>
    <n v="185"/>
    <s v="No"/>
    <x v="0"/>
    <x v="0"/>
    <x v="16"/>
    <x v="0"/>
    <n v="20.010000000000002"/>
    <x v="22"/>
    <x v="0"/>
    <s v="No Support Contact"/>
    <s v="No"/>
    <s v="No Support Contact"/>
    <s v="Not Applicable"/>
    <m/>
    <s v="No drop-off"/>
    <n v="5"/>
    <n v="14"/>
    <n v="35"/>
    <x v="1"/>
    <n v="1"/>
    <n v="1"/>
    <n v="1"/>
    <n v="1"/>
  </r>
  <r>
    <x v="1233"/>
    <s v="USR-00303"/>
    <s v="SES-2512-13429"/>
    <x v="106"/>
    <s v="Northern Ireland"/>
    <s v="Lisburn"/>
    <x v="0"/>
    <x v="1"/>
    <x v="0"/>
    <s v="Ios"/>
    <s v="Iphone"/>
    <s v="2+ years"/>
    <x v="0"/>
    <x v="5"/>
    <x v="2"/>
    <s v="Trial/Exploration"/>
    <s v="No Experiment"/>
    <s v="Control"/>
    <n v="5"/>
    <n v="5"/>
    <n v="148"/>
    <s v="No"/>
    <x v="0"/>
    <x v="1"/>
    <x v="1"/>
    <x v="0"/>
    <n v="50.99"/>
    <x v="0"/>
    <x v="0"/>
    <s v="No Support Contact"/>
    <s v="No"/>
    <s v="No Support Contact"/>
    <s v="Not Applicable"/>
    <m/>
    <s v="No drop-off"/>
    <n v="4"/>
    <n v="0"/>
    <n v="58"/>
    <x v="1"/>
    <n v="1"/>
    <n v="1"/>
    <n v="0"/>
    <n v="1"/>
  </r>
  <r>
    <x v="1234"/>
    <s v="USR-00842"/>
    <s v="SES-2508-40398"/>
    <x v="188"/>
    <s v="West Midlands"/>
    <s v="Birmingham"/>
    <x v="5"/>
    <x v="3"/>
    <x v="0"/>
    <s v="Ios"/>
    <s v="Iphone"/>
    <s v="2+ years"/>
    <x v="0"/>
    <x v="7"/>
    <x v="7"/>
    <s v="Repeat Use"/>
    <s v="No Experiment"/>
    <s v="Control"/>
    <n v="4"/>
    <n v="4"/>
    <n v="88"/>
    <s v="No"/>
    <x v="1"/>
    <x v="1"/>
    <x v="1"/>
    <x v="1"/>
    <n v="0"/>
    <x v="0"/>
    <x v="0"/>
    <s v="No Support Contact"/>
    <s v="No"/>
    <s v="No Support Contact"/>
    <s v="Not Applicable"/>
    <m/>
    <s v="Verification took too long"/>
    <n v="4"/>
    <n v="100"/>
    <n v="39"/>
    <x v="2"/>
    <n v="0"/>
    <n v="0"/>
    <n v="0"/>
    <n v="0"/>
  </r>
  <r>
    <x v="1235"/>
    <s v="USR-00253"/>
    <s v="SES-2502-13125"/>
    <x v="60"/>
    <s v="West Midlands"/>
    <s v="Solihull"/>
    <x v="7"/>
    <x v="0"/>
    <x v="1"/>
    <s v="Ios"/>
    <s v="Iphone"/>
    <s v="3-6 months"/>
    <x v="2"/>
    <x v="0"/>
    <x v="4"/>
    <s v="Repeat Use"/>
    <s v="No Experiment"/>
    <s v="Control"/>
    <n v="6"/>
    <n v="6"/>
    <n v="183"/>
    <s v="No"/>
    <x v="1"/>
    <x v="1"/>
    <x v="1"/>
    <x v="1"/>
    <n v="0"/>
    <x v="0"/>
    <x v="0"/>
    <s v="No Support Contact"/>
    <s v="No"/>
    <s v="No Support Contact"/>
    <s v="Not Applicable"/>
    <m/>
    <s v="Too many steps"/>
    <n v="3"/>
    <n v="40"/>
    <n v="25"/>
    <x v="1"/>
    <n v="0"/>
    <n v="0"/>
    <n v="0"/>
    <n v="1"/>
  </r>
  <r>
    <x v="1236"/>
    <s v="USR-00681"/>
    <s v="SES-2509-17583"/>
    <x v="326"/>
    <s v="East England"/>
    <s v="Ipswich"/>
    <x v="1"/>
    <x v="0"/>
    <x v="0"/>
    <s v="Web"/>
    <s v="Desktop"/>
    <s v="2+ years"/>
    <x v="0"/>
    <x v="1"/>
    <x v="1"/>
    <s v="First Use"/>
    <s v="Progress Indicator"/>
    <s v="Treatment"/>
    <n v="4"/>
    <n v="4"/>
    <n v="75"/>
    <s v="No"/>
    <x v="0"/>
    <x v="1"/>
    <x v="1"/>
    <x v="0"/>
    <n v="133.49"/>
    <x v="25"/>
    <x v="0"/>
    <s v="Feature Navigation"/>
    <s v="Yes"/>
    <s v="Feature Navigation"/>
    <s v="Unresolved"/>
    <n v="6"/>
    <s v="No drop-off"/>
    <n v="4"/>
    <n v="22"/>
    <n v="0"/>
    <x v="1"/>
    <n v="1"/>
    <n v="1"/>
    <n v="0"/>
    <n v="1"/>
  </r>
  <r>
    <x v="1237"/>
    <s v="USR-00759"/>
    <s v="SES-2505-62624"/>
    <x v="144"/>
    <s v="South West"/>
    <s v="Exeter"/>
    <x v="5"/>
    <x v="1"/>
    <x v="0"/>
    <s v="Android"/>
    <s v="Android Phone"/>
    <s v="1-2 years"/>
    <x v="0"/>
    <x v="5"/>
    <x v="8"/>
    <s v="Repeat Use"/>
    <s v="No Experiment"/>
    <s v="Control"/>
    <n v="5"/>
    <n v="5"/>
    <n v="133"/>
    <s v="No"/>
    <x v="0"/>
    <x v="1"/>
    <x v="1"/>
    <x v="0"/>
    <n v="95.43"/>
    <x v="0"/>
    <x v="0"/>
    <s v="No Support Contact"/>
    <s v="No"/>
    <s v="No Support Contact"/>
    <s v="Not Applicable"/>
    <m/>
    <s v="No drop-off"/>
    <n v="5"/>
    <n v="14"/>
    <n v="1"/>
    <x v="1"/>
    <n v="1"/>
    <n v="1"/>
    <n v="0"/>
    <n v="1"/>
  </r>
  <r>
    <x v="1238"/>
    <s v="USR-00318"/>
    <s v="SES-2509-64965"/>
    <x v="80"/>
    <s v="East Midlands"/>
    <s v="Nottingham"/>
    <x v="0"/>
    <x v="3"/>
    <x v="0"/>
    <s v="Android"/>
    <s v="Android Phone"/>
    <s v="2+ years"/>
    <x v="1"/>
    <x v="2"/>
    <x v="2"/>
    <s v="Repeat Use"/>
    <s v="Progress Indicator"/>
    <s v="Treatment"/>
    <s v="many"/>
    <n v="5"/>
    <n v="116"/>
    <s v="No"/>
    <x v="0"/>
    <x v="1"/>
    <x v="1"/>
    <x v="0"/>
    <n v="104.7"/>
    <x v="0"/>
    <x v="1"/>
    <s v="No Support Contact"/>
    <s v="No"/>
    <s v="No Support Contact"/>
    <s v="Not Applicable"/>
    <m/>
    <s v="No drop-off"/>
    <n v="5"/>
    <n v="19"/>
    <n v="26"/>
    <x v="0"/>
    <n v="1"/>
    <n v="1"/>
    <n v="0"/>
    <n v="0"/>
  </r>
  <r>
    <x v="1239"/>
    <s v="USR-00252"/>
    <s v="SES-2509-62165"/>
    <x v="118"/>
    <s v="Northern Ireland"/>
    <s v="Belfast"/>
    <x v="2"/>
    <x v="2"/>
    <x v="0"/>
    <s v="Ios"/>
    <s v="Ipad"/>
    <s v="2+ years"/>
    <x v="0"/>
    <x v="5"/>
    <x v="3"/>
    <s v="Repeat Use"/>
    <s v="No Experiment"/>
    <s v="Control"/>
    <n v="6"/>
    <s v="6 steps"/>
    <n v="122"/>
    <s v="No"/>
    <x v="0"/>
    <x v="1"/>
    <x v="1"/>
    <x v="1"/>
    <n v="0"/>
    <x v="0"/>
    <x v="0"/>
    <s v="No Support Contact"/>
    <s v="No"/>
    <s v="No Support Contact"/>
    <s v="Not Applicable"/>
    <m/>
    <s v="No drop-off"/>
    <n v="3"/>
    <n v="20"/>
    <n v="28"/>
    <x v="1"/>
    <n v="1"/>
    <n v="0"/>
    <n v="0"/>
    <n v="1"/>
  </r>
  <r>
    <x v="1240"/>
    <s v="USR-00834"/>
    <s v="SES-2506-54036"/>
    <x v="346"/>
    <s v="North West"/>
    <s v="Chester"/>
    <x v="3"/>
    <x v="3"/>
    <x v="0"/>
    <s v="Android"/>
    <s v="Android Phone"/>
    <s v="1-2 years"/>
    <x v="1"/>
    <x v="0"/>
    <x v="7"/>
    <s v="Repeat Use"/>
    <s v="Fee Transparency Panel"/>
    <s v="Control"/>
    <n v="4"/>
    <n v="2"/>
    <n v="134"/>
    <s v="Yes"/>
    <x v="0"/>
    <x v="1"/>
    <x v="1"/>
    <x v="0"/>
    <n v="26.7"/>
    <x v="23"/>
    <x v="1"/>
    <s v="No Support Contact"/>
    <s v="No"/>
    <s v="No Support Contact"/>
    <s v="Not Applicable"/>
    <m/>
    <s v="No drop-off"/>
    <n v="3"/>
    <n v="-42"/>
    <n v="37"/>
    <x v="1"/>
    <n v="1"/>
    <n v="1"/>
    <n v="0"/>
    <n v="1"/>
  </r>
  <r>
    <x v="1241"/>
    <s v="USR-00196"/>
    <s v="SES-2510-41787"/>
    <x v="376"/>
    <s v="Scotland"/>
    <s v="Dundee"/>
    <x v="0"/>
    <x v="0"/>
    <x v="1"/>
    <s v="Ios"/>
    <s v="Iphone"/>
    <s v="&lt;3 months"/>
    <x v="0"/>
    <x v="2"/>
    <x v="1"/>
    <s v="Repeat Use"/>
    <s v="No Experiment"/>
    <s v="Control"/>
    <n v="4"/>
    <s v="4 steps"/>
    <n v="83"/>
    <s v="No"/>
    <x v="0"/>
    <x v="1"/>
    <x v="1"/>
    <x v="0"/>
    <n v="167.88"/>
    <x v="6"/>
    <x v="0"/>
    <s v="No Support Contact"/>
    <s v="No"/>
    <s v="No Support Contact"/>
    <s v="Not Applicable"/>
    <m/>
    <s v="No drop-off"/>
    <n v="5"/>
    <n v="28"/>
    <n v="55"/>
    <x v="1"/>
    <n v="1"/>
    <n v="1"/>
    <n v="0"/>
    <n v="1"/>
  </r>
  <r>
    <x v="1242"/>
    <s v="USR-00408"/>
    <s v="SES-2507-92400"/>
    <x v="333"/>
    <s v="North West"/>
    <s v="Preston"/>
    <x v="0"/>
    <x v="3"/>
    <x v="1"/>
    <s v="Ios"/>
    <s v="Iphone"/>
    <s v="1-2 years"/>
    <x v="0"/>
    <x v="0"/>
    <x v="7"/>
    <s v="First Use"/>
    <s v="Progress Indicator"/>
    <s v="Control"/>
    <n v="4"/>
    <n v="4"/>
    <n v="123"/>
    <s v="No"/>
    <x v="0"/>
    <x v="1"/>
    <x v="1"/>
    <x v="0"/>
    <n v="138.33000000000001"/>
    <x v="13"/>
    <x v="0"/>
    <s v="No Support Contact"/>
    <s v="No"/>
    <s v="No Support Contact"/>
    <s v="Not Applicable"/>
    <m/>
    <s v="No drop-off"/>
    <n v="4"/>
    <n v="-4"/>
    <n v="0"/>
    <x v="1"/>
    <n v="1"/>
    <n v="1"/>
    <n v="0"/>
    <n v="1"/>
  </r>
  <r>
    <x v="1243"/>
    <s v="USR-00339"/>
    <s v="SES-2605-81431"/>
    <x v="266"/>
    <s v="North East"/>
    <s v="Newcastle"/>
    <x v="5"/>
    <x v="2"/>
    <x v="0"/>
    <s v="Web"/>
    <s v="Mobile Browser"/>
    <s v="&lt;3 months"/>
    <x v="0"/>
    <x v="6"/>
    <x v="3"/>
    <s v="Repeat Use"/>
    <s v="Progress Indicator"/>
    <s v="Treatment"/>
    <n v="6"/>
    <n v="6"/>
    <n v="155"/>
    <s v="No"/>
    <x v="1"/>
    <x v="0"/>
    <x v="15"/>
    <x v="1"/>
    <n v="0"/>
    <x v="0"/>
    <x v="0"/>
    <s v="Fees And Pricing"/>
    <s v="Yes"/>
    <s v="Fees And Pricing"/>
    <s v="Resolved"/>
    <n v="5"/>
    <s v="Technical error"/>
    <n v="3"/>
    <n v="38"/>
    <n v="39"/>
    <x v="0"/>
    <n v="0"/>
    <n v="0"/>
    <n v="1"/>
    <n v="0"/>
  </r>
  <r>
    <x v="1244"/>
    <s v="USR-00146"/>
    <s v="SES-2508-83522"/>
    <x v="382"/>
    <s v="East Midlands"/>
    <s v="Leicester"/>
    <x v="0"/>
    <x v="2"/>
    <x v="1"/>
    <s v="Ios"/>
    <s v="Iphone"/>
    <s v="7-12 months"/>
    <x v="1"/>
    <x v="5"/>
    <x v="2"/>
    <s v="Repeat Use"/>
    <s v="New Cta Copy"/>
    <s v="Control"/>
    <n v="5"/>
    <n v="5"/>
    <n v="144"/>
    <s v="No"/>
    <x v="0"/>
    <x v="1"/>
    <x v="1"/>
    <x v="0"/>
    <n v="104.86"/>
    <x v="0"/>
    <x v="1"/>
    <s v="No Support Contact"/>
    <s v="No"/>
    <s v="No Support Contact"/>
    <s v="Not Applicable"/>
    <m/>
    <s v="No drop-off"/>
    <n v="5"/>
    <n v="38"/>
    <n v="28"/>
    <x v="0"/>
    <n v="1"/>
    <n v="1"/>
    <n v="0"/>
    <n v="0"/>
  </r>
  <r>
    <x v="1245"/>
    <s v="USR-00548"/>
    <s v="SES-2603-80699"/>
    <x v="205"/>
    <s v="Scotland"/>
    <s v="Edinburgh"/>
    <x v="4"/>
    <x v="0"/>
    <x v="1"/>
    <s v="Ios"/>
    <s v="Iphone"/>
    <s v="2+ years"/>
    <x v="0"/>
    <x v="4"/>
    <x v="9"/>
    <s v="Repeat Use"/>
    <s v="Fee Transparency Panel"/>
    <s v="Treatment"/>
    <n v="5"/>
    <n v="5"/>
    <n v="118"/>
    <s v="No"/>
    <x v="0"/>
    <x v="1"/>
    <x v="1"/>
    <x v="0"/>
    <n v="125.08"/>
    <x v="0"/>
    <x v="0"/>
    <s v="Account Verification"/>
    <s v="Yes"/>
    <s v="Account Verification"/>
    <s v="Resolved"/>
    <n v="36"/>
    <s v="No drop-off"/>
    <n v="5"/>
    <n v="63"/>
    <n v="50"/>
    <x v="1"/>
    <n v="1"/>
    <n v="1"/>
    <n v="0"/>
    <n v="1"/>
  </r>
  <r>
    <x v="1246"/>
    <s v="USR-00027"/>
    <s v="SES-2507-36784"/>
    <x v="496"/>
    <s v="West Midlands"/>
    <s v="Coventry"/>
    <x v="2"/>
    <x v="3"/>
    <x v="2"/>
    <s v="Web"/>
    <s v="Mobile Browser"/>
    <s v="7-12 months"/>
    <x v="2"/>
    <x v="6"/>
    <x v="2"/>
    <s v="First Use"/>
    <s v="No Experiment"/>
    <s v="Control"/>
    <n v="5"/>
    <n v="5"/>
    <n v="177"/>
    <s v="No"/>
    <x v="0"/>
    <x v="0"/>
    <x v="21"/>
    <x v="0"/>
    <n v="28.43"/>
    <x v="0"/>
    <x v="2"/>
    <s v="No Support Contact"/>
    <s v="No"/>
    <s v="No Support Contact"/>
    <s v="Not Applicable"/>
    <m/>
    <s v="No drop-off"/>
    <n v="3"/>
    <n v="18"/>
    <s v="0 days"/>
    <x v="1"/>
    <n v="1"/>
    <n v="1"/>
    <n v="1"/>
    <n v="1"/>
  </r>
  <r>
    <x v="1239"/>
    <s v="usr-00252"/>
    <s v="SES-2509-62165"/>
    <x v="118"/>
    <s v="Northern Ireland"/>
    <s v="Belfast"/>
    <x v="2"/>
    <x v="2"/>
    <x v="0"/>
    <s v="Ios"/>
    <s v="Ipad"/>
    <s v="2+ years"/>
    <x v="0"/>
    <x v="5"/>
    <x v="3"/>
    <s v="Repeat Use"/>
    <s v="No Experiment"/>
    <s v="Control"/>
    <n v="6"/>
    <n v="6"/>
    <n v="122"/>
    <s v="No"/>
    <x v="0"/>
    <x v="1"/>
    <x v="1"/>
    <x v="1"/>
    <n v="0"/>
    <x v="0"/>
    <x v="0"/>
    <s v="No Support Contact"/>
    <s v="No"/>
    <s v="No Support Contact"/>
    <s v="Not Applicable"/>
    <m/>
    <s v="No drop-off"/>
    <n v="3"/>
    <n v="20"/>
    <s v="28 days"/>
    <x v="1"/>
    <n v="1"/>
    <n v="0"/>
    <n v="0"/>
    <n v="1"/>
  </r>
  <r>
    <x v="1247"/>
    <s v="USR-00410"/>
    <s v="SES-2504-18506"/>
    <x v="43"/>
    <s v="Yorkshire &amp; Humber"/>
    <s v="York"/>
    <x v="3"/>
    <x v="3"/>
    <x v="0"/>
    <s v="Android"/>
    <s v="Android Phone"/>
    <s v="1-2 years"/>
    <x v="0"/>
    <x v="4"/>
    <x v="8"/>
    <s v="First Use"/>
    <s v="No Experiment"/>
    <s v="Control"/>
    <n v="5"/>
    <n v="5"/>
    <n v="164"/>
    <s v="No"/>
    <x v="1"/>
    <x v="0"/>
    <x v="13"/>
    <x v="1"/>
    <n v="0"/>
    <x v="0"/>
    <x v="0"/>
    <s v="No Support Contact"/>
    <s v="No"/>
    <s v="No Support Contact"/>
    <s v="Not Applicable"/>
    <m/>
    <s v="Technical error"/>
    <n v="3"/>
    <n v="-18"/>
    <n v="0"/>
    <x v="0"/>
    <n v="0"/>
    <n v="0"/>
    <n v="1"/>
    <n v="0"/>
  </r>
  <r>
    <x v="1248"/>
    <s v="USR-00127"/>
    <s v="SES-2511-83770"/>
    <x v="397"/>
    <s v="Scotland"/>
    <s v="Edinburgh"/>
    <x v="3"/>
    <x v="0"/>
    <x v="0"/>
    <s v="Ios"/>
    <s v="Iphone"/>
    <s v="1-2 years"/>
    <x v="3"/>
    <x v="7"/>
    <x v="0"/>
    <s v="First Use"/>
    <s v="No Experiment"/>
    <s v="Control"/>
    <n v="7"/>
    <n v="7"/>
    <n v="173"/>
    <s v="No"/>
    <x v="1"/>
    <x v="1"/>
    <x v="1"/>
    <x v="1"/>
    <n v="0"/>
    <x v="0"/>
    <x v="0"/>
    <s v="No Support Contact"/>
    <s v="No"/>
    <s v="No Support Contact"/>
    <s v="Not Applicable"/>
    <m/>
    <s v="Verification took too long"/>
    <n v="3"/>
    <n v="1"/>
    <n v="0"/>
    <x v="0"/>
    <n v="0"/>
    <n v="0"/>
    <n v="0"/>
    <n v="0"/>
  </r>
  <r>
    <x v="1249"/>
    <s v="USR-00409"/>
    <s v="SES-2606-88421"/>
    <x v="218"/>
    <s v="North East"/>
    <s v="Newcastle"/>
    <x v="0"/>
    <x v="1"/>
    <x v="1"/>
    <s v="Ios"/>
    <s v="Iphone"/>
    <s v="1-2 years"/>
    <x v="0"/>
    <x v="1"/>
    <x v="3"/>
    <s v="Repeat Use"/>
    <s v="New Cta Copy"/>
    <s v="Control"/>
    <n v="6"/>
    <n v="3"/>
    <n v="238"/>
    <s v="Yes"/>
    <x v="1"/>
    <x v="1"/>
    <x v="1"/>
    <x v="1"/>
    <n v="0"/>
    <x v="0"/>
    <x v="0"/>
    <s v="No Support Contact"/>
    <s v="No"/>
    <s v="No Support Contact"/>
    <s v="Not Applicable"/>
    <m/>
    <s v="Too many steps"/>
    <n v="3"/>
    <n v="-2"/>
    <n v="40"/>
    <x v="0"/>
    <n v="0"/>
    <n v="0"/>
    <n v="0"/>
    <n v="0"/>
  </r>
  <r>
    <x v="1250"/>
    <s v="USR-00137"/>
    <s v="SES-2601-18703"/>
    <x v="310"/>
    <s v="Yorkshire &amp; Humber"/>
    <s v="Leeds"/>
    <x v="1"/>
    <x v="2"/>
    <x v="1"/>
    <s v="Ios"/>
    <s v="Iphone"/>
    <s v="3-6 months"/>
    <x v="1"/>
    <x v="0"/>
    <x v="3"/>
    <s v="Unknown"/>
    <s v="Progress Indicator"/>
    <s v="Treatment"/>
    <n v="6"/>
    <n v="5"/>
    <n v="198"/>
    <s v="Yes"/>
    <x v="1"/>
    <x v="0"/>
    <x v="8"/>
    <x v="1"/>
    <n v="0"/>
    <x v="0"/>
    <x v="0"/>
    <s v="No Support Contact"/>
    <s v="No"/>
    <s v="No Support Contact"/>
    <s v="Not Applicable"/>
    <m/>
    <s v="Technical error"/>
    <n v="2"/>
    <n v="150"/>
    <s v="32 days"/>
    <x v="1"/>
    <n v="0"/>
    <n v="0"/>
    <n v="1"/>
    <n v="1"/>
  </r>
  <r>
    <x v="1251"/>
    <s v="USR-00315"/>
    <s v="SES-2502-54877"/>
    <x v="95"/>
    <s v="Northern Ireland"/>
    <s v="Lisburn"/>
    <x v="3"/>
    <x v="5"/>
    <x v="0"/>
    <s v="Android"/>
    <s v="Android Phone"/>
    <s v="1-2 years"/>
    <x v="0"/>
    <x v="4"/>
    <x v="3"/>
    <s v="Repeat Use"/>
    <s v="New Cta Copy"/>
    <s v="Treatment"/>
    <n v="6"/>
    <n v="6"/>
    <n v="208"/>
    <s v="No"/>
    <x v="1"/>
    <x v="0"/>
    <x v="2"/>
    <x v="1"/>
    <n v="0"/>
    <x v="0"/>
    <x v="0"/>
    <s v="Transaction Failure"/>
    <s v="Yes"/>
    <s v="Transaction Failure"/>
    <s v="Resolved"/>
    <n v="36"/>
    <s v="No drop-off"/>
    <n v="2"/>
    <n v="-27"/>
    <n v="44"/>
    <x v="0"/>
    <n v="0"/>
    <n v="0"/>
    <n v="1"/>
    <n v="0"/>
  </r>
  <r>
    <x v="1252"/>
    <s v="USR-00186"/>
    <s v="SES-2604-82304"/>
    <x v="82"/>
    <s v="Wales"/>
    <s v="Wrexham"/>
    <x v="1"/>
    <x v="2"/>
    <x v="0"/>
    <s v="Android"/>
    <s v="Android Phone"/>
    <s v="7-12 months"/>
    <x v="0"/>
    <x v="1"/>
    <x v="4"/>
    <s v="First Use"/>
    <s v="No Experiment"/>
    <s v="Control"/>
    <n v="6"/>
    <n v="6"/>
    <n v="239"/>
    <s v="No"/>
    <x v="1"/>
    <x v="0"/>
    <x v="5"/>
    <x v="1"/>
    <n v="0"/>
    <x v="0"/>
    <x v="0"/>
    <s v="No Support Contact"/>
    <s v="No"/>
    <s v="No Support Contact"/>
    <s v="Not Applicable"/>
    <m/>
    <s v="Technical error"/>
    <n v="3"/>
    <n v="-31"/>
    <n v="0"/>
    <x v="0"/>
    <n v="0"/>
    <n v="0"/>
    <n v="1"/>
    <n v="0"/>
  </r>
  <r>
    <x v="1253"/>
    <s v="USR-00345"/>
    <s v="SES-2512-48531"/>
    <x v="471"/>
    <s v="East England"/>
    <s v="Cambridge"/>
    <x v="0"/>
    <x v="0"/>
    <x v="0"/>
    <s v="Android"/>
    <s v="Android Phone"/>
    <s v="1-2 years"/>
    <x v="0"/>
    <x v="2"/>
    <x v="3"/>
    <s v="First Use"/>
    <s v="No Experiment"/>
    <s v="Control"/>
    <n v="6"/>
    <s v="6 steps"/>
    <n v="151"/>
    <s v="No"/>
    <x v="0"/>
    <x v="1"/>
    <x v="1"/>
    <x v="1"/>
    <n v="0"/>
    <x v="0"/>
    <x v="0"/>
    <s v="No Support Contact"/>
    <s v="No"/>
    <s v="No Support Contact"/>
    <s v="Not Applicable"/>
    <m/>
    <s v="No drop-off"/>
    <n v="4"/>
    <n v="54"/>
    <n v="0"/>
    <x v="1"/>
    <n v="1"/>
    <n v="0"/>
    <n v="0"/>
    <n v="1"/>
  </r>
  <r>
    <x v="441"/>
    <s v="USR-00531"/>
    <s v="SES-2603-20195"/>
    <x v="25"/>
    <s v="North East"/>
    <s v="Durham"/>
    <x v="0"/>
    <x v="3"/>
    <x v="1"/>
    <s v="Android"/>
    <s v="Android Phone"/>
    <s v="&lt;3 months"/>
    <x v="0"/>
    <x v="1"/>
    <x v="9"/>
    <s v="Repeat Use"/>
    <s v="No Experiment"/>
    <s v="Control"/>
    <n v="5"/>
    <n v="5"/>
    <n v="0"/>
    <s v="No"/>
    <x v="0"/>
    <x v="1"/>
    <x v="1"/>
    <x v="0"/>
    <n v="24.79"/>
    <x v="0"/>
    <x v="0"/>
    <s v="No Support Contact"/>
    <s v="No"/>
    <s v="No Support Contact"/>
    <s v="Not Applicable"/>
    <m/>
    <s v="No drop-off"/>
    <n v="4"/>
    <n v="60"/>
    <n v="17"/>
    <x v="1"/>
    <n v="1"/>
    <n v="1"/>
    <n v="0"/>
    <n v="1"/>
  </r>
  <r>
    <x v="1254"/>
    <s v="USR-00490"/>
    <s v="SES-2503-48699"/>
    <x v="43"/>
    <s v="Scotland"/>
    <s v="Aberdeen"/>
    <x v="1"/>
    <x v="0"/>
    <x v="0"/>
    <s v="Ios"/>
    <s v="Iphone"/>
    <s v="1-2 years"/>
    <x v="2"/>
    <x v="4"/>
    <x v="0"/>
    <s v="Repeat Use"/>
    <s v="New Cta Copy"/>
    <s v="Control"/>
    <n v="7"/>
    <n v="7"/>
    <n v="137"/>
    <s v="No"/>
    <x v="1"/>
    <x v="1"/>
    <x v="1"/>
    <x v="0"/>
    <n v="0"/>
    <x v="0"/>
    <x v="2"/>
    <s v="No Support Contact"/>
    <s v="No"/>
    <s v="No Support Contact"/>
    <s v="Not Applicable"/>
    <m/>
    <s v="No drop-off"/>
    <n v="3"/>
    <n v="24"/>
    <n v="24"/>
    <x v="0"/>
    <n v="0"/>
    <n v="1"/>
    <n v="0"/>
    <n v="0"/>
  </r>
  <r>
    <x v="1255"/>
    <s v="USR-00191"/>
    <s v="SES-2508-65404"/>
    <x v="184"/>
    <s v="North East"/>
    <s v="Middlesbrough"/>
    <x v="0"/>
    <x v="3"/>
    <x v="0"/>
    <s v="Android"/>
    <s v="Android Phone"/>
    <s v="1-2 years"/>
    <x v="0"/>
    <x v="5"/>
    <x v="4"/>
    <s v="First Use"/>
    <s v="No Experiment"/>
    <s v="Control"/>
    <n v="6"/>
    <n v="6"/>
    <n v="188"/>
    <s v="No"/>
    <x v="0"/>
    <x v="1"/>
    <x v="1"/>
    <x v="0"/>
    <n v="0"/>
    <x v="0"/>
    <x v="0"/>
    <s v="No Support Contact"/>
    <s v="No"/>
    <s v="No Support Contact"/>
    <s v="Not Applicable"/>
    <m/>
    <s v="No drop-off"/>
    <n v="2"/>
    <n v="-2"/>
    <s v="0 days"/>
    <x v="0"/>
    <n v="1"/>
    <n v="1"/>
    <n v="0"/>
    <n v="0"/>
  </r>
  <r>
    <x v="1256"/>
    <s v="USR-00053"/>
    <s v="SES-2602-77639"/>
    <x v="335"/>
    <s v="Northern Ireland"/>
    <s v="Belfast"/>
    <x v="3"/>
    <x v="0"/>
    <x v="0"/>
    <s v="Android"/>
    <s v="Android Phone"/>
    <s v="1-2 years"/>
    <x v="4"/>
    <x v="7"/>
    <x v="8"/>
    <s v="Repeat Use"/>
    <s v="Simplified Onboarding"/>
    <s v="Treatment"/>
    <n v="5"/>
    <n v="5"/>
    <n v="109"/>
    <s v="No"/>
    <x v="0"/>
    <x v="1"/>
    <x v="1"/>
    <x v="0"/>
    <n v="57.92"/>
    <x v="0"/>
    <x v="2"/>
    <s v="No Support Contact"/>
    <s v="No"/>
    <s v="No Support Contact"/>
    <s v="Not Applicable"/>
    <m/>
    <s v="No drop-off"/>
    <n v="5"/>
    <n v="13"/>
    <n v="54"/>
    <x v="1"/>
    <n v="1"/>
    <n v="1"/>
    <n v="0"/>
    <n v="1"/>
  </r>
  <r>
    <x v="245"/>
    <s v="USR-00093"/>
    <s v="SES-2508-93668"/>
    <x v="199"/>
    <s v="North East"/>
    <s v="Durham"/>
    <x v="2"/>
    <x v="1"/>
    <x v="1"/>
    <s v="Ios"/>
    <s v="Iphone"/>
    <s v="7-12 months"/>
    <x v="0"/>
    <x v="0"/>
    <x v="3"/>
    <s v="Repeat Use"/>
    <s v="No Experiment"/>
    <s v="Control"/>
    <n v="6"/>
    <n v="3"/>
    <n v="295"/>
    <s v="Yes"/>
    <x v="1"/>
    <x v="0"/>
    <x v="8"/>
    <x v="1"/>
    <n v="0"/>
    <x v="0"/>
    <x v="0"/>
    <s v="No Support Contact"/>
    <s v="No"/>
    <s v="No Support Contact"/>
    <s v="Not Applicable"/>
    <m/>
    <s v="Instructions unclear"/>
    <n v="3"/>
    <n v="-29"/>
    <n v="17"/>
    <x v="0"/>
    <n v="0"/>
    <n v="0"/>
    <n v="1"/>
    <n v="0"/>
  </r>
  <r>
    <x v="1257"/>
    <s v="USR-00056"/>
    <s v="SES-2506-74436"/>
    <x v="62"/>
    <s v="Scotland"/>
    <s v="Glasgow"/>
    <x v="5"/>
    <x v="0"/>
    <x v="1"/>
    <s v="Android"/>
    <s v="Android Phone"/>
    <s v="&lt;3 months"/>
    <x v="1"/>
    <x v="6"/>
    <x v="5"/>
    <s v="Repeat Use"/>
    <s v="No Experiment"/>
    <s v="Control"/>
    <s v="8 steps"/>
    <n v="8"/>
    <n v="146"/>
    <s v="No"/>
    <x v="1"/>
    <x v="1"/>
    <x v="1"/>
    <x v="1"/>
    <n v="0"/>
    <x v="0"/>
    <x v="0"/>
    <s v="No Support Contact"/>
    <s v="No"/>
    <s v="No Support Contact"/>
    <s v="Not Applicable"/>
    <m/>
    <s v="Privacy concern"/>
    <n v="3"/>
    <n v="31"/>
    <n v="-5"/>
    <x v="0"/>
    <n v="0"/>
    <n v="0"/>
    <n v="0"/>
    <n v="0"/>
  </r>
  <r>
    <x v="1258"/>
    <s v="USR-00255"/>
    <s v="SES-2602-61018"/>
    <x v="16"/>
    <s v="North West"/>
    <s v="Preston"/>
    <x v="2"/>
    <x v="0"/>
    <x v="1"/>
    <s v="Ios"/>
    <s v="Iphone"/>
    <s v="7-12 months"/>
    <x v="0"/>
    <x v="5"/>
    <x v="2"/>
    <s v="Reactivated"/>
    <s v="New Cta Copy"/>
    <s v="Treatment"/>
    <n v="5"/>
    <n v="5"/>
    <n v="96"/>
    <s v="No"/>
    <x v="0"/>
    <x v="1"/>
    <x v="1"/>
    <x v="0"/>
    <n v="17.86"/>
    <x v="0"/>
    <x v="0"/>
    <s v="N/A"/>
    <s v="No"/>
    <s v="N/A"/>
    <s v="Not Applicable"/>
    <m/>
    <s v="No drop-off"/>
    <n v="5"/>
    <n v="44"/>
    <n v="20"/>
    <x v="0"/>
    <n v="1"/>
    <n v="1"/>
    <n v="0"/>
    <n v="0"/>
  </r>
  <r>
    <x v="1259"/>
    <s v="USR-00298"/>
    <s v="SES-2501-35065"/>
    <x v="234"/>
    <s v="London"/>
    <s v="Croydon"/>
    <x v="0"/>
    <x v="1"/>
    <x v="0"/>
    <s v="Ios"/>
    <s v="Iphone"/>
    <s v="1-2 years"/>
    <x v="1"/>
    <x v="3"/>
    <x v="4"/>
    <s v="Repeat Use"/>
    <s v="Simplified Onboarding"/>
    <s v="Control"/>
    <n v="6"/>
    <n v="6"/>
    <n v="190"/>
    <s v="No"/>
    <x v="1"/>
    <x v="1"/>
    <x v="1"/>
    <x v="0"/>
    <n v="0"/>
    <x v="0"/>
    <x v="1"/>
    <s v="No Support Contact"/>
    <s v="No"/>
    <s v="No Support Contact"/>
    <s v="Not Applicable"/>
    <m/>
    <s v="No drop-off"/>
    <n v="4"/>
    <n v="33"/>
    <n v="25"/>
    <x v="0"/>
    <n v="0"/>
    <n v="1"/>
    <n v="0"/>
    <n v="0"/>
  </r>
  <r>
    <x v="1260"/>
    <s v="USR-00418"/>
    <s v="SES-2507-82831"/>
    <x v="333"/>
    <s v="North West"/>
    <s v="Manchester"/>
    <x v="0"/>
    <x v="0"/>
    <x v="1"/>
    <s v="Web"/>
    <s v="Tablet Browser"/>
    <s v="3-6 months"/>
    <x v="0"/>
    <x v="6"/>
    <x v="1"/>
    <s v="Reactivated"/>
    <s v="Simplified Onboarding"/>
    <s v="Control"/>
    <n v="4"/>
    <s v="2 steps"/>
    <n v="126"/>
    <s v="Yes"/>
    <x v="0"/>
    <x v="1"/>
    <x v="1"/>
    <x v="0"/>
    <n v="120.53"/>
    <x v="8"/>
    <x v="0"/>
    <s v="No Support Contact"/>
    <s v="No"/>
    <s v="No Support Contact"/>
    <s v="Not Applicable"/>
    <m/>
    <s v="No drop-off"/>
    <n v="3"/>
    <n v="-37"/>
    <n v="34"/>
    <x v="0"/>
    <n v="1"/>
    <n v="1"/>
    <n v="0"/>
    <n v="0"/>
  </r>
  <r>
    <x v="1261"/>
    <s v="USR-00618"/>
    <s v="SES-2503-99619"/>
    <x v="259"/>
    <s v="North West"/>
    <s v="Liverpool"/>
    <x v="3"/>
    <x v="2"/>
    <x v="0"/>
    <s v="Ios"/>
    <s v="Ipad"/>
    <s v="1-2 years"/>
    <x v="0"/>
    <x v="0"/>
    <x v="3"/>
    <s v="Repeat Use"/>
    <s v="Simplified Onboarding"/>
    <s v="Control"/>
    <n v="6"/>
    <n v="6"/>
    <n v="127"/>
    <s v="No"/>
    <x v="1"/>
    <x v="1"/>
    <x v="1"/>
    <x v="1"/>
    <n v="0"/>
    <x v="0"/>
    <x v="0"/>
    <s v="No Support Contact"/>
    <s v="No"/>
    <s v="No Support Contact"/>
    <s v="Not Applicable"/>
    <m/>
    <s v="Technical error"/>
    <n v="3"/>
    <n v="27"/>
    <n v="8"/>
    <x v="0"/>
    <n v="0"/>
    <n v="0"/>
    <n v="0"/>
    <n v="0"/>
  </r>
  <r>
    <x v="1262"/>
    <s v="USR-00706"/>
    <s v="SES-2505-24326"/>
    <x v="300"/>
    <s v="North East"/>
    <s v="Durham"/>
    <x v="0"/>
    <x v="2"/>
    <x v="0"/>
    <s v="Web"/>
    <s v="Mobile Browser"/>
    <s v="3-6 months"/>
    <x v="0"/>
    <x v="1"/>
    <x v="7"/>
    <s v="First Use"/>
    <s v="No Experiment"/>
    <s v="Control"/>
    <n v="4"/>
    <n v="4"/>
    <n v="103"/>
    <s v="No"/>
    <x v="0"/>
    <x v="1"/>
    <x v="1"/>
    <x v="0"/>
    <n v="63.58"/>
    <x v="27"/>
    <x v="0"/>
    <s v="No Support Contact"/>
    <s v="No"/>
    <s v="No Support Contact"/>
    <s v="Not Applicable"/>
    <m/>
    <s v="No drop-off"/>
    <n v="5"/>
    <n v="-7"/>
    <n v="0"/>
    <x v="1"/>
    <n v="1"/>
    <n v="1"/>
    <n v="0"/>
    <n v="1"/>
  </r>
  <r>
    <x v="1263"/>
    <s v="USR-00209"/>
    <s v="SES-2602-38308"/>
    <x v="335"/>
    <s v="South East"/>
    <s v="Brighton"/>
    <x v="5"/>
    <x v="1"/>
    <x v="0"/>
    <s v="Android"/>
    <s v="Android Phone"/>
    <s v="3-6 months"/>
    <x v="0"/>
    <x v="7"/>
    <x v="4"/>
    <s v="First Use"/>
    <s v="Progress Indicator"/>
    <s v="Control"/>
    <n v="6"/>
    <n v="6"/>
    <n v="191"/>
    <s v="No"/>
    <x v="1"/>
    <x v="1"/>
    <x v="1"/>
    <x v="1"/>
    <n v="0"/>
    <x v="0"/>
    <x v="0"/>
    <s v="No Support Contact"/>
    <s v="No"/>
    <s v="No Support Contact"/>
    <s v="Not Applicable"/>
    <m/>
    <s v="No drop-off"/>
    <n v="3"/>
    <n v="18"/>
    <n v="0"/>
    <x v="0"/>
    <n v="0"/>
    <n v="0"/>
    <n v="0"/>
    <n v="0"/>
  </r>
  <r>
    <x v="1264"/>
    <s v="USR-00801"/>
    <s v="SES-2501-59555"/>
    <x v="100"/>
    <s v="London"/>
    <s v="Hammersmith"/>
    <x v="1"/>
    <x v="5"/>
    <x v="1"/>
    <s v="Android"/>
    <s v="Android Phone"/>
    <s v="3-6 months"/>
    <x v="0"/>
    <x v="7"/>
    <x v="2"/>
    <s v="Repeat Use"/>
    <s v="No Experiment"/>
    <s v="Control"/>
    <n v="5"/>
    <n v="4"/>
    <n v="277"/>
    <s v="Yes"/>
    <x v="0"/>
    <x v="0"/>
    <x v="21"/>
    <x v="0"/>
    <n v="5.69"/>
    <x v="0"/>
    <x v="0"/>
    <s v="No Support Contact"/>
    <s v="No"/>
    <s v="No Support Contact"/>
    <s v="Not Applicable"/>
    <m/>
    <s v="No drop-off"/>
    <n v="3"/>
    <n v="-25"/>
    <n v="14"/>
    <x v="0"/>
    <n v="1"/>
    <n v="1"/>
    <n v="1"/>
    <n v="0"/>
  </r>
  <r>
    <x v="1265"/>
    <s v="USR-00327"/>
    <s v="SES-2511-94474"/>
    <x v="116"/>
    <s v="Scotland"/>
    <s v="Glasgow"/>
    <x v="4"/>
    <x v="3"/>
    <x v="0"/>
    <s v="Web"/>
    <s v="Mobile Browser"/>
    <s v="&lt;3 months"/>
    <x v="0"/>
    <x v="4"/>
    <x v="1"/>
    <s v="Repeat Use"/>
    <s v="No Experiment"/>
    <s v="Control"/>
    <n v="4"/>
    <n v="4"/>
    <n v="99"/>
    <s v="No"/>
    <x v="0"/>
    <x v="1"/>
    <x v="1"/>
    <x v="1"/>
    <n v="-10"/>
    <x v="0"/>
    <x v="0"/>
    <s v="Fees And Pricing"/>
    <s v="Yes"/>
    <s v="Fees And Pricing"/>
    <s v="Resolved"/>
    <n v="5"/>
    <s v="No drop-off"/>
    <n v="4"/>
    <n v="0"/>
    <n v="24"/>
    <x v="1"/>
    <n v="1"/>
    <n v="0"/>
    <n v="0"/>
    <n v="1"/>
  </r>
  <r>
    <x v="1266"/>
    <s v="USR-00524"/>
    <s v="SES-2504-52177"/>
    <x v="367"/>
    <s v="Yorkshire &amp; Humber"/>
    <s v="Sheffield"/>
    <x v="7"/>
    <x v="2"/>
    <x v="1"/>
    <s v="Android"/>
    <s v="Android Phone"/>
    <s v="2+ years"/>
    <x v="0"/>
    <x v="6"/>
    <x v="2"/>
    <s v="First Use"/>
    <s v="No Experiment"/>
    <s v="Control"/>
    <s v="5 steps"/>
    <n v="5"/>
    <n v="103"/>
    <s v="No"/>
    <x v="1"/>
    <x v="1"/>
    <x v="1"/>
    <x v="1"/>
    <n v="0"/>
    <x v="0"/>
    <x v="0"/>
    <s v="No Support Contact"/>
    <s v="No"/>
    <s v="No Support Contact"/>
    <s v="Not Applicable"/>
    <m/>
    <s v="Instructions unclear"/>
    <n v="4"/>
    <n v="48"/>
    <n v="0"/>
    <x v="0"/>
    <n v="0"/>
    <n v="0"/>
    <n v="0"/>
    <n v="0"/>
  </r>
  <r>
    <x v="1267"/>
    <s v="USR-00472"/>
    <s v="SES-2601-67404"/>
    <x v="115"/>
    <s v="North West"/>
    <s v="Manchester"/>
    <x v="0"/>
    <x v="1"/>
    <x v="0"/>
    <s v="Ios"/>
    <s v="Iphone"/>
    <s v="1-2 years"/>
    <x v="1"/>
    <x v="1"/>
    <x v="1"/>
    <s v="Repeat Use"/>
    <s v="New Cta Copy"/>
    <s v="Control"/>
    <n v="4"/>
    <n v="3"/>
    <n v="167"/>
    <s v="Yes"/>
    <x v="0"/>
    <x v="1"/>
    <x v="1"/>
    <x v="0"/>
    <n v="109.5"/>
    <x v="4"/>
    <x v="1"/>
    <s v="Fees And Pricing"/>
    <s v="Yes"/>
    <s v="Fees And Pricing"/>
    <s v="Resolved"/>
    <n v="36"/>
    <s v="No drop-off"/>
    <n v="3"/>
    <n v="2"/>
    <n v="20"/>
    <x v="0"/>
    <n v="1"/>
    <n v="1"/>
    <n v="0"/>
    <n v="0"/>
  </r>
  <r>
    <x v="1268"/>
    <s v="USR-00791"/>
    <s v="SES-2512-51402"/>
    <x v="405"/>
    <s v="North East"/>
    <s v="Middlesbrough"/>
    <x v="0"/>
    <x v="2"/>
    <x v="1"/>
    <s v="Android"/>
    <s v="Android Phone"/>
    <s v="&lt;3 months"/>
    <x v="0"/>
    <x v="2"/>
    <x v="7"/>
    <s v="Reactivated"/>
    <s v="No Experiment"/>
    <s v="Control"/>
    <n v="4"/>
    <n v="4"/>
    <n v="108"/>
    <s v="No"/>
    <x v="0"/>
    <x v="1"/>
    <x v="1"/>
    <x v="0"/>
    <n v="85.73"/>
    <x v="28"/>
    <x v="0"/>
    <s v="Feature Navigation"/>
    <s v="Yes"/>
    <s v="Feature Navigation"/>
    <s v="Resolved"/>
    <n v="54"/>
    <s v="No drop-off"/>
    <n v="4"/>
    <n v="35"/>
    <n v="36"/>
    <x v="1"/>
    <n v="1"/>
    <n v="1"/>
    <n v="0"/>
    <n v="1"/>
  </r>
  <r>
    <x v="1269"/>
    <s v="USR-00226"/>
    <s v="SES-2505-47305"/>
    <x v="175"/>
    <s v="South East"/>
    <s v="Canterbury"/>
    <x v="7"/>
    <x v="3"/>
    <x v="1"/>
    <s v="Android"/>
    <s v="Android Phone"/>
    <s v="1-2 years"/>
    <x v="0"/>
    <x v="3"/>
    <x v="7"/>
    <s v="Trial/Exploration"/>
    <s v="No Experiment"/>
    <s v="Control"/>
    <n v="4"/>
    <n v="4"/>
    <n v="127"/>
    <s v="No"/>
    <x v="0"/>
    <x v="1"/>
    <x v="1"/>
    <x v="0"/>
    <n v="27.82"/>
    <x v="20"/>
    <x v="0"/>
    <s v="Feature Navigation"/>
    <s v="Yes"/>
    <s v="Feature Navigation"/>
    <s v="Resolved"/>
    <n v="17"/>
    <s v="No drop-off"/>
    <n v="5"/>
    <n v="78"/>
    <s v="3 days"/>
    <x v="1"/>
    <n v="1"/>
    <n v="1"/>
    <n v="0"/>
    <n v="1"/>
  </r>
  <r>
    <x v="1270"/>
    <s v="USR-00092"/>
    <s v="SES-2503-19444"/>
    <x v="304"/>
    <s v="South West"/>
    <s v="Bath"/>
    <x v="0"/>
    <x v="0"/>
    <x v="2"/>
    <s v="Android"/>
    <s v="Android Phone"/>
    <s v="1-2 years"/>
    <x v="0"/>
    <x v="3"/>
    <x v="2"/>
    <s v="First Use"/>
    <s v="No Experiment"/>
    <s v="Control"/>
    <n v="5"/>
    <n v="5"/>
    <n v="135"/>
    <s v="No"/>
    <x v="0"/>
    <x v="1"/>
    <x v="1"/>
    <x v="0"/>
    <n v="73.16"/>
    <x v="0"/>
    <x v="0"/>
    <s v="No Support Contact"/>
    <s v="No"/>
    <s v="No Support Contact"/>
    <s v="Not Applicable"/>
    <m/>
    <s v="No drop-off"/>
    <n v="4"/>
    <n v="-4"/>
    <n v="0"/>
    <x v="1"/>
    <n v="1"/>
    <n v="1"/>
    <n v="0"/>
    <n v="1"/>
  </r>
  <r>
    <x v="1271"/>
    <s v="USR-00401"/>
    <s v="SES-2605-28972"/>
    <x v="129"/>
    <s v="North West"/>
    <s v="Liverpool"/>
    <x v="2"/>
    <x v="1"/>
    <x v="1"/>
    <s v="Ios"/>
    <s v="Iphone"/>
    <s v="2+ years"/>
    <x v="4"/>
    <x v="1"/>
    <x v="1"/>
    <s v="Repeat Use"/>
    <s v="No Experiment"/>
    <s v="Control"/>
    <n v="4"/>
    <n v="4"/>
    <n v="93"/>
    <s v="No"/>
    <x v="1"/>
    <x v="1"/>
    <x v="1"/>
    <x v="0"/>
    <n v="41.67"/>
    <x v="4"/>
    <x v="2"/>
    <s v="Fees And Pricing"/>
    <s v="Yes"/>
    <s v="Fees And Pricing"/>
    <s v="Resolved"/>
    <n v="28"/>
    <s v="Unexpected fee"/>
    <n v="5"/>
    <n v="0"/>
    <n v="15"/>
    <x v="0"/>
    <n v="0"/>
    <n v="1"/>
    <n v="0"/>
    <n v="0"/>
  </r>
  <r>
    <x v="1272"/>
    <s v="USR-00724"/>
    <s v="SES-2508-40007"/>
    <x v="497"/>
    <s v="North West"/>
    <s v="Chester"/>
    <x v="0"/>
    <x v="0"/>
    <x v="0"/>
    <s v="Android"/>
    <s v="Android Phone"/>
    <s v="3-6 months"/>
    <x v="1"/>
    <x v="2"/>
    <x v="3"/>
    <s v="Repeat Use"/>
    <s v="Simplified Onboarding"/>
    <s v="Control"/>
    <s v="6 steps"/>
    <n v="4"/>
    <n v="283"/>
    <s v="Yes"/>
    <x v="0"/>
    <x v="1"/>
    <x v="1"/>
    <x v="0"/>
    <n v="126.55"/>
    <x v="5"/>
    <x v="1"/>
    <s v="No Support Contact"/>
    <s v="No"/>
    <s v="No Support Contact"/>
    <s v="Not Applicable"/>
    <m/>
    <s v="No drop-off"/>
    <n v="4"/>
    <n v="-1"/>
    <n v="44"/>
    <x v="1"/>
    <n v="1"/>
    <n v="1"/>
    <n v="0"/>
    <n v="1"/>
  </r>
  <r>
    <x v="1273"/>
    <s v="USR-00337"/>
    <s v="SES-2512-79168"/>
    <x v="273"/>
    <s v="Yorkshire &amp; Humber"/>
    <s v="York"/>
    <x v="4"/>
    <x v="4"/>
    <x v="0"/>
    <s v="Android"/>
    <s v="Android Phone"/>
    <s v="2+ years"/>
    <x v="0"/>
    <x v="2"/>
    <x v="9"/>
    <s v="First Use"/>
    <s v="No Experiment"/>
    <s v="Control"/>
    <n v="5"/>
    <n v="3"/>
    <n v="196"/>
    <s v="Yes"/>
    <x v="0"/>
    <x v="1"/>
    <x v="1"/>
    <x v="0"/>
    <n v="91.76"/>
    <x v="0"/>
    <x v="0"/>
    <s v="No Support Contact"/>
    <s v="No"/>
    <s v="No Support Contact"/>
    <s v="Not Applicable"/>
    <m/>
    <s v="No drop-off"/>
    <n v="3"/>
    <n v="-10"/>
    <n v="0"/>
    <x v="0"/>
    <n v="1"/>
    <n v="1"/>
    <n v="0"/>
    <n v="0"/>
  </r>
  <r>
    <x v="1274"/>
    <s v="USR-00515"/>
    <s v="SES-2507-26752"/>
    <x v="435"/>
    <s v="Scotland"/>
    <s v="DUNDEE"/>
    <x v="1"/>
    <x v="1"/>
    <x v="1"/>
    <s v="Android"/>
    <s v="Android Phone"/>
    <s v="3-6 months"/>
    <x v="1"/>
    <x v="6"/>
    <x v="10"/>
    <s v="Reactivated"/>
    <s v="No Experiment"/>
    <s v="Control"/>
    <s v="9 steps"/>
    <n v="9"/>
    <n v="254"/>
    <s v="No"/>
    <x v="1"/>
    <x v="1"/>
    <x v="1"/>
    <x v="1"/>
    <n v="0"/>
    <x v="0"/>
    <x v="0"/>
    <s v="No Support Contact"/>
    <s v="No"/>
    <s v="No Support Contact"/>
    <s v="Not Applicable"/>
    <m/>
    <s v="No drop-off"/>
    <n v="3"/>
    <n v="1"/>
    <n v="25"/>
    <x v="0"/>
    <n v="0"/>
    <n v="0"/>
    <n v="0"/>
    <n v="0"/>
  </r>
  <r>
    <x v="1275"/>
    <s v="USR-00828"/>
    <s v="SES-2507-95188"/>
    <x v="18"/>
    <s v="East England"/>
    <s v="Luton"/>
    <x v="0"/>
    <x v="4"/>
    <x v="0"/>
    <s v="Ios"/>
    <s v="Iphone"/>
    <s v="7-12 months"/>
    <x v="0"/>
    <x v="4"/>
    <x v="2"/>
    <s v="Repeat Use"/>
    <s v="No Experiment"/>
    <s v="Control"/>
    <n v="5"/>
    <n v="5"/>
    <n v="154"/>
    <s v="No"/>
    <x v="0"/>
    <x v="1"/>
    <x v="1"/>
    <x v="0"/>
    <n v="88.52"/>
    <x v="0"/>
    <x v="0"/>
    <s v="No Support Contact"/>
    <s v="No"/>
    <s v="No Support Contact"/>
    <s v="Not Applicable"/>
    <m/>
    <s v="No drop-off"/>
    <n v="5"/>
    <n v="16"/>
    <n v="42"/>
    <x v="0"/>
    <n v="1"/>
    <n v="1"/>
    <n v="0"/>
    <n v="0"/>
  </r>
  <r>
    <x v="1276"/>
    <s v="USR-00061"/>
    <s v="SES-2506-51938"/>
    <x v="359"/>
    <s v="Scotland"/>
    <s v="Edinburgh"/>
    <x v="5"/>
    <x v="1"/>
    <x v="1"/>
    <s v="Ios"/>
    <s v="Iphone"/>
    <s v="7-12 months"/>
    <x v="2"/>
    <x v="6"/>
    <x v="9"/>
    <s v="Repeat Use"/>
    <s v="No Experiment"/>
    <s v="Control"/>
    <n v="5"/>
    <n v="5"/>
    <n v="157"/>
    <s v="No"/>
    <x v="0"/>
    <x v="1"/>
    <x v="1"/>
    <x v="0"/>
    <n v="53.59"/>
    <x v="0"/>
    <x v="2"/>
    <s v="No Support Contact"/>
    <s v="No"/>
    <s v="No Support Contact"/>
    <s v="Not Applicable"/>
    <m/>
    <s v="No drop-off"/>
    <n v="5"/>
    <n v="-13"/>
    <n v="30"/>
    <x v="1"/>
    <n v="1"/>
    <n v="1"/>
    <n v="0"/>
    <n v="1"/>
  </r>
  <r>
    <x v="1277"/>
    <s v="USR-00622"/>
    <s v="SES-2508-93581"/>
    <x v="207"/>
    <s v="Northern Ireland"/>
    <s v="Derry"/>
    <x v="3"/>
    <x v="3"/>
    <x v="0"/>
    <s v="Ios"/>
    <s v="Iphone"/>
    <s v="2+ years"/>
    <x v="0"/>
    <x v="2"/>
    <x v="9"/>
    <s v="Repeat Use"/>
    <s v="New Cta Copy"/>
    <s v="Treatment"/>
    <n v="5"/>
    <n v="4"/>
    <n v="155"/>
    <s v="Yes"/>
    <x v="0"/>
    <x v="1"/>
    <x v="1"/>
    <x v="0"/>
    <n v="40.81"/>
    <x v="0"/>
    <x v="0"/>
    <s v="No Support Contact"/>
    <s v="No"/>
    <s v="No Support Contact"/>
    <s v="Not Applicable"/>
    <m/>
    <s v="No drop-off"/>
    <n v="3"/>
    <n v="1"/>
    <s v="22 days"/>
    <x v="1"/>
    <n v="1"/>
    <n v="1"/>
    <n v="0"/>
    <n v="1"/>
  </r>
  <r>
    <x v="1278"/>
    <s v="USR-00395"/>
    <s v="SES-2604-13608"/>
    <x v="44"/>
    <s v="West Midlands"/>
    <s v="Coventry"/>
    <x v="3"/>
    <x v="0"/>
    <x v="0"/>
    <s v="Android"/>
    <s v="Android Phone"/>
    <s v="&lt;3 months"/>
    <x v="1"/>
    <x v="7"/>
    <x v="7"/>
    <s v="Repeat Use"/>
    <s v="No Experiment"/>
    <s v="Control"/>
    <n v="4"/>
    <n v="4"/>
    <n v="123"/>
    <s v="No"/>
    <x v="1"/>
    <x v="0"/>
    <x v="30"/>
    <x v="1"/>
    <n v="0"/>
    <x v="0"/>
    <x v="0"/>
    <s v="No Support Contact"/>
    <s v="No"/>
    <s v="No Support Contact"/>
    <s v="Not Applicable"/>
    <m/>
    <s v="Verification took too long"/>
    <n v="3"/>
    <n v="-18"/>
    <n v="54"/>
    <x v="1"/>
    <n v="0"/>
    <n v="0"/>
    <n v="1"/>
    <n v="1"/>
  </r>
  <r>
    <x v="1279"/>
    <s v="USR-00002"/>
    <s v="SES-2504-13484"/>
    <x v="125"/>
    <s v="East Midlands"/>
    <s v="Derby"/>
    <x v="2"/>
    <x v="2"/>
    <x v="1"/>
    <s v="Android"/>
    <s v="Android Phone"/>
    <s v="3-6 months"/>
    <x v="1"/>
    <x v="2"/>
    <x v="0"/>
    <s v="Reactivated"/>
    <s v="New Cta Copy"/>
    <s v="Treatment"/>
    <n v="-1"/>
    <n v="7"/>
    <n v="219"/>
    <s v="No"/>
    <x v="0"/>
    <x v="1"/>
    <x v="1"/>
    <x v="0"/>
    <n v="0"/>
    <x v="0"/>
    <x v="1"/>
    <s v="No Support Contact"/>
    <s v="No"/>
    <s v="No Support Contact"/>
    <s v="Not Applicable"/>
    <m/>
    <s v="No drop-off"/>
    <n v="4"/>
    <n v="20"/>
    <n v="2"/>
    <x v="1"/>
    <n v="1"/>
    <n v="1"/>
    <n v="0"/>
    <n v="1"/>
  </r>
  <r>
    <x v="1280"/>
    <s v="USR-00730"/>
    <s v="SES-2508-93141"/>
    <x v="267"/>
    <s v="Northern Ireland"/>
    <s v="Lisburn"/>
    <x v="0"/>
    <x v="2"/>
    <x v="0"/>
    <s v="Android"/>
    <s v="Android Phone"/>
    <s v="7-12 months"/>
    <x v="0"/>
    <x v="2"/>
    <x v="1"/>
    <s v="Repeat Use"/>
    <s v="No Experiment"/>
    <s v="Control"/>
    <s v="4 steps"/>
    <n v="2"/>
    <n v="114"/>
    <s v="Yes"/>
    <x v="0"/>
    <x v="1"/>
    <x v="1"/>
    <x v="0"/>
    <n v="223.24"/>
    <x v="25"/>
    <x v="0"/>
    <s v="No Support Contact"/>
    <s v="No"/>
    <s v="No Support Contact"/>
    <s v="Not Applicable"/>
    <m/>
    <s v="No drop-off"/>
    <n v="3"/>
    <n v="54"/>
    <n v="26"/>
    <x v="1"/>
    <n v="1"/>
    <n v="1"/>
    <n v="0"/>
    <n v="1"/>
  </r>
  <r>
    <x v="1281"/>
    <s v="USR-00723"/>
    <s v="SES-2506-36639"/>
    <x v="136"/>
    <s v="North East"/>
    <s v="Middlesbrough"/>
    <x v="3"/>
    <x v="2"/>
    <x v="1"/>
    <s v="Ios"/>
    <s v="Iphone"/>
    <s v="1-2 years"/>
    <x v="0"/>
    <x v="5"/>
    <x v="5"/>
    <s v="Trial/Exploration"/>
    <s v="No Experiment"/>
    <s v="Control"/>
    <n v="8"/>
    <n v="5"/>
    <n v="307"/>
    <s v="Yes"/>
    <x v="0"/>
    <x v="1"/>
    <x v="1"/>
    <x v="0"/>
    <n v="389.44"/>
    <x v="81"/>
    <x v="0"/>
    <s v="No Support Contact"/>
    <s v="No"/>
    <s v="No Support Contact"/>
    <s v="Not Applicable"/>
    <m/>
    <s v="No drop-off"/>
    <n v="3"/>
    <n v="-13"/>
    <n v="35"/>
    <x v="1"/>
    <n v="1"/>
    <n v="1"/>
    <n v="0"/>
    <n v="1"/>
  </r>
  <r>
    <x v="1282"/>
    <s v="USR-00424"/>
    <s v="SES-2501-67096"/>
    <x v="323"/>
    <s v="South East"/>
    <s v="Oxford"/>
    <x v="0"/>
    <x v="1"/>
    <x v="1"/>
    <s v="Ios"/>
    <s v="Iphone"/>
    <s v="3-6 months"/>
    <x v="0"/>
    <x v="1"/>
    <x v="7"/>
    <s v="Repeat Use"/>
    <s v="Simplified Onboarding"/>
    <s v="Control"/>
    <n v="4"/>
    <n v="4"/>
    <n v="90"/>
    <s v="No"/>
    <x v="0"/>
    <x v="1"/>
    <x v="1"/>
    <x v="0"/>
    <n v="62.74"/>
    <x v="42"/>
    <x v="0"/>
    <s v="No Support Contact"/>
    <s v="No"/>
    <s v="No Support Contact"/>
    <s v="Not Applicable"/>
    <m/>
    <s v="No drop-off"/>
    <n v="5"/>
    <n v="37"/>
    <n v="8"/>
    <x v="1"/>
    <n v="1"/>
    <n v="1"/>
    <n v="0"/>
    <n v="1"/>
  </r>
  <r>
    <x v="1283"/>
    <s v="USR-00075"/>
    <s v="SES-2505-82369"/>
    <x v="300"/>
    <s v="North West"/>
    <s v="Manchester"/>
    <x v="1"/>
    <x v="3"/>
    <x v="0"/>
    <s v="Android"/>
    <s v="Android Phone"/>
    <s v="&lt;3 months"/>
    <x v="0"/>
    <x v="7"/>
    <x v="2"/>
    <s v="Reactivated"/>
    <s v="Simplified Onboarding"/>
    <s v="Treatment"/>
    <s v="many"/>
    <n v="5"/>
    <n v="107"/>
    <s v="No"/>
    <x v="0"/>
    <x v="1"/>
    <x v="1"/>
    <x v="0"/>
    <n v="77.61"/>
    <x v="0"/>
    <x v="0"/>
    <s v="No Support Contact"/>
    <s v="No"/>
    <s v="No Support Contact"/>
    <s v="Not Applicable"/>
    <m/>
    <s v="No drop-off"/>
    <n v="5"/>
    <n v="78"/>
    <n v="14"/>
    <x v="1"/>
    <n v="1"/>
    <n v="1"/>
    <n v="0"/>
    <n v="1"/>
  </r>
  <r>
    <x v="1284"/>
    <s v="USR-00461"/>
    <s v="SES-2510-84135"/>
    <x v="54"/>
    <s v="South West"/>
    <s v="Bath"/>
    <x v="2"/>
    <x v="2"/>
    <x v="1"/>
    <s v="Android"/>
    <s v="Android Phone"/>
    <s v="2+ years"/>
    <x v="0"/>
    <x v="7"/>
    <x v="7"/>
    <s v="Repeat Use"/>
    <s v="Progress Indicator"/>
    <s v="Control"/>
    <n v="4"/>
    <n v="4"/>
    <n v="94"/>
    <s v="No"/>
    <x v="1"/>
    <x v="1"/>
    <x v="1"/>
    <x v="0"/>
    <n v="86.67"/>
    <x v="54"/>
    <x v="0"/>
    <s v="No Support Contact"/>
    <s v="No"/>
    <s v="No Support Contact"/>
    <s v="Not Applicable"/>
    <m/>
    <s v="No drop-off"/>
    <n v="3"/>
    <n v="21"/>
    <n v="63"/>
    <x v="1"/>
    <n v="0"/>
    <n v="1"/>
    <n v="0"/>
    <n v="1"/>
  </r>
  <r>
    <x v="1285"/>
    <s v="USR-00781"/>
    <s v="SES-2605-35483"/>
    <x v="358"/>
    <s v="North West"/>
    <s v="Chester"/>
    <x v="0"/>
    <x v="5"/>
    <x v="0"/>
    <s v="Ios"/>
    <s v="Iphone"/>
    <s v="3-6 months"/>
    <x v="2"/>
    <x v="1"/>
    <x v="0"/>
    <s v="Repeat Use"/>
    <s v="Fee Transparency Panel"/>
    <s v="Treatment"/>
    <n v="7"/>
    <n v="7"/>
    <n v="182"/>
    <s v="No"/>
    <x v="0"/>
    <x v="1"/>
    <x v="1"/>
    <x v="1"/>
    <n v="0"/>
    <x v="0"/>
    <x v="0"/>
    <s v="Account Verification"/>
    <s v="Yes"/>
    <s v="Account Verification"/>
    <s v="Unresolved"/>
    <n v="21"/>
    <s v="No drop-off"/>
    <n v="5"/>
    <n v="-17"/>
    <n v="12"/>
    <x v="0"/>
    <n v="1"/>
    <n v="0"/>
    <n v="0"/>
    <n v="0"/>
  </r>
  <r>
    <x v="1286"/>
    <s v="USR-00319"/>
    <s v="SES-2501-42880"/>
    <x v="11"/>
    <s v="South East"/>
    <s v="Reading"/>
    <x v="3"/>
    <x v="3"/>
    <x v="0"/>
    <s v="Android"/>
    <s v="Android Phone"/>
    <s v="2+ years"/>
    <x v="0"/>
    <x v="4"/>
    <x v="10"/>
    <s v="Repeat Use"/>
    <s v="Progress Indicator"/>
    <s v="Treatment"/>
    <n v="9"/>
    <n v="8"/>
    <n v="338"/>
    <s v="Yes"/>
    <x v="0"/>
    <x v="1"/>
    <x v="1"/>
    <x v="1"/>
    <n v="0"/>
    <x v="0"/>
    <x v="0"/>
    <s v="No Support Contact"/>
    <s v="No"/>
    <s v="No Support Contact"/>
    <s v="Not Applicable"/>
    <m/>
    <s v="No drop-off"/>
    <n v="2"/>
    <n v="-35"/>
    <n v="1"/>
    <x v="1"/>
    <n v="1"/>
    <n v="0"/>
    <n v="0"/>
    <n v="1"/>
  </r>
  <r>
    <x v="1287"/>
    <s v="USR-00082"/>
    <s v="SES-2509-86160"/>
    <x v="377"/>
    <s v="South West"/>
    <s v="Gloucester"/>
    <x v="1"/>
    <x v="2"/>
    <x v="1"/>
    <s v="Android"/>
    <s v="Android Phone"/>
    <s v="7-12 months"/>
    <x v="1"/>
    <x v="1"/>
    <x v="8"/>
    <s v="First Use"/>
    <s v="No Experiment"/>
    <s v="Control"/>
    <n v="5"/>
    <n v="4"/>
    <n v="179"/>
    <s v="Yes"/>
    <x v="0"/>
    <x v="1"/>
    <x v="1"/>
    <x v="0"/>
    <n v="47.77"/>
    <x v="0"/>
    <x v="1"/>
    <s v="No Support Contact"/>
    <s v="No"/>
    <s v="No Support Contact"/>
    <s v="Not Applicable"/>
    <m/>
    <s v="No drop-off"/>
    <n v="4"/>
    <n v="2"/>
    <n v="0"/>
    <x v="1"/>
    <n v="1"/>
    <n v="1"/>
    <n v="0"/>
    <n v="1"/>
  </r>
  <r>
    <x v="1288"/>
    <s v="USR-00021"/>
    <s v="SES-2511-59651"/>
    <x v="172"/>
    <s v="South East"/>
    <s v="Canterbury"/>
    <x v="1"/>
    <x v="0"/>
    <x v="0"/>
    <s v="Ios"/>
    <s v="Iphone"/>
    <s v="3-6 months"/>
    <x v="1"/>
    <x v="3"/>
    <x v="1"/>
    <s v="Trial/Exploration"/>
    <s v="Fee Transparency Panel"/>
    <s v="Treatment"/>
    <n v="4"/>
    <n v="4"/>
    <n v="184"/>
    <s v="No"/>
    <x v="0"/>
    <x v="0"/>
    <x v="3"/>
    <x v="1"/>
    <n v="0"/>
    <x v="0"/>
    <x v="0"/>
    <s v="No Support Contact"/>
    <s v="No"/>
    <s v="No Support Contact"/>
    <s v="Not Applicable"/>
    <m/>
    <s v="No drop-off"/>
    <n v="5"/>
    <n v="42"/>
    <n v="35"/>
    <x v="0"/>
    <n v="1"/>
    <n v="0"/>
    <n v="1"/>
    <n v="0"/>
  </r>
  <r>
    <x v="1289"/>
    <s v="USR-00128"/>
    <s v="SES-2505-18003"/>
    <x v="353"/>
    <s v="South East"/>
    <s v="Brighton"/>
    <x v="2"/>
    <x v="5"/>
    <x v="1"/>
    <s v="Android"/>
    <s v="Android Phone"/>
    <s v="1-2 years"/>
    <x v="0"/>
    <x v="0"/>
    <x v="4"/>
    <s v="Reactivated"/>
    <s v="No Experiment"/>
    <s v="Control"/>
    <n v="6"/>
    <s v="6 steps"/>
    <n v="150"/>
    <s v="No"/>
    <x v="0"/>
    <x v="1"/>
    <x v="1"/>
    <x v="0"/>
    <n v="6.69"/>
    <x v="0"/>
    <x v="0"/>
    <s v="No Support Contact"/>
    <s v="No"/>
    <s v="No Support Contact"/>
    <s v="Not Applicable"/>
    <m/>
    <s v="No drop-off"/>
    <n v="4"/>
    <n v="68"/>
    <n v="8"/>
    <x v="1"/>
    <n v="1"/>
    <n v="1"/>
    <n v="0"/>
    <n v="1"/>
  </r>
  <r>
    <x v="1290"/>
    <s v="USR-00592"/>
    <s v="SES-2604-95487"/>
    <x v="398"/>
    <s v="West Midlands"/>
    <s v="Birmingham"/>
    <x v="3"/>
    <x v="0"/>
    <x v="1"/>
    <s v="Android"/>
    <s v="Android Phone"/>
    <s v="3-6 months"/>
    <x v="0"/>
    <x v="4"/>
    <x v="7"/>
    <s v="Repeat Use"/>
    <s v="Contextual Help"/>
    <s v="Treatment"/>
    <n v="4"/>
    <n v="4"/>
    <n v="104"/>
    <s v="No"/>
    <x v="0"/>
    <x v="1"/>
    <x v="1"/>
    <x v="0"/>
    <n v="42.41"/>
    <x v="0"/>
    <x v="0"/>
    <s v="No Support Contact"/>
    <s v="No"/>
    <s v="No Support Contact"/>
    <s v="Not Applicable"/>
    <m/>
    <s v="No drop-off"/>
    <n v="5"/>
    <n v="55"/>
    <n v="68"/>
    <x v="0"/>
    <n v="1"/>
    <n v="1"/>
    <n v="0"/>
    <n v="0"/>
  </r>
  <r>
    <x v="1291"/>
    <s v="USR-00443"/>
    <s v="SES-2508-28886"/>
    <x v="74"/>
    <s v="South West"/>
    <s v="Gloucester"/>
    <x v="1"/>
    <x v="3"/>
    <x v="0"/>
    <s v="Android"/>
    <s v="Android Phone"/>
    <s v="3-6 months"/>
    <x v="1"/>
    <x v="4"/>
    <x v="1"/>
    <s v="First Use"/>
    <s v="No Experiment"/>
    <s v="Control"/>
    <n v="4"/>
    <n v="4"/>
    <n v="89"/>
    <s v="No"/>
    <x v="0"/>
    <x v="1"/>
    <x v="1"/>
    <x v="0"/>
    <n v="205.96"/>
    <x v="6"/>
    <x v="1"/>
    <s v="Feature Navigation"/>
    <s v="Yes"/>
    <s v="Feature Navigation"/>
    <s v="Resolved"/>
    <n v="26"/>
    <s v="No drop-off"/>
    <n v="3"/>
    <n v="16"/>
    <n v="0"/>
    <x v="1"/>
    <n v="1"/>
    <n v="1"/>
    <n v="0"/>
    <n v="1"/>
  </r>
  <r>
    <x v="1292"/>
    <s v="USR-00272"/>
    <s v="SES-2504-98447"/>
    <x v="1"/>
    <s v="North West"/>
    <s v="Chester"/>
    <x v="0"/>
    <x v="0"/>
    <x v="1"/>
    <s v="Ios"/>
    <s v="Iphone"/>
    <s v="&lt;3 months"/>
    <x v="0"/>
    <x v="4"/>
    <x v="10"/>
    <s v="Reactivated"/>
    <s v="Simplified Onboarding"/>
    <s v="Treatment"/>
    <n v="9"/>
    <n v="9"/>
    <n v="229"/>
    <s v="No"/>
    <x v="1"/>
    <x v="1"/>
    <x v="1"/>
    <x v="0"/>
    <n v="108.04"/>
    <x v="87"/>
    <x v="0"/>
    <s v="No Support Contact"/>
    <s v="No"/>
    <s v="No Support Contact"/>
    <s v="Not Applicable"/>
    <m/>
    <s v="Instructions unclear"/>
    <n v="3"/>
    <n v="24"/>
    <n v="10"/>
    <x v="0"/>
    <n v="0"/>
    <n v="1"/>
    <n v="0"/>
    <n v="0"/>
  </r>
  <r>
    <x v="1293"/>
    <s v="USR-00587"/>
    <s v="SES-2504-87230"/>
    <x v="1"/>
    <s v="South West"/>
    <s v="Plymouth"/>
    <x v="0"/>
    <x v="3"/>
    <x v="0"/>
    <s v="Ios"/>
    <s v="Iphone"/>
    <s v="&lt;3 months"/>
    <x v="0"/>
    <x v="1"/>
    <x v="0"/>
    <s v="Repeat Use"/>
    <s v="No Experiment"/>
    <s v="Control"/>
    <n v="7"/>
    <n v="7"/>
    <n v="194"/>
    <s v="No"/>
    <x v="0"/>
    <x v="1"/>
    <x v="1"/>
    <x v="1"/>
    <n v="0"/>
    <x v="0"/>
    <x v="0"/>
    <s v="No Support Contact"/>
    <s v="No"/>
    <s v="No Support Contact"/>
    <s v="Not Applicable"/>
    <m/>
    <s v="No drop-off"/>
    <n v="3"/>
    <n v="-34"/>
    <n v="26"/>
    <x v="1"/>
    <n v="1"/>
    <n v="0"/>
    <n v="0"/>
    <n v="1"/>
  </r>
  <r>
    <x v="1294"/>
    <s v="USR-00389"/>
    <s v="SES-2503-23945"/>
    <x v="154"/>
    <s v="South West"/>
    <s v="Bath"/>
    <x v="1"/>
    <x v="0"/>
    <x v="0"/>
    <s v="Ios"/>
    <s v="Iphone"/>
    <s v="1-2 years"/>
    <x v="0"/>
    <x v="0"/>
    <x v="1"/>
    <s v="First Use"/>
    <s v="No Experiment"/>
    <s v="Control"/>
    <s v="4 steps"/>
    <n v="3"/>
    <n v="162"/>
    <s v="Yes"/>
    <x v="1"/>
    <x v="1"/>
    <x v="1"/>
    <x v="0"/>
    <n v="120.75"/>
    <x v="7"/>
    <x v="0"/>
    <s v="No Support Contact"/>
    <s v="No"/>
    <s v="No Support Contact"/>
    <s v="Not Applicable"/>
    <m/>
    <s v="Too many steps"/>
    <n v="3"/>
    <n v="-18"/>
    <n v="0"/>
    <x v="0"/>
    <n v="0"/>
    <n v="1"/>
    <n v="0"/>
    <n v="0"/>
  </r>
  <r>
    <x v="1295"/>
    <s v="USR-00763"/>
    <s v="SES-2511-54116"/>
    <x v="24"/>
    <s v="East Midlands"/>
    <s v="Nottingham"/>
    <x v="3"/>
    <x v="3"/>
    <x v="1"/>
    <s v="Ios"/>
    <s v="Iphone"/>
    <s v="7-12 months"/>
    <x v="1"/>
    <x v="4"/>
    <x v="5"/>
    <s v="Repeat Use"/>
    <s v="No Experiment"/>
    <s v="Control"/>
    <n v="8"/>
    <n v="8"/>
    <n v="203"/>
    <s v="No"/>
    <x v="1"/>
    <x v="0"/>
    <x v="7"/>
    <x v="1"/>
    <n v="0"/>
    <x v="0"/>
    <x v="0"/>
    <s v="No Support Contact"/>
    <s v="No"/>
    <s v="No Support Contact"/>
    <s v="Not Applicable"/>
    <m/>
    <s v="No drop-off"/>
    <n v="4"/>
    <n v="-43"/>
    <n v="7"/>
    <x v="1"/>
    <n v="0"/>
    <n v="0"/>
    <n v="1"/>
    <n v="1"/>
  </r>
  <r>
    <x v="1296"/>
    <s v="USR-00524"/>
    <s v="SES-2502-47624"/>
    <x v="233"/>
    <s v="Northern Ireland"/>
    <s v="Lisburn"/>
    <x v="3"/>
    <x v="3"/>
    <x v="1"/>
    <s v="Ios"/>
    <s v="Iphone"/>
    <s v="&lt;3 months"/>
    <x v="2"/>
    <x v="1"/>
    <x v="0"/>
    <s v="Repeat Use"/>
    <s v="No Experiment"/>
    <s v="Control"/>
    <s v="7 steps"/>
    <n v="7"/>
    <n v="171"/>
    <s v="No"/>
    <x v="0"/>
    <x v="1"/>
    <x v="1"/>
    <x v="1"/>
    <n v="0"/>
    <x v="0"/>
    <x v="0"/>
    <s v="No Support Contact"/>
    <s v="No"/>
    <s v="No Support Contact"/>
    <s v="Not Applicable"/>
    <m/>
    <s v="No drop-off"/>
    <n v="4"/>
    <n v="-5"/>
    <n v="35"/>
    <x v="1"/>
    <n v="1"/>
    <n v="0"/>
    <n v="0"/>
    <n v="1"/>
  </r>
  <r>
    <x v="1297"/>
    <s v="USR-00715"/>
    <s v="SES-2502-71710"/>
    <x v="85"/>
    <s v="North West"/>
    <s v="Chester"/>
    <x v="3"/>
    <x v="4"/>
    <x v="0"/>
    <s v="Android"/>
    <s v="Android Phone"/>
    <s v="3-6 months"/>
    <x v="1"/>
    <x v="5"/>
    <x v="3"/>
    <s v="Repeat Use"/>
    <s v="No Experiment"/>
    <s v="Control"/>
    <n v="6"/>
    <n v="6"/>
    <n v="110"/>
    <s v="No"/>
    <x v="0"/>
    <x v="1"/>
    <x v="1"/>
    <x v="1"/>
    <n v="0"/>
    <x v="0"/>
    <x v="0"/>
    <s v="No Support Contact"/>
    <s v="No"/>
    <s v="No Support Contact"/>
    <s v="Not Applicable"/>
    <m/>
    <s v="No drop-off"/>
    <n v="5"/>
    <n v="-42"/>
    <n v="12"/>
    <x v="1"/>
    <n v="1"/>
    <n v="0"/>
    <n v="0"/>
    <n v="1"/>
  </r>
  <r>
    <x v="1298"/>
    <s v="USR-00291"/>
    <s v="SES-2503-14428"/>
    <x v="498"/>
    <s v="South West"/>
    <s v="Plymouth"/>
    <x v="2"/>
    <x v="0"/>
    <x v="0"/>
    <s v="Android"/>
    <s v="Android Phone"/>
    <s v="7-12 months"/>
    <x v="0"/>
    <x v="0"/>
    <x v="5"/>
    <s v="Repeat Use"/>
    <s v="Simplified Onboarding"/>
    <s v="Control"/>
    <n v="8"/>
    <s v="N/A"/>
    <n v="309"/>
    <s v="No"/>
    <x v="1"/>
    <x v="0"/>
    <x v="10"/>
    <x v="1"/>
    <n v="0"/>
    <x v="0"/>
    <x v="0"/>
    <s v="No Support Contact"/>
    <s v="No"/>
    <s v="No Support Contact"/>
    <s v="Not Applicable"/>
    <m/>
    <s v="Technical error"/>
    <n v="2"/>
    <n v="-19"/>
    <n v="34"/>
    <x v="0"/>
    <n v="0"/>
    <n v="0"/>
    <n v="1"/>
    <n v="0"/>
  </r>
  <r>
    <x v="1299"/>
    <s v="USR-00164"/>
    <s v="SES-2508-15844"/>
    <x v="297"/>
    <s v="Yorkshire &amp; Humber"/>
    <s v="Sheffield"/>
    <x v="0"/>
    <x v="1"/>
    <x v="1"/>
    <s v="Web"/>
    <s v="Desktop"/>
    <s v="2+ years"/>
    <x v="0"/>
    <x v="1"/>
    <x v="10"/>
    <s v="Repeat Use"/>
    <s v="No Experiment"/>
    <s v="Control"/>
    <n v="9"/>
    <n v="5"/>
    <n v="417"/>
    <s v="Yes"/>
    <x v="0"/>
    <x v="0"/>
    <x v="9"/>
    <x v="1"/>
    <n v="0"/>
    <x v="0"/>
    <x v="0"/>
    <s v="No Support Contact"/>
    <s v="No"/>
    <s v="No Support Contact"/>
    <s v="Not Applicable"/>
    <m/>
    <s v="No drop-off"/>
    <n v="3"/>
    <n v="-69"/>
    <n v="25"/>
    <x v="0"/>
    <n v="1"/>
    <n v="0"/>
    <n v="1"/>
    <n v="0"/>
  </r>
  <r>
    <x v="1300"/>
    <s v="USR-00698"/>
    <s v="SES-2601-20970"/>
    <x v="258"/>
    <s v="London"/>
    <s v="Hackney"/>
    <x v="3"/>
    <x v="1"/>
    <x v="0"/>
    <s v="Ios"/>
    <s v="Iphone"/>
    <s v="2+ years"/>
    <x v="1"/>
    <x v="5"/>
    <x v="5"/>
    <s v="First Use"/>
    <s v="Simplified Onboarding"/>
    <s v="Treatment"/>
    <n v="8"/>
    <n v="5"/>
    <n v="235"/>
    <s v="Yes"/>
    <x v="1"/>
    <x v="1"/>
    <x v="1"/>
    <x v="1"/>
    <n v="0"/>
    <x v="0"/>
    <x v="0"/>
    <s v="No Support Contact"/>
    <s v="No"/>
    <s v="No Support Contact"/>
    <s v="Not Applicable"/>
    <m/>
    <s v="Instructions unclear"/>
    <n v="1"/>
    <n v="-19"/>
    <s v="0 days"/>
    <x v="0"/>
    <n v="0"/>
    <n v="0"/>
    <n v="0"/>
    <n v="0"/>
  </r>
  <r>
    <x v="1301"/>
    <s v="USR-00654"/>
    <s v="SES-2508-70981"/>
    <x v="499"/>
    <s v="London"/>
    <s v="Camden"/>
    <x v="5"/>
    <x v="1"/>
    <x v="1"/>
    <s v="Ios"/>
    <s v="Iphone"/>
    <s v="3-6 months"/>
    <x v="0"/>
    <x v="0"/>
    <x v="8"/>
    <s v="Repeat Use"/>
    <s v="Fee Transparency Panel"/>
    <s v="Treatment"/>
    <n v="5"/>
    <n v="5"/>
    <n v="113"/>
    <s v="No"/>
    <x v="0"/>
    <x v="1"/>
    <x v="1"/>
    <x v="0"/>
    <n v="0"/>
    <x v="0"/>
    <x v="0"/>
    <s v="No Support Contact"/>
    <s v="No"/>
    <s v="No Support Contact"/>
    <s v="Not Applicable"/>
    <m/>
    <s v="No drop-off"/>
    <n v="4"/>
    <n v="52"/>
    <n v="18"/>
    <x v="1"/>
    <n v="1"/>
    <n v="1"/>
    <n v="0"/>
    <n v="1"/>
  </r>
  <r>
    <x v="1302"/>
    <s v="USR-00148"/>
    <s v="SES-2510-92289"/>
    <x v="28"/>
    <s v="East England"/>
    <s v="Cambridge"/>
    <x v="0"/>
    <x v="0"/>
    <x v="1"/>
    <s v="Android"/>
    <s v="Android Phone"/>
    <s v="7-12 months"/>
    <x v="2"/>
    <x v="1"/>
    <x v="2"/>
    <s v="Repeat Use"/>
    <s v="Progress Indicator"/>
    <s v="Control"/>
    <n v="5"/>
    <n v="5"/>
    <n v="162"/>
    <s v="No"/>
    <x v="1"/>
    <x v="0"/>
    <x v="19"/>
    <x v="1"/>
    <n v="0"/>
    <x v="0"/>
    <x v="0"/>
    <s v="Account Verification"/>
    <s v="Yes"/>
    <s v="Account Verification"/>
    <s v="Unresolved"/>
    <n v="24"/>
    <s v="No drop-off"/>
    <n v="2"/>
    <n v="39"/>
    <n v="25"/>
    <x v="0"/>
    <n v="0"/>
    <n v="0"/>
    <n v="1"/>
    <n v="0"/>
  </r>
  <r>
    <x v="1303"/>
    <s v="USR-00070"/>
    <s v="SES-2603-75099"/>
    <x v="392"/>
    <s v="North East"/>
    <s v="Sunderland"/>
    <x v="0"/>
    <x v="5"/>
    <x v="0"/>
    <s v="Web"/>
    <s v="Tablet Browser"/>
    <s v="&lt;3 months"/>
    <x v="0"/>
    <x v="0"/>
    <x v="7"/>
    <s v="First Use"/>
    <s v="No Experiment"/>
    <s v="Control"/>
    <n v="4"/>
    <n v="4"/>
    <n v="126"/>
    <s v="No"/>
    <x v="0"/>
    <x v="1"/>
    <x v="1"/>
    <x v="0"/>
    <n v="99.81"/>
    <x v="41"/>
    <x v="0"/>
    <s v="Transaction Failure"/>
    <s v="Yes"/>
    <s v="Transaction Failure"/>
    <s v="Unresolved"/>
    <n v="40"/>
    <s v="No drop-off"/>
    <n v="4"/>
    <n v="29"/>
    <n v="0"/>
    <x v="1"/>
    <n v="1"/>
    <n v="1"/>
    <n v="0"/>
    <n v="1"/>
  </r>
  <r>
    <x v="1304"/>
    <s v="USR-00329"/>
    <s v="SES-2502-84827"/>
    <x v="487"/>
    <s v="East England"/>
    <s v="Ipswich"/>
    <x v="5"/>
    <x v="1"/>
    <x v="1"/>
    <s v="Web"/>
    <s v="Desktop"/>
    <s v="2+ years"/>
    <x v="0"/>
    <x v="4"/>
    <x v="1"/>
    <s v="Repeat Use"/>
    <s v="Progress Indicator"/>
    <s v="Treatment"/>
    <n v="4"/>
    <n v="4"/>
    <n v="106"/>
    <s v="No"/>
    <x v="0"/>
    <x v="1"/>
    <x v="1"/>
    <x v="0"/>
    <n v="173.97"/>
    <x v="6"/>
    <x v="0"/>
    <s v="No Support Contact"/>
    <s v="No"/>
    <s v="No Support Contact"/>
    <s v="Not Applicable"/>
    <m/>
    <s v="No drop-off"/>
    <n v="5"/>
    <n v="94"/>
    <n v="33"/>
    <x v="1"/>
    <n v="1"/>
    <n v="1"/>
    <n v="0"/>
    <n v="1"/>
  </r>
  <r>
    <x v="1305"/>
    <s v="USR-00277"/>
    <s v="SES-2506-75008"/>
    <x v="134"/>
    <s v="South East"/>
    <s v="Brighton"/>
    <x v="5"/>
    <x v="1"/>
    <x v="1"/>
    <s v="Android"/>
    <s v="Android Phone"/>
    <s v="2+ years"/>
    <x v="1"/>
    <x v="1"/>
    <x v="9"/>
    <s v="Repeat Use"/>
    <s v="No Experiment"/>
    <s v="Control"/>
    <s v="5 steps"/>
    <n v="5"/>
    <n v="144"/>
    <s v="No"/>
    <x v="0"/>
    <x v="1"/>
    <x v="1"/>
    <x v="0"/>
    <n v="58.65"/>
    <x v="0"/>
    <x v="1"/>
    <s v="No Support Contact"/>
    <s v="No"/>
    <s v="No Support Contact"/>
    <s v="Not Applicable"/>
    <m/>
    <s v="No drop-off"/>
    <n v="5"/>
    <n v="13"/>
    <n v="20"/>
    <x v="0"/>
    <n v="1"/>
    <n v="1"/>
    <n v="0"/>
    <n v="0"/>
  </r>
  <r>
    <x v="1306"/>
    <s v="USR-00434"/>
    <s v="SES-2502-44435"/>
    <x v="84"/>
    <s v="West Midlands"/>
    <s v="Coventry"/>
    <x v="1"/>
    <x v="0"/>
    <x v="1"/>
    <s v="Android"/>
    <s v="Android Phone"/>
    <s v="1-2 years"/>
    <x v="0"/>
    <x v="7"/>
    <x v="0"/>
    <s v="First Use"/>
    <s v="No Experiment"/>
    <s v="Control"/>
    <n v="7"/>
    <n v="7"/>
    <n v="200"/>
    <s v="No"/>
    <x v="0"/>
    <x v="0"/>
    <x v="18"/>
    <x v="1"/>
    <n v="0"/>
    <x v="0"/>
    <x v="0"/>
    <s v="No Support Contact"/>
    <s v="No"/>
    <s v="No Support Contact"/>
    <s v="Not Applicable"/>
    <m/>
    <s v="No drop-off"/>
    <n v="2"/>
    <n v="3"/>
    <s v="0 days"/>
    <x v="1"/>
    <n v="1"/>
    <n v="0"/>
    <n v="1"/>
    <n v="1"/>
  </r>
  <r>
    <x v="1307"/>
    <s v="USR-00061"/>
    <s v="SES-2505-23963"/>
    <x v="88"/>
    <s v="West Midlands"/>
    <s v="Coventry"/>
    <x v="4"/>
    <x v="3"/>
    <x v="0"/>
    <s v="Android"/>
    <s v="Android Phone"/>
    <s v="3-6 months"/>
    <x v="0"/>
    <x v="0"/>
    <x v="6"/>
    <s v="Trial/Exploration"/>
    <s v="Simplified Onboarding"/>
    <s v="Treatment"/>
    <n v="8"/>
    <n v="6"/>
    <n v="250"/>
    <s v="Yes"/>
    <x v="1"/>
    <x v="1"/>
    <x v="1"/>
    <x v="1"/>
    <n v="0"/>
    <x v="0"/>
    <x v="0"/>
    <s v="No Support Contact"/>
    <s v="No"/>
    <s v="No Support Contact"/>
    <s v="Not Applicable"/>
    <m/>
    <s v="Instructions unclear"/>
    <n v="3"/>
    <n v="1"/>
    <n v="21"/>
    <x v="0"/>
    <n v="0"/>
    <n v="0"/>
    <n v="0"/>
    <n v="0"/>
  </r>
  <r>
    <x v="1308"/>
    <s v="USR-00567"/>
    <s v="SES-2510-72720"/>
    <x v="55"/>
    <s v="Scotland"/>
    <s v="Edinburgh"/>
    <x v="5"/>
    <x v="4"/>
    <x v="0"/>
    <s v="Android"/>
    <s v="Android Phone"/>
    <s v="&lt;3 months"/>
    <x v="0"/>
    <x v="4"/>
    <x v="5"/>
    <s v="Repeat Use"/>
    <s v="No Experiment"/>
    <s v="Control"/>
    <n v="8"/>
    <n v="8"/>
    <n v="183"/>
    <s v="No"/>
    <x v="0"/>
    <x v="1"/>
    <x v="1"/>
    <x v="1"/>
    <n v="0"/>
    <x v="0"/>
    <x v="0"/>
    <s v="No Support Contact"/>
    <s v="No"/>
    <s v="No Support Contact"/>
    <s v="Not Applicable"/>
    <m/>
    <s v="No drop-off"/>
    <n v="4"/>
    <n v="9"/>
    <n v="14"/>
    <x v="1"/>
    <n v="1"/>
    <n v="0"/>
    <n v="0"/>
    <n v="1"/>
  </r>
  <r>
    <x v="1309"/>
    <s v="USR-00714"/>
    <s v="SES-2504-39601"/>
    <x v="182"/>
    <s v="West Midlands"/>
    <s v="Wolverhampton"/>
    <x v="3"/>
    <x v="2"/>
    <x v="0"/>
    <s v="Ios"/>
    <s v="Iphone"/>
    <s v="7-12 months"/>
    <x v="0"/>
    <x v="8"/>
    <x v="9"/>
    <s v="Repeat Use"/>
    <s v="New Cta Copy"/>
    <s v="Treatment"/>
    <n v="5"/>
    <n v="5"/>
    <n v="118"/>
    <s v="No"/>
    <x v="1"/>
    <x v="1"/>
    <x v="1"/>
    <x v="0"/>
    <n v="134.71"/>
    <x v="0"/>
    <x v="0"/>
    <s v="No Support Contact"/>
    <s v="No"/>
    <s v="No Support Contact"/>
    <s v="Not Applicable"/>
    <m/>
    <s v="Too many steps"/>
    <n v="4"/>
    <n v="54"/>
    <n v="45"/>
    <x v="0"/>
    <n v="0"/>
    <n v="1"/>
    <n v="0"/>
    <n v="0"/>
  </r>
  <r>
    <x v="1310"/>
    <s v="USR-00854"/>
    <s v="SES-2503-88583"/>
    <x v="10"/>
    <s v="North West"/>
    <s v="Manchester"/>
    <x v="5"/>
    <x v="3"/>
    <x v="0"/>
    <s v="Android"/>
    <s v="Android Phone"/>
    <s v="7-12 months"/>
    <x v="3"/>
    <x v="4"/>
    <x v="1"/>
    <s v="Repeat Use"/>
    <s v="Simplified Onboarding"/>
    <s v="Treatment"/>
    <n v="4"/>
    <n v="4"/>
    <n v="147"/>
    <s v="No"/>
    <x v="0"/>
    <x v="0"/>
    <x v="12"/>
    <x v="1"/>
    <n v="0"/>
    <x v="0"/>
    <x v="0"/>
    <s v="No Support Contact"/>
    <s v="No"/>
    <s v="No Support Contact"/>
    <s v="Not Applicable"/>
    <m/>
    <s v="No drop-off"/>
    <n v="5"/>
    <n v="11"/>
    <s v="1 days"/>
    <x v="0"/>
    <n v="1"/>
    <n v="0"/>
    <n v="1"/>
    <n v="0"/>
  </r>
  <r>
    <x v="1311"/>
    <s v="USR-00839"/>
    <s v="SES-2606-24734"/>
    <x v="500"/>
    <s v="South West"/>
    <s v="Gloucester"/>
    <x v="3"/>
    <x v="2"/>
    <x v="1"/>
    <s v="Android"/>
    <s v="Android Phone"/>
    <s v="7-12 months"/>
    <x v="1"/>
    <x v="6"/>
    <x v="4"/>
    <s v="Repeat Use"/>
    <s v="No Experiment"/>
    <s v="Control"/>
    <n v="6"/>
    <n v="3"/>
    <n v="0"/>
    <s v="Yes"/>
    <x v="1"/>
    <x v="1"/>
    <x v="1"/>
    <x v="1"/>
    <n v="0"/>
    <x v="0"/>
    <x v="0"/>
    <s v="Account Verification"/>
    <s v="Yes"/>
    <s v="Account Verification"/>
    <s v="Unresolved"/>
    <n v="22"/>
    <s v="Instructions unclear"/>
    <n v="3"/>
    <n v="-35"/>
    <n v="49"/>
    <x v="0"/>
    <n v="0"/>
    <n v="0"/>
    <n v="0"/>
    <n v="0"/>
  </r>
  <r>
    <x v="1312"/>
    <s v="USR-00631"/>
    <s v="SES-2506-19565"/>
    <x v="361"/>
    <s v="North East"/>
    <s v="Durham"/>
    <x v="1"/>
    <x v="4"/>
    <x v="0"/>
    <s v="Android"/>
    <s v="Android Phone"/>
    <s v="1-2 years"/>
    <x v="0"/>
    <x v="1"/>
    <x v="10"/>
    <s v="Repeat Use"/>
    <s v="Simplified Onboarding"/>
    <s v="Treatment"/>
    <n v="9"/>
    <n v="9"/>
    <n v="192"/>
    <s v="No"/>
    <x v="0"/>
    <x v="1"/>
    <x v="1"/>
    <x v="0"/>
    <n v="222.81"/>
    <x v="44"/>
    <x v="0"/>
    <s v="No Support Contact"/>
    <s v="No"/>
    <s v="No Support Contact"/>
    <s v="Not Applicable"/>
    <m/>
    <s v="No drop-off"/>
    <n v="5"/>
    <n v="24"/>
    <n v="28"/>
    <x v="1"/>
    <n v="1"/>
    <n v="1"/>
    <n v="0"/>
    <n v="1"/>
  </r>
  <r>
    <x v="1313"/>
    <s v="USR-00545"/>
    <s v="SES-2504-45782"/>
    <x v="117"/>
    <s v="East Midlands"/>
    <s v="Lincoln"/>
    <x v="5"/>
    <x v="0"/>
    <x v="1"/>
    <s v="Ios"/>
    <s v="Iphone"/>
    <s v="2+ years"/>
    <x v="0"/>
    <x v="1"/>
    <x v="5"/>
    <s v="Repeat Use"/>
    <s v="New Cta Copy"/>
    <s v="Control"/>
    <n v="8"/>
    <n v="4"/>
    <n v="338"/>
    <s v="Yes"/>
    <x v="1"/>
    <x v="1"/>
    <x v="1"/>
    <x v="0"/>
    <n v="355.45"/>
    <x v="55"/>
    <x v="0"/>
    <s v="No Support Contact"/>
    <s v="No"/>
    <s v="No Support Contact"/>
    <s v="Not Applicable"/>
    <m/>
    <s v="Too many steps"/>
    <n v="2"/>
    <n v="-9"/>
    <n v="33"/>
    <x v="1"/>
    <n v="0"/>
    <n v="1"/>
    <n v="0"/>
    <n v="1"/>
  </r>
  <r>
    <x v="1314"/>
    <s v="USR-00603"/>
    <s v="SES-2506-42600"/>
    <x v="471"/>
    <s v="West Midlands"/>
    <s v="Wolverhampton"/>
    <x v="7"/>
    <x v="1"/>
    <x v="1"/>
    <s v="Android"/>
    <s v="Android Phone"/>
    <s v="2+ years"/>
    <x v="1"/>
    <x v="7"/>
    <x v="2"/>
    <s v="First Use"/>
    <s v="Progress Indicator"/>
    <s v="Treatment"/>
    <n v="5"/>
    <n v="5"/>
    <n v="189"/>
    <s v="No"/>
    <x v="0"/>
    <x v="0"/>
    <x v="19"/>
    <x v="1"/>
    <n v="0"/>
    <x v="0"/>
    <x v="0"/>
    <s v="Fees And Pricing"/>
    <s v="Yes"/>
    <s v="Fees And Pricing"/>
    <s v="Resolved"/>
    <n v="17"/>
    <s v="No drop-off"/>
    <n v="5"/>
    <n v="4"/>
    <n v="0"/>
    <x v="0"/>
    <n v="1"/>
    <n v="0"/>
    <n v="1"/>
    <n v="0"/>
  </r>
  <r>
    <x v="1315"/>
    <s v="USR-00748"/>
    <s v="SES-2509-42799"/>
    <x v="201"/>
    <s v="London"/>
    <s v="Croydon"/>
    <x v="2"/>
    <x v="2"/>
    <x v="0"/>
    <s v="Android"/>
    <s v="Android Phone"/>
    <s v="7-12 months"/>
    <x v="0"/>
    <x v="0"/>
    <x v="1"/>
    <s v="Repeat Use"/>
    <s v="No Experiment"/>
    <s v="Control"/>
    <n v="4"/>
    <n v="4"/>
    <n v="123"/>
    <s v="No"/>
    <x v="0"/>
    <x v="0"/>
    <x v="12"/>
    <x v="0"/>
    <n v="198.41"/>
    <x v="4"/>
    <x v="0"/>
    <s v="No Support Contact"/>
    <s v="No"/>
    <s v="No Support Contact"/>
    <s v="Not Applicable"/>
    <m/>
    <s v="No drop-off"/>
    <n v="4"/>
    <n v="-20"/>
    <n v="10"/>
    <x v="1"/>
    <n v="1"/>
    <n v="1"/>
    <n v="1"/>
    <n v="1"/>
  </r>
  <r>
    <x v="1316"/>
    <s v="USR-00265"/>
    <s v="SES-2606-57265"/>
    <x v="485"/>
    <s v="North West"/>
    <s v="Manchester"/>
    <x v="2"/>
    <x v="1"/>
    <x v="0"/>
    <s v="Android"/>
    <s v="Android Phone"/>
    <s v="&lt;3 months"/>
    <x v="0"/>
    <x v="3"/>
    <x v="1"/>
    <s v="Repeat Use"/>
    <s v="No Experiment"/>
    <s v="Control"/>
    <n v="4"/>
    <n v="2"/>
    <n v="177"/>
    <s v="Yes"/>
    <x v="0"/>
    <x v="1"/>
    <x v="1"/>
    <x v="0"/>
    <n v="77.27"/>
    <x v="1"/>
    <x v="0"/>
    <s v="No Support Contact"/>
    <s v="No"/>
    <s v="No Support Contact"/>
    <s v="Not Applicable"/>
    <m/>
    <s v="No drop-off"/>
    <n v="3"/>
    <n v="8"/>
    <s v="15 days"/>
    <x v="1"/>
    <n v="1"/>
    <n v="1"/>
    <n v="0"/>
    <n v="1"/>
  </r>
  <r>
    <x v="1317"/>
    <s v="USR-00289"/>
    <s v="SES-2510-22426"/>
    <x v="501"/>
    <s v="East Midlands"/>
    <s v="Leicester"/>
    <x v="0"/>
    <x v="0"/>
    <x v="0"/>
    <s v="Ios"/>
    <s v="Iphone"/>
    <s v="&lt;3 months"/>
    <x v="0"/>
    <x v="2"/>
    <x v="1"/>
    <s v="First Use"/>
    <s v="Simplified Onboarding"/>
    <s v="Control"/>
    <n v="4"/>
    <n v="4"/>
    <n v="122"/>
    <s v="No"/>
    <x v="1"/>
    <x v="1"/>
    <x v="1"/>
    <x v="1"/>
    <n v="0"/>
    <x v="0"/>
    <x v="0"/>
    <s v="No Support Contact"/>
    <s v="No"/>
    <s v="No Support Contact"/>
    <s v="Not Applicable"/>
    <m/>
    <s v="No drop-off"/>
    <n v="4"/>
    <n v="27"/>
    <n v="0"/>
    <x v="1"/>
    <n v="0"/>
    <n v="0"/>
    <n v="0"/>
    <n v="1"/>
  </r>
  <r>
    <x v="1318"/>
    <s v="USR-00857"/>
    <s v="SES-2603-47198"/>
    <x v="502"/>
    <s v="Yorkshire &amp; Humber"/>
    <s v="York"/>
    <x v="4"/>
    <x v="2"/>
    <x v="0"/>
    <s v="Web"/>
    <s v="Desktop"/>
    <s v="1-2 years"/>
    <x v="0"/>
    <x v="4"/>
    <x v="7"/>
    <s v="First Use"/>
    <s v="No Experiment"/>
    <s v="Control"/>
    <n v="4"/>
    <n v="4"/>
    <n v="121"/>
    <s v="No"/>
    <x v="1"/>
    <x v="1"/>
    <x v="1"/>
    <x v="1"/>
    <n v="0"/>
    <x v="0"/>
    <x v="0"/>
    <s v="No Support Contact"/>
    <s v="No"/>
    <s v="No Support Contact"/>
    <s v="Not Applicable"/>
    <m/>
    <s v="Instructions unclear"/>
    <n v="4"/>
    <n v="54"/>
    <n v="0"/>
    <x v="1"/>
    <n v="0"/>
    <n v="0"/>
    <n v="0"/>
    <n v="1"/>
  </r>
  <r>
    <x v="1319"/>
    <s v="usr-00579"/>
    <s v="SES-2605-84849"/>
    <x v="255"/>
    <s v="South West"/>
    <s v="Exeter"/>
    <x v="4"/>
    <x v="4"/>
    <x v="0"/>
    <s v="Web"/>
    <s v="Mobile Browser"/>
    <s v="7-12 months"/>
    <x v="0"/>
    <x v="0"/>
    <x v="2"/>
    <s v="Trial/Exploration"/>
    <s v="New Cta Copy"/>
    <s v="Control"/>
    <n v="5"/>
    <n v="5"/>
    <n v="180"/>
    <s v="No"/>
    <x v="1"/>
    <x v="0"/>
    <x v="19"/>
    <x v="0"/>
    <n v="21.3"/>
    <x v="0"/>
    <x v="0"/>
    <s v="No Support Contact"/>
    <s v="No"/>
    <s v="No Support Contact"/>
    <s v="Not Applicable"/>
    <m/>
    <s v="Technical error"/>
    <n v="4"/>
    <n v="7"/>
    <n v="1"/>
    <x v="1"/>
    <n v="0"/>
    <n v="1"/>
    <n v="1"/>
    <n v="1"/>
  </r>
  <r>
    <x v="1320"/>
    <s v="USR-00077"/>
    <s v="SES-2510-47597"/>
    <x v="150"/>
    <s v="Yorkshire &amp; Humber"/>
    <s v="Hull"/>
    <x v="1"/>
    <x v="4"/>
    <x v="0"/>
    <s v="Web"/>
    <s v="Desktop"/>
    <s v="3-6 months"/>
    <x v="0"/>
    <x v="3"/>
    <x v="4"/>
    <s v="Repeat Use"/>
    <s v="Fee Transparency Panel"/>
    <s v="Treatment"/>
    <s v="6 steps"/>
    <s v="4 steps"/>
    <n v="239"/>
    <s v="Yes"/>
    <x v="1"/>
    <x v="1"/>
    <x v="1"/>
    <x v="0"/>
    <n v="7.91"/>
    <x v="0"/>
    <x v="0"/>
    <s v="No Support Contact"/>
    <s v="No"/>
    <s v="No Support Contact"/>
    <s v="Not Applicable"/>
    <m/>
    <s v="Too many steps"/>
    <n v="3"/>
    <n v="0"/>
    <n v="36"/>
    <x v="0"/>
    <n v="0"/>
    <n v="1"/>
    <n v="0"/>
    <n v="0"/>
  </r>
  <r>
    <x v="1321"/>
    <s v="USR-00013"/>
    <s v="SES-2504-80903"/>
    <x v="306"/>
    <s v="East England"/>
    <s v="Cambridge"/>
    <x v="0"/>
    <x v="2"/>
    <x v="0"/>
    <s v="Ios"/>
    <s v="Iphone"/>
    <s v="3-6 months"/>
    <x v="3"/>
    <x v="0"/>
    <x v="2"/>
    <s v="First Use"/>
    <s v="New Cta Copy"/>
    <s v="Treatment"/>
    <n v="5"/>
    <s v="5 steps"/>
    <n v="209"/>
    <s v="No"/>
    <x v="1"/>
    <x v="0"/>
    <x v="21"/>
    <x v="1"/>
    <n v="0"/>
    <x v="0"/>
    <x v="0"/>
    <s v="No Support Contact"/>
    <s v="No"/>
    <s v="No Support Contact"/>
    <s v="Not Applicable"/>
    <m/>
    <s v="Technical error"/>
    <n v="2"/>
    <n v="4"/>
    <n v="0"/>
    <x v="1"/>
    <n v="0"/>
    <n v="0"/>
    <n v="1"/>
    <n v="1"/>
  </r>
  <r>
    <x v="1322"/>
    <s v="USR-00099"/>
    <s v="SES-2501-67468"/>
    <x v="219"/>
    <s v="East Midlands"/>
    <s v="Lincoln"/>
    <x v="4"/>
    <x v="1"/>
    <x v="1"/>
    <s v="Web"/>
    <s v="Mobile Browser"/>
    <s v="3-6 months"/>
    <x v="0"/>
    <x v="4"/>
    <x v="3"/>
    <s v="Repeat Use"/>
    <s v="No Experiment"/>
    <s v="Control"/>
    <n v="6"/>
    <n v="6"/>
    <n v="180"/>
    <s v="No"/>
    <x v="0"/>
    <x v="1"/>
    <x v="1"/>
    <x v="0"/>
    <n v="33.69"/>
    <x v="2"/>
    <x v="0"/>
    <s v="No Support Contact"/>
    <s v="No"/>
    <s v="No Support Contact"/>
    <s v="Not Applicable"/>
    <m/>
    <s v="No drop-off"/>
    <n v="3"/>
    <n v="13"/>
    <n v="33"/>
    <x v="1"/>
    <n v="1"/>
    <n v="1"/>
    <n v="0"/>
    <n v="1"/>
  </r>
  <r>
    <x v="1323"/>
    <s v="USR-00554"/>
    <s v="SES-2508-16710"/>
    <x v="424"/>
    <s v="South East"/>
    <s v="Guildford"/>
    <x v="3"/>
    <x v="3"/>
    <x v="0"/>
    <s v="Ios"/>
    <s v="Iphone"/>
    <s v="2+ years"/>
    <x v="0"/>
    <x v="1"/>
    <x v="0"/>
    <s v="Repeat Use"/>
    <s v="No Experiment"/>
    <s v="Control"/>
    <n v="7"/>
    <n v="7"/>
    <n v="162"/>
    <s v="No"/>
    <x v="0"/>
    <x v="1"/>
    <x v="1"/>
    <x v="0"/>
    <n v="9.39"/>
    <x v="0"/>
    <x v="0"/>
    <s v="No Support Contact"/>
    <s v="No"/>
    <s v="No Support Contact"/>
    <s v="Not Applicable"/>
    <m/>
    <s v="No drop-off"/>
    <n v="4"/>
    <n v="35"/>
    <n v="7"/>
    <x v="0"/>
    <n v="1"/>
    <n v="1"/>
    <n v="0"/>
    <n v="0"/>
  </r>
  <r>
    <x v="1324"/>
    <s v="USR-00665"/>
    <s v="SES-2503-54801"/>
    <x v="498"/>
    <s v="Wales"/>
    <s v="Newport"/>
    <x v="3"/>
    <x v="0"/>
    <x v="1"/>
    <s v="Ios"/>
    <s v="Iphone"/>
    <s v="3-6 months"/>
    <x v="0"/>
    <x v="0"/>
    <x v="1"/>
    <s v="First Use"/>
    <s v="Fee Transparency Panel"/>
    <s v="Treatment"/>
    <n v="4"/>
    <n v="4"/>
    <n v="112"/>
    <s v="No"/>
    <x v="0"/>
    <x v="1"/>
    <x v="1"/>
    <x v="0"/>
    <n v="175.52"/>
    <x v="6"/>
    <x v="0"/>
    <s v="No Support Contact"/>
    <s v="No"/>
    <s v="No Support Contact"/>
    <s v="Not Applicable"/>
    <m/>
    <s v="No drop-off"/>
    <n v="4"/>
    <n v="63"/>
    <n v="0"/>
    <x v="1"/>
    <n v="1"/>
    <n v="1"/>
    <n v="0"/>
    <n v="1"/>
  </r>
  <r>
    <x v="1325"/>
    <s v="USR-00644"/>
    <s v="SES-2504-95900"/>
    <x v="444"/>
    <s v="Wales"/>
    <s v="Newport"/>
    <x v="6"/>
    <x v="0"/>
    <x v="1"/>
    <s v="Ios"/>
    <s v="Iphone"/>
    <s v="2+ years"/>
    <x v="0"/>
    <x v="5"/>
    <x v="0"/>
    <s v="Repeat Use"/>
    <s v="Progress Indicator"/>
    <s v="Control"/>
    <n v="7"/>
    <n v="4"/>
    <n v="303"/>
    <s v="Yes"/>
    <x v="1"/>
    <x v="1"/>
    <x v="1"/>
    <x v="0"/>
    <n v="28.4"/>
    <x v="0"/>
    <x v="0"/>
    <s v="No Support Contact"/>
    <s v="No"/>
    <s v="No Support Contact"/>
    <s v="Not Applicable"/>
    <m/>
    <s v="Too many steps"/>
    <n v="2"/>
    <n v="-22"/>
    <n v="37"/>
    <x v="0"/>
    <n v="0"/>
    <n v="1"/>
    <n v="0"/>
    <n v="0"/>
  </r>
  <r>
    <x v="1326"/>
    <s v="USR-00445"/>
    <s v="SES-2508-27670"/>
    <x v="503"/>
    <s v="South West"/>
    <s v="Bristol"/>
    <x v="2"/>
    <x v="0"/>
    <x v="0"/>
    <s v="Ios"/>
    <s v="Iphone"/>
    <s v="7-12 months"/>
    <x v="0"/>
    <x v="1"/>
    <x v="9"/>
    <s v="Repeat Use"/>
    <s v="Simplified Onboarding"/>
    <s v="Treatment"/>
    <n v="5"/>
    <n v="5"/>
    <n v="135"/>
    <s v="No"/>
    <x v="0"/>
    <x v="1"/>
    <x v="1"/>
    <x v="1"/>
    <n v="0"/>
    <x v="0"/>
    <x v="0"/>
    <s v="No Support Contact"/>
    <s v="No"/>
    <s v="No Support Contact"/>
    <s v="Not Applicable"/>
    <m/>
    <s v="No drop-off"/>
    <n v="5"/>
    <n v="43"/>
    <n v="22"/>
    <x v="1"/>
    <n v="1"/>
    <n v="0"/>
    <n v="0"/>
    <n v="1"/>
  </r>
  <r>
    <x v="1327"/>
    <s v="USR-00842"/>
    <s v="SES-2601-12261"/>
    <x v="310"/>
    <s v="Scotland"/>
    <s v="Glasgow"/>
    <x v="3"/>
    <x v="2"/>
    <x v="1"/>
    <s v="Android"/>
    <s v="Android Phone"/>
    <s v="&lt;3 months"/>
    <x v="0"/>
    <x v="5"/>
    <x v="10"/>
    <s v="Reactivated"/>
    <s v="New Cta Copy"/>
    <s v="Treatment"/>
    <n v="9"/>
    <n v="9"/>
    <n v="277"/>
    <s v="No"/>
    <x v="1"/>
    <x v="1"/>
    <x v="1"/>
    <x v="1"/>
    <n v="0"/>
    <x v="0"/>
    <x v="0"/>
    <s v="No Support Contact"/>
    <s v="No"/>
    <s v="No Support Contact"/>
    <s v="Not Applicable"/>
    <m/>
    <s v="No drop-off"/>
    <n v="3"/>
    <n v="31"/>
    <n v="16"/>
    <x v="1"/>
    <n v="0"/>
    <n v="0"/>
    <n v="0"/>
    <n v="1"/>
  </r>
  <r>
    <x v="1328"/>
    <s v="USR-00833"/>
    <s v="SES-2602-55111"/>
    <x v="504"/>
    <s v="North West"/>
    <s v="Liverpool"/>
    <x v="7"/>
    <x v="1"/>
    <x v="0"/>
    <s v="Web"/>
    <s v="Desktop"/>
    <s v="&lt;3 months"/>
    <x v="0"/>
    <x v="0"/>
    <x v="2"/>
    <s v="Repeat Use"/>
    <s v="No Experiment"/>
    <s v="Control"/>
    <n v="5"/>
    <n v="5"/>
    <n v="111"/>
    <s v="No"/>
    <x v="0"/>
    <x v="1"/>
    <x v="1"/>
    <x v="0"/>
    <n v="85.22"/>
    <x v="0"/>
    <x v="0"/>
    <s v="No Support Contact"/>
    <s v="No"/>
    <s v="No Support Contact"/>
    <s v="Not Applicable"/>
    <m/>
    <s v="No drop-off"/>
    <n v="4"/>
    <n v="25"/>
    <n v="12"/>
    <x v="1"/>
    <n v="1"/>
    <n v="1"/>
    <n v="0"/>
    <n v="1"/>
  </r>
  <r>
    <x v="1329"/>
    <s v="USR-00055"/>
    <s v="SES-2501-22532"/>
    <x v="196"/>
    <s v="Wales"/>
    <s v="Wrexham"/>
    <x v="1"/>
    <x v="0"/>
    <x v="1"/>
    <s v="Ios"/>
    <s v="Iphone"/>
    <s v="1-2 years"/>
    <x v="0"/>
    <x v="4"/>
    <x v="1"/>
    <s v="First Use"/>
    <s v="Progress Indicator"/>
    <s v="Control"/>
    <n v="4"/>
    <n v="4"/>
    <n v="119"/>
    <s v="No"/>
    <x v="0"/>
    <x v="1"/>
    <x v="1"/>
    <x v="0"/>
    <n v="185.66"/>
    <x v="1"/>
    <x v="0"/>
    <s v="No Support Contact"/>
    <s v="No"/>
    <s v="No Support Contact"/>
    <s v="Not Applicable"/>
    <m/>
    <s v="No drop-off"/>
    <n v="4"/>
    <n v="18"/>
    <n v="0"/>
    <x v="1"/>
    <n v="1"/>
    <n v="1"/>
    <n v="0"/>
    <n v="1"/>
  </r>
  <r>
    <x v="1330"/>
    <s v="USR-00780"/>
    <s v="SES-2605-51101"/>
    <x v="505"/>
    <s v="South East"/>
    <s v="Brighton"/>
    <x v="0"/>
    <x v="3"/>
    <x v="0"/>
    <s v="Android"/>
    <s v="Android Phone"/>
    <s v="7-12 months"/>
    <x v="0"/>
    <x v="6"/>
    <x v="0"/>
    <s v="First Use"/>
    <s v="Contextual Help"/>
    <s v="Control"/>
    <n v="7"/>
    <n v="6"/>
    <n v="209"/>
    <s v="Yes"/>
    <x v="0"/>
    <x v="1"/>
    <x v="1"/>
    <x v="1"/>
    <n v="0"/>
    <x v="0"/>
    <x v="0"/>
    <s v="Fees And Pricing"/>
    <s v="Yes"/>
    <s v="Fees And Pricing"/>
    <s v="Unresolved"/>
    <n v="62"/>
    <s v="No drop-off"/>
    <n v="3"/>
    <n v="-9"/>
    <n v="0"/>
    <x v="0"/>
    <n v="1"/>
    <n v="0"/>
    <n v="0"/>
    <n v="0"/>
  </r>
  <r>
    <x v="1331"/>
    <s v="USR-00657"/>
    <s v="SES-2502-18712"/>
    <x v="238"/>
    <s v="London"/>
    <s v="Croydon"/>
    <x v="3"/>
    <x v="0"/>
    <x v="0"/>
    <s v="Ios"/>
    <s v="Iphone"/>
    <s v="3-6 months"/>
    <x v="0"/>
    <x v="4"/>
    <x v="0"/>
    <s v="Repeat Use"/>
    <s v="Fee Transparency Panel"/>
    <s v="Treatment"/>
    <n v="7"/>
    <n v="7"/>
    <n v="186"/>
    <s v="No"/>
    <x v="1"/>
    <x v="0"/>
    <x v="33"/>
    <x v="1"/>
    <n v="0"/>
    <x v="0"/>
    <x v="0"/>
    <s v="No Support Contact"/>
    <s v="No"/>
    <s v="No Support Contact"/>
    <s v="Not Applicable"/>
    <n v="-5"/>
    <s v="Technical error"/>
    <n v="4"/>
    <n v="13"/>
    <n v="36"/>
    <x v="0"/>
    <n v="0"/>
    <n v="0"/>
    <n v="1"/>
    <n v="0"/>
  </r>
  <r>
    <x v="1332"/>
    <s v="USR-00808"/>
    <s v="SES-2602-95822"/>
    <x v="494"/>
    <s v="East Midlands"/>
    <s v="Nottingham"/>
    <x v="1"/>
    <x v="2"/>
    <x v="1"/>
    <s v="Android"/>
    <s v="Android Phone"/>
    <s v="3-6 months"/>
    <x v="1"/>
    <x v="3"/>
    <x v="10"/>
    <s v="Repeat Use"/>
    <s v="No Experiment"/>
    <s v="Control"/>
    <n v="9"/>
    <n v="9"/>
    <n v="217"/>
    <s v="No"/>
    <x v="0"/>
    <x v="1"/>
    <x v="1"/>
    <x v="0"/>
    <n v="174.01"/>
    <x v="88"/>
    <x v="1"/>
    <s v="No Support Contact"/>
    <s v="No"/>
    <s v="No Support Contact"/>
    <s v="Not Applicable"/>
    <m/>
    <s v="No drop-off"/>
    <n v="4"/>
    <n v="-30"/>
    <n v="34"/>
    <x v="0"/>
    <n v="1"/>
    <n v="1"/>
    <n v="0"/>
    <n v="0"/>
  </r>
  <r>
    <x v="989"/>
    <s v="USR-00024"/>
    <s v="SES-2503-52077"/>
    <x v="4"/>
    <s v="West Midlands"/>
    <s v="Solihull"/>
    <x v="5"/>
    <x v="1"/>
    <x v="1"/>
    <s v="Ios"/>
    <s v="Iphone"/>
    <s v="1-2 years"/>
    <x v="0"/>
    <x v="2"/>
    <x v="4"/>
    <s v="Repeat Use"/>
    <s v="Fee Transparency Panel"/>
    <s v="Treatment"/>
    <n v="6"/>
    <n v="6"/>
    <n v="150"/>
    <s v="No"/>
    <x v="0"/>
    <x v="1"/>
    <x v="1"/>
    <x v="0"/>
    <n v="0"/>
    <x v="0"/>
    <x v="0"/>
    <s v="No Support Contact"/>
    <s v="No"/>
    <s v="No Support Contact"/>
    <s v="Not Applicable"/>
    <m/>
    <s v="No drop-off"/>
    <n v="5"/>
    <n v="30"/>
    <n v="27"/>
    <x v="1"/>
    <n v="1"/>
    <n v="1"/>
    <n v="0"/>
    <n v="1"/>
  </r>
  <r>
    <x v="1333"/>
    <s v="USR-00528"/>
    <s v="SES-2604-39069"/>
    <x v="301"/>
    <s v="East Midlands"/>
    <s v="Lincoln"/>
    <x v="0"/>
    <x v="0"/>
    <x v="2"/>
    <s v="Ios"/>
    <s v="Iphone"/>
    <s v="2+ years"/>
    <x v="0"/>
    <x v="0"/>
    <x v="0"/>
    <s v="Repeat Use"/>
    <s v="No Experiment"/>
    <s v="Control"/>
    <n v="7"/>
    <n v="7"/>
    <n v="285"/>
    <s v="No"/>
    <x v="1"/>
    <x v="0"/>
    <x v="11"/>
    <x v="1"/>
    <n v="0"/>
    <x v="0"/>
    <x v="0"/>
    <s v="Feature Navigation"/>
    <s v="Yes"/>
    <s v="Feature Navigation"/>
    <s v="Resolved"/>
    <n v="44"/>
    <s v="Technical error"/>
    <n v="3"/>
    <n v="-2"/>
    <n v="34"/>
    <x v="1"/>
    <n v="0"/>
    <n v="0"/>
    <n v="1"/>
    <n v="1"/>
  </r>
  <r>
    <x v="1334"/>
    <s v="USR-00379"/>
    <s v="SES-2507-53221"/>
    <x v="3"/>
    <s v="North East"/>
    <s v="Sunderland"/>
    <x v="2"/>
    <x v="1"/>
    <x v="1"/>
    <s v="Android"/>
    <s v="Android Phone"/>
    <s v="2+ years"/>
    <x v="2"/>
    <x v="1"/>
    <x v="1"/>
    <s v="Repeat Use"/>
    <s v="Contextual Help"/>
    <s v="Control"/>
    <n v="4"/>
    <n v="4"/>
    <n v="151"/>
    <s v="No"/>
    <x v="0"/>
    <x v="2"/>
    <x v="3"/>
    <x v="0"/>
    <n v="147.96"/>
    <x v="6"/>
    <x v="2"/>
    <s v="Other"/>
    <s v="Yes"/>
    <s v="Other"/>
    <s v="Resolved"/>
    <n v="23"/>
    <s v="No drop-off"/>
    <n v="3"/>
    <n v="-6"/>
    <n v="37"/>
    <x v="1"/>
    <n v="1"/>
    <n v="1"/>
    <n v="0"/>
    <n v="1"/>
  </r>
  <r>
    <x v="1310"/>
    <s v="USR-00854"/>
    <s v="SES-2503-88583"/>
    <x v="10"/>
    <s v="North West"/>
    <s v="Manchester"/>
    <x v="5"/>
    <x v="3"/>
    <x v="0"/>
    <s v="Android"/>
    <s v="Android Phone"/>
    <s v="7-12 months"/>
    <x v="0"/>
    <x v="4"/>
    <x v="1"/>
    <s v="Repeat Use"/>
    <s v="Simplified Onboarding"/>
    <s v="Treatment"/>
    <n v="4"/>
    <n v="4"/>
    <n v="147"/>
    <s v="No"/>
    <x v="0"/>
    <x v="0"/>
    <x v="12"/>
    <x v="1"/>
    <n v="0"/>
    <x v="0"/>
    <x v="0"/>
    <s v="No Support Contact"/>
    <s v="No"/>
    <s v="No Support Contact"/>
    <s v="Not Applicable"/>
    <m/>
    <s v="No drop-off"/>
    <n v="5"/>
    <n v="11"/>
    <n v="1"/>
    <x v="0"/>
    <n v="1"/>
    <n v="0"/>
    <n v="1"/>
    <n v="0"/>
  </r>
  <r>
    <x v="1335"/>
    <s v="USR-00139"/>
    <s v="SES-2606-00007"/>
    <x v="85"/>
    <s v="Scotland"/>
    <s v="Aberdeen"/>
    <x v="7"/>
    <x v="0"/>
    <x v="0"/>
    <s v="Ios"/>
    <s v="Iphone"/>
    <s v="1-2 years"/>
    <x v="0"/>
    <x v="1"/>
    <x v="4"/>
    <s v="First Use"/>
    <s v="No Experiment"/>
    <s v="Control"/>
    <n v="6"/>
    <n v="6"/>
    <n v="148"/>
    <s v="No"/>
    <x v="0"/>
    <x v="1"/>
    <x v="1"/>
    <x v="0"/>
    <n v="0"/>
    <x v="0"/>
    <x v="0"/>
    <s v="No Support Contact"/>
    <s v="No"/>
    <s v="No Support Contact"/>
    <s v="Not Applicable"/>
    <m/>
    <s v="No drop-off"/>
    <n v="5"/>
    <n v="7"/>
    <n v="0"/>
    <x v="1"/>
    <n v="1"/>
    <n v="1"/>
    <n v="0"/>
    <n v="1"/>
  </r>
  <r>
    <x v="1336"/>
    <s v="USR-00503"/>
    <s v="SES-2511-56731"/>
    <x v="231"/>
    <s v="Scotland"/>
    <s v="Edinburgh"/>
    <x v="3"/>
    <x v="1"/>
    <x v="1"/>
    <s v="Android"/>
    <s v="Android Phone"/>
    <s v="1-2 years"/>
    <x v="1"/>
    <x v="6"/>
    <x v="9"/>
    <s v="First Use"/>
    <s v="No Experiment"/>
    <s v="Control"/>
    <n v="5"/>
    <n v="3"/>
    <n v="166"/>
    <s v="Yes"/>
    <x v="1"/>
    <x v="1"/>
    <x v="1"/>
    <x v="1"/>
    <n v="0"/>
    <x v="0"/>
    <x v="0"/>
    <s v="No Support Contact"/>
    <s v="No"/>
    <s v="No Support Contact"/>
    <s v="Not Applicable"/>
    <m/>
    <s v="Instructions unclear"/>
    <n v="4"/>
    <n v="9"/>
    <s v="0 days"/>
    <x v="2"/>
    <n v="0"/>
    <n v="0"/>
    <n v="0"/>
    <n v="0"/>
  </r>
  <r>
    <x v="1337"/>
    <s v="USR-00647"/>
    <s v="SES-2506-39681"/>
    <x v="121"/>
    <s v="West Midlands"/>
    <s v="Coventry"/>
    <x v="1"/>
    <x v="0"/>
    <x v="1"/>
    <s v="Android"/>
    <s v="Android Phone"/>
    <s v="&lt;3 months"/>
    <x v="0"/>
    <x v="5"/>
    <x v="1"/>
    <s v="Repeat Use"/>
    <s v="No Experiment"/>
    <s v="Control"/>
    <n v="4"/>
    <n v="4"/>
    <n v="72"/>
    <s v="No"/>
    <x v="0"/>
    <x v="1"/>
    <x v="1"/>
    <x v="1"/>
    <n v="0"/>
    <x v="0"/>
    <x v="0"/>
    <s v="Transaction Failure"/>
    <s v="Yes"/>
    <s v="Transaction Failure"/>
    <s v="Resolved"/>
    <n v="14"/>
    <s v="No drop-off"/>
    <n v="5"/>
    <n v="-22"/>
    <n v="55"/>
    <x v="1"/>
    <n v="1"/>
    <n v="0"/>
    <n v="0"/>
    <n v="1"/>
  </r>
  <r>
    <x v="1338"/>
    <s v="USR-00507"/>
    <s v="SES-2502-38225"/>
    <x v="60"/>
    <s v="East England"/>
    <s v="Norwich"/>
    <x v="0"/>
    <x v="3"/>
    <x v="1"/>
    <s v="Web"/>
    <s v="Mobile Browser"/>
    <s v="7-12 months"/>
    <x v="0"/>
    <x v="2"/>
    <x v="3"/>
    <s v="Repeat Use"/>
    <s v="Simplified Onboarding"/>
    <s v="Control"/>
    <n v="6"/>
    <n v="6"/>
    <n v="150"/>
    <s v="No"/>
    <x v="0"/>
    <x v="1"/>
    <x v="1"/>
    <x v="0"/>
    <n v="22.58"/>
    <x v="5"/>
    <x v="0"/>
    <s v="No Support Contact"/>
    <s v="No"/>
    <s v="No Support Contact"/>
    <s v="Not Applicable"/>
    <m/>
    <s v="No drop-off"/>
    <n v="4"/>
    <n v="12"/>
    <n v="11"/>
    <x v="0"/>
    <n v="1"/>
    <n v="1"/>
    <n v="0"/>
    <n v="0"/>
  </r>
  <r>
    <x v="1339"/>
    <s v="USR-00347"/>
    <s v="SES-2506-78550"/>
    <x v="136"/>
    <s v="South West"/>
    <s v="Bristol"/>
    <x v="0"/>
    <x v="4"/>
    <x v="0"/>
    <s v="Web"/>
    <s v="Desktop"/>
    <s v="1-2 years"/>
    <x v="0"/>
    <x v="3"/>
    <x v="2"/>
    <s v="Repeat Use"/>
    <s v="No Experiment"/>
    <s v="Control"/>
    <n v="5"/>
    <n v="3"/>
    <n v="151"/>
    <s v="Yes"/>
    <x v="0"/>
    <x v="1"/>
    <x v="1"/>
    <x v="0"/>
    <n v="26.49"/>
    <x v="0"/>
    <x v="0"/>
    <s v="No Support Contact"/>
    <s v="No"/>
    <s v="No Support Contact"/>
    <s v="Not Applicable"/>
    <m/>
    <s v="No drop-off"/>
    <n v="3"/>
    <n v="2"/>
    <n v="37"/>
    <x v="1"/>
    <n v="1"/>
    <n v="1"/>
    <n v="0"/>
    <n v="1"/>
  </r>
  <r>
    <x v="1340"/>
    <s v="USR-00308"/>
    <s v="SES-2507-11751"/>
    <x v="377"/>
    <s v="East Midlands"/>
    <s v="Nottingham"/>
    <x v="4"/>
    <x v="1"/>
    <x v="1"/>
    <s v="Ios"/>
    <s v="Iphone"/>
    <s v="7-12 months"/>
    <x v="0"/>
    <x v="2"/>
    <x v="7"/>
    <s v="First Use"/>
    <s v="Simplified Onboarding"/>
    <s v="Treatment"/>
    <n v="4"/>
    <s v="4 steps"/>
    <n v="92"/>
    <s v="No"/>
    <x v="0"/>
    <x v="1"/>
    <x v="1"/>
    <x v="0"/>
    <n v="49.34"/>
    <x v="41"/>
    <x v="0"/>
    <s v="No Support Contact"/>
    <s v="No"/>
    <s v="No Support Contact"/>
    <s v="Not Applicable"/>
    <m/>
    <s v="No drop-off"/>
    <n v="5"/>
    <n v="43"/>
    <n v="0"/>
    <x v="1"/>
    <n v="1"/>
    <n v="1"/>
    <n v="0"/>
    <n v="1"/>
  </r>
  <r>
    <x v="1341"/>
    <s v="USR-00244"/>
    <s v="SES-2603-79651"/>
    <x v="149"/>
    <s v="East England"/>
    <s v="Ipswich"/>
    <x v="7"/>
    <x v="0"/>
    <x v="0"/>
    <s v="Web"/>
    <s v="Desktop"/>
    <s v="3-6 months"/>
    <x v="0"/>
    <x v="0"/>
    <x v="4"/>
    <s v="Repeat Use"/>
    <s v="Unknown"/>
    <s v="Treatment"/>
    <n v="6"/>
    <n v="6"/>
    <n v="204"/>
    <s v="No"/>
    <x v="1"/>
    <x v="0"/>
    <x v="25"/>
    <x v="1"/>
    <n v="0"/>
    <x v="0"/>
    <x v="0"/>
    <s v="No Support Contact"/>
    <s v="No"/>
    <s v="No Support Contact"/>
    <s v="Not Applicable"/>
    <m/>
    <s v="Instructions unclear"/>
    <n v="3"/>
    <n v="-8"/>
    <n v="69"/>
    <x v="0"/>
    <n v="0"/>
    <n v="0"/>
    <n v="1"/>
    <n v="0"/>
  </r>
  <r>
    <x v="1342"/>
    <s v="USR-00570"/>
    <s v="SES-2603-26099"/>
    <x v="415"/>
    <s v="South East"/>
    <s v="Reading"/>
    <x v="0"/>
    <x v="4"/>
    <x v="1"/>
    <s v="Ios"/>
    <s v="Iphone"/>
    <s v="1-2 years"/>
    <x v="1"/>
    <x v="5"/>
    <x v="9"/>
    <s v="Repeat Use"/>
    <s v="No Experiment"/>
    <s v="Control"/>
    <n v="5"/>
    <n v="5"/>
    <n v="135"/>
    <s v="No"/>
    <x v="0"/>
    <x v="1"/>
    <x v="1"/>
    <x v="1"/>
    <n v="0"/>
    <x v="0"/>
    <x v="0"/>
    <s v="No Support Contact"/>
    <s v="No"/>
    <s v="No Support Contact"/>
    <s v="Not Applicable"/>
    <m/>
    <s v="No drop-off"/>
    <n v="4"/>
    <n v="39"/>
    <n v="35"/>
    <x v="1"/>
    <n v="1"/>
    <n v="0"/>
    <n v="0"/>
    <n v="1"/>
  </r>
  <r>
    <x v="1343"/>
    <s v="usr-00531"/>
    <s v="SES-2510-37061"/>
    <x v="235"/>
    <s v="Northern Ireland"/>
    <s v="Belfast"/>
    <x v="3"/>
    <x v="4"/>
    <x v="1"/>
    <s v="Ios"/>
    <s v="Iphone"/>
    <s v="2+ years"/>
    <x v="0"/>
    <x v="4"/>
    <x v="9"/>
    <s v="Repeat Use"/>
    <s v="Contextual Help"/>
    <s v="Control"/>
    <n v="5"/>
    <n v="5"/>
    <n v="139"/>
    <s v="No"/>
    <x v="0"/>
    <x v="1"/>
    <x v="1"/>
    <x v="0"/>
    <n v="121.39"/>
    <x v="0"/>
    <x v="0"/>
    <s v="No Support Contact"/>
    <s v="No"/>
    <s v="No Support Contact"/>
    <s v="Not Applicable"/>
    <m/>
    <s v="No drop-off"/>
    <n v="4"/>
    <n v="21"/>
    <n v="44"/>
    <x v="1"/>
    <n v="1"/>
    <n v="1"/>
    <n v="0"/>
    <n v="1"/>
  </r>
  <r>
    <x v="1344"/>
    <s v="USR-00611"/>
    <s v="SES-2505-84940"/>
    <x v="175"/>
    <s v="South West"/>
    <s v="Gloucester"/>
    <x v="2"/>
    <x v="1"/>
    <x v="0"/>
    <s v="Ios"/>
    <s v="Iphone"/>
    <s v="&lt;3 months"/>
    <x v="3"/>
    <x v="2"/>
    <x v="1"/>
    <s v="Trial/Exploration"/>
    <s v="No Experiment"/>
    <s v="Control"/>
    <n v="4"/>
    <n v="4"/>
    <n v="96"/>
    <s v="No"/>
    <x v="0"/>
    <x v="1"/>
    <x v="1"/>
    <x v="0"/>
    <n v="131.51"/>
    <x v="25"/>
    <x v="0"/>
    <s v="No Support Contact"/>
    <s v="No"/>
    <s v="No Support Contact"/>
    <s v="Not Applicable"/>
    <m/>
    <s v="No drop-off"/>
    <n v="5"/>
    <n v="60"/>
    <n v="49"/>
    <x v="0"/>
    <n v="1"/>
    <n v="1"/>
    <n v="0"/>
    <n v="0"/>
  </r>
  <r>
    <x v="1345"/>
    <s v="USR-00852"/>
    <s v="SES-2506-42514"/>
    <x v="471"/>
    <s v="Yorkshire &amp; Humber"/>
    <s v="Leeds"/>
    <x v="2"/>
    <x v="0"/>
    <x v="1"/>
    <s v="Ios"/>
    <s v="Iphone"/>
    <s v="&lt;3 months"/>
    <x v="2"/>
    <x v="0"/>
    <x v="7"/>
    <s v="Reactivated"/>
    <s v="No Experiment"/>
    <s v="Control"/>
    <s v="4 steps"/>
    <n v="4"/>
    <n v="101"/>
    <s v="No"/>
    <x v="0"/>
    <x v="1"/>
    <x v="1"/>
    <x v="0"/>
    <n v="96.26"/>
    <x v="13"/>
    <x v="2"/>
    <s v="No Support Contact"/>
    <s v="No"/>
    <s v="No Support Contact"/>
    <s v="Not Applicable"/>
    <m/>
    <s v="No drop-off"/>
    <n v="4"/>
    <n v="60"/>
    <n v="27"/>
    <x v="1"/>
    <n v="1"/>
    <n v="1"/>
    <n v="0"/>
    <n v="1"/>
  </r>
  <r>
    <x v="1346"/>
    <s v="USR-00725"/>
    <s v="SES-2507-99736"/>
    <x v="75"/>
    <s v="South East"/>
    <s v="Reading"/>
    <x v="2"/>
    <x v="0"/>
    <x v="0"/>
    <s v="Android"/>
    <s v="Android Phone"/>
    <s v="1-2 years"/>
    <x v="0"/>
    <x v="4"/>
    <x v="4"/>
    <s v="Repeat Use"/>
    <s v="Simplified Onboarding"/>
    <s v="Control"/>
    <n v="6"/>
    <n v="6"/>
    <n v="184"/>
    <s v="No"/>
    <x v="1"/>
    <x v="0"/>
    <x v="25"/>
    <x v="1"/>
    <n v="0"/>
    <x v="0"/>
    <x v="0"/>
    <s v="No Support Contact"/>
    <s v="No"/>
    <s v="No Support Contact"/>
    <s v="Not Applicable"/>
    <m/>
    <s v="No drop-off"/>
    <n v="2"/>
    <n v="-2"/>
    <n v="11"/>
    <x v="0"/>
    <n v="0"/>
    <n v="0"/>
    <n v="1"/>
    <n v="0"/>
  </r>
  <r>
    <x v="1347"/>
    <s v="USR-00288"/>
    <s v="SES-2507-33932"/>
    <x v="343"/>
    <s v="East Midlands"/>
    <s v="Nottingham"/>
    <x v="5"/>
    <x v="1"/>
    <x v="1"/>
    <s v="Ios"/>
    <s v="Iphone"/>
    <s v="3-6 months"/>
    <x v="0"/>
    <x v="5"/>
    <x v="0"/>
    <s v="Trial/Exploration"/>
    <s v="New Cta Copy"/>
    <s v="Treatment"/>
    <n v="7"/>
    <n v="7"/>
    <n v="132"/>
    <s v="No"/>
    <x v="0"/>
    <x v="1"/>
    <x v="1"/>
    <x v="0"/>
    <n v="0"/>
    <x v="0"/>
    <x v="0"/>
    <s v="No Support Contact"/>
    <s v="No"/>
    <s v="No Support Contact"/>
    <s v="Not Applicable"/>
    <m/>
    <s v="No drop-off"/>
    <n v="3"/>
    <n v="21"/>
    <n v="24"/>
    <x v="1"/>
    <n v="1"/>
    <n v="1"/>
    <n v="0"/>
    <n v="1"/>
  </r>
  <r>
    <x v="1348"/>
    <s v="USR-00782"/>
    <s v="SES-2512-11148"/>
    <x v="317"/>
    <s v="North East"/>
    <s v="Durham"/>
    <x v="3"/>
    <x v="5"/>
    <x v="0"/>
    <s v="Android"/>
    <s v="Android Phone"/>
    <s v="7-12 months"/>
    <x v="2"/>
    <x v="5"/>
    <x v="0"/>
    <s v="Repeat Use"/>
    <s v="New Cta Copy"/>
    <s v="Treatment"/>
    <n v="7"/>
    <n v="7"/>
    <n v="223"/>
    <s v="No"/>
    <x v="0"/>
    <x v="1"/>
    <x v="1"/>
    <x v="0"/>
    <n v="0"/>
    <x v="0"/>
    <x v="2"/>
    <s v="No Support Contact"/>
    <s v="No"/>
    <s v="No Support Contact"/>
    <s v="Not Applicable"/>
    <m/>
    <s v="No drop-off"/>
    <n v="4"/>
    <n v="29"/>
    <n v="25"/>
    <x v="1"/>
    <n v="1"/>
    <n v="1"/>
    <n v="0"/>
    <n v="1"/>
  </r>
  <r>
    <x v="1349"/>
    <s v="USR-00284"/>
    <s v="SES-2511-67355"/>
    <x v="506"/>
    <s v="South East"/>
    <s v="Oxford"/>
    <x v="1"/>
    <x v="1"/>
    <x v="0"/>
    <s v="Android"/>
    <s v="Android Phone"/>
    <s v="2+ years"/>
    <x v="0"/>
    <x v="2"/>
    <x v="9"/>
    <s v="Repeat Use"/>
    <s v="Progress Indicator"/>
    <s v="Control"/>
    <n v="5"/>
    <s v="5 steps"/>
    <n v="124"/>
    <s v="No"/>
    <x v="0"/>
    <x v="1"/>
    <x v="1"/>
    <x v="1"/>
    <n v="0"/>
    <x v="0"/>
    <x v="0"/>
    <s v="No Support Contact"/>
    <s v="No"/>
    <s v="No Support Contact"/>
    <s v="Not Applicable"/>
    <m/>
    <s v="No drop-off"/>
    <n v="4"/>
    <n v="8"/>
    <n v="56"/>
    <x v="1"/>
    <n v="1"/>
    <n v="0"/>
    <n v="0"/>
    <n v="1"/>
  </r>
  <r>
    <x v="1350"/>
    <s v="USR-00308"/>
    <s v="SES-2502-68073"/>
    <x v="151"/>
    <s v="East Midlands"/>
    <s v="Derby"/>
    <x v="3"/>
    <x v="0"/>
    <x v="1"/>
    <s v="Android"/>
    <s v="Android Phone"/>
    <s v="7-12 months"/>
    <x v="3"/>
    <x v="2"/>
    <x v="7"/>
    <s v="Repeat Use"/>
    <s v="New Cta Copy"/>
    <s v="Control"/>
    <s v="4 steps"/>
    <n v="4"/>
    <n v="89"/>
    <s v="No"/>
    <x v="0"/>
    <x v="1"/>
    <x v="1"/>
    <x v="0"/>
    <n v="88.19"/>
    <x v="32"/>
    <x v="0"/>
    <s v="No Support Contact"/>
    <s v="No"/>
    <s v="No Support Contact"/>
    <s v="Not Applicable"/>
    <m/>
    <s v="No drop-off"/>
    <n v="5"/>
    <n v="11"/>
    <n v="27"/>
    <x v="1"/>
    <n v="1"/>
    <n v="1"/>
    <n v="0"/>
    <n v="1"/>
  </r>
  <r>
    <x v="1351"/>
    <s v="USR-00110"/>
    <s v="SES-2604-25066"/>
    <x v="467"/>
    <s v="South East"/>
    <s v="Oxford"/>
    <x v="1"/>
    <x v="1"/>
    <x v="1"/>
    <s v="Ios"/>
    <s v="Iphone"/>
    <s v="3-6 months"/>
    <x v="2"/>
    <x v="1"/>
    <x v="0"/>
    <s v="Repeat Use"/>
    <s v="No Experiment"/>
    <s v="Control"/>
    <n v="7"/>
    <n v="7"/>
    <n v="298"/>
    <s v="No"/>
    <x v="1"/>
    <x v="0"/>
    <x v="0"/>
    <x v="0"/>
    <n v="62.19"/>
    <x v="0"/>
    <x v="2"/>
    <s v="No Support Contact"/>
    <s v="No"/>
    <s v="No Support Contact"/>
    <s v="Not Applicable"/>
    <m/>
    <s v="Technical error"/>
    <n v="2"/>
    <n v="-49"/>
    <n v="22"/>
    <x v="0"/>
    <n v="0"/>
    <n v="1"/>
    <n v="1"/>
    <n v="0"/>
  </r>
  <r>
    <x v="1352"/>
    <s v="USR-00017"/>
    <s v="SES-2505-43370"/>
    <x v="431"/>
    <s v="Wales"/>
    <s v="Wrexham"/>
    <x v="0"/>
    <x v="4"/>
    <x v="0"/>
    <s v="Web"/>
    <s v="Desktop"/>
    <s v="1-2 years"/>
    <x v="1"/>
    <x v="3"/>
    <x v="5"/>
    <s v="Trial/Exploration"/>
    <s v="No Experiment"/>
    <s v="Control"/>
    <n v="8"/>
    <n v="8"/>
    <n v="237"/>
    <s v="No"/>
    <x v="0"/>
    <x v="1"/>
    <x v="1"/>
    <x v="0"/>
    <n v="433.96"/>
    <x v="89"/>
    <x v="1"/>
    <s v="No Support Contact"/>
    <s v="No"/>
    <s v="No Support Contact"/>
    <s v="Not Applicable"/>
    <m/>
    <s v="No drop-off"/>
    <n v="5"/>
    <n v="-15"/>
    <n v="19"/>
    <x v="0"/>
    <n v="1"/>
    <n v="1"/>
    <n v="0"/>
    <n v="0"/>
  </r>
  <r>
    <x v="1353"/>
    <s v="USR-00647"/>
    <s v="SES-2506-93046"/>
    <x v="466"/>
    <s v="East England"/>
    <s v="Cambridge"/>
    <x v="2"/>
    <x v="3"/>
    <x v="1"/>
    <s v="Ios"/>
    <s v="Iphone"/>
    <s v="7-12 months"/>
    <x v="0"/>
    <x v="0"/>
    <x v="7"/>
    <s v="First Use"/>
    <s v="Simplified Onboarding"/>
    <s v="Unknown"/>
    <n v="4"/>
    <n v="4"/>
    <n v="75"/>
    <s v="No"/>
    <x v="0"/>
    <x v="1"/>
    <x v="1"/>
    <x v="0"/>
    <n v="36.090000000000003"/>
    <x v="22"/>
    <x v="0"/>
    <s v="No Support Contact"/>
    <s v="No"/>
    <s v="No Support Contact"/>
    <s v="Not Applicable"/>
    <m/>
    <s v="No drop-off"/>
    <n v="5"/>
    <n v="77"/>
    <n v="0"/>
    <x v="1"/>
    <n v="1"/>
    <n v="1"/>
    <n v="0"/>
    <n v="1"/>
  </r>
  <r>
    <x v="1354"/>
    <s v="USR-00431"/>
    <s v="SES-2503-32765"/>
    <x v="305"/>
    <s v="Wales"/>
    <s v="Newport"/>
    <x v="3"/>
    <x v="0"/>
    <x v="1"/>
    <s v="Android"/>
    <s v="Android Phone"/>
    <s v="7-12 months"/>
    <x v="1"/>
    <x v="7"/>
    <x v="2"/>
    <s v="Reactivated"/>
    <s v="Simplified Onboarding"/>
    <s v="Treatment"/>
    <n v="5"/>
    <n v="5"/>
    <n v="146"/>
    <s v="No"/>
    <x v="0"/>
    <x v="0"/>
    <x v="21"/>
    <x v="1"/>
    <n v="0"/>
    <x v="0"/>
    <x v="0"/>
    <s v="No Support Contact"/>
    <s v="No"/>
    <s v="No Support Contact"/>
    <s v="Not Applicable"/>
    <m/>
    <s v="No drop-off"/>
    <n v="3"/>
    <n v="13"/>
    <n v="59"/>
    <x v="1"/>
    <n v="1"/>
    <n v="0"/>
    <n v="1"/>
    <n v="1"/>
  </r>
  <r>
    <x v="1355"/>
    <s v="USR-00147"/>
    <s v="SES-2605-39179"/>
    <x v="222"/>
    <s v="West Midlands"/>
    <s v="Wolverhampton"/>
    <x v="2"/>
    <x v="0"/>
    <x v="1"/>
    <s v="Web"/>
    <s v="Mobile Browser"/>
    <s v="7-12 months"/>
    <x v="0"/>
    <x v="3"/>
    <x v="2"/>
    <s v="First Use"/>
    <s v="Fee Transparency Panel"/>
    <s v="Control"/>
    <s v="5 steps"/>
    <n v="5"/>
    <n v="115"/>
    <s v="No"/>
    <x v="0"/>
    <x v="1"/>
    <x v="1"/>
    <x v="0"/>
    <n v="109.13"/>
    <x v="0"/>
    <x v="0"/>
    <s v="Fees And Pricing"/>
    <s v="Yes"/>
    <s v="Fees And Pricing"/>
    <s v="Unresolved"/>
    <n v="34"/>
    <s v="No drop-off"/>
    <n v="4"/>
    <n v="56"/>
    <n v="0"/>
    <x v="1"/>
    <n v="1"/>
    <n v="1"/>
    <n v="0"/>
    <n v="1"/>
  </r>
  <r>
    <x v="1356"/>
    <s v="USR-00241"/>
    <s v="SES-2504-84792"/>
    <x v="182"/>
    <s v="London"/>
    <s v="Southwark"/>
    <x v="2"/>
    <x v="1"/>
    <x v="0"/>
    <s v="Android"/>
    <s v="Android Phone"/>
    <s v="&lt;3 months"/>
    <x v="0"/>
    <x v="3"/>
    <x v="1"/>
    <s v="Reactivated"/>
    <s v="No Experiment"/>
    <s v="Control"/>
    <n v="4"/>
    <s v="4 steps"/>
    <n v="82"/>
    <s v="No"/>
    <x v="0"/>
    <x v="1"/>
    <x v="1"/>
    <x v="0"/>
    <n v="125.7"/>
    <x v="7"/>
    <x v="0"/>
    <s v="No Support Contact"/>
    <s v="No"/>
    <s v="No Support Contact"/>
    <s v="Not Applicable"/>
    <m/>
    <s v="No drop-off"/>
    <n v="4"/>
    <n v="30"/>
    <n v="28"/>
    <x v="1"/>
    <n v="1"/>
    <n v="1"/>
    <n v="0"/>
    <n v="1"/>
  </r>
  <r>
    <x v="1357"/>
    <s v="USR-00354"/>
    <s v="SES-2601-31207"/>
    <x v="158"/>
    <s v="South West"/>
    <s v="Plymouth"/>
    <x v="2"/>
    <x v="3"/>
    <x v="0"/>
    <s v="Android"/>
    <s v="Android Phone"/>
    <s v="&lt;3 months"/>
    <x v="0"/>
    <x v="3"/>
    <x v="3"/>
    <s v="Repeat Use"/>
    <s v="Progress Indicator"/>
    <s v="Control"/>
    <n v="6"/>
    <n v="6"/>
    <n v="133"/>
    <s v="No"/>
    <x v="0"/>
    <x v="0"/>
    <x v="15"/>
    <x v="0"/>
    <n v="110.38"/>
    <x v="2"/>
    <x v="0"/>
    <s v="No Support Contact"/>
    <s v="No"/>
    <s v="No Support Contact"/>
    <s v="Not Applicable"/>
    <m/>
    <s v="No drop-off"/>
    <n v="3"/>
    <n v="8"/>
    <n v="14"/>
    <x v="0"/>
    <n v="1"/>
    <n v="1"/>
    <n v="1"/>
    <n v="0"/>
  </r>
  <r>
    <x v="1358"/>
    <s v="USR-00780"/>
    <s v="SES-2507-47095"/>
    <x v="333"/>
    <s v="Yorkshire &amp; Humber"/>
    <s v="Hull"/>
    <x v="5"/>
    <x v="1"/>
    <x v="0"/>
    <s v="Web"/>
    <s v="Desktop"/>
    <s v="&lt;3 months"/>
    <x v="1"/>
    <x v="6"/>
    <x v="1"/>
    <s v="Reactivated"/>
    <s v="Simplified Onboarding"/>
    <s v="Control"/>
    <n v="4"/>
    <n v="2"/>
    <n v="152"/>
    <s v="Yes"/>
    <x v="0"/>
    <x v="1"/>
    <x v="1"/>
    <x v="0"/>
    <n v="78.12"/>
    <x v="8"/>
    <x v="1"/>
    <s v="No Support Contact"/>
    <s v="No"/>
    <s v="No Support Contact"/>
    <s v="Not Applicable"/>
    <m/>
    <s v="No drop-off"/>
    <n v="2"/>
    <n v="-2"/>
    <n v="19"/>
    <x v="0"/>
    <n v="1"/>
    <n v="1"/>
    <n v="0"/>
    <n v="0"/>
  </r>
  <r>
    <x v="1359"/>
    <s v="USR-00787"/>
    <s v="SES-2509-30273"/>
    <x v="148"/>
    <s v="East England"/>
    <s v="Ipswich"/>
    <x v="0"/>
    <x v="0"/>
    <x v="0"/>
    <s v="Ios"/>
    <s v="Iphone"/>
    <s v="3-6 months"/>
    <x v="1"/>
    <x v="6"/>
    <x v="0"/>
    <s v="Trial/Exploration"/>
    <s v="Contextual Help"/>
    <s v="Treatment"/>
    <n v="7"/>
    <n v="4"/>
    <n v="332"/>
    <s v="Yes"/>
    <x v="1"/>
    <x v="1"/>
    <x v="1"/>
    <x v="0"/>
    <n v="0"/>
    <x v="0"/>
    <x v="1"/>
    <s v="No Support Contact"/>
    <s v="No"/>
    <s v="No Support Contact"/>
    <s v="Not Applicable"/>
    <m/>
    <s v="Too many steps"/>
    <n v="3"/>
    <n v="19"/>
    <n v="27"/>
    <x v="1"/>
    <n v="0"/>
    <n v="1"/>
    <n v="0"/>
    <n v="1"/>
  </r>
  <r>
    <x v="1360"/>
    <s v="USR-00202"/>
    <s v="SES-2510-36946"/>
    <x v="35"/>
    <s v="East Midlands"/>
    <s v="Lincoln"/>
    <x v="0"/>
    <x v="0"/>
    <x v="1"/>
    <s v="Android"/>
    <s v="Android Phone"/>
    <s v="1-2 years"/>
    <x v="1"/>
    <x v="0"/>
    <x v="2"/>
    <s v="Repeat Use"/>
    <s v="Simplified Onboarding"/>
    <s v="Control"/>
    <n v="5"/>
    <n v="5"/>
    <n v="97"/>
    <s v="No"/>
    <x v="0"/>
    <x v="1"/>
    <x v="1"/>
    <x v="0"/>
    <n v="121.04"/>
    <x v="0"/>
    <x v="1"/>
    <s v="No Support Contact"/>
    <s v="No"/>
    <s v="No Support Contact"/>
    <s v="Not Applicable"/>
    <m/>
    <s v="No drop-off"/>
    <n v="5"/>
    <n v="16"/>
    <n v="45"/>
    <x v="1"/>
    <n v="1"/>
    <n v="1"/>
    <n v="0"/>
    <n v="1"/>
  </r>
  <r>
    <x v="1361"/>
    <s v="USR-00440"/>
    <s v="SES-2509-95162"/>
    <x v="507"/>
    <s v="South East"/>
    <s v="Guildford"/>
    <x v="5"/>
    <x v="4"/>
    <x v="1"/>
    <s v="Android"/>
    <s v="Android Phone"/>
    <s v="7-12 months"/>
    <x v="0"/>
    <x v="1"/>
    <x v="7"/>
    <s v="First Use"/>
    <s v="New Cta Copy"/>
    <s v="Treatment"/>
    <n v="4"/>
    <n v="4"/>
    <n v="74"/>
    <s v="No"/>
    <x v="0"/>
    <x v="1"/>
    <x v="1"/>
    <x v="0"/>
    <n v="0"/>
    <x v="20"/>
    <x v="0"/>
    <s v="Feature Navigation"/>
    <s v="Yes"/>
    <s v="Feature Navigation"/>
    <s v="Resolved"/>
    <n v="35"/>
    <s v="No drop-off"/>
    <n v="5"/>
    <n v="19"/>
    <n v="0"/>
    <x v="1"/>
    <n v="1"/>
    <n v="1"/>
    <n v="0"/>
    <n v="1"/>
  </r>
  <r>
    <x v="1362"/>
    <s v="USR-00602"/>
    <s v="SES-2510-47318"/>
    <x v="211"/>
    <s v="West Midlands"/>
    <s v="Solihull"/>
    <x v="1"/>
    <x v="0"/>
    <x v="1"/>
    <s v="Ios"/>
    <s v="Iphone"/>
    <s v="3-6 months"/>
    <x v="0"/>
    <x v="1"/>
    <x v="9"/>
    <s v="Repeat Use"/>
    <s v="New Cta Copy"/>
    <s v="Treatment"/>
    <n v="5"/>
    <n v="5"/>
    <n v="116"/>
    <s v="No"/>
    <x v="0"/>
    <x v="1"/>
    <x v="1"/>
    <x v="0"/>
    <n v="141.11000000000001"/>
    <x v="0"/>
    <x v="0"/>
    <s v="No Support Contact"/>
    <s v="No"/>
    <s v="No Support Contact"/>
    <s v="Not Applicable"/>
    <m/>
    <s v="No drop-off"/>
    <n v="5"/>
    <n v="33"/>
    <n v="62"/>
    <x v="1"/>
    <n v="1"/>
    <n v="1"/>
    <n v="0"/>
    <n v="1"/>
  </r>
  <r>
    <x v="1363"/>
    <s v="USR-00337"/>
    <s v="SES-2502-73852"/>
    <x v="487"/>
    <s v="London"/>
    <s v="Southwark"/>
    <x v="6"/>
    <x v="0"/>
    <x v="1"/>
    <s v="Android"/>
    <s v="Android Phone"/>
    <s v="3-6 months"/>
    <x v="0"/>
    <x v="1"/>
    <x v="9"/>
    <s v="Repeat Use"/>
    <s v="No Experiment"/>
    <s v="Control"/>
    <n v="5"/>
    <n v="5"/>
    <n v="135"/>
    <s v="No"/>
    <x v="1"/>
    <x v="1"/>
    <x v="1"/>
    <x v="1"/>
    <n v="0"/>
    <x v="0"/>
    <x v="0"/>
    <s v="Transaction Failure"/>
    <s v="Yes"/>
    <s v="Transaction Failure"/>
    <s v="Resolved"/>
    <n v="36"/>
    <s v="No drop-off"/>
    <n v="3"/>
    <n v="39"/>
    <n v="35"/>
    <x v="0"/>
    <n v="0"/>
    <n v="0"/>
    <n v="0"/>
    <n v="0"/>
  </r>
  <r>
    <x v="1364"/>
    <s v="USR-00525"/>
    <s v="SES-2505-72888"/>
    <x v="474"/>
    <s v="West Midlands"/>
    <s v="Birmingham"/>
    <x v="3"/>
    <x v="0"/>
    <x v="0"/>
    <s v="Android"/>
    <s v="Android Phone"/>
    <s v="7-12 months"/>
    <x v="1"/>
    <x v="5"/>
    <x v="0"/>
    <s v="Repeat Use"/>
    <s v="No Experiment"/>
    <s v="Control"/>
    <s v="7 steps"/>
    <s v="7 steps"/>
    <n v="174"/>
    <s v="No"/>
    <x v="1"/>
    <x v="1"/>
    <x v="1"/>
    <x v="1"/>
    <n v="0"/>
    <x v="0"/>
    <x v="0"/>
    <s v="No Support Contact"/>
    <s v="No"/>
    <s v="No Support Contact"/>
    <s v="Not Applicable"/>
    <m/>
    <s v="Too many steps"/>
    <n v="3"/>
    <n v="10"/>
    <n v="13"/>
    <x v="0"/>
    <n v="0"/>
    <n v="0"/>
    <n v="0"/>
    <n v="0"/>
  </r>
  <r>
    <x v="1365"/>
    <s v="USR-00758"/>
    <s v="SES-2506-33169"/>
    <x v="354"/>
    <s v="Northern Ireland"/>
    <s v="Lisburn"/>
    <x v="0"/>
    <x v="5"/>
    <x v="1"/>
    <s v="Web"/>
    <s v="Desktop"/>
    <s v="1-2 years"/>
    <x v="0"/>
    <x v="6"/>
    <x v="2"/>
    <s v="Reactivated"/>
    <s v="Simplified Onboarding"/>
    <s v="Treatment"/>
    <n v="5"/>
    <n v="5"/>
    <n v="144"/>
    <s v="No"/>
    <x v="0"/>
    <x v="1"/>
    <x v="1"/>
    <x v="0"/>
    <n v="79.209999999999994"/>
    <x v="0"/>
    <x v="0"/>
    <s v="No Support Contact"/>
    <s v="No"/>
    <s v="No Support Contact"/>
    <s v="Not Applicable"/>
    <m/>
    <s v="No drop-off"/>
    <n v="5"/>
    <n v="18"/>
    <n v="15"/>
    <x v="1"/>
    <n v="1"/>
    <n v="1"/>
    <n v="0"/>
    <n v="1"/>
  </r>
  <r>
    <x v="1366"/>
    <s v="USR-00226"/>
    <s v="SES-2502-32198"/>
    <x v="233"/>
    <s v="Wales"/>
    <s v="Cardiff"/>
    <x v="2"/>
    <x v="1"/>
    <x v="0"/>
    <s v="Ios"/>
    <s v="Iphone"/>
    <s v="7-12 months"/>
    <x v="0"/>
    <x v="6"/>
    <x v="10"/>
    <s v="Repeat Use"/>
    <s v="New Cta Copy"/>
    <s v="Treatment"/>
    <s v="9 steps"/>
    <n v="9"/>
    <n v="216"/>
    <s v="No"/>
    <x v="0"/>
    <x v="0"/>
    <x v="6"/>
    <x v="0"/>
    <n v="214.94"/>
    <x v="80"/>
    <x v="0"/>
    <s v="Transaction Failure"/>
    <s v="Yes"/>
    <s v="Transaction Failure"/>
    <s v="Resolved"/>
    <n v="2"/>
    <s v="No drop-off"/>
    <n v="5"/>
    <n v="15"/>
    <n v="6"/>
    <x v="1"/>
    <n v="1"/>
    <n v="1"/>
    <n v="1"/>
    <n v="1"/>
  </r>
  <r>
    <x v="1367"/>
    <s v="USR-00641"/>
    <s v="SES-2505-10749"/>
    <x v="407"/>
    <s v="East England"/>
    <s v="Luton"/>
    <x v="0"/>
    <x v="0"/>
    <x v="0"/>
    <s v="Ios"/>
    <s v="Iphone"/>
    <s v="1-2 years"/>
    <x v="0"/>
    <x v="7"/>
    <x v="0"/>
    <s v="First Use"/>
    <s v="No Experiment"/>
    <s v="Control"/>
    <n v="7"/>
    <n v="7"/>
    <n v="314"/>
    <s v="No"/>
    <x v="1"/>
    <x v="0"/>
    <x v="11"/>
    <x v="1"/>
    <n v="0"/>
    <x v="0"/>
    <x v="0"/>
    <s v="Other"/>
    <s v="Yes"/>
    <s v="Other"/>
    <s v="Unresolved"/>
    <n v="15"/>
    <s v="Technical error"/>
    <n v="2"/>
    <n v="-66"/>
    <n v="0"/>
    <x v="1"/>
    <n v="0"/>
    <n v="0"/>
    <n v="1"/>
    <n v="1"/>
  </r>
  <r>
    <x v="1368"/>
    <s v="USR-00589"/>
    <s v="SES-2602-89784"/>
    <x v="214"/>
    <s v="East England"/>
    <s v="Norwich"/>
    <x v="5"/>
    <x v="3"/>
    <x v="0"/>
    <s v="Ios"/>
    <s v="Iphone"/>
    <s v="7-12 months"/>
    <x v="0"/>
    <x v="4"/>
    <x v="2"/>
    <s v="Repeat Use"/>
    <s v="No Experiment"/>
    <s v="Control"/>
    <n v="5"/>
    <n v="3"/>
    <n v="257"/>
    <s v="Yes"/>
    <x v="1"/>
    <x v="1"/>
    <x v="1"/>
    <x v="1"/>
    <n v="0"/>
    <x v="0"/>
    <x v="0"/>
    <s v="No Support Contact"/>
    <s v="No"/>
    <s v="No Support Contact"/>
    <s v="Not Applicable"/>
    <m/>
    <s v="Privacy concern"/>
    <n v="2"/>
    <n v="19"/>
    <n v="1"/>
    <x v="1"/>
    <n v="0"/>
    <n v="0"/>
    <n v="0"/>
    <n v="1"/>
  </r>
  <r>
    <x v="1369"/>
    <s v="USR-00521"/>
    <s v="SES-2503-30092"/>
    <x v="304"/>
    <s v="South West"/>
    <s v="Exeter"/>
    <x v="2"/>
    <x v="0"/>
    <x v="1"/>
    <s v="Ios"/>
    <s v="Ipad"/>
    <s v="1-2 years"/>
    <x v="0"/>
    <x v="6"/>
    <x v="10"/>
    <s v="Reactivated"/>
    <s v="No Experiment"/>
    <s v="Control"/>
    <n v="9"/>
    <n v="9"/>
    <n v="166"/>
    <s v="No"/>
    <x v="1"/>
    <x v="1"/>
    <x v="1"/>
    <x v="0"/>
    <n v="149.49"/>
    <x v="83"/>
    <x v="0"/>
    <s v="No Support Contact"/>
    <s v="No"/>
    <s v="No Support Contact"/>
    <s v="Not Applicable"/>
    <m/>
    <s v="No drop-off"/>
    <n v="3"/>
    <n v="37"/>
    <n v="21"/>
    <x v="0"/>
    <n v="0"/>
    <n v="1"/>
    <n v="0"/>
    <n v="0"/>
  </r>
  <r>
    <x v="1370"/>
    <s v="USR-00192"/>
    <s v="SES-2606-10292"/>
    <x v="508"/>
    <s v="West Midlands"/>
    <s v="Coventry"/>
    <x v="2"/>
    <x v="1"/>
    <x v="1"/>
    <s v="Android"/>
    <s v="Android Phone"/>
    <s v="3-6 months"/>
    <x v="0"/>
    <x v="1"/>
    <x v="4"/>
    <s v="Reactivated"/>
    <s v="No Experiment"/>
    <s v="Control"/>
    <n v="6"/>
    <n v="3"/>
    <n v="260"/>
    <s v="Yes"/>
    <x v="0"/>
    <x v="1"/>
    <x v="1"/>
    <x v="0"/>
    <n v="0"/>
    <x v="0"/>
    <x v="0"/>
    <s v="No Support Contact"/>
    <s v="No"/>
    <s v="No Support Contact"/>
    <s v="Not Applicable"/>
    <m/>
    <s v="No drop-off"/>
    <n v="3"/>
    <n v="-15"/>
    <n v="36"/>
    <x v="1"/>
    <n v="1"/>
    <n v="1"/>
    <n v="0"/>
    <n v="1"/>
  </r>
  <r>
    <x v="1371"/>
    <s v="USR-00454"/>
    <s v="SES-2606-13869"/>
    <x v="509"/>
    <s v="Yorkshire &amp; Humber"/>
    <s v="York"/>
    <x v="0"/>
    <x v="1"/>
    <x v="1"/>
    <s v="Web"/>
    <s v="Desktop"/>
    <s v="1-2 years"/>
    <x v="1"/>
    <x v="5"/>
    <x v="3"/>
    <s v="Reactivated"/>
    <s v="No Experiment"/>
    <s v="Control"/>
    <n v="6"/>
    <n v="3"/>
    <n v="271"/>
    <s v="Yes"/>
    <x v="1"/>
    <x v="0"/>
    <x v="8"/>
    <x v="1"/>
    <n v="0"/>
    <x v="0"/>
    <x v="0"/>
    <s v="No Support Contact"/>
    <s v="No"/>
    <s v="No Support Contact"/>
    <s v="Not Applicable"/>
    <m/>
    <s v="Technical error"/>
    <n v="3"/>
    <n v="0"/>
    <n v="79"/>
    <x v="1"/>
    <n v="0"/>
    <n v="0"/>
    <n v="1"/>
    <n v="1"/>
  </r>
  <r>
    <x v="1372"/>
    <s v="USR-00378"/>
    <s v="SES-2606-88051"/>
    <x v="229"/>
    <s v="South East"/>
    <s v="Brighton"/>
    <x v="5"/>
    <x v="1"/>
    <x v="1"/>
    <s v="Android"/>
    <s v="Android Phone"/>
    <s v="2+ years"/>
    <x v="1"/>
    <x v="1"/>
    <x v="9"/>
    <s v="Repeat Use"/>
    <s v="No Experiment"/>
    <s v="Control"/>
    <n v="5"/>
    <n v="5"/>
    <n v="188"/>
    <s v="No"/>
    <x v="0"/>
    <x v="1"/>
    <x v="1"/>
    <x v="0"/>
    <n v="58.65"/>
    <x v="0"/>
    <x v="1"/>
    <s v="No Support Contact"/>
    <s v="No"/>
    <s v="No Support Contact"/>
    <s v="Not Applicable"/>
    <m/>
    <s v="No drop-off"/>
    <n v="4"/>
    <n v="11"/>
    <n v="24"/>
    <x v="0"/>
    <n v="1"/>
    <n v="1"/>
    <n v="0"/>
    <n v="0"/>
  </r>
  <r>
    <x v="1373"/>
    <s v="USR-00377"/>
    <s v="SES-2606-24114"/>
    <x v="228"/>
    <s v="East England"/>
    <s v="Ipswich"/>
    <x v="0"/>
    <x v="3"/>
    <x v="0"/>
    <s v="Ios"/>
    <s v="Iphone"/>
    <s v="3-6 months"/>
    <x v="0"/>
    <x v="1"/>
    <x v="3"/>
    <s v="Reactivated"/>
    <s v="Progress Indicator"/>
    <s v="Control"/>
    <n v="6"/>
    <s v="6 steps"/>
    <n v="138"/>
    <s v="Yes"/>
    <x v="1"/>
    <x v="1"/>
    <x v="1"/>
    <x v="1"/>
    <n v="0"/>
    <x v="0"/>
    <x v="0"/>
    <s v="No Support Contact"/>
    <s v="No"/>
    <s v="No Support Contact"/>
    <s v="Not Applicable"/>
    <m/>
    <s v="Unexpected fee"/>
    <n v="3"/>
    <n v="21"/>
    <s v="24 days"/>
    <x v="1"/>
    <n v="0"/>
    <n v="0"/>
    <n v="0"/>
    <n v="1"/>
  </r>
  <r>
    <x v="1374"/>
    <s v="USR-00018"/>
    <s v="SES-2606-83344"/>
    <x v="347"/>
    <s v="East Midlands"/>
    <s v="Leicester"/>
    <x v="0"/>
    <x v="2"/>
    <x v="1"/>
    <s v="Ios"/>
    <s v="Iphone"/>
    <s v="7-12 months"/>
    <x v="1"/>
    <x v="5"/>
    <x v="2"/>
    <s v="Repeat Use"/>
    <s v="New Cta Copy"/>
    <s v="Control"/>
    <n v="5"/>
    <n v="5"/>
    <n v="163"/>
    <s v="No"/>
    <x v="0"/>
    <x v="0"/>
    <x v="23"/>
    <x v="0"/>
    <n v="104.86"/>
    <x v="0"/>
    <x v="1"/>
    <s v="No Support Contact"/>
    <s v="No"/>
    <s v="No Support Contact"/>
    <s v="Not Applicable"/>
    <m/>
    <s v="No drop-off"/>
    <n v="4"/>
    <n v="31"/>
    <n v="29"/>
    <x v="0"/>
    <n v="1"/>
    <n v="1"/>
    <n v="1"/>
    <n v="0"/>
  </r>
  <r>
    <x v="1375"/>
    <s v="USR-00446"/>
    <s v="SES-2606-41409"/>
    <x v="500"/>
    <s v="East England"/>
    <s v="Luton"/>
    <x v="2"/>
    <x v="2"/>
    <x v="1"/>
    <s v="Android"/>
    <s v="Android Phone"/>
    <s v="1-2 years"/>
    <x v="0"/>
    <x v="0"/>
    <x v="10"/>
    <s v="Repeat Use"/>
    <s v="Simplified Onboarding"/>
    <s v="Treatment"/>
    <n v="9"/>
    <n v="9"/>
    <n v="353"/>
    <s v="No"/>
    <x v="1"/>
    <x v="0"/>
    <x v="6"/>
    <x v="1"/>
    <n v="0"/>
    <x v="0"/>
    <x v="0"/>
    <s v="No Support Contact"/>
    <s v="No"/>
    <s v="No Support Contact"/>
    <s v="Not Applicable"/>
    <m/>
    <s v="Privacy concern"/>
    <n v="3"/>
    <n v="-48"/>
    <n v="20"/>
    <x v="1"/>
    <n v="0"/>
    <n v="0"/>
    <n v="1"/>
    <n v="1"/>
  </r>
  <r>
    <x v="1376"/>
    <s v="USR-00562"/>
    <s v="SES-2606-30105"/>
    <x v="510"/>
    <s v="South East"/>
    <s v="Brighton"/>
    <x v="0"/>
    <x v="3"/>
    <x v="0"/>
    <s v="Android"/>
    <s v="Android Phone"/>
    <s v="7-12 months"/>
    <x v="0"/>
    <x v="6"/>
    <x v="0"/>
    <s v="First Use"/>
    <s v="Contextual Help"/>
    <s v="Control"/>
    <n v="7"/>
    <n v="6"/>
    <n v="226"/>
    <s v="Yes"/>
    <x v="0"/>
    <x v="1"/>
    <x v="1"/>
    <x v="1"/>
    <n v="0"/>
    <x v="0"/>
    <x v="0"/>
    <s v="Fees And Pricing"/>
    <s v="Yes"/>
    <s v="Fees And Pricing"/>
    <s v="Unresolved"/>
    <n v="62"/>
    <s v="No drop-off"/>
    <n v="2"/>
    <n v="-9"/>
    <n v="2"/>
    <x v="0"/>
    <n v="1"/>
    <n v="0"/>
    <n v="0"/>
    <n v="0"/>
  </r>
  <r>
    <x v="1377"/>
    <s v="USR-00724"/>
    <s v="SES-2606-40618"/>
    <x v="511"/>
    <s v="London"/>
    <s v="Camden"/>
    <x v="1"/>
    <x v="0"/>
    <x v="0"/>
    <s v="Android"/>
    <s v="Android Phone"/>
    <s v="7-12 months"/>
    <x v="0"/>
    <x v="1"/>
    <x v="5"/>
    <s v="First Use"/>
    <s v="Fee Transparency Panel"/>
    <s v="Treatment"/>
    <n v="8"/>
    <n v="8"/>
    <n v="265"/>
    <s v="Yes"/>
    <x v="0"/>
    <x v="1"/>
    <x v="1"/>
    <x v="1"/>
    <n v="0"/>
    <x v="0"/>
    <x v="0"/>
    <s v="No Support Contact"/>
    <s v="No"/>
    <s v="No Support Contact"/>
    <s v="Not Applicable"/>
    <m/>
    <s v="No drop-off"/>
    <n v="5"/>
    <n v="4"/>
    <n v="5"/>
    <x v="1"/>
    <n v="1"/>
    <n v="0"/>
    <n v="0"/>
    <n v="1"/>
  </r>
  <r>
    <x v="1378"/>
    <s v="USR-00397"/>
    <s v="SES-2606-21027"/>
    <x v="347"/>
    <s v="Wales"/>
    <s v="Swansea"/>
    <x v="2"/>
    <x v="3"/>
    <x v="1"/>
    <s v="Web"/>
    <s v="Mobile Browser"/>
    <s v="7-12 months"/>
    <x v="0"/>
    <x v="1"/>
    <x v="9"/>
    <s v="Reactivated"/>
    <s v="No Experiment"/>
    <s v="Control"/>
    <n v="5"/>
    <n v="5"/>
    <n v="106"/>
    <s v="Yes"/>
    <x v="0"/>
    <x v="1"/>
    <x v="1"/>
    <x v="1"/>
    <n v="0"/>
    <x v="0"/>
    <x v="0"/>
    <s v="No Support Contact"/>
    <s v="No"/>
    <s v="No Support Contact"/>
    <s v="Not Applicable"/>
    <m/>
    <s v="No drop-off"/>
    <n v="5"/>
    <n v="21"/>
    <n v="52"/>
    <x v="0"/>
    <n v="1"/>
    <n v="0"/>
    <n v="0"/>
    <n v="0"/>
  </r>
  <r>
    <x v="1379"/>
    <s v="USR-00408"/>
    <s v="SES-2606-49660"/>
    <x v="248"/>
    <s v="South East"/>
    <s v="Reading"/>
    <x v="5"/>
    <x v="1"/>
    <x v="1"/>
    <s v="Web"/>
    <s v="Desktop"/>
    <s v="3-6 months"/>
    <x v="0"/>
    <x v="5"/>
    <x v="4"/>
    <s v="Repeat Use"/>
    <s v="Contextual Help"/>
    <s v="Treatment"/>
    <n v="6"/>
    <n v="6"/>
    <n v="105"/>
    <s v="Yes"/>
    <x v="1"/>
    <x v="1"/>
    <x v="1"/>
    <x v="1"/>
    <n v="0"/>
    <x v="0"/>
    <x v="0"/>
    <s v="No Support Contact"/>
    <s v="No"/>
    <s v="No Support Contact"/>
    <s v="Not Applicable"/>
    <m/>
    <s v="No drop-off"/>
    <n v="2"/>
    <n v="-1"/>
    <n v="46"/>
    <x v="1"/>
    <n v="0"/>
    <n v="0"/>
    <n v="0"/>
    <n v="1"/>
  </r>
  <r>
    <x v="1380"/>
    <s v="USR-00234"/>
    <s v="SES-2606-40945"/>
    <x v="500"/>
    <s v="Wales"/>
    <s v="Wrexham"/>
    <x v="7"/>
    <x v="1"/>
    <x v="1"/>
    <s v="Ios"/>
    <s v="Ipad"/>
    <s v="7-12 months"/>
    <x v="2"/>
    <x v="7"/>
    <x v="8"/>
    <s v="Repeat Use"/>
    <s v="Simplified Onboarding"/>
    <s v="Treatment"/>
    <n v="5"/>
    <n v="5"/>
    <n v="208"/>
    <s v="No"/>
    <x v="0"/>
    <x v="0"/>
    <x v="13"/>
    <x v="0"/>
    <n v="85.33"/>
    <x v="0"/>
    <x v="2"/>
    <s v="No Support Contact"/>
    <s v="No"/>
    <s v="No Support Contact"/>
    <s v="Not Applicable"/>
    <m/>
    <s v="No drop-off"/>
    <n v="5"/>
    <n v="65"/>
    <n v="41"/>
    <x v="1"/>
    <n v="1"/>
    <n v="1"/>
    <n v="1"/>
    <n v="1"/>
  </r>
  <r>
    <x v="1381"/>
    <s v="USR-00118"/>
    <s v="SES-2606-30677"/>
    <x v="495"/>
    <s v="East Midlands"/>
    <s v="Lincoln"/>
    <x v="3"/>
    <x v="0"/>
    <x v="0"/>
    <s v="Ios"/>
    <s v="Iphone"/>
    <s v="&lt;3 months"/>
    <x v="0"/>
    <x v="2"/>
    <x v="5"/>
    <s v="Repeat Use"/>
    <s v="Simplified Onboarding"/>
    <s v="Control"/>
    <n v="8"/>
    <n v="7"/>
    <n v="248"/>
    <s v="Yes"/>
    <x v="0"/>
    <x v="0"/>
    <x v="10"/>
    <x v="0"/>
    <n v="410.71"/>
    <x v="16"/>
    <x v="0"/>
    <s v="Feature Navigation"/>
    <s v="Yes"/>
    <s v="Feature Navigation"/>
    <s v="Resolved"/>
    <n v="41"/>
    <s v="No drop-off"/>
    <n v="3"/>
    <n v="27"/>
    <n v="5"/>
    <x v="0"/>
    <n v="1"/>
    <n v="1"/>
    <n v="1"/>
    <n v="0"/>
  </r>
  <r>
    <x v="1382"/>
    <s v="USR-00301"/>
    <s v="SES-2606-54547"/>
    <x v="423"/>
    <s v="Northern Ireland"/>
    <s v="Newry"/>
    <x v="5"/>
    <x v="2"/>
    <x v="1"/>
    <s v="Ios"/>
    <s v="Iphone"/>
    <s v="7-12 months"/>
    <x v="0"/>
    <x v="6"/>
    <x v="3"/>
    <s v="Repeat Use"/>
    <s v="No Experiment"/>
    <s v="Control"/>
    <n v="6"/>
    <n v="6"/>
    <n v="203"/>
    <s v="Yes"/>
    <x v="0"/>
    <x v="0"/>
    <x v="8"/>
    <x v="0"/>
    <n v="0"/>
    <x v="2"/>
    <x v="0"/>
    <s v="No Support Contact"/>
    <s v="No"/>
    <s v="No Support Contact"/>
    <s v="Not Applicable"/>
    <m/>
    <s v="No drop-off"/>
    <n v="3"/>
    <n v="33"/>
    <n v="59"/>
    <x v="1"/>
    <n v="1"/>
    <n v="1"/>
    <n v="1"/>
    <n v="1"/>
  </r>
  <r>
    <x v="1383"/>
    <s v="USR-00450"/>
    <s v="SES-2606-93402"/>
    <x v="460"/>
    <s v="London"/>
    <s v="Croydon"/>
    <x v="3"/>
    <x v="3"/>
    <x v="2"/>
    <s v="Web"/>
    <s v="Desktop"/>
    <s v="1-2 years"/>
    <x v="0"/>
    <x v="5"/>
    <x v="1"/>
    <s v="Repeat Use"/>
    <s v="No Experiment"/>
    <s v="Control"/>
    <n v="4"/>
    <n v="4"/>
    <n v="89"/>
    <s v="No"/>
    <x v="1"/>
    <x v="0"/>
    <x v="14"/>
    <x v="1"/>
    <n v="0"/>
    <x v="0"/>
    <x v="0"/>
    <s v="No Support Contact"/>
    <s v="No"/>
    <s v="No Support Contact"/>
    <s v="Not Applicable"/>
    <m/>
    <s v="Technical error"/>
    <n v="3"/>
    <n v="16"/>
    <n v="22"/>
    <x v="0"/>
    <n v="0"/>
    <n v="0"/>
    <n v="1"/>
    <n v="0"/>
  </r>
  <r>
    <x v="1384"/>
    <s v="USR-00209"/>
    <s v="SES-2606-83000"/>
    <x v="347"/>
    <s v="Yorkshire &amp; Humber"/>
    <s v="York"/>
    <x v="7"/>
    <x v="0"/>
    <x v="1"/>
    <s v="Ios"/>
    <s v="Iphone"/>
    <s v="1-2 years"/>
    <x v="0"/>
    <x v="0"/>
    <x v="5"/>
    <s v="Reactivated"/>
    <s v="No Experiment"/>
    <s v="Control"/>
    <n v="8"/>
    <n v="8"/>
    <n v="222"/>
    <s v="No"/>
    <x v="0"/>
    <x v="1"/>
    <x v="1"/>
    <x v="0"/>
    <n v="440.34"/>
    <x v="48"/>
    <x v="0"/>
    <s v="Feature Navigation"/>
    <s v="Yes"/>
    <s v="Feature Navigation"/>
    <s v="Unresolved"/>
    <n v="48"/>
    <s v="No drop-off"/>
    <n v="4"/>
    <n v="16"/>
    <n v="15"/>
    <x v="1"/>
    <n v="1"/>
    <n v="1"/>
    <n v="0"/>
    <n v="1"/>
  </r>
  <r>
    <x v="1385"/>
    <s v="USR-00782"/>
    <s v="SES-2606-23910"/>
    <x v="228"/>
    <s v="Yorkshire &amp; Humber"/>
    <s v="Leeds"/>
    <x v="2"/>
    <x v="2"/>
    <x v="0"/>
    <s v="Android"/>
    <s v="Android Phone"/>
    <s v="3-6 months"/>
    <x v="0"/>
    <x v="0"/>
    <x v="8"/>
    <s v="Repeat Use"/>
    <s v="No Experiment"/>
    <s v="Control"/>
    <n v="5"/>
    <n v="5"/>
    <n v="182"/>
    <s v="No"/>
    <x v="1"/>
    <x v="1"/>
    <x v="1"/>
    <x v="1"/>
    <n v="0"/>
    <x v="0"/>
    <x v="0"/>
    <s v="No Support Contact"/>
    <s v="No"/>
    <s v="No Support Contact"/>
    <s v="Not Applicable"/>
    <m/>
    <s v="No drop-off"/>
    <n v="4"/>
    <n v="58"/>
    <n v="34"/>
    <x v="1"/>
    <n v="0"/>
    <n v="0"/>
    <n v="0"/>
    <n v="1"/>
  </r>
  <r>
    <x v="1386"/>
    <s v="USR-00345"/>
    <s v="SES-2606-64194"/>
    <x v="511"/>
    <s v="Yorkshire &amp; Humber"/>
    <s v="Leeds"/>
    <x v="4"/>
    <x v="2"/>
    <x v="0"/>
    <s v="Android"/>
    <s v="Android Phone"/>
    <s v="1-2 years"/>
    <x v="0"/>
    <x v="1"/>
    <x v="8"/>
    <s v="Trial/Exploration"/>
    <s v="No Experiment"/>
    <s v="Control"/>
    <n v="5"/>
    <n v="4"/>
    <n v="230"/>
    <s v="Yes"/>
    <x v="1"/>
    <x v="1"/>
    <x v="1"/>
    <x v="0"/>
    <n v="59.68"/>
    <x v="0"/>
    <x v="0"/>
    <s v="No Support Contact"/>
    <s v="No"/>
    <s v="No Support Contact"/>
    <s v="Not Applicable"/>
    <m/>
    <s v="Unexpected fee"/>
    <n v="3"/>
    <n v="-8"/>
    <n v="32"/>
    <x v="1"/>
    <n v="0"/>
    <n v="1"/>
    <n v="0"/>
    <n v="1"/>
  </r>
  <r>
    <x v="1387"/>
    <s v="USR-00486"/>
    <s v="SES-2606-60663"/>
    <x v="485"/>
    <s v="Yorkshire &amp; Humber"/>
    <s v="Sheffield"/>
    <x v="7"/>
    <x v="0"/>
    <x v="1"/>
    <s v="Android"/>
    <s v="Android Phone"/>
    <s v="3-6 months"/>
    <x v="1"/>
    <x v="1"/>
    <x v="5"/>
    <s v="Reactivated"/>
    <s v="No Experiment"/>
    <s v="Control"/>
    <n v="8"/>
    <n v="8"/>
    <n v="193"/>
    <s v="No"/>
    <x v="1"/>
    <x v="1"/>
    <x v="1"/>
    <x v="0"/>
    <n v="373.34"/>
    <x v="47"/>
    <x v="1"/>
    <s v="No Support Contact"/>
    <s v="No"/>
    <s v="No Support Contact"/>
    <s v="Not Applicable"/>
    <m/>
    <s v="Technical error"/>
    <n v="4"/>
    <n v="33"/>
    <n v="56"/>
    <x v="1"/>
    <n v="0"/>
    <n v="1"/>
    <n v="0"/>
    <n v="1"/>
  </r>
  <r>
    <x v="1388"/>
    <s v="USR-00638"/>
    <s v="SES-2606-13905"/>
    <x v="107"/>
    <s v="South West"/>
    <s v="Exeter"/>
    <x v="2"/>
    <x v="2"/>
    <x v="1"/>
    <s v="Android"/>
    <s v="Android Phone"/>
    <s v="2+ years"/>
    <x v="0"/>
    <x v="7"/>
    <x v="7"/>
    <s v="Reactivated"/>
    <s v="Simplified Onboarding"/>
    <s v="Control"/>
    <n v="4"/>
    <n v="4"/>
    <n v="86"/>
    <s v="Yes"/>
    <x v="1"/>
    <x v="1"/>
    <x v="1"/>
    <x v="0"/>
    <n v="62.92"/>
    <x v="42"/>
    <x v="0"/>
    <s v="No Support Contact"/>
    <s v="No"/>
    <s v="No Support Contact"/>
    <s v="Not Applicable"/>
    <m/>
    <s v="No drop-off"/>
    <n v="5"/>
    <n v="35"/>
    <n v="11"/>
    <x v="1"/>
    <n v="0"/>
    <n v="1"/>
    <n v="0"/>
    <n v="1"/>
  </r>
  <r>
    <x v="1389"/>
    <s v="USR-00478"/>
    <s v="SES-2606-35918"/>
    <x v="393"/>
    <s v="North East"/>
    <s v="Middlesbrough"/>
    <x v="1"/>
    <x v="0"/>
    <x v="0"/>
    <s v="Android"/>
    <s v="Android Phone"/>
    <s v="7-12 months"/>
    <x v="1"/>
    <x v="2"/>
    <x v="1"/>
    <s v="Repeat Use"/>
    <s v="No Experiment"/>
    <s v="Control"/>
    <n v="4"/>
    <n v="4"/>
    <n v="194"/>
    <s v="No"/>
    <x v="0"/>
    <x v="1"/>
    <x v="1"/>
    <x v="0"/>
    <n v="141.36000000000001"/>
    <x v="25"/>
    <x v="1"/>
    <s v="Feature Navigation"/>
    <s v="Yes"/>
    <s v="Feature Navigation"/>
    <s v="Resolved"/>
    <n v="26"/>
    <s v="No drop-off"/>
    <n v="4"/>
    <n v="-22"/>
    <n v="68"/>
    <x v="1"/>
    <n v="1"/>
    <n v="1"/>
    <n v="0"/>
    <n v="1"/>
  </r>
  <r>
    <x v="1390"/>
    <s v="USR-00268"/>
    <s v="SES-2606-77620"/>
    <x v="512"/>
    <s v="North West"/>
    <s v="Chester"/>
    <x v="0"/>
    <x v="0"/>
    <x v="1"/>
    <s v="Android"/>
    <s v="Android Phone"/>
    <s v="7-12 months"/>
    <x v="2"/>
    <x v="4"/>
    <x v="5"/>
    <s v="Repeat Use"/>
    <s v="Simplified Onboarding"/>
    <s v="Treatment"/>
    <n v="8"/>
    <s v="8 steps"/>
    <n v="140"/>
    <s v="No"/>
    <x v="1"/>
    <x v="1"/>
    <x v="1"/>
    <x v="0"/>
    <n v="418.99"/>
    <x v="73"/>
    <x v="2"/>
    <s v="No Support Contact"/>
    <s v="No"/>
    <s v="No Support Contact"/>
    <s v="Not Applicable"/>
    <m/>
    <s v="No drop-off"/>
    <n v="5"/>
    <n v="49"/>
    <n v="85"/>
    <x v="1"/>
    <n v="0"/>
    <n v="1"/>
    <n v="0"/>
    <n v="1"/>
  </r>
  <r>
    <x v="1391"/>
    <s v="USR-00474"/>
    <s v="SES-2606-50102"/>
    <x v="347"/>
    <s v="East England"/>
    <s v="Cambridge"/>
    <x v="3"/>
    <x v="0"/>
    <x v="1"/>
    <s v="Android"/>
    <s v="Android Phone"/>
    <s v="7-12 months"/>
    <x v="1"/>
    <x v="5"/>
    <x v="7"/>
    <s v="First Use"/>
    <s v="Progress Indicator"/>
    <s v="Control"/>
    <n v="4"/>
    <s v="4 steps"/>
    <n v="129"/>
    <s v="No"/>
    <x v="0"/>
    <x v="1"/>
    <x v="1"/>
    <x v="0"/>
    <n v="46.76"/>
    <x v="20"/>
    <x v="1"/>
    <s v="No Support Contact"/>
    <s v="No"/>
    <s v="No Support Contact"/>
    <s v="Not Applicable"/>
    <m/>
    <s v="No drop-off"/>
    <n v="4"/>
    <n v="52"/>
    <n v="11"/>
    <x v="1"/>
    <n v="1"/>
    <n v="1"/>
    <n v="0"/>
    <n v="1"/>
  </r>
  <r>
    <x v="1392"/>
    <s v="USR-00314"/>
    <s v="SES-2606-85990"/>
    <x v="500"/>
    <s v="South West"/>
    <s v="Bath"/>
    <x v="0"/>
    <x v="0"/>
    <x v="1"/>
    <s v="Android"/>
    <s v="Android Phone"/>
    <s v="1-2 years"/>
    <x v="0"/>
    <x v="0"/>
    <x v="3"/>
    <s v="First Use"/>
    <s v="No Experiment"/>
    <s v="Control"/>
    <n v="6"/>
    <n v="3"/>
    <n v="276"/>
    <s v="Yes"/>
    <x v="1"/>
    <x v="1"/>
    <x v="1"/>
    <x v="0"/>
    <n v="112.89"/>
    <x v="17"/>
    <x v="0"/>
    <s v="No Support Contact"/>
    <s v="No"/>
    <s v="No Support Contact"/>
    <s v="Not Applicable"/>
    <m/>
    <s v="Too many steps"/>
    <n v="4"/>
    <n v="-12"/>
    <n v="20"/>
    <x v="0"/>
    <n v="0"/>
    <n v="1"/>
    <n v="0"/>
    <n v="0"/>
  </r>
  <r>
    <x v="1393"/>
    <s v="USR-00659"/>
    <s v="SES-2606-29856"/>
    <x v="103"/>
    <s v="South East"/>
    <s v="Reading"/>
    <x v="5"/>
    <x v="1"/>
    <x v="1"/>
    <s v="Ios"/>
    <s v="Iphone"/>
    <s v="7-12 months"/>
    <x v="1"/>
    <x v="1"/>
    <x v="9"/>
    <s v="First Use"/>
    <s v="Simplified Onboarding"/>
    <s v="Treatment"/>
    <n v="5"/>
    <n v="5"/>
    <n v="113"/>
    <s v="No"/>
    <x v="1"/>
    <x v="1"/>
    <x v="1"/>
    <x v="0"/>
    <n v="14.49"/>
    <x v="0"/>
    <x v="1"/>
    <s v="No Support Contact"/>
    <s v="No"/>
    <s v="No Support Contact"/>
    <s v="Not Applicable"/>
    <m/>
    <s v="No drop-off"/>
    <n v="4"/>
    <n v="22"/>
    <n v="10"/>
    <x v="1"/>
    <n v="0"/>
    <n v="1"/>
    <n v="0"/>
    <n v="1"/>
  </r>
  <r>
    <x v="1394"/>
    <s v="USR-00846"/>
    <s v="SES-2606-67573"/>
    <x v="508"/>
    <s v="South East"/>
    <s v="Brighton"/>
    <x v="5"/>
    <x v="0"/>
    <x v="1"/>
    <s v="Ios"/>
    <s v="Iphone"/>
    <s v="1-2 years"/>
    <x v="1"/>
    <x v="1"/>
    <x v="0"/>
    <s v="First Use"/>
    <s v="No Experiment"/>
    <s v="Control"/>
    <n v="7"/>
    <n v="6"/>
    <n v="227"/>
    <s v="Yes"/>
    <x v="1"/>
    <x v="1"/>
    <x v="1"/>
    <x v="1"/>
    <n v="0"/>
    <x v="0"/>
    <x v="0"/>
    <s v="No Support Contact"/>
    <s v="No"/>
    <s v="No Support Contact"/>
    <s v="Not Applicable"/>
    <m/>
    <s v="Too many steps"/>
    <n v="2"/>
    <n v="-10"/>
    <n v="3"/>
    <x v="0"/>
    <n v="0"/>
    <n v="0"/>
    <n v="0"/>
    <n v="0"/>
  </r>
  <r>
    <x v="1395"/>
    <s v="USR-00632"/>
    <s v="SES-2606-89664"/>
    <x v="477"/>
    <s v="East England"/>
    <s v="Luton"/>
    <x v="0"/>
    <x v="0"/>
    <x v="0"/>
    <s v="Android"/>
    <s v="Android Tablet"/>
    <s v="3-6 months"/>
    <x v="0"/>
    <x v="4"/>
    <x v="4"/>
    <s v="Repeat Use"/>
    <s v="No Experiment"/>
    <s v="Control"/>
    <n v="6"/>
    <n v="6"/>
    <n v="195"/>
    <s v="No"/>
    <x v="1"/>
    <x v="0"/>
    <x v="5"/>
    <x v="0"/>
    <n v="37.82"/>
    <x v="0"/>
    <x v="0"/>
    <s v="No Support Contact"/>
    <s v="No"/>
    <s v="No Support Contact"/>
    <s v="Not Applicable"/>
    <m/>
    <s v="No drop-off"/>
    <n v="3"/>
    <n v="6"/>
    <s v="78 days"/>
    <x v="0"/>
    <n v="0"/>
    <n v="1"/>
    <n v="1"/>
    <n v="0"/>
  </r>
  <r>
    <x v="1396"/>
    <s v="USR-00268"/>
    <s v="SES-2606-84123"/>
    <x v="513"/>
    <s v="West Midlands"/>
    <s v="Solihull"/>
    <x v="3"/>
    <x v="4"/>
    <x v="0"/>
    <s v="Ios"/>
    <s v="Ipad"/>
    <s v="1-2 years"/>
    <x v="0"/>
    <x v="1"/>
    <x v="1"/>
    <s v="First Use"/>
    <s v="No Experiment"/>
    <s v="Control"/>
    <n v="4"/>
    <n v="4"/>
    <n v="204"/>
    <s v="Yes"/>
    <x v="0"/>
    <x v="0"/>
    <x v="3"/>
    <x v="0"/>
    <n v="165.09"/>
    <x v="25"/>
    <x v="0"/>
    <s v="Transaction Failure"/>
    <s v="Yes"/>
    <s v="Transaction Failure"/>
    <s v="Resolved"/>
    <n v="37"/>
    <s v="No drop-off"/>
    <n v="3"/>
    <n v="27"/>
    <n v="2"/>
    <x v="1"/>
    <n v="1"/>
    <n v="1"/>
    <n v="1"/>
    <n v="1"/>
  </r>
  <r>
    <x v="1397"/>
    <s v="USR-00467"/>
    <s v="SES-2606-93529"/>
    <x v="477"/>
    <s v="Scotland"/>
    <s v="Glasgow"/>
    <x v="2"/>
    <x v="1"/>
    <x v="0"/>
    <s v="Ios"/>
    <s v="Iphone"/>
    <s v="&lt;3 months"/>
    <x v="1"/>
    <x v="1"/>
    <x v="3"/>
    <s v="Repeat Use"/>
    <s v="Fee Transparency Panel"/>
    <s v="Treatment"/>
    <n v="6"/>
    <n v="6"/>
    <n v="249"/>
    <s v="No"/>
    <x v="1"/>
    <x v="0"/>
    <x v="15"/>
    <x v="1"/>
    <n v="0"/>
    <x v="0"/>
    <x v="0"/>
    <s v="No Support Contact"/>
    <s v="No"/>
    <s v="No Support Contact"/>
    <s v="Not Applicable"/>
    <m/>
    <s v="No drop-off"/>
    <n v="3"/>
    <n v="14"/>
    <n v="15"/>
    <x v="1"/>
    <n v="0"/>
    <n v="0"/>
    <n v="1"/>
    <n v="1"/>
  </r>
  <r>
    <x v="1398"/>
    <s v="USR-00345"/>
    <s v="SES-2606-41199"/>
    <x v="460"/>
    <s v="Scotland"/>
    <s v="Aberdeen"/>
    <x v="0"/>
    <x v="3"/>
    <x v="0"/>
    <s v="Android"/>
    <s v="Android Phone"/>
    <s v="3-6 months"/>
    <x v="0"/>
    <x v="2"/>
    <x v="5"/>
    <s v="Repeat Use"/>
    <s v="Simplified Onboarding"/>
    <s v="Treatment"/>
    <n v="8"/>
    <n v="8"/>
    <n v="245"/>
    <s v="No"/>
    <x v="0"/>
    <x v="1"/>
    <x v="1"/>
    <x v="1"/>
    <n v="0"/>
    <x v="0"/>
    <x v="0"/>
    <s v="Feature Navigation"/>
    <s v="Yes"/>
    <s v="Feature Navigation"/>
    <s v="Resolved"/>
    <n v="42"/>
    <s v="No drop-off"/>
    <n v="5"/>
    <n v="10"/>
    <n v="51"/>
    <x v="1"/>
    <n v="1"/>
    <n v="0"/>
    <n v="0"/>
    <n v="1"/>
  </r>
  <r>
    <x v="1399"/>
    <s v="USR-00169"/>
    <s v="SES-2606-56061"/>
    <x v="512"/>
    <s v="North West"/>
    <s v="Preston"/>
    <x v="3"/>
    <x v="1"/>
    <x v="1"/>
    <s v="Android"/>
    <s v="Android Phone"/>
    <s v="&lt;3 months"/>
    <x v="2"/>
    <x v="5"/>
    <x v="1"/>
    <s v="Trial/Exploration"/>
    <s v="Simplified Onboarding"/>
    <s v="Control"/>
    <n v="4"/>
    <n v="4"/>
    <n v="120"/>
    <s v="No"/>
    <x v="0"/>
    <x v="1"/>
    <x v="1"/>
    <x v="1"/>
    <n v="0"/>
    <x v="0"/>
    <x v="0"/>
    <s v="No Support Contact"/>
    <s v="No"/>
    <s v="No Support Contact"/>
    <s v="Not Applicable"/>
    <m/>
    <s v="No drop-off"/>
    <n v="5"/>
    <n v="52"/>
    <n v="58"/>
    <x v="1"/>
    <n v="1"/>
    <n v="0"/>
    <n v="0"/>
    <n v="1"/>
  </r>
  <r>
    <x v="1400"/>
    <s v="USR-00041"/>
    <s v="SES-2606-51991"/>
    <x v="460"/>
    <s v="South East"/>
    <s v="Brighton"/>
    <x v="0"/>
    <x v="2"/>
    <x v="0"/>
    <s v="Android"/>
    <s v="Android Phone"/>
    <s v="&lt;3 months"/>
    <x v="0"/>
    <x v="5"/>
    <x v="0"/>
    <s v="Reactivated"/>
    <s v="No Experiment"/>
    <s v="Control"/>
    <n v="7"/>
    <n v="7"/>
    <n v="140"/>
    <s v="Yes"/>
    <x v="1"/>
    <x v="1"/>
    <x v="1"/>
    <x v="1"/>
    <n v="0"/>
    <x v="0"/>
    <x v="0"/>
    <s v="No Support Contact"/>
    <s v="No"/>
    <s v="No Support Contact"/>
    <s v="Not Applicable"/>
    <m/>
    <s v="Too many steps"/>
    <n v="3"/>
    <n v="35"/>
    <n v="8"/>
    <x v="0"/>
    <n v="0"/>
    <n v="0"/>
    <n v="0"/>
    <n v="0"/>
  </r>
  <r>
    <x v="1401"/>
    <m/>
    <m/>
    <x v="514"/>
    <m/>
    <m/>
    <x v="8"/>
    <x v="6"/>
    <x v="5"/>
    <m/>
    <m/>
    <m/>
    <x v="6"/>
    <x v="9"/>
    <x v="11"/>
    <m/>
    <m/>
    <m/>
    <m/>
    <m/>
    <m/>
    <m/>
    <x v="2"/>
    <x v="3"/>
    <x v="34"/>
    <x v="3"/>
    <m/>
    <x v="90"/>
    <x v="3"/>
    <m/>
    <m/>
    <m/>
    <m/>
    <m/>
    <m/>
    <m/>
    <m/>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8693A5-131E-4FA7-A9DC-FFF1A35554B6}" name="PivotTable6"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Features">
  <location ref="A173:K185" firstHeaderRow="1" firstDataRow="3" firstDataCol="1"/>
  <pivotFields count="46">
    <pivotField showAll="0">
      <items count="1403">
        <item x="1164"/>
        <item x="956"/>
        <item x="694"/>
        <item x="529"/>
        <item x="736"/>
        <item x="799"/>
        <item x="1013"/>
        <item x="471"/>
        <item x="430"/>
        <item x="839"/>
        <item x="722"/>
        <item x="1096"/>
        <item x="850"/>
        <item x="12"/>
        <item x="401"/>
        <item x="607"/>
        <item x="439"/>
        <item x="645"/>
        <item x="1174"/>
        <item x="866"/>
        <item x="109"/>
        <item x="1081"/>
        <item x="633"/>
        <item x="1082"/>
        <item x="463"/>
        <item x="227"/>
        <item x="304"/>
        <item x="535"/>
        <item x="938"/>
        <item x="1071"/>
        <item x="1150"/>
        <item x="343"/>
        <item x="683"/>
        <item x="1286"/>
        <item x="281"/>
        <item x="1329"/>
        <item x="690"/>
        <item x="500"/>
        <item x="549"/>
        <item x="95"/>
        <item x="1004"/>
        <item x="365"/>
        <item x="132"/>
        <item x="1094"/>
        <item x="902"/>
        <item x="66"/>
        <item x="517"/>
        <item x="710"/>
        <item x="71"/>
        <item x="1259"/>
        <item x="1010"/>
        <item x="1218"/>
        <item x="678"/>
        <item x="1060"/>
        <item x="1322"/>
        <item x="398"/>
        <item x="684"/>
        <item x="182"/>
        <item x="876"/>
        <item x="765"/>
        <item x="993"/>
        <item x="126"/>
        <item x="361"/>
        <item x="49"/>
        <item x="1169"/>
        <item x="916"/>
        <item x="927"/>
        <item x="644"/>
        <item x="795"/>
        <item x="74"/>
        <item x="620"/>
        <item x="192"/>
        <item x="120"/>
        <item x="111"/>
        <item x="596"/>
        <item x="912"/>
        <item x="883"/>
        <item x="1002"/>
        <item x="1282"/>
        <item x="1264"/>
        <item x="897"/>
        <item x="241"/>
        <item x="1015"/>
        <item x="1145"/>
        <item x="932"/>
        <item x="739"/>
        <item x="385"/>
        <item x="522"/>
        <item x="280"/>
        <item x="354"/>
        <item x="625"/>
        <item x="1040"/>
        <item x="207"/>
        <item x="1366"/>
        <item x="179"/>
        <item x="800"/>
        <item x="1114"/>
        <item x="344"/>
        <item x="1196"/>
        <item x="1296"/>
        <item x="318"/>
        <item x="277"/>
        <item x="478"/>
        <item x="94"/>
        <item x="15"/>
        <item x="616"/>
        <item x="1235"/>
        <item x="1350"/>
        <item x="571"/>
        <item x="877"/>
        <item x="1363"/>
        <item x="9"/>
        <item x="714"/>
        <item x="302"/>
        <item x="962"/>
        <item x="1068"/>
        <item x="511"/>
        <item x="1161"/>
        <item x="624"/>
        <item x="1180"/>
        <item x="967"/>
        <item x="971"/>
        <item x="402"/>
        <item x="1152"/>
        <item x="352"/>
        <item x="664"/>
        <item x="1297"/>
        <item x="588"/>
        <item x="1226"/>
        <item x="312"/>
        <item x="196"/>
        <item x="457"/>
        <item x="173"/>
        <item x="1157"/>
        <item x="1062"/>
        <item x="954"/>
        <item x="1331"/>
        <item x="1177"/>
        <item x="1089"/>
        <item x="1139"/>
        <item x="492"/>
        <item x="406"/>
        <item x="742"/>
        <item x="1080"/>
        <item x="1122"/>
        <item x="1175"/>
        <item x="643"/>
        <item x="1335"/>
        <item x="639"/>
        <item x="363"/>
        <item x="909"/>
        <item x="1103"/>
        <item x="1304"/>
        <item x="486"/>
        <item x="1251"/>
        <item x="700"/>
        <item x="921"/>
        <item x="1057"/>
        <item x="925"/>
        <item x="978"/>
        <item x="562"/>
        <item x="899"/>
        <item x="1036"/>
        <item x="601"/>
        <item x="92"/>
        <item x="332"/>
        <item x="713"/>
        <item x="766"/>
        <item x="409"/>
        <item x="446"/>
        <item x="214"/>
        <item x="966"/>
        <item x="106"/>
        <item x="262"/>
        <item x="264"/>
        <item x="1086"/>
        <item x="1306"/>
        <item x="1211"/>
        <item x="934"/>
        <item x="1138"/>
        <item x="112"/>
        <item x="732"/>
        <item x="963"/>
        <item x="695"/>
        <item x="979"/>
        <item x="62"/>
        <item x="1338"/>
        <item x="1147"/>
        <item x="202"/>
        <item x="381"/>
        <item x="754"/>
        <item x="973"/>
        <item x="783"/>
        <item x="1097"/>
        <item x="105"/>
        <item x="183"/>
        <item x="693"/>
        <item x="603"/>
        <item x="547"/>
        <item x="242"/>
        <item x="665"/>
        <item x="653"/>
        <item x="659"/>
        <item x="1016"/>
        <item x="1100"/>
        <item x="447"/>
        <item x="531"/>
        <item x="40"/>
        <item x="1116"/>
        <item x="672"/>
        <item x="989"/>
        <item x="1201"/>
        <item x="514"/>
        <item x="450"/>
        <item x="734"/>
        <item x="24"/>
        <item x="530"/>
        <item x="520"/>
        <item x="1354"/>
        <item x="346"/>
        <item x="1324"/>
        <item x="1298"/>
        <item x="451"/>
        <item x="496"/>
        <item x="4"/>
        <item x="1223"/>
        <item x="504"/>
        <item x="875"/>
        <item x="356"/>
        <item x="288"/>
        <item x="386"/>
        <item x="167"/>
        <item x="292"/>
        <item x="10"/>
        <item x="787"/>
        <item x="712"/>
        <item x="303"/>
        <item x="433"/>
        <item x="429"/>
        <item x="894"/>
        <item x="1093"/>
        <item x="1369"/>
        <item x="1208"/>
        <item x="943"/>
        <item x="437"/>
        <item x="243"/>
        <item x="1254"/>
        <item x="382"/>
        <item x="378"/>
        <item x="1072"/>
        <item x="619"/>
        <item x="888"/>
        <item x="887"/>
        <item x="952"/>
        <item x="213"/>
        <item x="676"/>
        <item x="359"/>
        <item x="1294"/>
        <item x="291"/>
        <item x="107"/>
        <item x="321"/>
        <item x="336"/>
        <item x="384"/>
        <item x="1261"/>
        <item x="612"/>
        <item x="1030"/>
        <item x="1153"/>
        <item x="1076"/>
        <item x="871"/>
        <item x="844"/>
        <item x="1270"/>
        <item x="422"/>
        <item x="44"/>
        <item x="488"/>
        <item x="914"/>
        <item x="1310"/>
        <item x="998"/>
        <item x="301"/>
        <item x="263"/>
        <item x="1108"/>
        <item x="272"/>
        <item x="890"/>
        <item x="38"/>
        <item x="735"/>
        <item x="21"/>
        <item x="1228"/>
        <item x="1292"/>
        <item x="884"/>
        <item x="1105"/>
        <item x="761"/>
        <item x="220"/>
        <item x="1176"/>
        <item x="65"/>
        <item x="181"/>
        <item x="459"/>
        <item x="1206"/>
        <item x="1091"/>
        <item x="143"/>
        <item x="768"/>
        <item x="910"/>
        <item x="1266"/>
        <item x="510"/>
        <item x="371"/>
        <item x="222"/>
        <item x="781"/>
        <item x="827"/>
        <item x="234"/>
        <item x="129"/>
        <item x="34"/>
        <item x="563"/>
        <item x="1087"/>
        <item x="137"/>
        <item x="582"/>
        <item x="752"/>
        <item x="669"/>
        <item x="506"/>
        <item x="54"/>
        <item x="156"/>
        <item x="1313"/>
        <item x="255"/>
        <item x="709"/>
        <item x="614"/>
        <item x="744"/>
        <item x="1165"/>
        <item x="162"/>
        <item x="236"/>
        <item x="383"/>
        <item x="260"/>
        <item x="358"/>
        <item x="1185"/>
        <item x="1132"/>
        <item x="1247"/>
        <item x="423"/>
        <item x="479"/>
        <item x="158"/>
        <item x="1008"/>
        <item x="60"/>
        <item x="1293"/>
        <item x="305"/>
        <item x="436"/>
        <item x="702"/>
        <item x="96"/>
        <item x="349"/>
        <item x="1162"/>
        <item x="880"/>
        <item x="840"/>
        <item x="634"/>
        <item x="1356"/>
        <item x="1309"/>
        <item x="477"/>
        <item x="209"/>
        <item x="335"/>
        <item x="77"/>
        <item x="1127"/>
        <item x="1325"/>
        <item x="493"/>
        <item x="638"/>
        <item x="1135"/>
        <item x="1197"/>
        <item x="269"/>
        <item x="1227"/>
        <item x="537"/>
        <item x="224"/>
        <item x="570"/>
        <item x="454"/>
        <item x="309"/>
        <item x="1219"/>
        <item x="1"/>
        <item x="838"/>
        <item x="1133"/>
        <item x="1321"/>
        <item x="472"/>
        <item x="982"/>
        <item x="578"/>
        <item x="22"/>
        <item x="1005"/>
        <item x="1102"/>
        <item x="1034"/>
        <item x="854"/>
        <item x="75"/>
        <item x="928"/>
        <item x="372"/>
        <item x="776"/>
        <item x="753"/>
        <item x="1192"/>
        <item x="1205"/>
        <item x="552"/>
        <item x="553"/>
        <item x="1178"/>
        <item x="121"/>
        <item x="1020"/>
        <item x="953"/>
        <item x="400"/>
        <item x="248"/>
        <item x="869"/>
        <item x="1198"/>
        <item x="647"/>
        <item x="846"/>
        <item x="687"/>
        <item x="1352"/>
        <item x="1222"/>
        <item x="169"/>
        <item x="418"/>
        <item x="88"/>
        <item x="405"/>
        <item x="1364"/>
        <item x="1344"/>
        <item x="1136"/>
        <item x="701"/>
        <item x="278"/>
        <item x="141"/>
        <item x="18"/>
        <item x="1050"/>
        <item x="6"/>
        <item x="939"/>
        <item x="11"/>
        <item x="544"/>
        <item x="155"/>
        <item x="1367"/>
        <item x="194"/>
        <item x="27"/>
        <item x="494"/>
        <item x="319"/>
        <item x="533"/>
        <item x="201"/>
        <item x="404"/>
        <item x="1224"/>
        <item x="572"/>
        <item x="1262"/>
        <item x="1289"/>
        <item x="1098"/>
        <item x="1077"/>
        <item x="748"/>
        <item x="1237"/>
        <item x="1269"/>
        <item x="98"/>
        <item x="1019"/>
        <item x="699"/>
        <item x="165"/>
        <item x="540"/>
        <item x="855"/>
        <item x="782"/>
        <item x="1230"/>
        <item x="545"/>
        <item x="313"/>
        <item x="1053"/>
        <item x="608"/>
        <item x="631"/>
        <item x="1307"/>
        <item x="211"/>
        <item x="69"/>
        <item x="1170"/>
        <item x="1283"/>
        <item x="480"/>
        <item x="218"/>
        <item x="415"/>
        <item x="1337"/>
        <item x="1353"/>
        <item x="981"/>
        <item x="1281"/>
        <item x="824"/>
        <item x="1155"/>
        <item x="135"/>
        <item x="205"/>
        <item x="655"/>
        <item x="154"/>
        <item x="484"/>
        <item x="542"/>
        <item x="895"/>
        <item x="166"/>
        <item x="558"/>
        <item x="992"/>
        <item x="816"/>
        <item x="573"/>
        <item x="1339"/>
        <item x="720"/>
        <item x="1039"/>
        <item x="1314"/>
        <item x="1067"/>
        <item x="1092"/>
        <item x="298"/>
        <item x="637"/>
        <item x="195"/>
        <item x="1014"/>
        <item x="410"/>
        <item x="1365"/>
        <item x="935"/>
        <item x="1199"/>
        <item x="703"/>
        <item x="148"/>
        <item x="675"/>
        <item x="475"/>
        <item x="1059"/>
        <item x="1221"/>
        <item x="466"/>
        <item x="589"/>
        <item x="660"/>
        <item x="1305"/>
        <item x="698"/>
        <item x="48"/>
        <item x="468"/>
        <item x="587"/>
        <item x="1240"/>
        <item x="136"/>
        <item x="152"/>
        <item x="164"/>
        <item x="892"/>
        <item x="276"/>
        <item x="577"/>
        <item x="93"/>
        <item x="918"/>
        <item x="611"/>
        <item x="842"/>
        <item x="646"/>
        <item x="991"/>
        <item x="1074"/>
        <item x="648"/>
        <item x="1129"/>
        <item x="64"/>
        <item x="149"/>
        <item x="1345"/>
        <item x="882"/>
        <item x="8"/>
        <item x="729"/>
        <item x="576"/>
        <item x="803"/>
        <item x="1312"/>
        <item x="777"/>
        <item x="389"/>
        <item x="813"/>
        <item x="63"/>
        <item x="508"/>
        <item x="574"/>
        <item x="1276"/>
        <item x="592"/>
        <item x="815"/>
        <item x="449"/>
        <item x="970"/>
        <item x="904"/>
        <item x="249"/>
        <item x="1334"/>
        <item x="507"/>
        <item x="528"/>
        <item x="1123"/>
        <item x="1275"/>
        <item x="933"/>
        <item x="286"/>
        <item x="807"/>
        <item x="395"/>
        <item x="960"/>
        <item x="1346"/>
        <item x="1274"/>
        <item x="551"/>
        <item x="311"/>
        <item x="893"/>
        <item x="390"/>
        <item x="1061"/>
        <item x="878"/>
        <item x="411"/>
        <item x="1340"/>
        <item x="602"/>
        <item x="955"/>
        <item x="538"/>
        <item x="1021"/>
        <item x="937"/>
        <item x="79"/>
        <item x="1242"/>
        <item x="299"/>
        <item x="564"/>
        <item x="432"/>
        <item x="1204"/>
        <item x="1033"/>
        <item x="1022"/>
        <item x="442"/>
        <item x="72"/>
        <item x="858"/>
        <item x="1163"/>
        <item x="379"/>
        <item x="599"/>
        <item x="738"/>
        <item x="1246"/>
        <item x="274"/>
        <item x="543"/>
        <item x="1107"/>
        <item x="1260"/>
        <item x="583"/>
        <item x="503"/>
        <item x="828"/>
        <item x="903"/>
        <item x="636"/>
        <item x="929"/>
        <item x="250"/>
        <item x="924"/>
        <item x="1358"/>
        <item x="805"/>
        <item x="1141"/>
        <item x="345"/>
        <item x="3"/>
        <item x="151"/>
        <item x="959"/>
        <item x="650"/>
        <item x="941"/>
        <item x="1029"/>
        <item x="536"/>
        <item x="28"/>
        <item x="546"/>
        <item x="331"/>
        <item x="931"/>
        <item x="630"/>
        <item x="915"/>
        <item x="273"/>
        <item x="819"/>
        <item x="1160"/>
        <item x="1347"/>
        <item x="19"/>
        <item x="53"/>
        <item x="1301"/>
        <item x="789"/>
        <item x="5"/>
        <item x="455"/>
        <item x="427"/>
        <item x="481"/>
        <item x="1209"/>
        <item x="826"/>
        <item x="930"/>
        <item x="1126"/>
        <item x="512"/>
        <item x="317"/>
        <item x="374"/>
        <item x="1291"/>
        <item x="657"/>
        <item x="622"/>
        <item x="78"/>
        <item x="1326"/>
        <item x="788"/>
        <item x="1069"/>
        <item x="994"/>
        <item x="245"/>
        <item x="485"/>
        <item x="114"/>
        <item x="593"/>
        <item x="1187"/>
        <item x="223"/>
        <item x="597"/>
        <item x="919"/>
        <item x="258"/>
        <item x="419"/>
        <item x="1106"/>
        <item x="1299"/>
        <item x="769"/>
        <item x="1018"/>
        <item x="1277"/>
        <item x="294"/>
        <item x="369"/>
        <item x="487"/>
        <item x="239"/>
        <item x="1115"/>
        <item x="974"/>
        <item x="445"/>
        <item x="1117"/>
        <item x="1189"/>
        <item x="523"/>
        <item x="1280"/>
        <item x="499"/>
        <item x="717"/>
        <item x="947"/>
        <item x="470"/>
        <item x="1244"/>
        <item x="1037"/>
        <item x="43"/>
        <item x="949"/>
        <item x="153"/>
        <item x="997"/>
        <item x="950"/>
        <item x="1234"/>
        <item x="1085"/>
        <item x="51"/>
        <item x="1066"/>
        <item x="174"/>
        <item x="913"/>
        <item x="229"/>
        <item x="832"/>
        <item x="144"/>
        <item x="81"/>
        <item x="293"/>
        <item x="662"/>
        <item x="818"/>
        <item x="814"/>
        <item x="767"/>
        <item x="1323"/>
        <item x="594"/>
        <item x="1255"/>
        <item x="89"/>
        <item x="996"/>
        <item x="159"/>
        <item x="585"/>
        <item x="728"/>
        <item x="1272"/>
        <item x="718"/>
        <item x="219"/>
        <item x="841"/>
        <item x="124"/>
        <item x="628"/>
        <item x="1049"/>
        <item x="290"/>
        <item x="268"/>
        <item x="1130"/>
        <item x="393"/>
        <item x="230"/>
        <item x="460"/>
        <item x="1361"/>
        <item x="965"/>
        <item x="247"/>
        <item x="835"/>
        <item x="986"/>
        <item x="1315"/>
        <item x="922"/>
        <item x="327"/>
        <item x="1134"/>
        <item x="859"/>
        <item x="663"/>
        <item x="1210"/>
        <item x="1084"/>
        <item x="632"/>
        <item x="1236"/>
        <item x="829"/>
        <item x="640"/>
        <item x="525"/>
        <item x="833"/>
        <item x="334"/>
        <item x="130"/>
        <item x="775"/>
        <item x="708"/>
        <item x="101"/>
        <item x="604"/>
        <item x="772"/>
        <item x="1099"/>
        <item x="719"/>
        <item x="561"/>
        <item x="831"/>
        <item x="853"/>
        <item x="146"/>
        <item x="595"/>
        <item x="1044"/>
        <item x="1239"/>
        <item x="1287"/>
        <item x="617"/>
        <item x="820"/>
        <item x="1140"/>
        <item x="233"/>
        <item x="591"/>
        <item x="1143"/>
        <item x="91"/>
        <item x="809"/>
        <item x="755"/>
        <item x="412"/>
        <item x="940"/>
        <item x="730"/>
        <item x="176"/>
        <item x="175"/>
        <item x="1359"/>
        <item x="407"/>
        <item x="758"/>
        <item x="946"/>
        <item x="716"/>
        <item x="1025"/>
        <item x="794"/>
        <item x="170"/>
        <item x="1064"/>
        <item x="483"/>
        <item x="1217"/>
        <item x="86"/>
        <item x="873"/>
        <item x="605"/>
        <item x="740"/>
        <item x="1125"/>
        <item x="1042"/>
        <item x="1238"/>
        <item x="951"/>
        <item x="673"/>
        <item x="1320"/>
        <item x="1051"/>
        <item x="1308"/>
        <item x="1302"/>
        <item x="315"/>
        <item x="1241"/>
        <item x="123"/>
        <item x="516"/>
        <item x="686"/>
        <item x="750"/>
        <item x="1215"/>
        <item x="770"/>
        <item x="1009"/>
        <item x="527"/>
        <item x="711"/>
        <item x="774"/>
        <item x="1195"/>
        <item x="580"/>
        <item x="685"/>
        <item x="1017"/>
        <item x="228"/>
        <item x="57"/>
        <item x="747"/>
        <item x="518"/>
        <item x="751"/>
        <item x="726"/>
        <item x="56"/>
        <item x="550"/>
        <item x="1212"/>
        <item x="139"/>
        <item x="812"/>
        <item x="110"/>
        <item x="606"/>
        <item x="513"/>
        <item x="204"/>
        <item x="1317"/>
        <item x="104"/>
        <item x="284"/>
        <item x="654"/>
        <item x="521"/>
        <item x="36"/>
        <item x="707"/>
        <item x="579"/>
        <item x="1284"/>
        <item x="1109"/>
        <item x="199"/>
        <item x="635"/>
        <item x="1360"/>
        <item x="847"/>
        <item x="1229"/>
        <item x="266"/>
        <item x="282"/>
        <item x="658"/>
        <item x="133"/>
        <item x="1225"/>
        <item x="29"/>
        <item x="178"/>
        <item x="1362"/>
        <item x="83"/>
        <item x="1343"/>
        <item x="901"/>
        <item x="296"/>
        <item x="85"/>
        <item x="681"/>
        <item x="581"/>
        <item x="559"/>
        <item x="351"/>
        <item x="821"/>
        <item x="172"/>
        <item x="661"/>
        <item x="1026"/>
        <item x="414"/>
        <item x="566"/>
        <item x="330"/>
        <item x="671"/>
        <item x="347"/>
        <item x="403"/>
        <item x="1045"/>
        <item x="35"/>
        <item x="1120"/>
        <item x="14"/>
        <item x="889"/>
        <item x="786"/>
        <item x="1035"/>
        <item x="666"/>
        <item x="1248"/>
        <item x="1349"/>
        <item x="864"/>
        <item x="68"/>
        <item x="1023"/>
        <item x="804"/>
        <item x="150"/>
        <item x="942"/>
        <item x="300"/>
        <item x="458"/>
        <item x="677"/>
        <item x="1028"/>
        <item x="491"/>
        <item x="474"/>
        <item x="421"/>
        <item x="1142"/>
        <item x="501"/>
        <item x="267"/>
        <item x="495"/>
        <item x="1041"/>
        <item x="555"/>
        <item x="764"/>
        <item x="1118"/>
        <item x="355"/>
        <item x="1027"/>
        <item x="30"/>
        <item x="145"/>
        <item x="1265"/>
        <item x="333"/>
        <item x="1032"/>
        <item x="696"/>
        <item x="33"/>
        <item x="186"/>
        <item x="417"/>
        <item x="881"/>
        <item x="569"/>
        <item x="652"/>
        <item x="208"/>
        <item x="217"/>
        <item x="128"/>
        <item x="226"/>
        <item x="868"/>
        <item x="515"/>
        <item x="849"/>
        <item x="340"/>
        <item x="329"/>
        <item x="810"/>
        <item x="584"/>
        <item x="867"/>
        <item x="1336"/>
        <item x="125"/>
        <item x="366"/>
        <item x="428"/>
        <item x="1288"/>
        <item x="25"/>
        <item x="1047"/>
        <item x="353"/>
        <item x="1295"/>
        <item x="1171"/>
        <item x="375"/>
        <item x="61"/>
        <item x="388"/>
        <item x="1006"/>
        <item x="456"/>
        <item x="830"/>
        <item x="108"/>
        <item x="613"/>
        <item x="885"/>
        <item x="1191"/>
        <item x="23"/>
        <item x="103"/>
        <item x="756"/>
        <item x="679"/>
        <item x="350"/>
        <item x="131"/>
        <item x="13"/>
        <item x="307"/>
        <item x="509"/>
        <item x="798"/>
        <item x="1273"/>
        <item x="117"/>
        <item x="157"/>
        <item x="568"/>
        <item x="325"/>
        <item x="261"/>
        <item x="896"/>
        <item x="1268"/>
        <item x="360"/>
        <item x="482"/>
        <item x="801"/>
        <item x="791"/>
        <item x="215"/>
        <item x="502"/>
        <item x="37"/>
        <item x="802"/>
        <item x="364"/>
        <item x="198"/>
        <item x="497"/>
        <item x="1063"/>
        <item x="1148"/>
        <item x="357"/>
        <item x="435"/>
        <item x="848"/>
        <item x="741"/>
        <item x="163"/>
        <item x="134"/>
        <item x="1159"/>
        <item x="408"/>
        <item x="1181"/>
        <item x="1253"/>
        <item x="1233"/>
        <item x="1186"/>
        <item x="704"/>
        <item x="879"/>
        <item x="1179"/>
        <item x="1202"/>
        <item x="212"/>
        <item x="1348"/>
        <item x="1231"/>
        <item x="1083"/>
        <item x="2"/>
        <item x="396"/>
        <item x="1079"/>
        <item x="469"/>
        <item x="759"/>
        <item x="1121"/>
        <item x="806"/>
        <item x="380"/>
        <item x="431"/>
        <item x="532"/>
        <item x="118"/>
        <item x="567"/>
        <item x="32"/>
        <item x="851"/>
        <item x="434"/>
        <item x="308"/>
        <item x="796"/>
        <item x="188"/>
        <item x="1300"/>
        <item x="621"/>
        <item x="397"/>
        <item x="473"/>
        <item x="1168"/>
        <item x="1078"/>
        <item x="0"/>
        <item x="1357"/>
        <item x="906"/>
        <item x="1267"/>
        <item x="55"/>
        <item x="731"/>
        <item x="1327"/>
        <item x="238"/>
        <item x="680"/>
        <item x="253"/>
        <item x="1038"/>
        <item x="1213"/>
        <item x="724"/>
        <item x="773"/>
        <item x="691"/>
        <item x="784"/>
        <item x="524"/>
        <item x="348"/>
        <item x="917"/>
        <item x="715"/>
        <item x="190"/>
        <item x="980"/>
        <item x="1173"/>
        <item x="116"/>
        <item x="817"/>
        <item x="184"/>
        <item x="539"/>
        <item x="52"/>
        <item x="972"/>
        <item x="127"/>
        <item x="656"/>
        <item x="886"/>
        <item x="1144"/>
        <item x="185"/>
        <item x="1052"/>
        <item x="590"/>
        <item x="41"/>
        <item x="142"/>
        <item x="467"/>
        <item x="763"/>
        <item x="705"/>
        <item x="987"/>
        <item x="860"/>
        <item x="1193"/>
        <item x="641"/>
        <item x="187"/>
        <item x="957"/>
        <item x="323"/>
        <item x="87"/>
        <item x="1012"/>
        <item x="328"/>
        <item x="203"/>
        <item x="689"/>
        <item x="31"/>
        <item x="367"/>
        <item x="426"/>
        <item x="416"/>
        <item x="1055"/>
        <item x="905"/>
        <item x="808"/>
        <item x="1250"/>
        <item x="629"/>
        <item x="160"/>
        <item x="287"/>
        <item x="210"/>
        <item x="843"/>
        <item x="626"/>
        <item x="251"/>
        <item x="674"/>
        <item x="342"/>
        <item x="861"/>
        <item x="17"/>
        <item x="771"/>
        <item x="958"/>
        <item x="541"/>
        <item x="191"/>
        <item x="100"/>
        <item x="1104"/>
        <item x="197"/>
        <item x="948"/>
        <item x="911"/>
        <item x="46"/>
        <item x="1332"/>
        <item x="1048"/>
        <item x="392"/>
        <item x="310"/>
        <item x="651"/>
        <item x="642"/>
        <item x="373"/>
        <item x="825"/>
        <item x="1263"/>
        <item x="1149"/>
        <item x="945"/>
        <item x="1001"/>
        <item x="270"/>
        <item x="1328"/>
        <item x="1156"/>
        <item x="872"/>
        <item x="306"/>
        <item x="688"/>
        <item x="271"/>
        <item x="1214"/>
        <item x="1368"/>
        <item x="706"/>
        <item x="362"/>
        <item x="923"/>
        <item x="1258"/>
        <item x="1256"/>
        <item x="995"/>
        <item x="252"/>
        <item x="908"/>
        <item x="990"/>
        <item x="489"/>
        <item x="615"/>
        <item x="341"/>
        <item x="180"/>
        <item x="1003"/>
        <item x="968"/>
        <item x="73"/>
        <item x="322"/>
        <item x="39"/>
        <item x="618"/>
        <item x="42"/>
        <item x="1232"/>
        <item x="425"/>
        <item x="969"/>
        <item x="609"/>
        <item x="822"/>
        <item x="1065"/>
        <item x="1172"/>
        <item x="464"/>
        <item x="177"/>
        <item x="161"/>
        <item x="1112"/>
        <item x="476"/>
        <item x="16"/>
        <item x="59"/>
        <item x="667"/>
        <item x="548"/>
        <item x="256"/>
        <item x="852"/>
        <item x="727"/>
        <item x="898"/>
        <item x="985"/>
        <item x="863"/>
        <item x="102"/>
        <item x="376"/>
        <item x="265"/>
        <item x="1303"/>
        <item x="519"/>
        <item x="76"/>
        <item x="399"/>
        <item x="1167"/>
        <item x="975"/>
        <item x="498"/>
        <item x="1090"/>
        <item x="1318"/>
        <item x="189"/>
        <item x="976"/>
        <item x="1341"/>
        <item x="221"/>
        <item x="1194"/>
        <item x="692"/>
        <item x="627"/>
        <item x="837"/>
        <item x="444"/>
        <item x="122"/>
        <item x="138"/>
        <item x="1146"/>
        <item x="780"/>
        <item x="845"/>
        <item x="47"/>
        <item x="1190"/>
        <item x="240"/>
        <item x="556"/>
        <item x="1342"/>
        <item x="443"/>
        <item x="462"/>
        <item x="394"/>
        <item x="289"/>
        <item x="168"/>
        <item x="324"/>
        <item x="413"/>
        <item x="490"/>
        <item x="1245"/>
        <item x="823"/>
        <item x="565"/>
        <item x="610"/>
        <item x="984"/>
        <item x="1101"/>
        <item x="26"/>
        <item x="793"/>
        <item x="721"/>
        <item x="441"/>
        <item x="1110"/>
        <item x="733"/>
        <item x="797"/>
        <item x="757"/>
        <item x="1043"/>
        <item x="1007"/>
        <item x="526"/>
        <item x="99"/>
        <item x="45"/>
        <item x="1290"/>
        <item x="391"/>
        <item x="1333"/>
        <item x="1351"/>
        <item x="749"/>
        <item x="936"/>
        <item x="649"/>
        <item x="725"/>
        <item x="171"/>
        <item x="440"/>
        <item x="668"/>
        <item x="907"/>
        <item x="1203"/>
        <item x="874"/>
        <item x="1056"/>
        <item x="944"/>
        <item x="534"/>
        <item x="1216"/>
        <item x="1182"/>
        <item x="505"/>
        <item x="1154"/>
        <item x="623"/>
        <item x="891"/>
        <item x="259"/>
        <item x="1166"/>
        <item x="737"/>
        <item x="1073"/>
        <item x="225"/>
        <item x="1011"/>
        <item x="1252"/>
        <item x="461"/>
        <item x="870"/>
        <item x="836"/>
        <item x="438"/>
        <item x="1278"/>
        <item x="575"/>
        <item x="82"/>
        <item x="452"/>
        <item x="834"/>
        <item x="1000"/>
        <item x="420"/>
        <item x="244"/>
        <item x="1151"/>
        <item x="1188"/>
        <item x="743"/>
        <item x="90"/>
        <item x="1119"/>
        <item x="723"/>
        <item x="1024"/>
        <item x="257"/>
        <item x="231"/>
        <item x="1054"/>
        <item x="1158"/>
        <item x="80"/>
        <item x="140"/>
        <item x="1184"/>
        <item x="424"/>
        <item x="20"/>
        <item x="368"/>
        <item x="926"/>
        <item x="58"/>
        <item x="865"/>
        <item x="1355"/>
        <item x="778"/>
        <item x="67"/>
        <item x="283"/>
        <item x="856"/>
        <item x="1330"/>
        <item x="7"/>
        <item x="598"/>
        <item x="275"/>
        <item x="113"/>
        <item x="70"/>
        <item x="193"/>
        <item x="338"/>
        <item x="1243"/>
        <item x="1111"/>
        <item x="1285"/>
        <item x="1031"/>
        <item x="254"/>
        <item x="586"/>
        <item x="682"/>
        <item x="857"/>
        <item x="790"/>
        <item x="983"/>
        <item x="792"/>
        <item x="920"/>
        <item x="387"/>
        <item x="1137"/>
        <item x="279"/>
        <item x="216"/>
        <item x="746"/>
        <item x="339"/>
        <item x="377"/>
        <item x="200"/>
        <item x="316"/>
        <item x="235"/>
        <item x="314"/>
        <item x="1200"/>
        <item x="1207"/>
        <item x="147"/>
        <item x="1124"/>
        <item x="246"/>
        <item x="237"/>
        <item x="785"/>
        <item x="1271"/>
        <item x="557"/>
        <item x="84"/>
        <item x="1131"/>
        <item x="370"/>
        <item x="320"/>
        <item x="900"/>
        <item x="1319"/>
        <item x="760"/>
        <item x="1183"/>
        <item x="295"/>
        <item x="762"/>
        <item x="1075"/>
        <item x="1113"/>
        <item x="1046"/>
        <item x="326"/>
        <item x="297"/>
        <item x="988"/>
        <item x="1370"/>
        <item x="811"/>
        <item x="961"/>
        <item x="697"/>
        <item x="285"/>
        <item x="453"/>
        <item x="977"/>
        <item x="97"/>
        <item x="1095"/>
        <item x="1128"/>
        <item x="1070"/>
        <item x="1058"/>
        <item x="1316"/>
        <item x="1311"/>
        <item x="1088"/>
        <item x="115"/>
        <item x="600"/>
        <item x="779"/>
        <item x="560"/>
        <item x="119"/>
        <item x="206"/>
        <item x="670"/>
        <item x="50"/>
        <item x="999"/>
        <item x="1220"/>
        <item x="1249"/>
        <item x="964"/>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232"/>
        <item x="337"/>
        <item x="448"/>
        <item x="465"/>
        <item x="554"/>
        <item x="745"/>
        <item x="862"/>
        <item x="1257"/>
        <item x="1279"/>
        <item x="1401"/>
        <item t="default"/>
      </items>
    </pivotField>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pivotField showAll="0"/>
    <pivotField showAll="0"/>
    <pivotField showAll="0"/>
    <pivotField showAll="0"/>
    <pivotField axis="axisCol" showAll="0">
      <items count="8">
        <item x="3"/>
        <item x="0"/>
        <item x="1"/>
        <item x="2"/>
        <item x="4"/>
        <item h="1" x="5"/>
        <item h="1" x="6"/>
        <item t="default"/>
      </items>
    </pivotField>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2">
    <field x="12"/>
    <field x="-2"/>
  </colFields>
  <colItems count="10">
    <i>
      <x/>
      <x/>
    </i>
    <i r="1" i="1">
      <x v="1"/>
    </i>
    <i>
      <x v="1"/>
      <x/>
    </i>
    <i r="1" i="1">
      <x v="1"/>
    </i>
    <i>
      <x v="2"/>
      <x/>
    </i>
    <i r="1" i="1">
      <x v="1"/>
    </i>
    <i>
      <x v="3"/>
      <x/>
    </i>
    <i r="1" i="1">
      <x v="1"/>
    </i>
    <i>
      <x v="4"/>
      <x/>
    </i>
    <i r="1" i="1">
      <x v="1"/>
    </i>
  </colItems>
  <dataFields count="2">
    <dataField name="Sum of Fee_Revenue_GBP" fld="27" baseField="0" baseItem="0"/>
    <dataField name="Sum of Allocated_Subscription_Revenue_GBP"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A9AFDE-FFAF-4D23-AF82-989ECB3CEF32}" name="PivotTable10"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Features">
  <location ref="A98:Q110" firstHeaderRow="1" firstDataRow="3" firstDataCol="1"/>
  <pivotFields count="46">
    <pivotField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axis="axisCol" showAll="0">
      <items count="10">
        <item x="2"/>
        <item x="5"/>
        <item x="7"/>
        <item x="4"/>
        <item x="1"/>
        <item x="3"/>
        <item x="6"/>
        <item x="0"/>
        <item x="8"/>
        <item t="default"/>
      </items>
    </pivotField>
    <pivotField showAll="0"/>
    <pivotField showAll="0"/>
    <pivotField showAll="0"/>
    <pivotField showAll="0"/>
    <pivotField showAll="0"/>
    <pivotField showAll="0"/>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2">
    <field x="6"/>
    <field x="-2"/>
  </colFields>
  <colItems count="16">
    <i>
      <x/>
      <x/>
    </i>
    <i r="1" i="1">
      <x v="1"/>
    </i>
    <i>
      <x v="1"/>
      <x/>
    </i>
    <i r="1" i="1">
      <x v="1"/>
    </i>
    <i>
      <x v="2"/>
      <x/>
    </i>
    <i r="1" i="1">
      <x v="1"/>
    </i>
    <i>
      <x v="3"/>
      <x/>
    </i>
    <i r="1" i="1">
      <x v="1"/>
    </i>
    <i>
      <x v="4"/>
      <x/>
    </i>
    <i r="1" i="1">
      <x v="1"/>
    </i>
    <i>
      <x v="5"/>
      <x/>
    </i>
    <i r="1" i="1">
      <x v="1"/>
    </i>
    <i>
      <x v="6"/>
      <x/>
    </i>
    <i r="1" i="1">
      <x v="1"/>
    </i>
    <i>
      <x v="7"/>
      <x/>
    </i>
    <i r="1" i="1">
      <x v="1"/>
    </i>
  </colItems>
  <dataFields count="2">
    <dataField name="Sum of Fee_Revenue_GBP" fld="27" baseField="0" baseItem="0"/>
    <dataField name="Sum of Allocated_Subscription_Revenue_GBP"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3CCE12-4E4A-4870-93FC-D0FACF07804C}" name="PivotTable40"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17:L27" firstHeaderRow="1"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3">
        <item x="3"/>
        <item x="0"/>
        <item x="8"/>
        <item x="4"/>
        <item x="10"/>
        <item x="9"/>
        <item x="1"/>
        <item x="5"/>
        <item x="2"/>
        <item h="1" x="6"/>
        <item x="7"/>
        <item h="1"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4"/>
  </rowFields>
  <rowItems count="10">
    <i>
      <x v="2"/>
    </i>
    <i>
      <x v="4"/>
    </i>
    <i>
      <x v="5"/>
    </i>
    <i>
      <x v="3"/>
    </i>
    <i>
      <x/>
    </i>
    <i>
      <x v="7"/>
    </i>
    <i>
      <x v="1"/>
    </i>
    <i>
      <x v="10"/>
    </i>
    <i>
      <x v="8"/>
    </i>
    <i>
      <x v="6"/>
    </i>
  </rowItems>
  <colItems count="1">
    <i/>
  </colItems>
  <dataFields count="1">
    <dataField name="Count Retained_30_Day_Flag" fld="38" subtotal="count" baseField="14"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20B28B-85E5-4458-8124-F9CA0FAEF1B6}" name="PivotTable16"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1" rowHeaderCaption="Features">
  <location ref="A277:G289" firstHeaderRow="1" firstDataRow="3" firstDataCol="1"/>
  <pivotFields count="46">
    <pivotField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items count="8">
        <item x="2"/>
        <item x="0"/>
        <item x="1"/>
        <item x="3"/>
        <item x="4"/>
        <item x="5"/>
        <item x="6"/>
        <item t="default"/>
      </items>
    </pivotField>
    <pivotField axis="axisCol" showAll="0">
      <items count="7">
        <item x="1"/>
        <item x="0"/>
        <item h="1" x="4"/>
        <item h="1" x="2"/>
        <item h="1" x="3"/>
        <item h="1" x="5"/>
        <item t="default"/>
      </items>
    </pivotField>
    <pivotField showAll="0"/>
    <pivotField showAll="0"/>
    <pivotField showAll="0"/>
    <pivotField showAll="0"/>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axis="axisCol" dataField="1" showAll="0">
      <items count="5">
        <item x="1"/>
        <item h="1" x="2"/>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2">
    <field x="8"/>
    <field x="25"/>
  </colFields>
  <colItems count="6">
    <i>
      <x/>
      <x/>
    </i>
    <i r="1">
      <x v="2"/>
    </i>
    <i t="default">
      <x/>
    </i>
    <i>
      <x v="1"/>
      <x/>
    </i>
    <i r="1">
      <x v="2"/>
    </i>
    <i t="default">
      <x v="1"/>
    </i>
  </colItems>
  <dataFields count="1">
    <dataField name="Count of Transaction_Success_Flag"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FDF37C-5F9F-4BF1-9127-A5226F555ADD}" name="PivotTable28"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1" rowHeaderCaption="Features">
  <location ref="A336:Q348" firstHeaderRow="1" firstDataRow="3" firstDataCol="1"/>
  <pivotFields count="46">
    <pivotField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axis="axisCol" showAll="0">
      <items count="10">
        <item x="2"/>
        <item x="5"/>
        <item x="7"/>
        <item x="4"/>
        <item x="1"/>
        <item x="3"/>
        <item x="6"/>
        <item x="0"/>
        <item x="8"/>
        <item t="default"/>
      </items>
    </pivotField>
    <pivotField showAll="0">
      <items count="8">
        <item x="2"/>
        <item x="0"/>
        <item x="1"/>
        <item x="3"/>
        <item x="4"/>
        <item x="5"/>
        <item x="6"/>
        <item t="default"/>
      </items>
    </pivotField>
    <pivotField showAll="0">
      <items count="7">
        <item x="1"/>
        <item x="0"/>
        <item h="1" x="4"/>
        <item h="1" x="2"/>
        <item h="1" x="3"/>
        <item h="1" x="5"/>
        <item t="default"/>
      </items>
    </pivotField>
    <pivotField showAll="0"/>
    <pivotField showAll="0"/>
    <pivotField showAll="0"/>
    <pivotField showAll="0"/>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5">
        <item x="1"/>
        <item h="1" x="2"/>
        <item x="0"/>
        <item h="1" x="3"/>
        <item t="default"/>
      </items>
    </pivotField>
    <pivotField showAll="0">
      <items count="36">
        <item x="29"/>
        <item x="12"/>
        <item x="18"/>
        <item x="22"/>
        <item x="16"/>
        <item x="26"/>
        <item x="11"/>
        <item x="33"/>
        <item x="7"/>
        <item x="2"/>
        <item x="27"/>
        <item x="9"/>
        <item x="8"/>
        <item x="19"/>
        <item x="24"/>
        <item x="23"/>
        <item x="6"/>
        <item x="5"/>
        <item x="32"/>
        <item x="30"/>
        <item x="28"/>
        <item x="31"/>
        <item x="1"/>
        <item x="4"/>
        <item x="20"/>
        <item x="10"/>
        <item x="3"/>
        <item x="13"/>
        <item x="21"/>
        <item x="15"/>
        <item x="17"/>
        <item x="0"/>
        <item x="25"/>
        <item x="14"/>
        <item x="34"/>
        <item t="default"/>
      </items>
    </pivotField>
    <pivotField showAll="0">
      <items count="5">
        <item x="1"/>
        <item h="1" x="2"/>
        <item x="0"/>
        <item h="1" x="3"/>
        <item t="default"/>
      </items>
    </pivotField>
    <pivotField showAll="0"/>
    <pivotField dataField="1" showAll="0">
      <items count="92">
        <item x="51"/>
        <item x="0"/>
        <item x="5"/>
        <item x="17"/>
        <item x="2"/>
        <item x="15"/>
        <item x="25"/>
        <item x="6"/>
        <item x="4"/>
        <item x="7"/>
        <item x="1"/>
        <item x="8"/>
        <item x="29"/>
        <item x="31"/>
        <item x="50"/>
        <item x="20"/>
        <item x="42"/>
        <item x="13"/>
        <item x="9"/>
        <item x="27"/>
        <item x="32"/>
        <item x="41"/>
        <item x="22"/>
        <item x="23"/>
        <item x="54"/>
        <item x="10"/>
        <item x="28"/>
        <item x="89"/>
        <item x="46"/>
        <item x="64"/>
        <item x="59"/>
        <item x="38"/>
        <item x="79"/>
        <item x="14"/>
        <item x="43"/>
        <item x="47"/>
        <item x="67"/>
        <item x="56"/>
        <item x="11"/>
        <item x="65"/>
        <item x="68"/>
        <item x="36"/>
        <item x="86"/>
        <item x="81"/>
        <item x="60"/>
        <item x="48"/>
        <item x="69"/>
        <item x="78"/>
        <item x="3"/>
        <item x="39"/>
        <item x="34"/>
        <item x="61"/>
        <item x="44"/>
        <item x="71"/>
        <item x="30"/>
        <item x="55"/>
        <item x="37"/>
        <item x="75"/>
        <item x="57"/>
        <item x="73"/>
        <item x="16"/>
        <item x="72"/>
        <item x="52"/>
        <item x="18"/>
        <item x="80"/>
        <item x="35"/>
        <item x="77"/>
        <item x="83"/>
        <item x="24"/>
        <item x="33"/>
        <item x="76"/>
        <item x="49"/>
        <item x="12"/>
        <item x="62"/>
        <item x="70"/>
        <item x="53"/>
        <item x="45"/>
        <item x="63"/>
        <item x="85"/>
        <item x="87"/>
        <item x="58"/>
        <item x="84"/>
        <item x="74"/>
        <item x="40"/>
        <item x="82"/>
        <item x="19"/>
        <item x="21"/>
        <item x="88"/>
        <item x="66"/>
        <item x="26"/>
        <item x="90"/>
        <item t="default"/>
      </items>
    </pivotField>
    <pivotField dataField="1"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items count="5">
        <item x="0"/>
        <item h="1" x="2"/>
        <item x="1"/>
        <item h="1" x="3"/>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2">
    <field x="6"/>
    <field x="-2"/>
  </colFields>
  <colItems count="16">
    <i>
      <x/>
      <x/>
    </i>
    <i r="1" i="1">
      <x v="1"/>
    </i>
    <i>
      <x v="1"/>
      <x/>
    </i>
    <i r="1" i="1">
      <x v="1"/>
    </i>
    <i>
      <x v="2"/>
      <x/>
    </i>
    <i r="1" i="1">
      <x v="1"/>
    </i>
    <i>
      <x v="3"/>
      <x/>
    </i>
    <i r="1" i="1">
      <x v="1"/>
    </i>
    <i>
      <x v="4"/>
      <x/>
    </i>
    <i r="1" i="1">
      <x v="1"/>
    </i>
    <i>
      <x v="5"/>
      <x/>
    </i>
    <i r="1" i="1">
      <x v="1"/>
    </i>
    <i>
      <x v="6"/>
      <x/>
    </i>
    <i r="1" i="1">
      <x v="1"/>
    </i>
    <i>
      <x v="7"/>
      <x/>
    </i>
    <i r="1" i="1">
      <x v="1"/>
    </i>
  </colItems>
  <dataFields count="2">
    <dataField name="Sum of Allocated_Subscription_Revenue_GBP" fld="28" baseField="0" baseItem="0"/>
    <dataField name="Sum of Fee_Revenue_GBP"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B0791D-95FC-4331-B201-5CAF14ADFD2F}" name="PivotTable39"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Features ">
  <location ref="G17:I27" firstHeaderRow="0"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3">
        <item x="3"/>
        <item x="0"/>
        <item x="8"/>
        <item x="4"/>
        <item x="10"/>
        <item x="9"/>
        <item x="1"/>
        <item x="5"/>
        <item x="2"/>
        <item h="1" x="6"/>
        <item x="7"/>
        <item h="1"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v="1"/>
    </i>
    <i>
      <x v="3"/>
    </i>
    <i>
      <x v="2"/>
    </i>
    <i>
      <x v="8"/>
    </i>
    <i>
      <x v="5"/>
    </i>
    <i>
      <x/>
    </i>
    <i>
      <x v="6"/>
    </i>
    <i>
      <x v="10"/>
    </i>
    <i>
      <x v="4"/>
    </i>
    <i>
      <x v="7"/>
    </i>
  </rowItems>
  <colFields count="1">
    <field x="-2"/>
  </colFields>
  <colItems count="2">
    <i>
      <x/>
    </i>
    <i i="1">
      <x v="1"/>
    </i>
  </colItems>
  <dataFields count="2">
    <dataField name="Total Fee Revenue" fld="27" baseField="14" baseItem="1" numFmtId="2"/>
    <dataField name="Total Subscription Revenue" fld="28" baseField="14"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D097C0-E8B0-45DA-9F94-D869B11F564B}" name="PivotTable50"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2" rowHeaderCaption="Features">
  <location ref="A43:H54" firstHeaderRow="1" firstDataRow="2" firstDataCol="1"/>
  <pivotFields count="46">
    <pivotField dataField="1"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axis="axisCol" showAll="0">
      <items count="10">
        <item x="2"/>
        <item x="5"/>
        <item x="7"/>
        <item x="4"/>
        <item x="1"/>
        <item x="3"/>
        <item h="1" x="6"/>
        <item x="0"/>
        <item h="1" x="8"/>
        <item t="default"/>
      </items>
    </pivotField>
    <pivotField showAll="0"/>
    <pivotField showAll="0">
      <items count="7">
        <item x="1"/>
        <item x="0"/>
        <item x="4"/>
        <item x="2"/>
        <item x="3"/>
        <item x="5"/>
        <item t="default"/>
      </items>
    </pivotField>
    <pivotField showAll="0"/>
    <pivotField showAll="0"/>
    <pivotField showAll="0"/>
    <pivotField showAll="0"/>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1">
    <field x="6"/>
  </colFields>
  <colItems count="7">
    <i>
      <x/>
    </i>
    <i>
      <x v="1"/>
    </i>
    <i>
      <x v="2"/>
    </i>
    <i>
      <x v="3"/>
    </i>
    <i>
      <x v="4"/>
    </i>
    <i>
      <x v="5"/>
    </i>
    <i>
      <x v="7"/>
    </i>
  </colItems>
  <dataFields count="1">
    <dataField name="Count of Product_Event_ID" fld="0" subtotal="count" baseField="0" baseItem="0"/>
  </dataFields>
  <chartFormats count="14">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2">
          <reference field="4294967294" count="1" selected="0">
            <x v="0"/>
          </reference>
          <reference field="6" count="1" selected="0">
            <x v="2"/>
          </reference>
        </references>
      </pivotArea>
    </chartFormat>
    <chartFormat chart="16" format="3" series="1">
      <pivotArea type="data" outline="0" fieldPosition="0">
        <references count="2">
          <reference field="4294967294" count="1" selected="0">
            <x v="0"/>
          </reference>
          <reference field="6" count="1" selected="0">
            <x v="3"/>
          </reference>
        </references>
      </pivotArea>
    </chartFormat>
    <chartFormat chart="16" format="4" series="1">
      <pivotArea type="data" outline="0" fieldPosition="0">
        <references count="2">
          <reference field="4294967294" count="1" selected="0">
            <x v="0"/>
          </reference>
          <reference field="6" count="1" selected="0">
            <x v="4"/>
          </reference>
        </references>
      </pivotArea>
    </chartFormat>
    <chartFormat chart="16" format="5" series="1">
      <pivotArea type="data" outline="0" fieldPosition="0">
        <references count="2">
          <reference field="4294967294" count="1" selected="0">
            <x v="0"/>
          </reference>
          <reference field="6" count="1" selected="0">
            <x v="5"/>
          </reference>
        </references>
      </pivotArea>
    </chartFormat>
    <chartFormat chart="16" format="6" series="1">
      <pivotArea type="data" outline="0" fieldPosition="0">
        <references count="2">
          <reference field="4294967294" count="1" selected="0">
            <x v="0"/>
          </reference>
          <reference field="6" count="1" selected="0">
            <x v="7"/>
          </reference>
        </references>
      </pivotArea>
    </chartFormat>
    <chartFormat chart="19" format="0" series="1">
      <pivotArea type="data" outline="0" fieldPosition="0">
        <references count="2">
          <reference field="4294967294" count="1" selected="0">
            <x v="0"/>
          </reference>
          <reference field="6" count="1" selected="0">
            <x v="0"/>
          </reference>
        </references>
      </pivotArea>
    </chartFormat>
    <chartFormat chart="19" format="1" series="1">
      <pivotArea type="data" outline="0" fieldPosition="0">
        <references count="2">
          <reference field="4294967294" count="1" selected="0">
            <x v="0"/>
          </reference>
          <reference field="6" count="1" selected="0">
            <x v="1"/>
          </reference>
        </references>
      </pivotArea>
    </chartFormat>
    <chartFormat chart="19" format="2" series="1">
      <pivotArea type="data" outline="0" fieldPosition="0">
        <references count="2">
          <reference field="4294967294" count="1" selected="0">
            <x v="0"/>
          </reference>
          <reference field="6" count="1" selected="0">
            <x v="2"/>
          </reference>
        </references>
      </pivotArea>
    </chartFormat>
    <chartFormat chart="19" format="3" series="1">
      <pivotArea type="data" outline="0" fieldPosition="0">
        <references count="2">
          <reference field="4294967294" count="1" selected="0">
            <x v="0"/>
          </reference>
          <reference field="6" count="1" selected="0">
            <x v="3"/>
          </reference>
        </references>
      </pivotArea>
    </chartFormat>
    <chartFormat chart="19" format="4" series="1">
      <pivotArea type="data" outline="0" fieldPosition="0">
        <references count="2">
          <reference field="4294967294" count="1" selected="0">
            <x v="0"/>
          </reference>
          <reference field="6" count="1" selected="0">
            <x v="4"/>
          </reference>
        </references>
      </pivotArea>
    </chartFormat>
    <chartFormat chart="19" format="5" series="1">
      <pivotArea type="data" outline="0" fieldPosition="0">
        <references count="2">
          <reference field="4294967294" count="1" selected="0">
            <x v="0"/>
          </reference>
          <reference field="6" count="1" selected="0">
            <x v="5"/>
          </reference>
        </references>
      </pivotArea>
    </chartFormat>
    <chartFormat chart="19" format="6" series="1">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D313C8-217E-417B-86AF-1FD9E3FDA3FD}" name="PivotTable25"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1" rowHeaderCaption="Features">
  <location ref="K306:O318" firstHeaderRow="1" firstDataRow="3" firstDataCol="1"/>
  <pivotFields count="46">
    <pivotField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items count="8">
        <item x="2"/>
        <item x="0"/>
        <item x="1"/>
        <item x="3"/>
        <item x="4"/>
        <item x="5"/>
        <item x="6"/>
        <item t="default"/>
      </items>
    </pivotField>
    <pivotField axis="axisCol" showAll="0">
      <items count="7">
        <item x="1"/>
        <item x="0"/>
        <item h="1" x="4"/>
        <item h="1" x="2"/>
        <item h="1" x="3"/>
        <item h="1" x="5"/>
        <item t="default"/>
      </items>
    </pivotField>
    <pivotField showAll="0"/>
    <pivotField showAll="0"/>
    <pivotField showAll="0"/>
    <pivotField showAll="0"/>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5">
        <item x="1"/>
        <item h="1" x="2"/>
        <item x="0"/>
        <item h="1" x="3"/>
        <item t="default"/>
      </items>
    </pivotField>
    <pivotField showAll="0">
      <items count="36">
        <item x="29"/>
        <item x="12"/>
        <item x="18"/>
        <item x="22"/>
        <item x="16"/>
        <item x="26"/>
        <item x="11"/>
        <item x="33"/>
        <item x="7"/>
        <item x="2"/>
        <item x="27"/>
        <item x="9"/>
        <item x="8"/>
        <item x="19"/>
        <item x="24"/>
        <item x="23"/>
        <item x="6"/>
        <item x="5"/>
        <item x="32"/>
        <item x="30"/>
        <item x="28"/>
        <item x="31"/>
        <item x="1"/>
        <item x="4"/>
        <item x="20"/>
        <item x="10"/>
        <item x="3"/>
        <item x="13"/>
        <item x="21"/>
        <item x="15"/>
        <item x="17"/>
        <item x="0"/>
        <item x="25"/>
        <item x="14"/>
        <item x="34"/>
        <item t="default"/>
      </items>
    </pivotField>
    <pivotField showAll="0">
      <items count="5">
        <item x="1"/>
        <item h="1" x="2"/>
        <item x="0"/>
        <item h="1" x="3"/>
        <item t="default"/>
      </items>
    </pivotField>
    <pivotField showAll="0"/>
    <pivotField dataField="1" showAll="0">
      <items count="92">
        <item x="51"/>
        <item x="0"/>
        <item x="5"/>
        <item x="17"/>
        <item x="2"/>
        <item x="15"/>
        <item x="25"/>
        <item x="6"/>
        <item x="4"/>
        <item x="7"/>
        <item x="1"/>
        <item x="8"/>
        <item x="29"/>
        <item x="31"/>
        <item x="50"/>
        <item x="20"/>
        <item x="42"/>
        <item x="13"/>
        <item x="9"/>
        <item x="27"/>
        <item x="32"/>
        <item x="41"/>
        <item x="22"/>
        <item x="23"/>
        <item x="54"/>
        <item x="10"/>
        <item x="28"/>
        <item x="89"/>
        <item x="46"/>
        <item x="64"/>
        <item x="59"/>
        <item x="38"/>
        <item x="79"/>
        <item x="14"/>
        <item x="43"/>
        <item x="47"/>
        <item x="67"/>
        <item x="56"/>
        <item x="11"/>
        <item x="65"/>
        <item x="68"/>
        <item x="36"/>
        <item x="86"/>
        <item x="81"/>
        <item x="60"/>
        <item x="48"/>
        <item x="69"/>
        <item x="78"/>
        <item x="3"/>
        <item x="39"/>
        <item x="34"/>
        <item x="61"/>
        <item x="44"/>
        <item x="71"/>
        <item x="30"/>
        <item x="55"/>
        <item x="37"/>
        <item x="75"/>
        <item x="57"/>
        <item x="73"/>
        <item x="16"/>
        <item x="72"/>
        <item x="52"/>
        <item x="18"/>
        <item x="80"/>
        <item x="35"/>
        <item x="77"/>
        <item x="83"/>
        <item x="24"/>
        <item x="33"/>
        <item x="76"/>
        <item x="49"/>
        <item x="12"/>
        <item x="62"/>
        <item x="70"/>
        <item x="53"/>
        <item x="45"/>
        <item x="63"/>
        <item x="85"/>
        <item x="87"/>
        <item x="58"/>
        <item x="84"/>
        <item x="74"/>
        <item x="40"/>
        <item x="82"/>
        <item x="19"/>
        <item x="21"/>
        <item x="88"/>
        <item x="66"/>
        <item x="26"/>
        <item x="90"/>
        <item t="default"/>
      </items>
    </pivotField>
    <pivotField dataField="1" showAll="0"/>
    <pivotField showAll="0"/>
    <pivotField showAll="0"/>
    <pivotField showAll="0"/>
    <pivotField showAll="0"/>
    <pivotField showAll="0"/>
    <pivotField showAll="0"/>
    <pivotField showAll="0"/>
    <pivotField showAll="0"/>
    <pivotField showAll="0"/>
    <pivotField showAll="0">
      <items count="5">
        <item x="0"/>
        <item h="1" x="2"/>
        <item x="1"/>
        <item h="1" x="3"/>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2">
    <field x="8"/>
    <field x="-2"/>
  </colFields>
  <colItems count="4">
    <i>
      <x/>
      <x/>
    </i>
    <i r="1" i="1">
      <x v="1"/>
    </i>
    <i>
      <x v="1"/>
      <x/>
    </i>
    <i r="1" i="1">
      <x v="1"/>
    </i>
  </colItems>
  <dataFields count="2">
    <dataField name="Sum of Fee_Revenue_GBP" fld="27" baseField="0" baseItem="0"/>
    <dataField name="Sum of Allocated_Subscription_Revenue_GBP"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8A003A-4081-4AC5-8BB5-319457C9CE12}" name="PivotTable9"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Features">
  <location ref="A202:P214" firstHeaderRow="1" firstDataRow="3" firstDataCol="1"/>
  <pivotFields count="46">
    <pivotField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pivotField showAll="0"/>
    <pivotField showAll="0"/>
    <pivotField showAll="0"/>
    <pivotField showAll="0"/>
    <pivotField axis="axisCol" showAll="0">
      <items count="8">
        <item x="3"/>
        <item x="0"/>
        <item x="1"/>
        <item x="2"/>
        <item x="4"/>
        <item h="1" x="5"/>
        <item h="1" x="6"/>
        <item t="default"/>
      </items>
    </pivotField>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pivotField axis="axisCol" dataField="1" showAll="0">
      <items count="5">
        <item x="1"/>
        <item h="1" x="2"/>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2">
    <field x="12"/>
    <field x="23"/>
  </colFields>
  <colItems count="15">
    <i>
      <x/>
      <x/>
    </i>
    <i r="1">
      <x v="2"/>
    </i>
    <i t="default">
      <x/>
    </i>
    <i>
      <x v="1"/>
      <x/>
    </i>
    <i r="1">
      <x v="2"/>
    </i>
    <i t="default">
      <x v="1"/>
    </i>
    <i>
      <x v="2"/>
      <x/>
    </i>
    <i r="1">
      <x v="2"/>
    </i>
    <i t="default">
      <x v="2"/>
    </i>
    <i>
      <x v="3"/>
      <x/>
    </i>
    <i r="1">
      <x v="2"/>
    </i>
    <i t="default">
      <x v="3"/>
    </i>
    <i>
      <x v="4"/>
      <x/>
    </i>
    <i r="1">
      <x v="2"/>
    </i>
    <i t="default">
      <x v="4"/>
    </i>
  </colItems>
  <dataFields count="1">
    <dataField name="Count of Error_Flag"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FA2DDA-D1E3-4B08-AABC-A437E85E6F8B}" name="PivotTable35" cacheId="8"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5" colHeaderCaption="Success Flag">
  <location ref="G4:J15" firstHeaderRow="1" firstDataRow="2"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3">
        <item x="3"/>
        <item x="0"/>
        <item x="8"/>
        <item x="4"/>
        <item x="10"/>
        <item x="9"/>
        <item x="1"/>
        <item x="5"/>
        <item x="2"/>
        <item h="1" x="6"/>
        <item x="7"/>
        <item h="1"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axis="axisCol" dataField="1" showAll="0">
      <items count="5">
        <item x="1"/>
        <item h="1" x="2"/>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v="2"/>
    </i>
    <i>
      <x v="4"/>
    </i>
    <i>
      <x v="5"/>
    </i>
    <i>
      <x v="3"/>
    </i>
    <i>
      <x/>
    </i>
    <i>
      <x v="7"/>
    </i>
    <i>
      <x v="1"/>
    </i>
    <i>
      <x v="10"/>
    </i>
    <i>
      <x v="8"/>
    </i>
    <i>
      <x v="6"/>
    </i>
  </rowItems>
  <colFields count="1">
    <field x="25"/>
  </colFields>
  <colItems count="3">
    <i>
      <x/>
    </i>
    <i>
      <x v="2"/>
    </i>
    <i t="grand">
      <x/>
    </i>
  </colItems>
  <dataFields count="1">
    <dataField name="Count of Transaction_Success_Flag"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665C7D-1E4B-46C5-807D-C5940E15F970}" name="PivotTable3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Features">
  <location ref="A3:B13" firstHeaderRow="1" firstDataRow="1" firstDataCol="1"/>
  <pivotFields count="46">
    <pivotField dataField="1"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pivotField showAll="0"/>
    <pivotField showAll="0"/>
    <pivotField showAll="0"/>
    <pivotField showAll="0"/>
    <pivotField showAll="0"/>
    <pivotField showAll="0"/>
    <pivotField axis="axisRow" showAll="0" sortType="ascending">
      <items count="13">
        <item x="3"/>
        <item x="0"/>
        <item x="8"/>
        <item x="4"/>
        <item x="10"/>
        <item x="9"/>
        <item x="1"/>
        <item x="5"/>
        <item x="2"/>
        <item h="1" x="6"/>
        <item x="7"/>
        <item h="1"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v="2"/>
    </i>
    <i>
      <x v="4"/>
    </i>
    <i>
      <x v="5"/>
    </i>
    <i>
      <x v="3"/>
    </i>
    <i>
      <x/>
    </i>
    <i>
      <x v="7"/>
    </i>
    <i>
      <x v="1"/>
    </i>
    <i>
      <x v="10"/>
    </i>
    <i>
      <x v="8"/>
    </i>
    <i>
      <x v="6"/>
    </i>
  </rowItems>
  <colItems count="1">
    <i/>
  </colItems>
  <dataFields count="1">
    <dataField name="Count of Product_Event_ID" fld="0"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43E6B6-89A1-46E0-BDDC-0653518D841C}" name="PivotTable19"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1" rowHeaderCaption="Features">
  <location ref="M277:S289" firstHeaderRow="1" firstDataRow="3" firstDataCol="1"/>
  <pivotFields count="46">
    <pivotField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items count="8">
        <item x="2"/>
        <item x="0"/>
        <item x="1"/>
        <item x="3"/>
        <item x="4"/>
        <item x="5"/>
        <item x="6"/>
        <item t="default"/>
      </items>
    </pivotField>
    <pivotField axis="axisCol" showAll="0">
      <items count="7">
        <item x="1"/>
        <item x="0"/>
        <item h="1" x="4"/>
        <item h="1" x="2"/>
        <item h="1" x="3"/>
        <item h="1" x="5"/>
        <item t="default"/>
      </items>
    </pivotField>
    <pivotField showAll="0"/>
    <pivotField showAll="0"/>
    <pivotField showAll="0"/>
    <pivotField showAll="0"/>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items count="4">
        <item x="1"/>
        <item x="0"/>
        <item x="2"/>
        <item t="default"/>
      </items>
    </pivotField>
    <pivotField axis="axisCol" dataField="1" showAll="0">
      <items count="5">
        <item x="1"/>
        <item h="1" x="2"/>
        <item x="0"/>
        <item h="1" x="3"/>
        <item t="default"/>
      </items>
    </pivotField>
    <pivotField showAll="0">
      <items count="36">
        <item x="29"/>
        <item x="12"/>
        <item x="18"/>
        <item x="22"/>
        <item x="16"/>
        <item x="26"/>
        <item x="11"/>
        <item x="33"/>
        <item x="7"/>
        <item x="2"/>
        <item x="27"/>
        <item x="9"/>
        <item x="8"/>
        <item x="19"/>
        <item x="24"/>
        <item x="23"/>
        <item x="6"/>
        <item x="5"/>
        <item x="32"/>
        <item x="30"/>
        <item x="28"/>
        <item x="31"/>
        <item x="1"/>
        <item x="4"/>
        <item x="20"/>
        <item x="10"/>
        <item x="3"/>
        <item x="13"/>
        <item x="21"/>
        <item x="15"/>
        <item x="17"/>
        <item x="0"/>
        <item x="25"/>
        <item x="14"/>
        <item x="34"/>
        <item t="default"/>
      </items>
    </pivotField>
    <pivotField showAll="0">
      <items count="5">
        <item x="1"/>
        <item h="1" x="2"/>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2">
    <field x="8"/>
    <field x="23"/>
  </colFields>
  <colItems count="6">
    <i>
      <x/>
      <x/>
    </i>
    <i r="1">
      <x v="2"/>
    </i>
    <i t="default">
      <x/>
    </i>
    <i>
      <x v="1"/>
      <x/>
    </i>
    <i r="1">
      <x v="2"/>
    </i>
    <i t="default">
      <x v="1"/>
    </i>
  </colItems>
  <dataFields count="1">
    <dataField name="Count of Error_Flag"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5BF756-4B37-45A9-9967-9A3C415578B5}" name="PivotTable5"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71:W83" firstHeaderRow="1" firstDataRow="3" firstDataCol="1"/>
  <pivotFields count="43">
    <pivotField showAll="0"/>
    <pivotField showAll="0"/>
    <pivotField showAll="0"/>
    <pivotField showAll="0"/>
    <pivotField showAll="0"/>
    <pivotField showAll="0"/>
    <pivotField axis="axisCol" showAll="0">
      <items count="10">
        <item x="2"/>
        <item x="5"/>
        <item x="7"/>
        <item x="4"/>
        <item x="1"/>
        <item x="3"/>
        <item h="1" x="6"/>
        <item x="0"/>
        <item h="1" x="8"/>
        <item t="default"/>
      </items>
    </pivotField>
    <pivotField showAll="0"/>
    <pivotField showAll="0"/>
    <pivotField showAll="0"/>
    <pivotField showAll="0"/>
    <pivotField showAll="0"/>
    <pivotField showAll="0"/>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multipleItemSelectionAllowed="1" showAll="0">
      <items count="5">
        <item x="0"/>
        <item h="1" x="2"/>
        <item x="1"/>
        <item h="1" x="3"/>
        <item t="default"/>
      </items>
    </pivotField>
    <pivotField showAll="0"/>
    <pivotField showAll="0"/>
    <pivotField showAll="0"/>
    <pivotField showAll="0"/>
  </pivotFields>
  <rowFields count="1">
    <field x="14"/>
  </rowFields>
  <rowItems count="10">
    <i>
      <x/>
    </i>
    <i>
      <x v="1"/>
    </i>
    <i>
      <x v="2"/>
    </i>
    <i>
      <x v="3"/>
    </i>
    <i>
      <x v="4"/>
    </i>
    <i>
      <x v="5"/>
    </i>
    <i>
      <x v="6"/>
    </i>
    <i>
      <x v="7"/>
    </i>
    <i>
      <x v="8"/>
    </i>
    <i>
      <x v="10"/>
    </i>
  </rowItems>
  <colFields count="2">
    <field x="6"/>
    <field x="38"/>
  </colFields>
  <colItems count="22">
    <i>
      <x/>
      <x/>
    </i>
    <i r="1">
      <x v="2"/>
    </i>
    <i t="default">
      <x/>
    </i>
    <i>
      <x v="1"/>
      <x/>
    </i>
    <i r="1">
      <x v="2"/>
    </i>
    <i t="default">
      <x v="1"/>
    </i>
    <i>
      <x v="2"/>
      <x/>
    </i>
    <i r="1">
      <x v="2"/>
    </i>
    <i t="default">
      <x v="2"/>
    </i>
    <i>
      <x v="3"/>
      <x/>
    </i>
    <i r="1">
      <x v="2"/>
    </i>
    <i t="default">
      <x v="3"/>
    </i>
    <i>
      <x v="4"/>
      <x/>
    </i>
    <i r="1">
      <x v="2"/>
    </i>
    <i t="default">
      <x v="4"/>
    </i>
    <i>
      <x v="5"/>
      <x/>
    </i>
    <i r="1">
      <x v="2"/>
    </i>
    <i t="default">
      <x v="5"/>
    </i>
    <i>
      <x v="7"/>
      <x/>
    </i>
    <i r="1">
      <x v="2"/>
    </i>
    <i t="default">
      <x v="7"/>
    </i>
    <i t="grand">
      <x/>
    </i>
  </colItems>
  <dataFields count="1">
    <dataField name="Count of Retained_30_Day_Flag" fld="3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D9FD69C-8AD0-4AFD-89CC-25C4B472975A}" name="PivotTable22"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1" rowHeaderCaption="Features">
  <location ref="A306:G318" firstHeaderRow="1" firstDataRow="3" firstDataCol="1"/>
  <pivotFields count="46">
    <pivotField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items count="8">
        <item x="2"/>
        <item x="0"/>
        <item x="1"/>
        <item x="3"/>
        <item x="4"/>
        <item x="5"/>
        <item x="6"/>
        <item t="default"/>
      </items>
    </pivotField>
    <pivotField axis="axisCol" showAll="0">
      <items count="7">
        <item x="1"/>
        <item x="0"/>
        <item h="1" x="4"/>
        <item h="1" x="2"/>
        <item h="1" x="3"/>
        <item h="1" x="5"/>
        <item t="default"/>
      </items>
    </pivotField>
    <pivotField showAll="0"/>
    <pivotField showAll="0"/>
    <pivotField showAll="0"/>
    <pivotField showAll="0"/>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5">
        <item x="1"/>
        <item h="1" x="2"/>
        <item x="0"/>
        <item h="1" x="3"/>
        <item t="default"/>
      </items>
    </pivotField>
    <pivotField showAll="0">
      <items count="36">
        <item x="29"/>
        <item x="12"/>
        <item x="18"/>
        <item x="22"/>
        <item x="16"/>
        <item x="26"/>
        <item x="11"/>
        <item x="33"/>
        <item x="7"/>
        <item x="2"/>
        <item x="27"/>
        <item x="9"/>
        <item x="8"/>
        <item x="19"/>
        <item x="24"/>
        <item x="23"/>
        <item x="6"/>
        <item x="5"/>
        <item x="32"/>
        <item x="30"/>
        <item x="28"/>
        <item x="31"/>
        <item x="1"/>
        <item x="4"/>
        <item x="20"/>
        <item x="10"/>
        <item x="3"/>
        <item x="13"/>
        <item x="21"/>
        <item x="15"/>
        <item x="17"/>
        <item x="0"/>
        <item x="25"/>
        <item x="14"/>
        <item x="34"/>
        <item t="default"/>
      </items>
    </pivotField>
    <pivotField showAll="0">
      <items count="5">
        <item x="1"/>
        <item h="1" x="2"/>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0"/>
        <item h="1" x="2"/>
        <item x="1"/>
        <item h="1" x="3"/>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2">
    <field x="8"/>
    <field x="38"/>
  </colFields>
  <colItems count="6">
    <i>
      <x/>
      <x/>
    </i>
    <i r="1">
      <x v="2"/>
    </i>
    <i t="default">
      <x/>
    </i>
    <i>
      <x v="1"/>
      <x/>
    </i>
    <i r="1">
      <x v="2"/>
    </i>
    <i t="default">
      <x v="1"/>
    </i>
  </colItems>
  <dataFields count="1">
    <dataField name="Count of Retained_30_Day_Flag" fld="3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53DBF5-EF23-4EE3-8A18-75540A1346FA}" name="PivotTable1" cacheId="9"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6" rowHeaderCaption="Features">
  <location ref="A125:Q137" firstHeaderRow="1" firstDataRow="3" firstDataCol="1"/>
  <pivotFields count="46">
    <pivotField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pivotField showAll="0"/>
    <pivotField showAll="0"/>
    <pivotField showAll="0"/>
    <pivotField showAll="0"/>
    <pivotField axis="axisCol" showAll="0">
      <items count="8">
        <item x="3"/>
        <item x="0"/>
        <item x="1"/>
        <item x="2"/>
        <item x="4"/>
        <item h="1" x="5"/>
        <item h="1" x="6"/>
        <item t="default"/>
      </items>
    </pivotField>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axis="axisCol" dataField="1" showAll="0">
      <items count="5">
        <item x="1"/>
        <item h="1" x="2"/>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2">
    <field x="12"/>
    <field x="25"/>
  </colFields>
  <colItems count="16">
    <i>
      <x/>
      <x/>
    </i>
    <i r="1">
      <x v="2"/>
    </i>
    <i t="default">
      <x/>
    </i>
    <i>
      <x v="1"/>
      <x/>
    </i>
    <i r="1">
      <x v="2"/>
    </i>
    <i t="default">
      <x v="1"/>
    </i>
    <i>
      <x v="2"/>
      <x/>
    </i>
    <i r="1">
      <x v="2"/>
    </i>
    <i t="default">
      <x v="2"/>
    </i>
    <i>
      <x v="3"/>
      <x/>
    </i>
    <i r="1">
      <x v="2"/>
    </i>
    <i t="default">
      <x v="3"/>
    </i>
    <i>
      <x v="4"/>
      <x/>
    </i>
    <i r="1">
      <x v="2"/>
    </i>
    <i t="default">
      <x v="4"/>
    </i>
    <i t="grand">
      <x/>
    </i>
  </colItems>
  <dataFields count="1">
    <dataField name="Count of Transaction_Success_Flag" fld="25"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A38132F-90C4-4FEB-95BC-B4DCF84E8FD5}" name="PivotTable1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Features">
  <location ref="A231:P243" firstHeaderRow="1" firstDataRow="3" firstDataCol="1"/>
  <pivotFields count="46">
    <pivotField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pivotField showAll="0"/>
    <pivotField showAll="0"/>
    <pivotField showAll="0"/>
    <pivotField showAll="0"/>
    <pivotField axis="axisCol" showAll="0">
      <items count="8">
        <item x="3"/>
        <item x="0"/>
        <item x="1"/>
        <item x="2"/>
        <item x="4"/>
        <item h="1" x="5"/>
        <item h="1" x="6"/>
        <item t="default"/>
      </items>
    </pivotField>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0"/>
        <item h="1" x="2"/>
        <item x="1"/>
        <item h="1" x="3"/>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2">
    <field x="12"/>
    <field x="38"/>
  </colFields>
  <colItems count="15">
    <i>
      <x/>
      <x/>
    </i>
    <i r="1">
      <x v="2"/>
    </i>
    <i t="default">
      <x/>
    </i>
    <i>
      <x v="1"/>
      <x/>
    </i>
    <i r="1">
      <x v="2"/>
    </i>
    <i t="default">
      <x v="1"/>
    </i>
    <i>
      <x v="2"/>
      <x/>
    </i>
    <i r="1">
      <x v="2"/>
    </i>
    <i t="default">
      <x v="2"/>
    </i>
    <i>
      <x v="3"/>
      <x/>
    </i>
    <i r="1">
      <x v="2"/>
    </i>
    <i t="default">
      <x v="3"/>
    </i>
    <i>
      <x v="4"/>
      <x/>
    </i>
    <i r="1">
      <x v="2"/>
    </i>
    <i t="default">
      <x v="4"/>
    </i>
  </colItems>
  <dataFields count="1">
    <dataField name="Count of Retained_30_Day_Flag" fld="3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F3DFDF0-BA95-4790-8CF1-A28DC39D3103}" name="PivotTable15"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Features">
  <location ref="A261:C272" firstHeaderRow="1" firstDataRow="2" firstDataCol="1"/>
  <pivotFields count="46">
    <pivotField dataField="1" showAll="0"/>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items count="8">
        <item x="2"/>
        <item x="0"/>
        <item x="1"/>
        <item x="3"/>
        <item x="4"/>
        <item x="5"/>
        <item x="6"/>
        <item t="default"/>
      </items>
    </pivotField>
    <pivotField axis="axisCol" showAll="0">
      <items count="7">
        <item x="1"/>
        <item x="0"/>
        <item h="1" x="4"/>
        <item h="1" x="2"/>
        <item h="1" x="3"/>
        <item h="1" x="5"/>
        <item t="default"/>
      </items>
    </pivotField>
    <pivotField showAll="0"/>
    <pivotField showAll="0"/>
    <pivotField showAll="0"/>
    <pivotField showAll="0"/>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1">
    <field x="8"/>
  </colFields>
  <colItems count="2">
    <i>
      <x/>
    </i>
    <i>
      <x v="1"/>
    </i>
  </colItems>
  <dataFields count="1">
    <dataField name="Count of Product_Event_ID" fld="0" subtotal="count" baseField="0" baseItem="0"/>
  </dataFields>
  <chartFormats count="4">
    <chartFormat chart="16" format="0" series="1">
      <pivotArea type="data" outline="0" fieldPosition="0">
        <references count="2">
          <reference field="4294967294" count="1" selected="0">
            <x v="0"/>
          </reference>
          <reference field="8" count="1" selected="0">
            <x v="0"/>
          </reference>
        </references>
      </pivotArea>
    </chartFormat>
    <chartFormat chart="16" format="1" series="1">
      <pivotArea type="data" outline="0" fieldPosition="0">
        <references count="2">
          <reference field="4294967294" count="1" selected="0">
            <x v="0"/>
          </reference>
          <reference field="8" count="1" selected="0">
            <x v="1"/>
          </reference>
        </references>
      </pivotArea>
    </chartFormat>
    <chartFormat chart="20" format="4" series="1">
      <pivotArea type="data" outline="0" fieldPosition="0">
        <references count="2">
          <reference field="4294967294" count="1" selected="0">
            <x v="0"/>
          </reference>
          <reference field="8" count="1" selected="0">
            <x v="0"/>
          </reference>
        </references>
      </pivotArea>
    </chartFormat>
    <chartFormat chart="20"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B294A9C-716A-4C1F-A62E-2F785B3FF5DF}" name="PivotTable52" cacheId="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Features ">
  <location ref="J43:AE55" firstHeaderRow="1" firstDataRow="3" firstDataCol="1"/>
  <pivotFields count="43">
    <pivotField showAll="0"/>
    <pivotField showAll="0"/>
    <pivotField showAll="0"/>
    <pivotField showAll="0"/>
    <pivotField showAll="0"/>
    <pivotField showAll="0"/>
    <pivotField axis="axisCol" showAll="0">
      <items count="10">
        <item x="2"/>
        <item x="5"/>
        <item x="7"/>
        <item x="4"/>
        <item x="1"/>
        <item x="3"/>
        <item h="1" x="6"/>
        <item x="0"/>
        <item h="1" x="8"/>
        <item t="default"/>
      </items>
    </pivotField>
    <pivotField showAll="0"/>
    <pivotField showAll="0"/>
    <pivotField showAll="0"/>
    <pivotField showAll="0"/>
    <pivotField showAll="0"/>
    <pivotField showAll="0"/>
    <pivotField showAll="0"/>
    <pivotField axis="axisRow" multipleItemSelectionAllowed="1"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pivotField axis="axisCol" dataField="1" multipleItemSelectionAllowed="1" showAll="0">
      <items count="5">
        <item x="1"/>
        <item h="1" x="2"/>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x v="10"/>
    </i>
  </rowItems>
  <colFields count="2">
    <field x="6"/>
    <field x="23"/>
  </colFields>
  <colItems count="21">
    <i>
      <x/>
      <x/>
    </i>
    <i r="1">
      <x v="2"/>
    </i>
    <i t="default">
      <x/>
    </i>
    <i>
      <x v="1"/>
      <x/>
    </i>
    <i r="1">
      <x v="2"/>
    </i>
    <i t="default">
      <x v="1"/>
    </i>
    <i>
      <x v="2"/>
      <x/>
    </i>
    <i r="1">
      <x v="2"/>
    </i>
    <i t="default">
      <x v="2"/>
    </i>
    <i>
      <x v="3"/>
      <x/>
    </i>
    <i r="1">
      <x v="2"/>
    </i>
    <i t="default">
      <x v="3"/>
    </i>
    <i>
      <x v="4"/>
      <x/>
    </i>
    <i r="1">
      <x v="2"/>
    </i>
    <i t="default">
      <x v="4"/>
    </i>
    <i>
      <x v="5"/>
      <x/>
    </i>
    <i r="1">
      <x v="2"/>
    </i>
    <i t="default">
      <x v="5"/>
    </i>
    <i>
      <x v="7"/>
      <x/>
    </i>
    <i r="1">
      <x v="2"/>
    </i>
    <i t="default">
      <x v="7"/>
    </i>
  </colItems>
  <dataFields count="1">
    <dataField name="Count of Error_Flag2"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8CB0770-5F09-4495-A8C0-98DF4A27DABF}" name="PivotTable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Features">
  <location ref="A156:F167" firstHeaderRow="1" firstDataRow="2" firstDataCol="1"/>
  <pivotFields count="46">
    <pivotField dataField="1" showAll="0">
      <items count="1403">
        <item x="1164"/>
        <item x="956"/>
        <item x="694"/>
        <item x="529"/>
        <item x="736"/>
        <item x="799"/>
        <item x="1013"/>
        <item x="471"/>
        <item x="430"/>
        <item x="839"/>
        <item x="722"/>
        <item x="1096"/>
        <item x="850"/>
        <item x="12"/>
        <item x="401"/>
        <item x="607"/>
        <item x="439"/>
        <item x="645"/>
        <item x="1174"/>
        <item x="866"/>
        <item x="109"/>
        <item x="1081"/>
        <item x="633"/>
        <item x="1082"/>
        <item x="463"/>
        <item x="227"/>
        <item x="304"/>
        <item x="535"/>
        <item x="938"/>
        <item x="1071"/>
        <item x="1150"/>
        <item x="343"/>
        <item x="683"/>
        <item x="1286"/>
        <item x="281"/>
        <item x="1329"/>
        <item x="690"/>
        <item x="500"/>
        <item x="549"/>
        <item x="95"/>
        <item x="1004"/>
        <item x="365"/>
        <item x="132"/>
        <item x="1094"/>
        <item x="902"/>
        <item x="66"/>
        <item x="517"/>
        <item x="710"/>
        <item x="71"/>
        <item x="1259"/>
        <item x="1010"/>
        <item x="1218"/>
        <item x="678"/>
        <item x="1060"/>
        <item x="1322"/>
        <item x="398"/>
        <item x="684"/>
        <item x="182"/>
        <item x="876"/>
        <item x="765"/>
        <item x="993"/>
        <item x="126"/>
        <item x="361"/>
        <item x="49"/>
        <item x="1169"/>
        <item x="916"/>
        <item x="927"/>
        <item x="644"/>
        <item x="795"/>
        <item x="74"/>
        <item x="620"/>
        <item x="192"/>
        <item x="120"/>
        <item x="111"/>
        <item x="596"/>
        <item x="912"/>
        <item x="883"/>
        <item x="1002"/>
        <item x="1282"/>
        <item x="1264"/>
        <item x="897"/>
        <item x="241"/>
        <item x="1015"/>
        <item x="1145"/>
        <item x="932"/>
        <item x="739"/>
        <item x="385"/>
        <item x="522"/>
        <item x="280"/>
        <item x="354"/>
        <item x="625"/>
        <item x="1040"/>
        <item x="207"/>
        <item x="1366"/>
        <item x="179"/>
        <item x="800"/>
        <item x="1114"/>
        <item x="344"/>
        <item x="1196"/>
        <item x="1296"/>
        <item x="318"/>
        <item x="277"/>
        <item x="478"/>
        <item x="94"/>
        <item x="15"/>
        <item x="616"/>
        <item x="1235"/>
        <item x="1350"/>
        <item x="571"/>
        <item x="877"/>
        <item x="1363"/>
        <item x="9"/>
        <item x="714"/>
        <item x="302"/>
        <item x="962"/>
        <item x="1068"/>
        <item x="511"/>
        <item x="1161"/>
        <item x="624"/>
        <item x="1180"/>
        <item x="967"/>
        <item x="971"/>
        <item x="402"/>
        <item x="1152"/>
        <item x="352"/>
        <item x="664"/>
        <item x="1297"/>
        <item x="588"/>
        <item x="1226"/>
        <item x="312"/>
        <item x="196"/>
        <item x="457"/>
        <item x="173"/>
        <item x="1157"/>
        <item x="1062"/>
        <item x="954"/>
        <item x="1331"/>
        <item x="1177"/>
        <item x="1089"/>
        <item x="1139"/>
        <item x="492"/>
        <item x="406"/>
        <item x="742"/>
        <item x="1080"/>
        <item x="1122"/>
        <item x="1175"/>
        <item x="643"/>
        <item x="1335"/>
        <item x="639"/>
        <item x="363"/>
        <item x="909"/>
        <item x="1103"/>
        <item x="1304"/>
        <item x="486"/>
        <item x="1251"/>
        <item x="700"/>
        <item x="921"/>
        <item x="1057"/>
        <item x="925"/>
        <item x="978"/>
        <item x="562"/>
        <item x="899"/>
        <item x="1036"/>
        <item x="601"/>
        <item x="92"/>
        <item x="332"/>
        <item x="713"/>
        <item x="766"/>
        <item x="409"/>
        <item x="446"/>
        <item x="214"/>
        <item x="966"/>
        <item x="106"/>
        <item x="262"/>
        <item x="264"/>
        <item x="1086"/>
        <item x="1306"/>
        <item x="1211"/>
        <item x="934"/>
        <item x="1138"/>
        <item x="112"/>
        <item x="732"/>
        <item x="963"/>
        <item x="695"/>
        <item x="979"/>
        <item x="62"/>
        <item x="1338"/>
        <item x="1147"/>
        <item x="202"/>
        <item x="381"/>
        <item x="754"/>
        <item x="973"/>
        <item x="783"/>
        <item x="1097"/>
        <item x="105"/>
        <item x="183"/>
        <item x="693"/>
        <item x="603"/>
        <item x="547"/>
        <item x="242"/>
        <item x="665"/>
        <item x="653"/>
        <item x="659"/>
        <item x="1016"/>
        <item x="1100"/>
        <item x="447"/>
        <item x="531"/>
        <item x="40"/>
        <item x="1116"/>
        <item x="672"/>
        <item x="989"/>
        <item x="1201"/>
        <item x="514"/>
        <item x="450"/>
        <item x="734"/>
        <item x="24"/>
        <item x="530"/>
        <item x="520"/>
        <item x="1354"/>
        <item x="346"/>
        <item x="1324"/>
        <item x="1298"/>
        <item x="451"/>
        <item x="496"/>
        <item x="4"/>
        <item x="1223"/>
        <item x="504"/>
        <item x="875"/>
        <item x="356"/>
        <item x="288"/>
        <item x="386"/>
        <item x="167"/>
        <item x="292"/>
        <item x="10"/>
        <item x="787"/>
        <item x="712"/>
        <item x="303"/>
        <item x="433"/>
        <item x="429"/>
        <item x="894"/>
        <item x="1093"/>
        <item x="1369"/>
        <item x="1208"/>
        <item x="943"/>
        <item x="437"/>
        <item x="243"/>
        <item x="1254"/>
        <item x="382"/>
        <item x="378"/>
        <item x="1072"/>
        <item x="619"/>
        <item x="888"/>
        <item x="887"/>
        <item x="952"/>
        <item x="213"/>
        <item x="676"/>
        <item x="359"/>
        <item x="1294"/>
        <item x="291"/>
        <item x="107"/>
        <item x="321"/>
        <item x="336"/>
        <item x="384"/>
        <item x="1261"/>
        <item x="612"/>
        <item x="1030"/>
        <item x="1153"/>
        <item x="1076"/>
        <item x="871"/>
        <item x="844"/>
        <item x="1270"/>
        <item x="422"/>
        <item x="44"/>
        <item x="488"/>
        <item x="914"/>
        <item x="1310"/>
        <item x="998"/>
        <item x="301"/>
        <item x="263"/>
        <item x="1108"/>
        <item x="272"/>
        <item x="890"/>
        <item x="38"/>
        <item x="735"/>
        <item x="21"/>
        <item x="1228"/>
        <item x="1292"/>
        <item x="884"/>
        <item x="1105"/>
        <item x="761"/>
        <item x="220"/>
        <item x="1176"/>
        <item x="65"/>
        <item x="181"/>
        <item x="459"/>
        <item x="1206"/>
        <item x="1091"/>
        <item x="143"/>
        <item x="768"/>
        <item x="910"/>
        <item x="1266"/>
        <item x="510"/>
        <item x="371"/>
        <item x="222"/>
        <item x="781"/>
        <item x="827"/>
        <item x="234"/>
        <item x="129"/>
        <item x="34"/>
        <item x="563"/>
        <item x="1087"/>
        <item x="137"/>
        <item x="582"/>
        <item x="752"/>
        <item x="669"/>
        <item x="506"/>
        <item x="54"/>
        <item x="156"/>
        <item x="1313"/>
        <item x="255"/>
        <item x="709"/>
        <item x="614"/>
        <item x="744"/>
        <item x="1165"/>
        <item x="162"/>
        <item x="236"/>
        <item x="383"/>
        <item x="260"/>
        <item x="358"/>
        <item x="1185"/>
        <item x="1132"/>
        <item x="1247"/>
        <item x="423"/>
        <item x="479"/>
        <item x="158"/>
        <item x="1008"/>
        <item x="60"/>
        <item x="1293"/>
        <item x="305"/>
        <item x="436"/>
        <item x="702"/>
        <item x="96"/>
        <item x="349"/>
        <item x="1162"/>
        <item x="880"/>
        <item x="840"/>
        <item x="634"/>
        <item x="1356"/>
        <item x="1309"/>
        <item x="477"/>
        <item x="209"/>
        <item x="335"/>
        <item x="77"/>
        <item x="1127"/>
        <item x="1325"/>
        <item x="493"/>
        <item x="638"/>
        <item x="1135"/>
        <item x="1197"/>
        <item x="269"/>
        <item x="1227"/>
        <item x="537"/>
        <item x="224"/>
        <item x="570"/>
        <item x="454"/>
        <item x="309"/>
        <item x="1219"/>
        <item x="1"/>
        <item x="838"/>
        <item x="1133"/>
        <item x="1321"/>
        <item x="472"/>
        <item x="982"/>
        <item x="578"/>
        <item x="22"/>
        <item x="1005"/>
        <item x="1102"/>
        <item x="1034"/>
        <item x="854"/>
        <item x="75"/>
        <item x="928"/>
        <item x="372"/>
        <item x="776"/>
        <item x="753"/>
        <item x="1192"/>
        <item x="1205"/>
        <item x="552"/>
        <item x="553"/>
        <item x="1178"/>
        <item x="121"/>
        <item x="1020"/>
        <item x="953"/>
        <item x="400"/>
        <item x="248"/>
        <item x="869"/>
        <item x="1198"/>
        <item x="647"/>
        <item x="846"/>
        <item x="687"/>
        <item x="1352"/>
        <item x="1222"/>
        <item x="169"/>
        <item x="418"/>
        <item x="88"/>
        <item x="405"/>
        <item x="1364"/>
        <item x="1344"/>
        <item x="1136"/>
        <item x="701"/>
        <item x="278"/>
        <item x="141"/>
        <item x="18"/>
        <item x="1050"/>
        <item x="6"/>
        <item x="939"/>
        <item x="11"/>
        <item x="544"/>
        <item x="155"/>
        <item x="1367"/>
        <item x="194"/>
        <item x="27"/>
        <item x="494"/>
        <item x="319"/>
        <item x="533"/>
        <item x="201"/>
        <item x="404"/>
        <item x="1224"/>
        <item x="572"/>
        <item x="1262"/>
        <item x="1289"/>
        <item x="1098"/>
        <item x="1077"/>
        <item x="748"/>
        <item x="1237"/>
        <item x="1269"/>
        <item x="98"/>
        <item x="1019"/>
        <item x="699"/>
        <item x="165"/>
        <item x="540"/>
        <item x="855"/>
        <item x="782"/>
        <item x="1230"/>
        <item x="545"/>
        <item x="313"/>
        <item x="1053"/>
        <item x="608"/>
        <item x="631"/>
        <item x="1307"/>
        <item x="211"/>
        <item x="69"/>
        <item x="1170"/>
        <item x="1283"/>
        <item x="480"/>
        <item x="218"/>
        <item x="415"/>
        <item x="1337"/>
        <item x="1353"/>
        <item x="981"/>
        <item x="1281"/>
        <item x="824"/>
        <item x="1155"/>
        <item x="135"/>
        <item x="205"/>
        <item x="655"/>
        <item x="154"/>
        <item x="484"/>
        <item x="542"/>
        <item x="895"/>
        <item x="166"/>
        <item x="558"/>
        <item x="992"/>
        <item x="816"/>
        <item x="573"/>
        <item x="1339"/>
        <item x="720"/>
        <item x="1039"/>
        <item x="1314"/>
        <item x="1067"/>
        <item x="1092"/>
        <item x="298"/>
        <item x="637"/>
        <item x="195"/>
        <item x="1014"/>
        <item x="410"/>
        <item x="1365"/>
        <item x="935"/>
        <item x="1199"/>
        <item x="703"/>
        <item x="148"/>
        <item x="675"/>
        <item x="475"/>
        <item x="1059"/>
        <item x="1221"/>
        <item x="466"/>
        <item x="589"/>
        <item x="660"/>
        <item x="1305"/>
        <item x="698"/>
        <item x="48"/>
        <item x="468"/>
        <item x="587"/>
        <item x="1240"/>
        <item x="136"/>
        <item x="152"/>
        <item x="164"/>
        <item x="892"/>
        <item x="276"/>
        <item x="577"/>
        <item x="93"/>
        <item x="918"/>
        <item x="611"/>
        <item x="842"/>
        <item x="646"/>
        <item x="991"/>
        <item x="1074"/>
        <item x="648"/>
        <item x="1129"/>
        <item x="64"/>
        <item x="149"/>
        <item x="1345"/>
        <item x="882"/>
        <item x="8"/>
        <item x="729"/>
        <item x="576"/>
        <item x="803"/>
        <item x="1312"/>
        <item x="777"/>
        <item x="389"/>
        <item x="813"/>
        <item x="63"/>
        <item x="508"/>
        <item x="574"/>
        <item x="1276"/>
        <item x="592"/>
        <item x="815"/>
        <item x="449"/>
        <item x="970"/>
        <item x="904"/>
        <item x="249"/>
        <item x="1334"/>
        <item x="507"/>
        <item x="528"/>
        <item x="1123"/>
        <item x="1275"/>
        <item x="933"/>
        <item x="286"/>
        <item x="807"/>
        <item x="395"/>
        <item x="960"/>
        <item x="1346"/>
        <item x="1274"/>
        <item x="551"/>
        <item x="311"/>
        <item x="893"/>
        <item x="390"/>
        <item x="1061"/>
        <item x="878"/>
        <item x="411"/>
        <item x="1340"/>
        <item x="602"/>
        <item x="955"/>
        <item x="538"/>
        <item x="1021"/>
        <item x="937"/>
        <item x="79"/>
        <item x="1242"/>
        <item x="299"/>
        <item x="564"/>
        <item x="432"/>
        <item x="1204"/>
        <item x="1033"/>
        <item x="1022"/>
        <item x="442"/>
        <item x="72"/>
        <item x="858"/>
        <item x="1163"/>
        <item x="379"/>
        <item x="599"/>
        <item x="738"/>
        <item x="1246"/>
        <item x="274"/>
        <item x="543"/>
        <item x="1107"/>
        <item x="1260"/>
        <item x="583"/>
        <item x="503"/>
        <item x="828"/>
        <item x="903"/>
        <item x="636"/>
        <item x="929"/>
        <item x="250"/>
        <item x="924"/>
        <item x="1358"/>
        <item x="805"/>
        <item x="1141"/>
        <item x="345"/>
        <item x="3"/>
        <item x="151"/>
        <item x="959"/>
        <item x="650"/>
        <item x="941"/>
        <item x="1029"/>
        <item x="536"/>
        <item x="28"/>
        <item x="546"/>
        <item x="331"/>
        <item x="931"/>
        <item x="630"/>
        <item x="915"/>
        <item x="273"/>
        <item x="819"/>
        <item x="1160"/>
        <item x="1347"/>
        <item x="19"/>
        <item x="53"/>
        <item x="1301"/>
        <item x="789"/>
        <item x="5"/>
        <item x="455"/>
        <item x="427"/>
        <item x="481"/>
        <item x="1209"/>
        <item x="826"/>
        <item x="930"/>
        <item x="1126"/>
        <item x="512"/>
        <item x="317"/>
        <item x="374"/>
        <item x="1291"/>
        <item x="657"/>
        <item x="622"/>
        <item x="78"/>
        <item x="1326"/>
        <item x="788"/>
        <item x="1069"/>
        <item x="994"/>
        <item x="245"/>
        <item x="485"/>
        <item x="114"/>
        <item x="593"/>
        <item x="1187"/>
        <item x="223"/>
        <item x="597"/>
        <item x="919"/>
        <item x="258"/>
        <item x="419"/>
        <item x="1106"/>
        <item x="1299"/>
        <item x="769"/>
        <item x="1018"/>
        <item x="1277"/>
        <item x="294"/>
        <item x="369"/>
        <item x="487"/>
        <item x="239"/>
        <item x="1115"/>
        <item x="974"/>
        <item x="445"/>
        <item x="1117"/>
        <item x="1189"/>
        <item x="523"/>
        <item x="1280"/>
        <item x="499"/>
        <item x="717"/>
        <item x="947"/>
        <item x="470"/>
        <item x="1244"/>
        <item x="1037"/>
        <item x="43"/>
        <item x="949"/>
        <item x="153"/>
        <item x="997"/>
        <item x="950"/>
        <item x="1234"/>
        <item x="1085"/>
        <item x="51"/>
        <item x="1066"/>
        <item x="174"/>
        <item x="913"/>
        <item x="229"/>
        <item x="832"/>
        <item x="144"/>
        <item x="81"/>
        <item x="293"/>
        <item x="662"/>
        <item x="818"/>
        <item x="814"/>
        <item x="767"/>
        <item x="1323"/>
        <item x="594"/>
        <item x="1255"/>
        <item x="89"/>
        <item x="996"/>
        <item x="159"/>
        <item x="585"/>
        <item x="728"/>
        <item x="1272"/>
        <item x="718"/>
        <item x="219"/>
        <item x="841"/>
        <item x="124"/>
        <item x="628"/>
        <item x="1049"/>
        <item x="290"/>
        <item x="268"/>
        <item x="1130"/>
        <item x="393"/>
        <item x="230"/>
        <item x="460"/>
        <item x="1361"/>
        <item x="965"/>
        <item x="247"/>
        <item x="835"/>
        <item x="986"/>
        <item x="1315"/>
        <item x="922"/>
        <item x="327"/>
        <item x="1134"/>
        <item x="859"/>
        <item x="663"/>
        <item x="1210"/>
        <item x="1084"/>
        <item x="632"/>
        <item x="1236"/>
        <item x="829"/>
        <item x="640"/>
        <item x="525"/>
        <item x="833"/>
        <item x="334"/>
        <item x="130"/>
        <item x="775"/>
        <item x="708"/>
        <item x="101"/>
        <item x="604"/>
        <item x="772"/>
        <item x="1099"/>
        <item x="719"/>
        <item x="561"/>
        <item x="831"/>
        <item x="853"/>
        <item x="146"/>
        <item x="595"/>
        <item x="1044"/>
        <item x="1239"/>
        <item x="1287"/>
        <item x="617"/>
        <item x="820"/>
        <item x="1140"/>
        <item x="233"/>
        <item x="591"/>
        <item x="1143"/>
        <item x="91"/>
        <item x="809"/>
        <item x="755"/>
        <item x="412"/>
        <item x="940"/>
        <item x="730"/>
        <item x="176"/>
        <item x="175"/>
        <item x="1359"/>
        <item x="407"/>
        <item x="758"/>
        <item x="946"/>
        <item x="716"/>
        <item x="1025"/>
        <item x="794"/>
        <item x="170"/>
        <item x="1064"/>
        <item x="483"/>
        <item x="1217"/>
        <item x="86"/>
        <item x="873"/>
        <item x="605"/>
        <item x="740"/>
        <item x="1125"/>
        <item x="1042"/>
        <item x="1238"/>
        <item x="951"/>
        <item x="673"/>
        <item x="1320"/>
        <item x="1051"/>
        <item x="1308"/>
        <item x="1302"/>
        <item x="315"/>
        <item x="1241"/>
        <item x="123"/>
        <item x="516"/>
        <item x="686"/>
        <item x="750"/>
        <item x="1215"/>
        <item x="770"/>
        <item x="1009"/>
        <item x="527"/>
        <item x="711"/>
        <item x="774"/>
        <item x="1195"/>
        <item x="580"/>
        <item x="685"/>
        <item x="1017"/>
        <item x="228"/>
        <item x="57"/>
        <item x="747"/>
        <item x="518"/>
        <item x="751"/>
        <item x="726"/>
        <item x="56"/>
        <item x="550"/>
        <item x="1212"/>
        <item x="139"/>
        <item x="812"/>
        <item x="110"/>
        <item x="606"/>
        <item x="513"/>
        <item x="204"/>
        <item x="1317"/>
        <item x="104"/>
        <item x="284"/>
        <item x="654"/>
        <item x="521"/>
        <item x="36"/>
        <item x="707"/>
        <item x="579"/>
        <item x="1284"/>
        <item x="1109"/>
        <item x="199"/>
        <item x="635"/>
        <item x="1360"/>
        <item x="847"/>
        <item x="1229"/>
        <item x="266"/>
        <item x="282"/>
        <item x="658"/>
        <item x="133"/>
        <item x="1225"/>
        <item x="29"/>
        <item x="178"/>
        <item x="1362"/>
        <item x="83"/>
        <item x="1343"/>
        <item x="901"/>
        <item x="296"/>
        <item x="85"/>
        <item x="681"/>
        <item x="581"/>
        <item x="559"/>
        <item x="351"/>
        <item x="821"/>
        <item x="172"/>
        <item x="661"/>
        <item x="1026"/>
        <item x="414"/>
        <item x="566"/>
        <item x="330"/>
        <item x="671"/>
        <item x="347"/>
        <item x="403"/>
        <item x="1045"/>
        <item x="35"/>
        <item x="1120"/>
        <item x="14"/>
        <item x="889"/>
        <item x="786"/>
        <item x="1035"/>
        <item x="666"/>
        <item x="1248"/>
        <item x="1349"/>
        <item x="864"/>
        <item x="68"/>
        <item x="1023"/>
        <item x="804"/>
        <item x="150"/>
        <item x="942"/>
        <item x="300"/>
        <item x="458"/>
        <item x="677"/>
        <item x="1028"/>
        <item x="491"/>
        <item x="474"/>
        <item x="421"/>
        <item x="1142"/>
        <item x="501"/>
        <item x="267"/>
        <item x="495"/>
        <item x="1041"/>
        <item x="555"/>
        <item x="764"/>
        <item x="1118"/>
        <item x="355"/>
        <item x="1027"/>
        <item x="30"/>
        <item x="145"/>
        <item x="1265"/>
        <item x="333"/>
        <item x="1032"/>
        <item x="696"/>
        <item x="33"/>
        <item x="186"/>
        <item x="417"/>
        <item x="881"/>
        <item x="569"/>
        <item x="652"/>
        <item x="208"/>
        <item x="217"/>
        <item x="128"/>
        <item x="226"/>
        <item x="868"/>
        <item x="515"/>
        <item x="849"/>
        <item x="340"/>
        <item x="329"/>
        <item x="810"/>
        <item x="584"/>
        <item x="867"/>
        <item x="1336"/>
        <item x="125"/>
        <item x="366"/>
        <item x="428"/>
        <item x="1288"/>
        <item x="25"/>
        <item x="1047"/>
        <item x="353"/>
        <item x="1295"/>
        <item x="1171"/>
        <item x="375"/>
        <item x="61"/>
        <item x="388"/>
        <item x="1006"/>
        <item x="456"/>
        <item x="830"/>
        <item x="108"/>
        <item x="613"/>
        <item x="885"/>
        <item x="1191"/>
        <item x="23"/>
        <item x="103"/>
        <item x="756"/>
        <item x="679"/>
        <item x="350"/>
        <item x="131"/>
        <item x="13"/>
        <item x="307"/>
        <item x="509"/>
        <item x="798"/>
        <item x="1273"/>
        <item x="117"/>
        <item x="157"/>
        <item x="568"/>
        <item x="325"/>
        <item x="261"/>
        <item x="896"/>
        <item x="1268"/>
        <item x="360"/>
        <item x="482"/>
        <item x="801"/>
        <item x="791"/>
        <item x="215"/>
        <item x="502"/>
        <item x="37"/>
        <item x="802"/>
        <item x="364"/>
        <item x="198"/>
        <item x="497"/>
        <item x="1063"/>
        <item x="1148"/>
        <item x="357"/>
        <item x="435"/>
        <item x="848"/>
        <item x="741"/>
        <item x="163"/>
        <item x="134"/>
        <item x="1159"/>
        <item x="408"/>
        <item x="1181"/>
        <item x="1253"/>
        <item x="1233"/>
        <item x="1186"/>
        <item x="704"/>
        <item x="879"/>
        <item x="1179"/>
        <item x="1202"/>
        <item x="212"/>
        <item x="1348"/>
        <item x="1231"/>
        <item x="1083"/>
        <item x="2"/>
        <item x="396"/>
        <item x="1079"/>
        <item x="469"/>
        <item x="759"/>
        <item x="1121"/>
        <item x="806"/>
        <item x="380"/>
        <item x="431"/>
        <item x="532"/>
        <item x="118"/>
        <item x="567"/>
        <item x="32"/>
        <item x="851"/>
        <item x="434"/>
        <item x="308"/>
        <item x="796"/>
        <item x="188"/>
        <item x="1300"/>
        <item x="621"/>
        <item x="397"/>
        <item x="473"/>
        <item x="1168"/>
        <item x="1078"/>
        <item x="0"/>
        <item x="1357"/>
        <item x="906"/>
        <item x="1267"/>
        <item x="55"/>
        <item x="731"/>
        <item x="1327"/>
        <item x="238"/>
        <item x="680"/>
        <item x="253"/>
        <item x="1038"/>
        <item x="1213"/>
        <item x="724"/>
        <item x="773"/>
        <item x="691"/>
        <item x="784"/>
        <item x="524"/>
        <item x="348"/>
        <item x="917"/>
        <item x="715"/>
        <item x="190"/>
        <item x="980"/>
        <item x="1173"/>
        <item x="116"/>
        <item x="817"/>
        <item x="184"/>
        <item x="539"/>
        <item x="52"/>
        <item x="972"/>
        <item x="127"/>
        <item x="656"/>
        <item x="886"/>
        <item x="1144"/>
        <item x="185"/>
        <item x="1052"/>
        <item x="590"/>
        <item x="41"/>
        <item x="142"/>
        <item x="467"/>
        <item x="763"/>
        <item x="705"/>
        <item x="987"/>
        <item x="860"/>
        <item x="1193"/>
        <item x="641"/>
        <item x="187"/>
        <item x="957"/>
        <item x="323"/>
        <item x="87"/>
        <item x="1012"/>
        <item x="328"/>
        <item x="203"/>
        <item x="689"/>
        <item x="31"/>
        <item x="367"/>
        <item x="426"/>
        <item x="416"/>
        <item x="1055"/>
        <item x="905"/>
        <item x="808"/>
        <item x="1250"/>
        <item x="629"/>
        <item x="160"/>
        <item x="287"/>
        <item x="210"/>
        <item x="843"/>
        <item x="626"/>
        <item x="251"/>
        <item x="674"/>
        <item x="342"/>
        <item x="861"/>
        <item x="17"/>
        <item x="771"/>
        <item x="958"/>
        <item x="541"/>
        <item x="191"/>
        <item x="100"/>
        <item x="1104"/>
        <item x="197"/>
        <item x="948"/>
        <item x="911"/>
        <item x="46"/>
        <item x="1332"/>
        <item x="1048"/>
        <item x="392"/>
        <item x="310"/>
        <item x="651"/>
        <item x="642"/>
        <item x="373"/>
        <item x="825"/>
        <item x="1263"/>
        <item x="1149"/>
        <item x="945"/>
        <item x="1001"/>
        <item x="270"/>
        <item x="1328"/>
        <item x="1156"/>
        <item x="872"/>
        <item x="306"/>
        <item x="688"/>
        <item x="271"/>
        <item x="1214"/>
        <item x="1368"/>
        <item x="706"/>
        <item x="362"/>
        <item x="923"/>
        <item x="1258"/>
        <item x="1256"/>
        <item x="995"/>
        <item x="252"/>
        <item x="908"/>
        <item x="990"/>
        <item x="489"/>
        <item x="615"/>
        <item x="341"/>
        <item x="180"/>
        <item x="1003"/>
        <item x="968"/>
        <item x="73"/>
        <item x="322"/>
        <item x="39"/>
        <item x="618"/>
        <item x="42"/>
        <item x="1232"/>
        <item x="425"/>
        <item x="969"/>
        <item x="609"/>
        <item x="822"/>
        <item x="1065"/>
        <item x="1172"/>
        <item x="464"/>
        <item x="177"/>
        <item x="161"/>
        <item x="1112"/>
        <item x="476"/>
        <item x="16"/>
        <item x="59"/>
        <item x="667"/>
        <item x="548"/>
        <item x="256"/>
        <item x="852"/>
        <item x="727"/>
        <item x="898"/>
        <item x="985"/>
        <item x="863"/>
        <item x="102"/>
        <item x="376"/>
        <item x="265"/>
        <item x="1303"/>
        <item x="519"/>
        <item x="76"/>
        <item x="399"/>
        <item x="1167"/>
        <item x="975"/>
        <item x="498"/>
        <item x="1090"/>
        <item x="1318"/>
        <item x="189"/>
        <item x="976"/>
        <item x="1341"/>
        <item x="221"/>
        <item x="1194"/>
        <item x="692"/>
        <item x="627"/>
        <item x="837"/>
        <item x="444"/>
        <item x="122"/>
        <item x="138"/>
        <item x="1146"/>
        <item x="780"/>
        <item x="845"/>
        <item x="47"/>
        <item x="1190"/>
        <item x="240"/>
        <item x="556"/>
        <item x="1342"/>
        <item x="443"/>
        <item x="462"/>
        <item x="394"/>
        <item x="289"/>
        <item x="168"/>
        <item x="324"/>
        <item x="413"/>
        <item x="490"/>
        <item x="1245"/>
        <item x="823"/>
        <item x="565"/>
        <item x="610"/>
        <item x="984"/>
        <item x="1101"/>
        <item x="26"/>
        <item x="793"/>
        <item x="721"/>
        <item x="441"/>
        <item x="1110"/>
        <item x="733"/>
        <item x="797"/>
        <item x="757"/>
        <item x="1043"/>
        <item x="1007"/>
        <item x="526"/>
        <item x="99"/>
        <item x="45"/>
        <item x="1290"/>
        <item x="391"/>
        <item x="1333"/>
        <item x="1351"/>
        <item x="749"/>
        <item x="936"/>
        <item x="649"/>
        <item x="725"/>
        <item x="171"/>
        <item x="440"/>
        <item x="668"/>
        <item x="907"/>
        <item x="1203"/>
        <item x="874"/>
        <item x="1056"/>
        <item x="944"/>
        <item x="534"/>
        <item x="1216"/>
        <item x="1182"/>
        <item x="505"/>
        <item x="1154"/>
        <item x="623"/>
        <item x="891"/>
        <item x="259"/>
        <item x="1166"/>
        <item x="737"/>
        <item x="1073"/>
        <item x="225"/>
        <item x="1011"/>
        <item x="1252"/>
        <item x="461"/>
        <item x="870"/>
        <item x="836"/>
        <item x="438"/>
        <item x="1278"/>
        <item x="575"/>
        <item x="82"/>
        <item x="452"/>
        <item x="834"/>
        <item x="1000"/>
        <item x="420"/>
        <item x="244"/>
        <item x="1151"/>
        <item x="1188"/>
        <item x="743"/>
        <item x="90"/>
        <item x="1119"/>
        <item x="723"/>
        <item x="1024"/>
        <item x="257"/>
        <item x="231"/>
        <item x="1054"/>
        <item x="1158"/>
        <item x="80"/>
        <item x="140"/>
        <item x="1184"/>
        <item x="424"/>
        <item x="20"/>
        <item x="368"/>
        <item x="926"/>
        <item x="58"/>
        <item x="865"/>
        <item x="1355"/>
        <item x="778"/>
        <item x="67"/>
        <item x="283"/>
        <item x="856"/>
        <item x="1330"/>
        <item x="7"/>
        <item x="598"/>
        <item x="275"/>
        <item x="113"/>
        <item x="70"/>
        <item x="193"/>
        <item x="338"/>
        <item x="1243"/>
        <item x="1111"/>
        <item x="1285"/>
        <item x="1031"/>
        <item x="254"/>
        <item x="586"/>
        <item x="682"/>
        <item x="857"/>
        <item x="790"/>
        <item x="983"/>
        <item x="792"/>
        <item x="920"/>
        <item x="387"/>
        <item x="1137"/>
        <item x="279"/>
        <item x="216"/>
        <item x="746"/>
        <item x="339"/>
        <item x="377"/>
        <item x="200"/>
        <item x="316"/>
        <item x="235"/>
        <item x="314"/>
        <item x="1200"/>
        <item x="1207"/>
        <item x="147"/>
        <item x="1124"/>
        <item x="246"/>
        <item x="237"/>
        <item x="785"/>
        <item x="1271"/>
        <item x="557"/>
        <item x="84"/>
        <item x="1131"/>
        <item x="370"/>
        <item x="320"/>
        <item x="900"/>
        <item x="1319"/>
        <item x="760"/>
        <item x="1183"/>
        <item x="295"/>
        <item x="762"/>
        <item x="1075"/>
        <item x="1113"/>
        <item x="1046"/>
        <item x="326"/>
        <item x="297"/>
        <item x="988"/>
        <item x="1370"/>
        <item x="811"/>
        <item x="961"/>
        <item x="697"/>
        <item x="285"/>
        <item x="453"/>
        <item x="977"/>
        <item x="97"/>
        <item x="1095"/>
        <item x="1128"/>
        <item x="1070"/>
        <item x="1058"/>
        <item x="1316"/>
        <item x="1311"/>
        <item x="1088"/>
        <item x="115"/>
        <item x="600"/>
        <item x="779"/>
        <item x="560"/>
        <item x="119"/>
        <item x="206"/>
        <item x="670"/>
        <item x="50"/>
        <item x="999"/>
        <item x="1220"/>
        <item x="1249"/>
        <item x="964"/>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232"/>
        <item x="337"/>
        <item x="448"/>
        <item x="465"/>
        <item x="554"/>
        <item x="745"/>
        <item x="862"/>
        <item x="1257"/>
        <item x="1279"/>
        <item x="1401"/>
        <item t="default"/>
      </items>
    </pivotField>
    <pivotField showAll="0"/>
    <pivotField showAll="0"/>
    <pivotField showAll="0">
      <items count="516">
        <item x="323"/>
        <item x="412"/>
        <item x="86"/>
        <item x="220"/>
        <item x="404"/>
        <item x="379"/>
        <item x="219"/>
        <item x="71"/>
        <item x="454"/>
        <item x="331"/>
        <item x="108"/>
        <item x="64"/>
        <item x="114"/>
        <item x="299"/>
        <item x="388"/>
        <item x="11"/>
        <item x="262"/>
        <item x="283"/>
        <item x="68"/>
        <item x="98"/>
        <item x="389"/>
        <item x="48"/>
        <item x="420"/>
        <item x="100"/>
        <item x="446"/>
        <item x="374"/>
        <item x="421"/>
        <item x="257"/>
        <item x="196"/>
        <item x="234"/>
        <item x="487"/>
        <item x="321"/>
        <item x="472"/>
        <item x="151"/>
        <item x="315"/>
        <item x="171"/>
        <item x="238"/>
        <item x="445"/>
        <item x="147"/>
        <item x="475"/>
        <item x="402"/>
        <item x="85"/>
        <item x="303"/>
        <item x="233"/>
        <item x="370"/>
        <item x="95"/>
        <item x="251"/>
        <item x="458"/>
        <item x="60"/>
        <item x="378"/>
        <item x="14"/>
        <item x="360"/>
        <item x="209"/>
        <item x="178"/>
        <item x="286"/>
        <item x="163"/>
        <item x="9"/>
        <item x="352"/>
        <item x="208"/>
        <item x="304"/>
        <item x="43"/>
        <item x="245"/>
        <item x="96"/>
        <item x="305"/>
        <item x="274"/>
        <item x="37"/>
        <item x="198"/>
        <item x="197"/>
        <item x="23"/>
        <item x="259"/>
        <item x="168"/>
        <item x="340"/>
        <item x="145"/>
        <item x="39"/>
        <item x="154"/>
        <item x="275"/>
        <item x="10"/>
        <item x="177"/>
        <item x="4"/>
        <item x="261"/>
        <item x="294"/>
        <item x="232"/>
        <item x="439"/>
        <item x="498"/>
        <item x="94"/>
        <item x="375"/>
        <item x="437"/>
        <item x="117"/>
        <item x="306"/>
        <item x="394"/>
        <item x="58"/>
        <item x="182"/>
        <item x="153"/>
        <item x="73"/>
        <item x="444"/>
        <item x="465"/>
        <item x="122"/>
        <item x="20"/>
        <item x="253"/>
        <item x="351"/>
        <item x="63"/>
        <item x="367"/>
        <item x="236"/>
        <item x="173"/>
        <item x="139"/>
        <item x="125"/>
        <item x="1"/>
        <item x="53"/>
        <item x="137"/>
        <item x="320"/>
        <item x="191"/>
        <item x="185"/>
        <item x="142"/>
        <item x="33"/>
        <item x="300"/>
        <item x="67"/>
        <item x="6"/>
        <item x="175"/>
        <item x="81"/>
        <item x="167"/>
        <item x="21"/>
        <item x="292"/>
        <item x="409"/>
        <item x="407"/>
        <item x="431"/>
        <item x="88"/>
        <item x="353"/>
        <item x="338"/>
        <item x="17"/>
        <item x="469"/>
        <item x="26"/>
        <item x="244"/>
        <item x="72"/>
        <item x="202"/>
        <item x="109"/>
        <item x="339"/>
        <item x="430"/>
        <item x="416"/>
        <item x="329"/>
        <item x="474"/>
        <item x="144"/>
        <item x="492"/>
        <item x="239"/>
        <item x="461"/>
        <item x="386"/>
        <item x="354"/>
        <item x="61"/>
        <item x="8"/>
        <item x="346"/>
        <item x="318"/>
        <item x="121"/>
        <item x="466"/>
        <item x="131"/>
        <item x="62"/>
        <item x="471"/>
        <item x="359"/>
        <item x="365"/>
        <item x="336"/>
        <item x="47"/>
        <item x="450"/>
        <item x="361"/>
        <item x="287"/>
        <item x="120"/>
        <item x="136"/>
        <item x="134"/>
        <item x="308"/>
        <item x="170"/>
        <item x="180"/>
        <item x="436"/>
        <item x="143"/>
        <item x="272"/>
        <item x="203"/>
        <item x="328"/>
        <item x="250"/>
        <item x="216"/>
        <item x="441"/>
        <item x="3"/>
        <item x="357"/>
        <item x="377"/>
        <item x="217"/>
        <item x="27"/>
        <item x="452"/>
        <item x="288"/>
        <item x="484"/>
        <item x="435"/>
        <item x="75"/>
        <item x="280"/>
        <item x="456"/>
        <item x="343"/>
        <item x="237"/>
        <item x="133"/>
        <item x="496"/>
        <item x="333"/>
        <item x="348"/>
        <item x="230"/>
        <item x="332"/>
        <item x="18"/>
        <item x="69"/>
        <item x="468"/>
        <item x="337"/>
        <item x="499"/>
        <item x="42"/>
        <item x="227"/>
        <item x="184"/>
        <item x="497"/>
        <item x="188"/>
        <item x="309"/>
        <item x="226"/>
        <item x="418"/>
        <item x="449"/>
        <item x="382"/>
        <item x="459"/>
        <item x="417"/>
        <item x="199"/>
        <item x="5"/>
        <item x="267"/>
        <item x="126"/>
        <item x="503"/>
        <item x="424"/>
        <item x="363"/>
        <item x="324"/>
        <item x="50"/>
        <item x="140"/>
        <item x="102"/>
        <item x="207"/>
        <item x="52"/>
        <item x="135"/>
        <item x="243"/>
        <item x="74"/>
        <item x="297"/>
        <item x="481"/>
        <item x="181"/>
        <item x="396"/>
        <item x="507"/>
        <item x="397"/>
        <item x="427"/>
        <item x="130"/>
        <item x="326"/>
        <item x="362"/>
        <item x="213"/>
        <item x="80"/>
        <item x="189"/>
        <item x="419"/>
        <item x="112"/>
        <item x="201"/>
        <item x="284"/>
        <item x="118"/>
        <item x="148"/>
        <item x="373"/>
        <item x="128"/>
        <item x="90"/>
        <item x="453"/>
        <item x="447"/>
        <item x="225"/>
        <item x="252"/>
        <item x="83"/>
        <item x="428"/>
        <item x="457"/>
        <item x="376"/>
        <item x="381"/>
        <item x="93"/>
        <item x="327"/>
        <item x="408"/>
        <item x="249"/>
        <item x="241"/>
        <item x="289"/>
        <item x="165"/>
        <item x="35"/>
        <item x="99"/>
        <item x="356"/>
        <item x="387"/>
        <item x="77"/>
        <item x="221"/>
        <item x="54"/>
        <item x="187"/>
        <item x="501"/>
        <item x="211"/>
        <item x="150"/>
        <item x="478"/>
        <item x="146"/>
        <item x="79"/>
        <item x="55"/>
        <item x="28"/>
        <item x="355"/>
        <item x="342"/>
        <item x="111"/>
        <item x="426"/>
        <item x="380"/>
        <item x="231"/>
        <item x="291"/>
        <item x="156"/>
        <item x="298"/>
        <item x="24"/>
        <item x="482"/>
        <item x="506"/>
        <item x="127"/>
        <item x="59"/>
        <item x="264"/>
        <item x="29"/>
        <item x="32"/>
        <item x="34"/>
        <item x="66"/>
        <item x="316"/>
        <item x="113"/>
        <item x="422"/>
        <item x="311"/>
        <item x="13"/>
        <item x="212"/>
        <item x="132"/>
        <item x="322"/>
        <item x="116"/>
        <item x="277"/>
        <item x="464"/>
        <item x="350"/>
        <item x="440"/>
        <item x="172"/>
        <item x="31"/>
        <item x="84"/>
        <item x="285"/>
        <item x="12"/>
        <item x="254"/>
        <item x="119"/>
        <item x="312"/>
        <item x="366"/>
        <item x="235"/>
        <item x="97"/>
        <item x="395"/>
        <item x="405"/>
        <item x="260"/>
        <item x="491"/>
        <item x="105"/>
        <item x="442"/>
        <item x="349"/>
        <item x="176"/>
        <item x="36"/>
        <item x="317"/>
        <item x="410"/>
        <item x="2"/>
        <item x="319"/>
        <item x="106"/>
        <item x="273"/>
        <item x="483"/>
        <item x="138"/>
        <item x="92"/>
        <item x="22"/>
        <item x="258"/>
        <item x="290"/>
        <item x="110"/>
        <item x="334"/>
        <item x="413"/>
        <item x="391"/>
        <item x="265"/>
        <item x="158"/>
        <item x="281"/>
        <item x="296"/>
        <item x="155"/>
        <item x="0"/>
        <item x="104"/>
        <item x="157"/>
        <item x="425"/>
        <item x="30"/>
        <item x="310"/>
        <item x="247"/>
        <item x="115"/>
        <item x="169"/>
        <item x="399"/>
        <item x="194"/>
        <item x="160"/>
        <item x="369"/>
        <item x="438"/>
        <item x="40"/>
        <item x="51"/>
        <item x="325"/>
        <item x="335"/>
        <item x="433"/>
        <item x="70"/>
        <item x="448"/>
        <item x="455"/>
        <item x="161"/>
        <item x="385"/>
        <item x="174"/>
        <item x="204"/>
        <item x="41"/>
        <item x="38"/>
        <item x="214"/>
        <item x="494"/>
        <item x="462"/>
        <item x="504"/>
        <item x="269"/>
        <item x="141"/>
        <item x="263"/>
        <item x="224"/>
        <item x="256"/>
        <item x="371"/>
        <item x="152"/>
        <item x="164"/>
        <item x="246"/>
        <item x="215"/>
        <item x="368"/>
        <item x="16"/>
        <item x="313"/>
        <item x="415"/>
        <item x="46"/>
        <item x="479"/>
        <item x="91"/>
        <item x="25"/>
        <item x="502"/>
        <item x="183"/>
        <item x="476"/>
        <item x="15"/>
        <item x="401"/>
        <item x="210"/>
        <item x="489"/>
        <item x="195"/>
        <item x="302"/>
        <item x="443"/>
        <item x="282"/>
        <item x="392"/>
        <item x="314"/>
        <item x="403"/>
        <item x="341"/>
        <item x="205"/>
        <item x="159"/>
        <item x="279"/>
        <item x="57"/>
        <item x="344"/>
        <item x="270"/>
        <item x="372"/>
        <item x="123"/>
        <item x="149"/>
        <item x="307"/>
        <item x="19"/>
        <item x="434"/>
        <item x="330"/>
        <item x="467"/>
        <item x="400"/>
        <item x="383"/>
        <item x="190"/>
        <item x="411"/>
        <item x="44"/>
        <item x="451"/>
        <item x="278"/>
        <item x="406"/>
        <item x="293"/>
        <item x="493"/>
        <item x="82"/>
        <item x="295"/>
        <item x="76"/>
        <item x="124"/>
        <item x="488"/>
        <item x="206"/>
        <item x="301"/>
        <item x="186"/>
        <item x="89"/>
        <item x="398"/>
        <item x="429"/>
        <item x="222"/>
        <item x="45"/>
        <item x="268"/>
        <item x="129"/>
        <item x="166"/>
        <item x="266"/>
        <item x="78"/>
        <item x="200"/>
        <item x="358"/>
        <item x="193"/>
        <item x="192"/>
        <item x="271"/>
        <item x="432"/>
        <item x="65"/>
        <item x="486"/>
        <item x="276"/>
        <item x="162"/>
        <item x="255"/>
        <item x="7"/>
        <item x="56"/>
        <item x="414"/>
        <item x="490"/>
        <item x="480"/>
        <item x="101"/>
        <item x="240"/>
        <item x="505"/>
        <item x="345"/>
        <item x="364"/>
        <item x="495"/>
        <item x="229"/>
        <item x="511"/>
        <item x="218"/>
        <item x="228"/>
        <item x="223"/>
        <item x="107"/>
        <item x="248"/>
        <item x="509"/>
        <item x="473"/>
        <item x="508"/>
        <item x="500"/>
        <item x="460"/>
        <item x="477"/>
        <item x="103"/>
        <item x="347"/>
        <item x="423"/>
        <item x="87"/>
        <item x="393"/>
        <item x="384"/>
        <item x="49"/>
        <item x="485"/>
        <item x="512"/>
        <item x="513"/>
        <item x="510"/>
        <item x="463"/>
        <item x="470"/>
        <item x="390"/>
        <item x="179"/>
        <item x="242"/>
        <item x="514"/>
        <item t="default"/>
      </items>
    </pivotField>
    <pivotField showAll="0"/>
    <pivotField showAll="0"/>
    <pivotField showAll="0"/>
    <pivotField showAll="0"/>
    <pivotField showAll="0">
      <items count="7">
        <item x="1"/>
        <item x="0"/>
        <item x="4"/>
        <item x="2"/>
        <item x="3"/>
        <item x="5"/>
        <item t="default"/>
      </items>
    </pivotField>
    <pivotField showAll="0"/>
    <pivotField showAll="0"/>
    <pivotField showAll="0"/>
    <pivotField axis="axisCol" showAll="0">
      <items count="8">
        <item x="3"/>
        <item x="0"/>
        <item x="1"/>
        <item x="2"/>
        <item x="4"/>
        <item h="1" x="5"/>
        <item h="1" x="6"/>
        <item t="default"/>
      </items>
    </pivotField>
    <pivotField showAll="0">
      <items count="11">
        <item x="6"/>
        <item x="2"/>
        <item x="3"/>
        <item x="7"/>
        <item x="1"/>
        <item x="0"/>
        <item x="5"/>
        <item x="4"/>
        <item x="8"/>
        <item x="9"/>
        <item t="default"/>
      </items>
    </pivotField>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0">
    <i>
      <x/>
    </i>
    <i>
      <x v="1"/>
    </i>
    <i>
      <x v="2"/>
    </i>
    <i>
      <x v="3"/>
    </i>
    <i>
      <x v="4"/>
    </i>
    <i>
      <x v="5"/>
    </i>
    <i>
      <x v="6"/>
    </i>
    <i>
      <x v="7"/>
    </i>
    <i>
      <x v="8"/>
    </i>
    <i>
      <x v="10"/>
    </i>
  </rowItems>
  <colFields count="1">
    <field x="12"/>
  </colFields>
  <colItems count="5">
    <i>
      <x/>
    </i>
    <i>
      <x v="1"/>
    </i>
    <i>
      <x v="2"/>
    </i>
    <i>
      <x v="3"/>
    </i>
    <i>
      <x v="4"/>
    </i>
  </colItems>
  <dataFields count="1">
    <dataField name="Count of Product_Event_ID" fld="0" subtotal="count" baseField="0" baseItem="0"/>
  </dataFields>
  <chartFormats count="10">
    <chartFormat chart="16" format="0" series="1">
      <pivotArea type="data" outline="0" fieldPosition="0">
        <references count="2">
          <reference field="4294967294" count="1" selected="0">
            <x v="0"/>
          </reference>
          <reference field="12" count="1" selected="0">
            <x v="0"/>
          </reference>
        </references>
      </pivotArea>
    </chartFormat>
    <chartFormat chart="16" format="1" series="1">
      <pivotArea type="data" outline="0" fieldPosition="0">
        <references count="2">
          <reference field="4294967294" count="1" selected="0">
            <x v="0"/>
          </reference>
          <reference field="12" count="1" selected="0">
            <x v="1"/>
          </reference>
        </references>
      </pivotArea>
    </chartFormat>
    <chartFormat chart="16" format="2" series="1">
      <pivotArea type="data" outline="0" fieldPosition="0">
        <references count="2">
          <reference field="4294967294" count="1" selected="0">
            <x v="0"/>
          </reference>
          <reference field="12" count="1" selected="0">
            <x v="2"/>
          </reference>
        </references>
      </pivotArea>
    </chartFormat>
    <chartFormat chart="16" format="3" series="1">
      <pivotArea type="data" outline="0" fieldPosition="0">
        <references count="2">
          <reference field="4294967294" count="1" selected="0">
            <x v="0"/>
          </reference>
          <reference field="12" count="1" selected="0">
            <x v="3"/>
          </reference>
        </references>
      </pivotArea>
    </chartFormat>
    <chartFormat chart="16" format="4" series="1">
      <pivotArea type="data" outline="0" fieldPosition="0">
        <references count="2">
          <reference field="4294967294" count="1" selected="0">
            <x v="0"/>
          </reference>
          <reference field="12" count="1" selected="0">
            <x v="4"/>
          </reference>
        </references>
      </pivotArea>
    </chartFormat>
    <chartFormat chart="20" format="10" series="1">
      <pivotArea type="data" outline="0" fieldPosition="0">
        <references count="2">
          <reference field="4294967294" count="1" selected="0">
            <x v="0"/>
          </reference>
          <reference field="12" count="1" selected="0">
            <x v="0"/>
          </reference>
        </references>
      </pivotArea>
    </chartFormat>
    <chartFormat chart="20" format="11" series="1">
      <pivotArea type="data" outline="0" fieldPosition="0">
        <references count="2">
          <reference field="4294967294" count="1" selected="0">
            <x v="0"/>
          </reference>
          <reference field="12" count="1" selected="0">
            <x v="1"/>
          </reference>
        </references>
      </pivotArea>
    </chartFormat>
    <chartFormat chart="20" format="12" series="1">
      <pivotArea type="data" outline="0" fieldPosition="0">
        <references count="2">
          <reference field="4294967294" count="1" selected="0">
            <x v="0"/>
          </reference>
          <reference field="12" count="1" selected="0">
            <x v="2"/>
          </reference>
        </references>
      </pivotArea>
    </chartFormat>
    <chartFormat chart="20" format="13" series="1">
      <pivotArea type="data" outline="0" fieldPosition="0">
        <references count="2">
          <reference field="4294967294" count="1" selected="0">
            <x v="0"/>
          </reference>
          <reference field="12" count="1" selected="0">
            <x v="3"/>
          </reference>
        </references>
      </pivotArea>
    </chartFormat>
    <chartFormat chart="20" format="1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DBE4848-2C9F-49EE-A046-C4B38234F1FA}" name="PivotTable45" cacheId="8"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Features">
  <location ref="N2:Q13" firstHeaderRow="1" firstDataRow="2"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3"/>
        <item x="0"/>
        <item x="8"/>
        <item x="4"/>
        <item x="10"/>
        <item x="9"/>
        <item x="1"/>
        <item x="5"/>
        <item x="2"/>
        <item h="1" x="6"/>
        <item x="7"/>
        <item h="1" x="11"/>
        <item t="default"/>
      </items>
    </pivotField>
    <pivotField showAll="0"/>
    <pivotField showAll="0"/>
    <pivotField showAll="0"/>
    <pivotField showAll="0"/>
    <pivotField showAll="0"/>
    <pivotField showAll="0"/>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x v="10"/>
    </i>
  </rowItems>
  <colFields count="1">
    <field x="22"/>
  </colFields>
  <colItems count="3">
    <i>
      <x/>
    </i>
    <i>
      <x v="1"/>
    </i>
    <i t="grand">
      <x/>
    </i>
  </colItems>
  <dataFields count="1">
    <dataField name="Count of Task_Completed_Flag"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A0C491A-6880-41DA-8479-0CB3FA317FA7}" name="PivotTable38" cacheId="8"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18:D29" firstHeaderRow="1" firstDataRow="2"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3">
        <item x="3"/>
        <item x="0"/>
        <item x="8"/>
        <item x="4"/>
        <item x="10"/>
        <item x="9"/>
        <item x="1"/>
        <item x="5"/>
        <item x="2"/>
        <item h="1" x="6"/>
        <item x="7"/>
        <item h="1"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Col" dataField="1" showAll="0">
      <items count="5">
        <item x="1"/>
        <item h="1" x="2"/>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v="2"/>
    </i>
    <i>
      <x v="4"/>
    </i>
    <i>
      <x v="5"/>
    </i>
    <i>
      <x v="3"/>
    </i>
    <i>
      <x/>
    </i>
    <i>
      <x v="7"/>
    </i>
    <i>
      <x v="1"/>
    </i>
    <i>
      <x v="10"/>
    </i>
    <i>
      <x v="8"/>
    </i>
    <i>
      <x v="6"/>
    </i>
  </rowItems>
  <colFields count="1">
    <field x="23"/>
  </colFields>
  <colItems count="3">
    <i>
      <x/>
    </i>
    <i>
      <x v="2"/>
    </i>
    <i t="grand">
      <x/>
    </i>
  </colItems>
  <dataFields count="1">
    <dataField name="Count of Error_Flag"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5BB378-9909-4707-949A-2C9CE8AACC99}" autoFormatId="16" applyNumberFormats="0" applyBorderFormats="0" applyFontFormats="0" applyPatternFormats="0" applyAlignmentFormats="0" applyWidthHeightFormats="0">
  <queryTableRefresh nextId="44">
    <queryTableFields count="43">
      <queryTableField id="1" name="Product_Event_ID" tableColumnId="1"/>
      <queryTableField id="2" name="User_ID" tableColumnId="2"/>
      <queryTableField id="3" name="Session_ID" tableColumnId="3"/>
      <queryTableField id="4" name="Event_Date" tableColumnId="4"/>
      <queryTableField id="5" name="UK_Region" tableColumnId="5"/>
      <queryTableField id="6" name="City" tableColumnId="6"/>
      <queryTableField id="7" name="Customer_Segment" tableColumnId="7"/>
      <queryTableField id="8" name="Age_Group" tableColumnId="8"/>
      <queryTableField id="9" name="Gender" tableColumnId="9"/>
      <queryTableField id="10" name="Platform" tableColumnId="10"/>
      <queryTableField id="11" name="Device_Type" tableColumnId="11"/>
      <queryTableField id="12" name="Account_Tenure" tableColumnId="12"/>
      <queryTableField id="13" name="Subscription_Plan" tableColumnId="13"/>
      <queryTableField id="14" name="Acquisition_Channel" tableColumnId="14"/>
      <queryTableField id="15" name="Feature_Name" tableColumnId="15"/>
      <queryTableField id="16" name="Adoption_Status" tableColumnId="16"/>
      <queryTableField id="17" name="Experiment_Name" tableColumnId="17"/>
      <queryTableField id="18" name="Experiment_Variant" tableColumnId="18"/>
      <queryTableField id="19" name="Steps_Started" tableColumnId="19"/>
      <queryTableField id="20" name="Steps_Completed" tableColumnId="20"/>
      <queryTableField id="21" name="Time_On_Task_Seconds" tableColumnId="21"/>
      <queryTableField id="22" name="Feature_Confusing_Flag" tableColumnId="22"/>
      <queryTableField id="23" name="Task_Completed_Flag" tableColumnId="23"/>
      <queryTableField id="24" name="Error_Flag" tableColumnId="24"/>
      <queryTableField id="25" name="Error_Type" tableColumnId="25"/>
      <queryTableField id="26" name="Transaction_Success_Flag" tableColumnId="26"/>
      <queryTableField id="27" name="Transaction_Value_GBP" tableColumnId="27"/>
      <queryTableField id="28" name="Fee_Revenue_GBP" tableColumnId="28"/>
      <queryTableField id="29" name="Allocated_Subscription_Revenue_GBP" tableColumnId="29"/>
      <queryTableField id="30" name="Column1" tableColumnId="30"/>
      <queryTableField id="31" name="Support_Contact_Flag" tableColumnId="31"/>
      <queryTableField id="32" name="Support_Category" tableColumnId="32"/>
      <queryTableField id="33" name="Support_Resolution_Status" tableColumnId="33"/>
      <queryTableField id="34" name="Resolution_Time_Minutes" tableColumnId="34"/>
      <queryTableField id="35" name="Dropoff_Reason" tableColumnId="35"/>
      <queryTableField id="36" name="Satisfaction_Score" tableColumnId="36"/>
      <queryTableField id="37" name="NPS_Score" tableColumnId="37"/>
      <queryTableField id="38" name="Days_Since_Last_Feature_Use" tableColumnId="38"/>
      <queryTableField id="39" name="Retained_30_Day_Flag" tableColumnId="39"/>
      <queryTableField id="40" name="Task Completed Number" tableColumnId="40"/>
      <queryTableField id="41" name="Transaction Success Rate (NO)" tableColumnId="41"/>
      <queryTableField id="42" name="Error Flag (NO)" tableColumnId="42"/>
      <queryTableField id="43" name="30-Days Retention Rate (NO)" tableColumnId="4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0FCF188-B0FE-470E-9A15-61B2FC1531D6}" sourceName="Gender">
  <pivotTables>
    <pivotTable tabId="2" name="PivotTable50"/>
  </pivotTables>
  <data>
    <tabular pivotCacheId="2119597956">
      <items count="6">
        <i x="1" s="1"/>
        <i x="0" s="1"/>
        <i x="4" s="1"/>
        <i x="2"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ACCD9F6-4C35-44E1-84AE-CAD1CD038178}" sourceName="Gender">
  <pivotTables>
    <pivotTable tabId="2" name="PivotTable4"/>
  </pivotTables>
  <data>
    <tabular pivotCacheId="2119597956">
      <items count="6">
        <i x="1" s="1"/>
        <i x="0" s="1"/>
        <i x="4" s="1"/>
        <i x="2"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quisition_Channel" xr10:uid="{DB113253-1868-4D0F-A18C-6846673DB9B3}" sourceName="Acquisition_Channel">
  <pivotTables>
    <pivotTable tabId="2" name="PivotTable4"/>
  </pivotTables>
  <data>
    <tabular pivotCacheId="2119597956">
      <items count="10">
        <i x="6" s="1"/>
        <i x="2" s="1"/>
        <i x="3" s="1"/>
        <i x="7" s="1"/>
        <i x="1" s="1"/>
        <i x="0" s="1"/>
        <i x="5" s="1"/>
        <i x="4" s="1"/>
        <i x="8"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67AE01F-45CA-4625-AED1-B74253B487C0}" cache="Slicer_Gender" caption="Gender"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08ADB33-0BBC-464A-9831-D9667CD639A7}" cache="Slicer_Gender1" caption="Gender" rowHeight="209550"/>
  <slicer name="Acquisition_Channel" xr10:uid="{435BF2E1-B20E-4F60-9CD0-0439AFBEE6C9}" cache="Slicer_Acquisition_Channel" caption="Acquisition_Channel" startItem="3"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66D8CB-DBE3-4DBC-85E4-DD22662357B3}" name="Cleaned_Data" displayName="Cleaned_Data" ref="A1:AQ1420" tableType="queryTable" totalsRowShown="0">
  <autoFilter ref="A1:AQ1420" xr:uid="{986E38A4-D7F1-4802-831F-E7B71025C3B6}"/>
  <tableColumns count="43">
    <tableColumn id="1" xr3:uid="{D3F9083B-A82E-4BB5-9547-E99D6E94EB99}" uniqueName="1" name="Product_Event_ID" queryTableFieldId="1" dataDxfId="29"/>
    <tableColumn id="2" xr3:uid="{47D7E225-95BF-4CF0-BF24-19BEA52C619B}" uniqueName="2" name="User_ID" queryTableFieldId="2" dataDxfId="28"/>
    <tableColumn id="3" xr3:uid="{F3150B4C-3D1B-4D20-845A-3A7AF8CC3312}" uniqueName="3" name="Session_ID" queryTableFieldId="3" dataDxfId="27"/>
    <tableColumn id="4" xr3:uid="{981F5C04-B054-4092-9264-1362EBC052C4}" uniqueName="4" name="Event_Date" queryTableFieldId="4" dataDxfId="26"/>
    <tableColumn id="5" xr3:uid="{8FC36B68-F921-42DF-AF50-79A018C0892C}" uniqueName="5" name="UK_Region" queryTableFieldId="5" dataDxfId="25"/>
    <tableColumn id="6" xr3:uid="{1DDF523F-1991-4392-8C95-D147B1160453}" uniqueName="6" name="City" queryTableFieldId="6" dataDxfId="24"/>
    <tableColumn id="7" xr3:uid="{D63FB5D5-ABF2-41D9-AD9B-5563374996AB}" uniqueName="7" name="Customer_Segment" queryTableFieldId="7" dataDxfId="23"/>
    <tableColumn id="8" xr3:uid="{64CC2688-8913-4634-87A3-D3CB0314724B}" uniqueName="8" name="Age_Group" queryTableFieldId="8" dataDxfId="22"/>
    <tableColumn id="9" xr3:uid="{1036AFD6-A7BA-41E9-81FC-D6E01ADCB15E}" uniqueName="9" name="Gender" queryTableFieldId="9" dataDxfId="21"/>
    <tableColumn id="10" xr3:uid="{76A29B87-DCE9-4A5D-AEC5-E591DBF1FD76}" uniqueName="10" name="Platform" queryTableFieldId="10" dataDxfId="20"/>
    <tableColumn id="11" xr3:uid="{02A74428-12EA-4F78-9239-0F710ADFCCA0}" uniqueName="11" name="Device_Type" queryTableFieldId="11" dataDxfId="19"/>
    <tableColumn id="12" xr3:uid="{9D21CA10-6597-4812-90F2-95368D86509D}" uniqueName="12" name="Account_Tenure" queryTableFieldId="12" dataDxfId="18"/>
    <tableColumn id="13" xr3:uid="{0D4842EE-8882-4BE0-AA1B-481EBE88342D}" uniqueName="13" name="Subscription_Plan" queryTableFieldId="13" dataDxfId="17"/>
    <tableColumn id="14" xr3:uid="{0E5C3404-0FC5-4DBE-B5F8-52C05E8C05F5}" uniqueName="14" name="Acquisition_Channel" queryTableFieldId="14" dataDxfId="16"/>
    <tableColumn id="15" xr3:uid="{506E30C0-5B8F-4DA5-903A-0AD7B54819A0}" uniqueName="15" name="Feature_Name" queryTableFieldId="15" dataDxfId="15"/>
    <tableColumn id="16" xr3:uid="{0E9CBE86-E0E2-495C-B427-E0CD127CA1AC}" uniqueName="16" name="Adoption_Status" queryTableFieldId="16" dataDxfId="14"/>
    <tableColumn id="17" xr3:uid="{8C3946EB-3EA9-4A58-A291-30537B8EA5C3}" uniqueName="17" name="Experiment_Name" queryTableFieldId="17" dataDxfId="13"/>
    <tableColumn id="18" xr3:uid="{D3DD5F93-1992-4EC5-B4D4-2632526FD40D}" uniqueName="18" name="Experiment_Variant" queryTableFieldId="18" dataDxfId="12"/>
    <tableColumn id="19" xr3:uid="{9F0E6725-2534-4C0A-845D-D72342CAAE7B}" uniqueName="19" name="Steps_Started" queryTableFieldId="19"/>
    <tableColumn id="20" xr3:uid="{BB4EB5F3-8E2E-442C-A602-D6B7C052E870}" uniqueName="20" name="Steps_Completed" queryTableFieldId="20"/>
    <tableColumn id="21" xr3:uid="{6AE5EB30-DCCF-4BF8-8CA5-2E6077648B2A}" uniqueName="21" name="Time_On_Task_Seconds" queryTableFieldId="21"/>
    <tableColumn id="22" xr3:uid="{BF1183AF-6285-4154-9112-6A01BF499EFB}" uniqueName="22" name="Feature_Confusing_Flag" queryTableFieldId="22" dataDxfId="11"/>
    <tableColumn id="23" xr3:uid="{05F43DF3-9712-4B8B-AB6E-DAF137AFF31F}" uniqueName="23" name="Task_Completed_Flag" queryTableFieldId="23" dataDxfId="10"/>
    <tableColumn id="24" xr3:uid="{62C2EDBC-5EBD-4F32-9A8C-27B992292955}" uniqueName="24" name="Error_Flag" queryTableFieldId="24" dataDxfId="9"/>
    <tableColumn id="25" xr3:uid="{D40503B3-ABFA-4D3F-A58E-4EE83715824D}" uniqueName="25" name="Error_Type" queryTableFieldId="25" dataDxfId="8"/>
    <tableColumn id="26" xr3:uid="{FE6D5BD9-F8AC-4096-A11F-C7FF8B153BA9}" uniqueName="26" name="Transaction_Success_Flag" queryTableFieldId="26" dataDxfId="7"/>
    <tableColumn id="27" xr3:uid="{3DAD6B4E-B340-4548-8388-D928F7E024A1}" uniqueName="27" name="Transaction_Value_GBP" queryTableFieldId="27"/>
    <tableColumn id="28" xr3:uid="{913BEB7C-C1CB-4EAC-832B-D2494FE15804}" uniqueName="28" name="Fee_Revenue_GBP" queryTableFieldId="28"/>
    <tableColumn id="29" xr3:uid="{E673C168-4000-4590-8A6E-F3DEC36645DA}" uniqueName="29" name="Allocated_Subscription_Revenue_GBP" queryTableFieldId="29"/>
    <tableColumn id="30" xr3:uid="{E1314AF4-9984-43D6-AE1D-1B56E5456B2D}" uniqueName="30" name="Column1" queryTableFieldId="30" dataDxfId="6"/>
    <tableColumn id="31" xr3:uid="{E2E4F717-4283-4F23-8759-798A99CFAB87}" uniqueName="31" name="Support_Contact_Flag" queryTableFieldId="31" dataDxfId="5"/>
    <tableColumn id="32" xr3:uid="{123BF0D6-8537-439A-8709-28DFD8E911B3}" uniqueName="32" name="Support_Category" queryTableFieldId="32" dataDxfId="4"/>
    <tableColumn id="33" xr3:uid="{205960C5-198E-4691-97CB-0E523051C785}" uniqueName="33" name="Support_Resolution_Status" queryTableFieldId="33" dataDxfId="3"/>
    <tableColumn id="34" xr3:uid="{307FE975-0F49-4F3F-BB7F-B0D21917410B}" uniqueName="34" name="Resolution_Time_Minutes" queryTableFieldId="34"/>
    <tableColumn id="35" xr3:uid="{D96E9AAA-04E9-44B8-8837-7B134504D6CB}" uniqueName="35" name="Dropoff_Reason" queryTableFieldId="35" dataDxfId="2"/>
    <tableColumn id="36" xr3:uid="{752BF3A0-0191-4BA0-A5BF-40EB9E48DCB1}" uniqueName="36" name="Satisfaction_Score" queryTableFieldId="36"/>
    <tableColumn id="37" xr3:uid="{8BA61B9B-0383-4D78-A3EF-DD02196DFEBA}" uniqueName="37" name="NPS_Score" queryTableFieldId="37"/>
    <tableColumn id="38" xr3:uid="{FFB75EF2-6A50-47DE-8D1B-F0FE33480D34}" uniqueName="38" name="Days_Since_Last_Feature_Use" queryTableFieldId="38"/>
    <tableColumn id="39" xr3:uid="{CD04C6FD-5EB1-440C-A785-FC21C070C742}" uniqueName="39" name="Retained_30_Day_Flag" queryTableFieldId="39" dataDxfId="1"/>
    <tableColumn id="40" xr3:uid="{AFB28907-8DD4-4705-B0EF-11CEF90ED7B1}" uniqueName="40" name="Task Completed Number" queryTableFieldId="40"/>
    <tableColumn id="41" xr3:uid="{A2F1A895-6E13-4C5D-AB95-69539B187438}" uniqueName="41" name="Transaction Success Rate (NO)" queryTableFieldId="41"/>
    <tableColumn id="42" xr3:uid="{110845E8-5FB4-4A6C-A79E-6531D7A783DD}" uniqueName="42" name="Error Flag (NO)" queryTableFieldId="42"/>
    <tableColumn id="43" xr3:uid="{D221488E-009F-43B3-8BAF-9FBB7C1D8C92}" uniqueName="43" name="30-Days Retention Rate (NO)" queryTableFieldId="43"/>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vent_Date" xr10:uid="{C67AE3CF-B3D1-462F-88B1-F94254E40D89}" sourceName="Event_Date">
  <pivotTables>
    <pivotTable tabId="2" name="PivotTable50"/>
  </pivotTables>
  <state minimalRefreshVersion="6" lastRefreshVersion="6" pivotCacheId="2119597956"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vent_Date" xr10:uid="{0B0B62ED-85A2-4B89-A551-CF89C0ADFA7A}" cache="NativeTimeline_Event_Date" caption="Event_Date" level="0"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0DE9-4B3F-47FF-A962-EF5A33CDA07D}">
  <dimension ref="A1:AQ1420"/>
  <sheetViews>
    <sheetView topLeftCell="C1" workbookViewId="0">
      <selection activeCell="X373" sqref="X373"/>
    </sheetView>
  </sheetViews>
  <sheetFormatPr defaultRowHeight="13.2" x14ac:dyDescent="0.25"/>
  <cols>
    <col min="1" max="1" width="19.109375" bestFit="1" customWidth="1"/>
    <col min="2" max="2" width="10.33203125" bestFit="1" customWidth="1"/>
    <col min="3" max="3" width="15.109375" bestFit="1" customWidth="1"/>
    <col min="4" max="4" width="13.21875" bestFit="1" customWidth="1"/>
    <col min="5" max="5" width="17.6640625" bestFit="1" customWidth="1"/>
    <col min="6" max="6" width="17.77734375" bestFit="1" customWidth="1"/>
    <col min="7" max="7" width="23.109375" bestFit="1" customWidth="1"/>
    <col min="8" max="8" width="13.109375" bestFit="1" customWidth="1"/>
    <col min="9" max="9" width="15.77734375" bestFit="1" customWidth="1"/>
    <col min="10" max="10" width="10.5546875" bestFit="1" customWidth="1"/>
    <col min="11" max="11" width="14.21875" bestFit="1" customWidth="1"/>
    <col min="12" max="12" width="17.6640625" bestFit="1" customWidth="1"/>
    <col min="13" max="13" width="19.21875" bestFit="1" customWidth="1"/>
    <col min="14" max="14" width="21.21875" bestFit="1" customWidth="1"/>
    <col min="15" max="15" width="18.5546875" bestFit="1" customWidth="1"/>
    <col min="16" max="16" width="17.88671875" bestFit="1" customWidth="1"/>
    <col min="17" max="17" width="21.33203125" bestFit="1" customWidth="1"/>
    <col min="18" max="18" width="20.5546875" bestFit="1" customWidth="1"/>
    <col min="19" max="19" width="15.77734375" bestFit="1" customWidth="1"/>
    <col min="20" max="20" width="18.6640625" bestFit="1" customWidth="1"/>
    <col min="21" max="21" width="24.88671875" bestFit="1" customWidth="1"/>
    <col min="22" max="22" width="24.77734375" bestFit="1" customWidth="1"/>
    <col min="23" max="23" width="22.5546875" bestFit="1" customWidth="1"/>
    <col min="24" max="24" width="12.5546875" bestFit="1" customWidth="1"/>
    <col min="25" max="25" width="28.33203125" bestFit="1" customWidth="1"/>
    <col min="26" max="26" width="26.88671875" bestFit="1" customWidth="1"/>
    <col min="27" max="27" width="24.6640625" bestFit="1" customWidth="1"/>
    <col min="28" max="28" width="20.109375" bestFit="1" customWidth="1"/>
    <col min="29" max="29" width="37.5546875" bestFit="1" customWidth="1"/>
    <col min="30" max="30" width="17.6640625" bestFit="1" customWidth="1"/>
    <col min="31" max="31" width="23.109375" bestFit="1" customWidth="1"/>
    <col min="32" max="32" width="19.5546875" bestFit="1" customWidth="1"/>
    <col min="33" max="33" width="27.77734375" bestFit="1" customWidth="1"/>
    <col min="34" max="34" width="25.77734375" bestFit="1" customWidth="1"/>
    <col min="35" max="35" width="21.33203125" bestFit="1" customWidth="1"/>
    <col min="36" max="36" width="19.77734375" bestFit="1" customWidth="1"/>
    <col min="37" max="37" width="13.109375" bestFit="1" customWidth="1"/>
    <col min="38" max="38" width="30.5546875" bestFit="1" customWidth="1"/>
    <col min="39" max="39" width="23.109375" bestFit="1" customWidth="1"/>
    <col min="40" max="40" width="25" bestFit="1" customWidth="1"/>
    <col min="41" max="41" width="31.109375" bestFit="1" customWidth="1"/>
    <col min="42" max="42" width="16.88671875" bestFit="1" customWidth="1"/>
    <col min="43" max="43" width="28.88671875" bestFit="1" customWidth="1"/>
  </cols>
  <sheetData>
    <row r="1" spans="1:43" x14ac:dyDescent="0.25">
      <c r="A1" t="s">
        <v>3840</v>
      </c>
      <c r="B1" t="s">
        <v>3839</v>
      </c>
      <c r="C1" t="s">
        <v>3838</v>
      </c>
      <c r="D1" t="s">
        <v>3837</v>
      </c>
      <c r="E1" t="s">
        <v>3836</v>
      </c>
      <c r="F1" t="s">
        <v>3835</v>
      </c>
      <c r="G1" t="s">
        <v>3834</v>
      </c>
      <c r="H1" t="s">
        <v>3833</v>
      </c>
      <c r="I1" t="s">
        <v>3832</v>
      </c>
      <c r="J1" t="s">
        <v>3831</v>
      </c>
      <c r="K1" t="s">
        <v>3830</v>
      </c>
      <c r="L1" t="s">
        <v>3829</v>
      </c>
      <c r="M1" t="s">
        <v>3828</v>
      </c>
      <c r="N1" t="s">
        <v>3827</v>
      </c>
      <c r="O1" t="s">
        <v>3826</v>
      </c>
      <c r="P1" t="s">
        <v>3825</v>
      </c>
      <c r="Q1" t="s">
        <v>3824</v>
      </c>
      <c r="R1" t="s">
        <v>3823</v>
      </c>
      <c r="S1" t="s">
        <v>3822</v>
      </c>
      <c r="T1" t="s">
        <v>3821</v>
      </c>
      <c r="U1" t="s">
        <v>3820</v>
      </c>
      <c r="V1" t="s">
        <v>3819</v>
      </c>
      <c r="W1" t="s">
        <v>3818</v>
      </c>
      <c r="X1" t="s">
        <v>3817</v>
      </c>
      <c r="Y1" t="s">
        <v>3816</v>
      </c>
      <c r="Z1" t="s">
        <v>3815</v>
      </c>
      <c r="AA1" t="s">
        <v>3814</v>
      </c>
      <c r="AB1" t="s">
        <v>3813</v>
      </c>
      <c r="AC1" t="s">
        <v>3812</v>
      </c>
      <c r="AD1" t="s">
        <v>3811</v>
      </c>
      <c r="AE1" t="s">
        <v>3810</v>
      </c>
      <c r="AF1" t="s">
        <v>3809</v>
      </c>
      <c r="AG1" t="s">
        <v>3808</v>
      </c>
      <c r="AH1" t="s">
        <v>3807</v>
      </c>
      <c r="AI1" t="s">
        <v>3806</v>
      </c>
      <c r="AJ1" t="s">
        <v>3805</v>
      </c>
      <c r="AK1" t="s">
        <v>3804</v>
      </c>
      <c r="AL1" t="s">
        <v>3803</v>
      </c>
      <c r="AM1" t="s">
        <v>3802</v>
      </c>
      <c r="AN1" t="s">
        <v>3801</v>
      </c>
      <c r="AO1" t="s">
        <v>3800</v>
      </c>
      <c r="AP1" t="s">
        <v>3799</v>
      </c>
      <c r="AQ1" t="s">
        <v>3798</v>
      </c>
    </row>
    <row r="2" spans="1:43" x14ac:dyDescent="0.25">
      <c r="A2" t="s">
        <v>3797</v>
      </c>
      <c r="B2" t="s">
        <v>2692</v>
      </c>
      <c r="C2" t="s">
        <v>3796</v>
      </c>
      <c r="D2" s="1">
        <v>46035</v>
      </c>
      <c r="E2" t="s">
        <v>149</v>
      </c>
      <c r="F2" t="s">
        <v>183</v>
      </c>
      <c r="G2" t="s">
        <v>17</v>
      </c>
      <c r="H2" t="s">
        <v>77</v>
      </c>
      <c r="I2" t="s">
        <v>15</v>
      </c>
      <c r="J2" t="s">
        <v>55</v>
      </c>
      <c r="K2" t="s">
        <v>54</v>
      </c>
      <c r="L2" t="s">
        <v>88</v>
      </c>
      <c r="M2" t="s">
        <v>11</v>
      </c>
      <c r="N2" t="s">
        <v>93</v>
      </c>
      <c r="O2" t="s">
        <v>9</v>
      </c>
      <c r="P2" t="s">
        <v>39</v>
      </c>
      <c r="Q2" t="s">
        <v>24</v>
      </c>
      <c r="R2" t="s">
        <v>6</v>
      </c>
      <c r="S2">
        <v>7</v>
      </c>
      <c r="T2">
        <v>7</v>
      </c>
      <c r="U2">
        <v>191</v>
      </c>
      <c r="V2" t="s">
        <v>0</v>
      </c>
      <c r="W2" t="s">
        <v>5</v>
      </c>
      <c r="X2" t="s">
        <v>5</v>
      </c>
      <c r="Y2" t="s">
        <v>294</v>
      </c>
      <c r="Z2" t="s">
        <v>5</v>
      </c>
      <c r="AA2">
        <v>4.13</v>
      </c>
      <c r="AB2">
        <v>0</v>
      </c>
      <c r="AC2">
        <v>0</v>
      </c>
      <c r="AD2" t="s">
        <v>3</v>
      </c>
      <c r="AE2" t="s">
        <v>0</v>
      </c>
      <c r="AF2" t="s">
        <v>3</v>
      </c>
      <c r="AG2" t="s">
        <v>2</v>
      </c>
      <c r="AI2" t="s">
        <v>23</v>
      </c>
      <c r="AJ2">
        <v>2</v>
      </c>
      <c r="AK2">
        <v>-41</v>
      </c>
      <c r="AL2">
        <v>36</v>
      </c>
      <c r="AM2" t="s">
        <v>0</v>
      </c>
      <c r="AN2">
        <v>1</v>
      </c>
      <c r="AO2">
        <v>1</v>
      </c>
      <c r="AP2">
        <v>1</v>
      </c>
      <c r="AQ2">
        <v>0</v>
      </c>
    </row>
    <row r="3" spans="1:43" x14ac:dyDescent="0.25">
      <c r="A3" t="s">
        <v>3795</v>
      </c>
      <c r="B3" t="s">
        <v>1956</v>
      </c>
      <c r="C3" t="s">
        <v>3794</v>
      </c>
      <c r="D3" s="1">
        <v>45770</v>
      </c>
      <c r="E3" t="s">
        <v>162</v>
      </c>
      <c r="F3" t="s">
        <v>200</v>
      </c>
      <c r="G3" t="s">
        <v>110</v>
      </c>
      <c r="H3" t="s">
        <v>77</v>
      </c>
      <c r="I3" t="s">
        <v>28</v>
      </c>
      <c r="J3" t="s">
        <v>14</v>
      </c>
      <c r="K3" t="s">
        <v>13</v>
      </c>
      <c r="L3" t="s">
        <v>117</v>
      </c>
      <c r="M3" t="s">
        <v>11</v>
      </c>
      <c r="N3" t="s">
        <v>52</v>
      </c>
      <c r="O3" t="s">
        <v>26</v>
      </c>
      <c r="P3" t="s">
        <v>63</v>
      </c>
      <c r="Q3" t="s">
        <v>7</v>
      </c>
      <c r="R3" t="s">
        <v>6</v>
      </c>
      <c r="S3">
        <v>4</v>
      </c>
      <c r="T3">
        <v>4</v>
      </c>
      <c r="U3">
        <v>78</v>
      </c>
      <c r="V3" t="s">
        <v>0</v>
      </c>
      <c r="W3" t="s">
        <v>5</v>
      </c>
      <c r="X3" t="s">
        <v>0</v>
      </c>
      <c r="Y3" t="s">
        <v>4</v>
      </c>
      <c r="Z3" t="s">
        <v>5</v>
      </c>
      <c r="AA3">
        <v>133.52000000000001</v>
      </c>
      <c r="AB3">
        <v>0.22</v>
      </c>
      <c r="AC3">
        <v>0</v>
      </c>
      <c r="AD3" t="s">
        <v>3</v>
      </c>
      <c r="AE3" t="s">
        <v>0</v>
      </c>
      <c r="AF3" t="s">
        <v>3</v>
      </c>
      <c r="AG3" t="s">
        <v>2</v>
      </c>
      <c r="AI3" t="s">
        <v>23</v>
      </c>
      <c r="AJ3">
        <v>4</v>
      </c>
      <c r="AK3">
        <v>38</v>
      </c>
      <c r="AL3">
        <v>0</v>
      </c>
      <c r="AM3" t="s">
        <v>5</v>
      </c>
      <c r="AN3">
        <v>1</v>
      </c>
      <c r="AO3">
        <v>1</v>
      </c>
      <c r="AP3">
        <v>0</v>
      </c>
      <c r="AQ3">
        <v>1</v>
      </c>
    </row>
    <row r="4" spans="1:43" x14ac:dyDescent="0.25">
      <c r="A4" t="s">
        <v>3793</v>
      </c>
      <c r="B4" t="s">
        <v>1283</v>
      </c>
      <c r="C4" t="s">
        <v>3792</v>
      </c>
      <c r="D4" s="1">
        <v>46015</v>
      </c>
      <c r="E4" t="s">
        <v>45</v>
      </c>
      <c r="F4" t="s">
        <v>57</v>
      </c>
      <c r="G4" t="s">
        <v>56</v>
      </c>
      <c r="H4" t="s">
        <v>77</v>
      </c>
      <c r="I4" t="s">
        <v>15</v>
      </c>
      <c r="J4" t="s">
        <v>55</v>
      </c>
      <c r="K4" t="s">
        <v>54</v>
      </c>
      <c r="L4" t="s">
        <v>88</v>
      </c>
      <c r="M4" t="s">
        <v>53</v>
      </c>
      <c r="N4" t="s">
        <v>93</v>
      </c>
      <c r="O4" t="s">
        <v>199</v>
      </c>
      <c r="P4" t="s">
        <v>25</v>
      </c>
      <c r="Q4" t="s">
        <v>7</v>
      </c>
      <c r="R4" t="s">
        <v>6</v>
      </c>
      <c r="S4">
        <v>5</v>
      </c>
      <c r="T4">
        <v>5</v>
      </c>
      <c r="U4">
        <v>131</v>
      </c>
      <c r="V4" t="s">
        <v>0</v>
      </c>
      <c r="W4" t="s">
        <v>5</v>
      </c>
      <c r="X4" t="s">
        <v>0</v>
      </c>
      <c r="Y4" t="s">
        <v>4</v>
      </c>
      <c r="Z4" t="s">
        <v>5</v>
      </c>
      <c r="AA4">
        <v>70.81</v>
      </c>
      <c r="AB4">
        <v>0</v>
      </c>
      <c r="AC4">
        <v>0.17</v>
      </c>
      <c r="AD4" t="s">
        <v>3</v>
      </c>
      <c r="AE4" t="s">
        <v>0</v>
      </c>
      <c r="AF4" t="s">
        <v>3</v>
      </c>
      <c r="AG4" t="s">
        <v>2</v>
      </c>
      <c r="AI4" t="s">
        <v>23</v>
      </c>
      <c r="AJ4">
        <v>5</v>
      </c>
      <c r="AK4">
        <v>1</v>
      </c>
      <c r="AL4">
        <v>22</v>
      </c>
      <c r="AM4" t="s">
        <v>5</v>
      </c>
      <c r="AN4">
        <v>1</v>
      </c>
      <c r="AO4">
        <v>1</v>
      </c>
      <c r="AP4">
        <v>0</v>
      </c>
      <c r="AQ4">
        <v>1</v>
      </c>
    </row>
    <row r="5" spans="1:43" x14ac:dyDescent="0.25">
      <c r="A5" t="s">
        <v>3791</v>
      </c>
      <c r="B5" t="s">
        <v>2734</v>
      </c>
      <c r="C5" t="s">
        <v>3790</v>
      </c>
      <c r="D5" s="1">
        <v>45845</v>
      </c>
      <c r="E5" t="s">
        <v>168</v>
      </c>
      <c r="F5" t="s">
        <v>167</v>
      </c>
      <c r="G5" t="s">
        <v>17</v>
      </c>
      <c r="H5" t="s">
        <v>77</v>
      </c>
      <c r="I5" t="s">
        <v>15</v>
      </c>
      <c r="J5" t="s">
        <v>14</v>
      </c>
      <c r="K5" t="s">
        <v>13</v>
      </c>
      <c r="L5" t="s">
        <v>117</v>
      </c>
      <c r="M5" t="s">
        <v>11</v>
      </c>
      <c r="N5" t="s">
        <v>41</v>
      </c>
      <c r="O5" t="s">
        <v>9</v>
      </c>
      <c r="P5" t="s">
        <v>39</v>
      </c>
      <c r="Q5" t="s">
        <v>7</v>
      </c>
      <c r="R5" t="s">
        <v>6</v>
      </c>
      <c r="S5">
        <v>7</v>
      </c>
      <c r="T5">
        <v>4</v>
      </c>
      <c r="U5">
        <v>331</v>
      </c>
      <c r="V5" t="s">
        <v>5</v>
      </c>
      <c r="W5" t="s">
        <v>0</v>
      </c>
      <c r="X5" t="s">
        <v>0</v>
      </c>
      <c r="Y5" t="s">
        <v>4</v>
      </c>
      <c r="Z5" t="s">
        <v>0</v>
      </c>
      <c r="AA5">
        <v>0</v>
      </c>
      <c r="AB5">
        <v>0</v>
      </c>
      <c r="AC5">
        <v>0</v>
      </c>
      <c r="AD5" t="s">
        <v>3</v>
      </c>
      <c r="AE5" t="s">
        <v>0</v>
      </c>
      <c r="AF5" t="s">
        <v>3</v>
      </c>
      <c r="AG5" t="s">
        <v>2</v>
      </c>
      <c r="AI5" t="s">
        <v>332</v>
      </c>
      <c r="AJ5">
        <v>2</v>
      </c>
      <c r="AK5">
        <v>6</v>
      </c>
      <c r="AL5">
        <v>46</v>
      </c>
      <c r="AM5" t="s">
        <v>0</v>
      </c>
      <c r="AN5">
        <v>0</v>
      </c>
      <c r="AO5">
        <v>0</v>
      </c>
      <c r="AP5">
        <v>0</v>
      </c>
      <c r="AQ5">
        <v>0</v>
      </c>
    </row>
    <row r="6" spans="1:43" x14ac:dyDescent="0.25">
      <c r="A6" t="s">
        <v>3789</v>
      </c>
      <c r="B6" t="s">
        <v>2734</v>
      </c>
      <c r="C6" t="s">
        <v>3788</v>
      </c>
      <c r="D6" s="1">
        <v>45739</v>
      </c>
      <c r="E6" t="s">
        <v>79</v>
      </c>
      <c r="F6" t="s">
        <v>206</v>
      </c>
      <c r="G6" t="s">
        <v>56</v>
      </c>
      <c r="H6" t="s">
        <v>29</v>
      </c>
      <c r="I6" t="s">
        <v>15</v>
      </c>
      <c r="J6" t="s">
        <v>14</v>
      </c>
      <c r="K6" t="s">
        <v>13</v>
      </c>
      <c r="L6" t="s">
        <v>64</v>
      </c>
      <c r="M6" t="s">
        <v>53</v>
      </c>
      <c r="N6" t="s">
        <v>269</v>
      </c>
      <c r="O6" t="s">
        <v>51</v>
      </c>
      <c r="P6" t="s">
        <v>39</v>
      </c>
      <c r="Q6" t="s">
        <v>24</v>
      </c>
      <c r="R6" t="s">
        <v>6</v>
      </c>
      <c r="S6">
        <v>6</v>
      </c>
      <c r="T6">
        <v>6</v>
      </c>
      <c r="U6">
        <v>114</v>
      </c>
      <c r="V6" t="s">
        <v>0</v>
      </c>
      <c r="W6" t="s">
        <v>5</v>
      </c>
      <c r="X6" t="s">
        <v>0</v>
      </c>
      <c r="Y6" t="s">
        <v>4</v>
      </c>
      <c r="Z6" t="s">
        <v>5</v>
      </c>
      <c r="AA6">
        <v>58.87</v>
      </c>
      <c r="AB6">
        <v>0.11</v>
      </c>
      <c r="AC6">
        <v>0.17</v>
      </c>
      <c r="AD6" t="s">
        <v>3</v>
      </c>
      <c r="AE6" t="s">
        <v>0</v>
      </c>
      <c r="AF6" t="s">
        <v>3</v>
      </c>
      <c r="AG6" t="s">
        <v>2</v>
      </c>
      <c r="AI6" t="s">
        <v>23</v>
      </c>
      <c r="AJ6">
        <v>3</v>
      </c>
      <c r="AK6">
        <v>26</v>
      </c>
      <c r="AL6">
        <v>19</v>
      </c>
      <c r="AM6" t="s">
        <v>5</v>
      </c>
      <c r="AN6">
        <v>1</v>
      </c>
      <c r="AO6">
        <v>1</v>
      </c>
      <c r="AP6">
        <v>0</v>
      </c>
      <c r="AQ6">
        <v>1</v>
      </c>
    </row>
    <row r="7" spans="1:43" x14ac:dyDescent="0.25">
      <c r="A7" t="s">
        <v>3787</v>
      </c>
      <c r="B7" t="s">
        <v>3786</v>
      </c>
      <c r="C7" t="s">
        <v>3785</v>
      </c>
      <c r="D7" s="1">
        <v>45884</v>
      </c>
      <c r="E7" t="s">
        <v>162</v>
      </c>
      <c r="F7" t="s">
        <v>540</v>
      </c>
      <c r="G7" t="s">
        <v>30</v>
      </c>
      <c r="H7" t="s">
        <v>77</v>
      </c>
      <c r="I7" t="s">
        <v>15</v>
      </c>
      <c r="J7" t="s">
        <v>55</v>
      </c>
      <c r="K7" t="s">
        <v>54</v>
      </c>
      <c r="L7" t="s">
        <v>64</v>
      </c>
      <c r="M7" t="s">
        <v>11</v>
      </c>
      <c r="N7" t="s">
        <v>75</v>
      </c>
      <c r="O7" t="s">
        <v>74</v>
      </c>
      <c r="P7" t="s">
        <v>63</v>
      </c>
      <c r="Q7" t="s">
        <v>24</v>
      </c>
      <c r="R7" t="s">
        <v>6</v>
      </c>
      <c r="S7">
        <v>6</v>
      </c>
      <c r="T7">
        <v>6</v>
      </c>
      <c r="U7">
        <v>-30</v>
      </c>
      <c r="V7" t="s">
        <v>0</v>
      </c>
      <c r="W7" t="s">
        <v>5</v>
      </c>
      <c r="X7" t="s">
        <v>0</v>
      </c>
      <c r="Y7" t="s">
        <v>4</v>
      </c>
      <c r="Z7" t="s">
        <v>5</v>
      </c>
      <c r="AA7">
        <v>31.53</v>
      </c>
      <c r="AB7">
        <v>0</v>
      </c>
      <c r="AC7">
        <v>0</v>
      </c>
      <c r="AD7" t="s">
        <v>3</v>
      </c>
      <c r="AE7" t="s">
        <v>0</v>
      </c>
      <c r="AF7" t="s">
        <v>3</v>
      </c>
      <c r="AG7" t="s">
        <v>2</v>
      </c>
      <c r="AI7" t="s">
        <v>23</v>
      </c>
      <c r="AJ7">
        <v>3</v>
      </c>
      <c r="AK7">
        <v>10</v>
      </c>
      <c r="AL7">
        <v>0</v>
      </c>
      <c r="AM7" t="s">
        <v>5</v>
      </c>
      <c r="AN7">
        <v>1</v>
      </c>
      <c r="AO7">
        <v>1</v>
      </c>
      <c r="AP7">
        <v>0</v>
      </c>
      <c r="AQ7">
        <v>1</v>
      </c>
    </row>
    <row r="8" spans="1:43" x14ac:dyDescent="0.25">
      <c r="A8" t="s">
        <v>3784</v>
      </c>
      <c r="B8" t="s">
        <v>2088</v>
      </c>
      <c r="C8" t="s">
        <v>3783</v>
      </c>
      <c r="D8" s="1">
        <v>45780</v>
      </c>
      <c r="E8" t="s">
        <v>79</v>
      </c>
      <c r="F8" t="s">
        <v>206</v>
      </c>
      <c r="G8" t="s">
        <v>30</v>
      </c>
      <c r="H8" t="s">
        <v>77</v>
      </c>
      <c r="I8" t="s">
        <v>28</v>
      </c>
      <c r="J8" t="s">
        <v>14</v>
      </c>
      <c r="K8" t="s">
        <v>13</v>
      </c>
      <c r="L8" t="s">
        <v>42</v>
      </c>
      <c r="M8" t="s">
        <v>11</v>
      </c>
      <c r="N8" t="s">
        <v>10</v>
      </c>
      <c r="O8" t="s">
        <v>51</v>
      </c>
      <c r="P8" t="s">
        <v>63</v>
      </c>
      <c r="Q8" t="s">
        <v>7</v>
      </c>
      <c r="R8" t="s">
        <v>6</v>
      </c>
      <c r="S8">
        <v>6</v>
      </c>
      <c r="T8">
        <v>6</v>
      </c>
      <c r="U8">
        <v>166</v>
      </c>
      <c r="V8" t="s">
        <v>0</v>
      </c>
      <c r="W8" t="s">
        <v>0</v>
      </c>
      <c r="X8" t="s">
        <v>5</v>
      </c>
      <c r="Y8" t="s">
        <v>634</v>
      </c>
      <c r="Z8" t="s">
        <v>247</v>
      </c>
      <c r="AA8">
        <v>0</v>
      </c>
      <c r="AB8">
        <v>0</v>
      </c>
      <c r="AC8">
        <v>0</v>
      </c>
      <c r="AD8" t="s">
        <v>3</v>
      </c>
      <c r="AE8" t="s">
        <v>0</v>
      </c>
      <c r="AF8" t="s">
        <v>3</v>
      </c>
      <c r="AG8" t="s">
        <v>2</v>
      </c>
      <c r="AI8" t="s">
        <v>122</v>
      </c>
      <c r="AJ8">
        <v>2</v>
      </c>
      <c r="AK8">
        <v>-16</v>
      </c>
      <c r="AL8">
        <v>0</v>
      </c>
      <c r="AM8" t="s">
        <v>5</v>
      </c>
      <c r="AN8">
        <v>0</v>
      </c>
      <c r="AO8">
        <v>0</v>
      </c>
      <c r="AP8">
        <v>1</v>
      </c>
      <c r="AQ8">
        <v>1</v>
      </c>
    </row>
    <row r="9" spans="1:43" x14ac:dyDescent="0.25">
      <c r="A9" t="s">
        <v>3782</v>
      </c>
      <c r="B9" t="s">
        <v>532</v>
      </c>
      <c r="C9" t="s">
        <v>3781</v>
      </c>
      <c r="D9" s="1">
        <v>46164</v>
      </c>
      <c r="E9" t="s">
        <v>125</v>
      </c>
      <c r="F9" t="s">
        <v>140</v>
      </c>
      <c r="G9" t="s">
        <v>110</v>
      </c>
      <c r="H9" t="s">
        <v>16</v>
      </c>
      <c r="I9" t="s">
        <v>15</v>
      </c>
      <c r="J9" t="s">
        <v>14</v>
      </c>
      <c r="K9" t="s">
        <v>13</v>
      </c>
      <c r="L9" t="s">
        <v>64</v>
      </c>
      <c r="M9" t="s">
        <v>53</v>
      </c>
      <c r="N9" t="s">
        <v>10</v>
      </c>
      <c r="O9" t="s">
        <v>74</v>
      </c>
      <c r="P9" t="s">
        <v>39</v>
      </c>
      <c r="Q9" t="s">
        <v>50</v>
      </c>
      <c r="R9" t="s">
        <v>38</v>
      </c>
      <c r="S9" t="s">
        <v>205</v>
      </c>
      <c r="T9">
        <v>6</v>
      </c>
      <c r="U9">
        <v>163</v>
      </c>
      <c r="V9" t="s">
        <v>0</v>
      </c>
      <c r="W9" t="s">
        <v>5</v>
      </c>
      <c r="X9" t="s">
        <v>0</v>
      </c>
      <c r="Y9" t="s">
        <v>4</v>
      </c>
      <c r="Z9" t="s">
        <v>0</v>
      </c>
      <c r="AA9">
        <v>0</v>
      </c>
      <c r="AB9">
        <v>0</v>
      </c>
      <c r="AC9">
        <v>0</v>
      </c>
      <c r="AD9" t="s">
        <v>3</v>
      </c>
      <c r="AE9" t="s">
        <v>0</v>
      </c>
      <c r="AF9" t="s">
        <v>3</v>
      </c>
      <c r="AG9" t="s">
        <v>2</v>
      </c>
      <c r="AI9" t="s">
        <v>23</v>
      </c>
      <c r="AJ9">
        <v>5</v>
      </c>
      <c r="AK9">
        <v>33</v>
      </c>
      <c r="AL9">
        <v>22</v>
      </c>
      <c r="AM9" t="s">
        <v>5</v>
      </c>
      <c r="AN9">
        <v>1</v>
      </c>
      <c r="AO9">
        <v>0</v>
      </c>
      <c r="AP9">
        <v>0</v>
      </c>
      <c r="AQ9">
        <v>1</v>
      </c>
    </row>
    <row r="10" spans="1:43" x14ac:dyDescent="0.25">
      <c r="A10" t="s">
        <v>3780</v>
      </c>
      <c r="B10" t="s">
        <v>732</v>
      </c>
      <c r="C10" t="s">
        <v>3779</v>
      </c>
      <c r="D10" s="1">
        <v>45813</v>
      </c>
      <c r="E10" t="s">
        <v>79</v>
      </c>
      <c r="F10" t="s">
        <v>78</v>
      </c>
      <c r="G10" t="s">
        <v>30</v>
      </c>
      <c r="H10" t="s">
        <v>29</v>
      </c>
      <c r="I10" t="s">
        <v>15</v>
      </c>
      <c r="J10" t="s">
        <v>14</v>
      </c>
      <c r="K10" t="s">
        <v>13</v>
      </c>
      <c r="L10" t="s">
        <v>12</v>
      </c>
      <c r="M10" t="s">
        <v>11</v>
      </c>
      <c r="N10" t="s">
        <v>75</v>
      </c>
      <c r="O10" t="s">
        <v>51</v>
      </c>
      <c r="P10" t="s">
        <v>63</v>
      </c>
      <c r="Q10" t="s">
        <v>7</v>
      </c>
      <c r="R10" t="s">
        <v>6</v>
      </c>
      <c r="S10">
        <v>6</v>
      </c>
      <c r="T10" t="s">
        <v>99</v>
      </c>
      <c r="U10">
        <v>222</v>
      </c>
      <c r="V10" t="s">
        <v>5</v>
      </c>
      <c r="W10" t="s">
        <v>287</v>
      </c>
      <c r="X10" t="s">
        <v>0</v>
      </c>
      <c r="Y10" t="s">
        <v>4</v>
      </c>
      <c r="Z10" t="s">
        <v>5</v>
      </c>
      <c r="AA10">
        <v>37.78</v>
      </c>
      <c r="AB10">
        <v>0.11</v>
      </c>
      <c r="AC10">
        <v>0</v>
      </c>
      <c r="AD10" t="s">
        <v>37</v>
      </c>
      <c r="AE10" t="s">
        <v>5</v>
      </c>
      <c r="AF10" t="s">
        <v>37</v>
      </c>
      <c r="AG10" t="s">
        <v>36</v>
      </c>
      <c r="AH10">
        <v>35</v>
      </c>
      <c r="AI10" t="s">
        <v>23</v>
      </c>
      <c r="AJ10">
        <v>3</v>
      </c>
      <c r="AK10">
        <v>-21</v>
      </c>
      <c r="AL10">
        <v>0</v>
      </c>
      <c r="AM10" t="s">
        <v>0</v>
      </c>
      <c r="AN10">
        <v>1</v>
      </c>
      <c r="AO10">
        <v>1</v>
      </c>
      <c r="AP10">
        <v>0</v>
      </c>
      <c r="AQ10">
        <v>0</v>
      </c>
    </row>
    <row r="11" spans="1:43" x14ac:dyDescent="0.25">
      <c r="A11" t="s">
        <v>3778</v>
      </c>
      <c r="B11" t="s">
        <v>2377</v>
      </c>
      <c r="C11" t="s">
        <v>3777</v>
      </c>
      <c r="D11" s="1">
        <v>45715</v>
      </c>
      <c r="E11" t="s">
        <v>168</v>
      </c>
      <c r="F11" t="s">
        <v>167</v>
      </c>
      <c r="G11" t="s">
        <v>56</v>
      </c>
      <c r="H11" t="s">
        <v>16</v>
      </c>
      <c r="I11" t="s">
        <v>28</v>
      </c>
      <c r="J11" t="s">
        <v>14</v>
      </c>
      <c r="K11" t="s">
        <v>13</v>
      </c>
      <c r="L11" t="s">
        <v>12</v>
      </c>
      <c r="M11" t="s">
        <v>11</v>
      </c>
      <c r="N11" t="s">
        <v>93</v>
      </c>
      <c r="O11" t="s">
        <v>40</v>
      </c>
      <c r="P11" t="s">
        <v>63</v>
      </c>
      <c r="Q11" t="s">
        <v>7</v>
      </c>
      <c r="R11" t="s">
        <v>6</v>
      </c>
      <c r="S11">
        <v>8</v>
      </c>
      <c r="T11">
        <v>8</v>
      </c>
      <c r="U11">
        <v>254</v>
      </c>
      <c r="V11" t="s">
        <v>0</v>
      </c>
      <c r="W11" t="s">
        <v>5</v>
      </c>
      <c r="X11" t="s">
        <v>0</v>
      </c>
      <c r="Y11" t="s">
        <v>4</v>
      </c>
      <c r="Z11" t="s">
        <v>5</v>
      </c>
      <c r="AA11">
        <v>448.94</v>
      </c>
      <c r="AB11">
        <v>2.5</v>
      </c>
      <c r="AC11">
        <v>0</v>
      </c>
      <c r="AD11" t="s">
        <v>3</v>
      </c>
      <c r="AE11" t="s">
        <v>0</v>
      </c>
      <c r="AF11" t="s">
        <v>3</v>
      </c>
      <c r="AG11" t="s">
        <v>2</v>
      </c>
      <c r="AI11" t="s">
        <v>23</v>
      </c>
      <c r="AJ11">
        <v>5</v>
      </c>
      <c r="AK11">
        <v>7</v>
      </c>
      <c r="AL11">
        <v>0</v>
      </c>
      <c r="AM11" t="s">
        <v>5</v>
      </c>
      <c r="AN11">
        <v>1</v>
      </c>
      <c r="AO11">
        <v>1</v>
      </c>
      <c r="AP11">
        <v>0</v>
      </c>
      <c r="AQ11">
        <v>1</v>
      </c>
    </row>
    <row r="12" spans="1:43" x14ac:dyDescent="0.25">
      <c r="A12" t="s">
        <v>3776</v>
      </c>
      <c r="B12" t="s">
        <v>1571</v>
      </c>
      <c r="C12" t="s">
        <v>3775</v>
      </c>
      <c r="D12" s="1">
        <v>45737</v>
      </c>
      <c r="E12" t="s">
        <v>112</v>
      </c>
      <c r="F12" t="s">
        <v>461</v>
      </c>
      <c r="G12" t="s">
        <v>30</v>
      </c>
      <c r="H12" t="s">
        <v>29</v>
      </c>
      <c r="I12" t="s">
        <v>28</v>
      </c>
      <c r="J12" t="s">
        <v>14</v>
      </c>
      <c r="K12" t="s">
        <v>13</v>
      </c>
      <c r="L12" t="s">
        <v>12</v>
      </c>
      <c r="M12" t="s">
        <v>11</v>
      </c>
      <c r="N12" t="s">
        <v>269</v>
      </c>
      <c r="O12" t="s">
        <v>26</v>
      </c>
      <c r="P12" t="s">
        <v>39</v>
      </c>
      <c r="Q12" t="s">
        <v>24</v>
      </c>
      <c r="R12" t="s">
        <v>38</v>
      </c>
      <c r="S12">
        <v>4</v>
      </c>
      <c r="T12">
        <v>4</v>
      </c>
      <c r="U12">
        <v>77</v>
      </c>
      <c r="V12" t="s">
        <v>0</v>
      </c>
      <c r="W12" t="s">
        <v>5</v>
      </c>
      <c r="X12" t="s">
        <v>0</v>
      </c>
      <c r="Y12" t="s">
        <v>4</v>
      </c>
      <c r="Z12" t="s">
        <v>5</v>
      </c>
      <c r="AA12">
        <v>79.12</v>
      </c>
      <c r="AB12">
        <v>0.2</v>
      </c>
      <c r="AC12">
        <v>0</v>
      </c>
      <c r="AD12" t="s">
        <v>187</v>
      </c>
      <c r="AE12" t="s">
        <v>5</v>
      </c>
      <c r="AF12" t="s">
        <v>187</v>
      </c>
      <c r="AG12" t="s">
        <v>36</v>
      </c>
      <c r="AH12">
        <v>26</v>
      </c>
      <c r="AI12" t="s">
        <v>23</v>
      </c>
      <c r="AJ12">
        <v>5</v>
      </c>
      <c r="AK12">
        <v>79</v>
      </c>
      <c r="AL12">
        <v>37</v>
      </c>
      <c r="AM12" t="s">
        <v>5</v>
      </c>
      <c r="AN12">
        <v>1</v>
      </c>
      <c r="AO12">
        <v>1</v>
      </c>
      <c r="AP12">
        <v>0</v>
      </c>
      <c r="AQ12">
        <v>1</v>
      </c>
    </row>
    <row r="13" spans="1:43" x14ac:dyDescent="0.25">
      <c r="A13" t="s">
        <v>3774</v>
      </c>
      <c r="B13" t="s">
        <v>858</v>
      </c>
      <c r="C13" t="s">
        <v>3773</v>
      </c>
      <c r="D13" s="1">
        <v>45780</v>
      </c>
      <c r="E13" t="s">
        <v>168</v>
      </c>
      <c r="F13" t="s">
        <v>283</v>
      </c>
      <c r="G13" t="s">
        <v>56</v>
      </c>
      <c r="H13" t="s">
        <v>77</v>
      </c>
      <c r="I13" t="s">
        <v>28</v>
      </c>
      <c r="J13" t="s">
        <v>14</v>
      </c>
      <c r="K13" t="s">
        <v>13</v>
      </c>
      <c r="L13" t="s">
        <v>12</v>
      </c>
      <c r="M13" t="s">
        <v>53</v>
      </c>
      <c r="N13" t="s">
        <v>52</v>
      </c>
      <c r="O13" t="s">
        <v>26</v>
      </c>
      <c r="P13" t="s">
        <v>39</v>
      </c>
      <c r="Q13" t="s">
        <v>7</v>
      </c>
      <c r="R13" t="s">
        <v>6</v>
      </c>
      <c r="S13">
        <v>4</v>
      </c>
      <c r="T13">
        <v>4</v>
      </c>
      <c r="U13">
        <v>80</v>
      </c>
      <c r="V13" t="s">
        <v>0</v>
      </c>
      <c r="W13" t="s">
        <v>5</v>
      </c>
      <c r="X13" t="s">
        <v>0</v>
      </c>
      <c r="Y13" t="s">
        <v>4</v>
      </c>
      <c r="Z13" t="s">
        <v>0</v>
      </c>
      <c r="AA13">
        <v>0</v>
      </c>
      <c r="AB13">
        <v>0</v>
      </c>
      <c r="AC13">
        <v>0</v>
      </c>
      <c r="AD13" t="s">
        <v>37</v>
      </c>
      <c r="AE13" t="s">
        <v>5</v>
      </c>
      <c r="AF13" t="s">
        <v>37</v>
      </c>
      <c r="AG13" t="s">
        <v>36</v>
      </c>
      <c r="AH13">
        <v>30</v>
      </c>
      <c r="AI13" t="s">
        <v>23</v>
      </c>
      <c r="AJ13">
        <v>4</v>
      </c>
      <c r="AK13">
        <v>58</v>
      </c>
      <c r="AL13">
        <v>21</v>
      </c>
      <c r="AM13" t="s">
        <v>5</v>
      </c>
      <c r="AN13">
        <v>1</v>
      </c>
      <c r="AO13">
        <v>0</v>
      </c>
      <c r="AP13">
        <v>0</v>
      </c>
      <c r="AQ13">
        <v>1</v>
      </c>
    </row>
    <row r="14" spans="1:43" x14ac:dyDescent="0.25">
      <c r="A14" t="s">
        <v>3772</v>
      </c>
      <c r="B14" t="s">
        <v>805</v>
      </c>
      <c r="C14" t="s">
        <v>3771</v>
      </c>
      <c r="D14" s="1">
        <v>45673</v>
      </c>
      <c r="E14" t="s">
        <v>45</v>
      </c>
      <c r="F14" t="s">
        <v>348</v>
      </c>
      <c r="G14" t="s">
        <v>110</v>
      </c>
      <c r="H14" t="s">
        <v>43</v>
      </c>
      <c r="I14" t="s">
        <v>15</v>
      </c>
      <c r="J14" t="s">
        <v>14</v>
      </c>
      <c r="K14" t="s">
        <v>13</v>
      </c>
      <c r="L14" t="s">
        <v>117</v>
      </c>
      <c r="M14" t="s">
        <v>27</v>
      </c>
      <c r="N14" t="s">
        <v>52</v>
      </c>
      <c r="O14" t="s">
        <v>40</v>
      </c>
      <c r="P14" t="s">
        <v>39</v>
      </c>
      <c r="Q14" t="s">
        <v>7</v>
      </c>
      <c r="R14" t="s">
        <v>6</v>
      </c>
      <c r="S14">
        <v>8</v>
      </c>
      <c r="T14" t="s">
        <v>106</v>
      </c>
      <c r="U14">
        <v>151</v>
      </c>
      <c r="V14" t="s">
        <v>0</v>
      </c>
      <c r="W14" t="s">
        <v>5</v>
      </c>
      <c r="X14" t="s">
        <v>0</v>
      </c>
      <c r="Y14" t="s">
        <v>4</v>
      </c>
      <c r="Z14" t="s">
        <v>0</v>
      </c>
      <c r="AA14">
        <v>0</v>
      </c>
      <c r="AB14">
        <v>0</v>
      </c>
      <c r="AC14">
        <v>0</v>
      </c>
      <c r="AD14" t="s">
        <v>37</v>
      </c>
      <c r="AE14" t="s">
        <v>5</v>
      </c>
      <c r="AF14" t="s">
        <v>37</v>
      </c>
      <c r="AG14" t="s">
        <v>139</v>
      </c>
      <c r="AH14">
        <v>35</v>
      </c>
      <c r="AI14" t="s">
        <v>23</v>
      </c>
      <c r="AJ14">
        <v>4</v>
      </c>
      <c r="AK14">
        <v>-18</v>
      </c>
      <c r="AL14">
        <v>12</v>
      </c>
      <c r="AM14" t="s">
        <v>0</v>
      </c>
      <c r="AN14">
        <v>1</v>
      </c>
      <c r="AO14">
        <v>0</v>
      </c>
      <c r="AP14">
        <v>0</v>
      </c>
      <c r="AQ14">
        <v>0</v>
      </c>
    </row>
    <row r="15" spans="1:43" x14ac:dyDescent="0.25">
      <c r="A15" t="s">
        <v>3770</v>
      </c>
      <c r="B15" t="s">
        <v>2085</v>
      </c>
      <c r="C15" t="s">
        <v>3769</v>
      </c>
      <c r="D15" s="1">
        <v>45995</v>
      </c>
      <c r="E15" t="s">
        <v>168</v>
      </c>
      <c r="F15" t="s">
        <v>283</v>
      </c>
      <c r="G15" t="s">
        <v>131</v>
      </c>
      <c r="H15" t="s">
        <v>16</v>
      </c>
      <c r="I15" t="s">
        <v>28</v>
      </c>
      <c r="J15" t="s">
        <v>55</v>
      </c>
      <c r="K15" t="s">
        <v>54</v>
      </c>
      <c r="L15" t="s">
        <v>64</v>
      </c>
      <c r="M15" t="s">
        <v>11</v>
      </c>
      <c r="N15" t="s">
        <v>41</v>
      </c>
      <c r="O15" t="s">
        <v>247</v>
      </c>
      <c r="P15" t="s">
        <v>39</v>
      </c>
      <c r="Q15" t="s">
        <v>172</v>
      </c>
      <c r="R15" t="s">
        <v>6</v>
      </c>
      <c r="S15">
        <v>9</v>
      </c>
      <c r="T15">
        <v>9</v>
      </c>
      <c r="U15">
        <v>270</v>
      </c>
      <c r="V15" t="s">
        <v>0</v>
      </c>
      <c r="W15" t="s">
        <v>0</v>
      </c>
      <c r="X15" t="s">
        <v>0</v>
      </c>
      <c r="Y15" t="s">
        <v>4</v>
      </c>
      <c r="Z15" t="s">
        <v>0</v>
      </c>
      <c r="AA15">
        <v>0</v>
      </c>
      <c r="AB15">
        <v>0</v>
      </c>
      <c r="AC15">
        <v>0</v>
      </c>
      <c r="AD15" t="s">
        <v>3</v>
      </c>
      <c r="AE15" t="s">
        <v>0</v>
      </c>
      <c r="AF15" t="s">
        <v>3</v>
      </c>
      <c r="AG15" t="s">
        <v>2</v>
      </c>
      <c r="AI15" t="s">
        <v>23</v>
      </c>
      <c r="AJ15">
        <v>3</v>
      </c>
      <c r="AK15">
        <v>-39</v>
      </c>
      <c r="AL15">
        <v>19</v>
      </c>
      <c r="AM15" t="s">
        <v>0</v>
      </c>
      <c r="AN15">
        <v>0</v>
      </c>
      <c r="AO15">
        <v>0</v>
      </c>
      <c r="AP15">
        <v>0</v>
      </c>
      <c r="AQ15">
        <v>0</v>
      </c>
    </row>
    <row r="16" spans="1:43" x14ac:dyDescent="0.25">
      <c r="A16" t="s">
        <v>3768</v>
      </c>
      <c r="B16" t="s">
        <v>3767</v>
      </c>
      <c r="C16" t="s">
        <v>3766</v>
      </c>
      <c r="D16" s="1">
        <v>45980</v>
      </c>
      <c r="E16" t="s">
        <v>95</v>
      </c>
      <c r="F16" t="s">
        <v>118</v>
      </c>
      <c r="G16" t="s">
        <v>30</v>
      </c>
      <c r="H16" t="s">
        <v>29</v>
      </c>
      <c r="I16" t="s">
        <v>15</v>
      </c>
      <c r="J16" t="s">
        <v>14</v>
      </c>
      <c r="K16" t="s">
        <v>13</v>
      </c>
      <c r="L16" t="s">
        <v>88</v>
      </c>
      <c r="M16" t="s">
        <v>11</v>
      </c>
      <c r="N16" t="s">
        <v>154</v>
      </c>
      <c r="O16" t="s">
        <v>26</v>
      </c>
      <c r="P16" t="s">
        <v>63</v>
      </c>
      <c r="Q16" t="s">
        <v>7</v>
      </c>
      <c r="R16" t="s">
        <v>6</v>
      </c>
      <c r="S16">
        <v>4</v>
      </c>
      <c r="T16">
        <v>3</v>
      </c>
      <c r="U16">
        <v>165</v>
      </c>
      <c r="V16" t="s">
        <v>5</v>
      </c>
      <c r="W16" t="s">
        <v>0</v>
      </c>
      <c r="X16" t="s">
        <v>0</v>
      </c>
      <c r="Y16" t="s">
        <v>4</v>
      </c>
      <c r="Z16" t="s">
        <v>0</v>
      </c>
      <c r="AA16">
        <v>0</v>
      </c>
      <c r="AB16">
        <v>0</v>
      </c>
      <c r="AC16">
        <v>0</v>
      </c>
      <c r="AD16" t="s">
        <v>3</v>
      </c>
      <c r="AE16" t="s">
        <v>0</v>
      </c>
      <c r="AF16" t="s">
        <v>3</v>
      </c>
      <c r="AG16" t="s">
        <v>2</v>
      </c>
      <c r="AI16" t="s">
        <v>1</v>
      </c>
      <c r="AJ16">
        <v>3</v>
      </c>
      <c r="AK16">
        <v>27</v>
      </c>
      <c r="AL16">
        <v>0</v>
      </c>
      <c r="AM16" t="s">
        <v>5</v>
      </c>
      <c r="AN16">
        <v>0</v>
      </c>
      <c r="AO16">
        <v>0</v>
      </c>
      <c r="AP16">
        <v>0</v>
      </c>
      <c r="AQ16">
        <v>1</v>
      </c>
    </row>
    <row r="17" spans="1:43" x14ac:dyDescent="0.25">
      <c r="A17" t="s">
        <v>3765</v>
      </c>
      <c r="B17" t="s">
        <v>1434</v>
      </c>
      <c r="C17" t="s">
        <v>3764</v>
      </c>
      <c r="D17" s="1">
        <v>45709</v>
      </c>
      <c r="E17" t="s">
        <v>149</v>
      </c>
      <c r="F17" t="s">
        <v>148</v>
      </c>
      <c r="G17" t="s">
        <v>110</v>
      </c>
      <c r="H17" t="s">
        <v>43</v>
      </c>
      <c r="I17" t="s">
        <v>15</v>
      </c>
      <c r="J17" t="s">
        <v>14</v>
      </c>
      <c r="K17" t="s">
        <v>13</v>
      </c>
      <c r="L17" t="s">
        <v>12</v>
      </c>
      <c r="M17" t="s">
        <v>11</v>
      </c>
      <c r="N17" t="s">
        <v>154</v>
      </c>
      <c r="O17" t="s">
        <v>51</v>
      </c>
      <c r="P17" t="s">
        <v>8</v>
      </c>
      <c r="Q17" t="s">
        <v>24</v>
      </c>
      <c r="R17" t="s">
        <v>38</v>
      </c>
      <c r="S17">
        <v>6</v>
      </c>
      <c r="T17">
        <v>6</v>
      </c>
      <c r="U17">
        <v>183</v>
      </c>
      <c r="V17" t="s">
        <v>0</v>
      </c>
      <c r="W17" t="s">
        <v>5</v>
      </c>
      <c r="X17" t="s">
        <v>0</v>
      </c>
      <c r="Y17" t="s">
        <v>4</v>
      </c>
      <c r="Z17" t="s">
        <v>0</v>
      </c>
      <c r="AA17">
        <v>0</v>
      </c>
      <c r="AB17">
        <v>0</v>
      </c>
      <c r="AC17">
        <v>0</v>
      </c>
      <c r="AD17" t="s">
        <v>3</v>
      </c>
      <c r="AE17" t="s">
        <v>0</v>
      </c>
      <c r="AF17" t="s">
        <v>3</v>
      </c>
      <c r="AG17" t="s">
        <v>2</v>
      </c>
      <c r="AI17" t="s">
        <v>23</v>
      </c>
      <c r="AJ17">
        <v>4</v>
      </c>
      <c r="AK17">
        <v>23</v>
      </c>
      <c r="AL17">
        <v>9</v>
      </c>
      <c r="AM17" t="s">
        <v>5</v>
      </c>
      <c r="AN17">
        <v>1</v>
      </c>
      <c r="AO17">
        <v>0</v>
      </c>
      <c r="AP17">
        <v>0</v>
      </c>
      <c r="AQ17">
        <v>1</v>
      </c>
    </row>
    <row r="18" spans="1:43" x14ac:dyDescent="0.25">
      <c r="A18" t="s">
        <v>3763</v>
      </c>
      <c r="B18" t="s">
        <v>477</v>
      </c>
      <c r="C18" t="s">
        <v>3762</v>
      </c>
      <c r="D18" s="1">
        <v>46090</v>
      </c>
      <c r="E18" t="s">
        <v>168</v>
      </c>
      <c r="F18" t="s">
        <v>233</v>
      </c>
      <c r="G18" t="s">
        <v>83</v>
      </c>
      <c r="H18" t="s">
        <v>77</v>
      </c>
      <c r="I18" t="s">
        <v>28</v>
      </c>
      <c r="J18" t="s">
        <v>55</v>
      </c>
      <c r="K18" t="s">
        <v>54</v>
      </c>
      <c r="L18" t="s">
        <v>64</v>
      </c>
      <c r="M18" t="s">
        <v>53</v>
      </c>
      <c r="N18" t="s">
        <v>93</v>
      </c>
      <c r="O18" t="s">
        <v>40</v>
      </c>
      <c r="P18" t="s">
        <v>63</v>
      </c>
      <c r="Q18" t="s">
        <v>7</v>
      </c>
      <c r="R18" t="s">
        <v>6</v>
      </c>
      <c r="S18">
        <v>8</v>
      </c>
      <c r="T18">
        <v>8</v>
      </c>
      <c r="U18">
        <v>153</v>
      </c>
      <c r="V18" t="s">
        <v>0</v>
      </c>
      <c r="W18" t="s">
        <v>0</v>
      </c>
      <c r="X18" t="s">
        <v>0</v>
      </c>
      <c r="Y18" t="s">
        <v>4</v>
      </c>
      <c r="Z18" t="s">
        <v>0</v>
      </c>
      <c r="AA18">
        <v>0</v>
      </c>
      <c r="AB18">
        <v>0</v>
      </c>
      <c r="AC18">
        <v>0</v>
      </c>
      <c r="AD18" t="s">
        <v>3</v>
      </c>
      <c r="AE18" t="s">
        <v>0</v>
      </c>
      <c r="AF18" t="s">
        <v>3</v>
      </c>
      <c r="AG18" t="s">
        <v>2</v>
      </c>
      <c r="AI18" t="s">
        <v>23</v>
      </c>
      <c r="AJ18">
        <v>4</v>
      </c>
      <c r="AK18">
        <v>3</v>
      </c>
      <c r="AL18">
        <v>0</v>
      </c>
      <c r="AM18" t="s">
        <v>0</v>
      </c>
      <c r="AN18">
        <v>0</v>
      </c>
      <c r="AO18">
        <v>0</v>
      </c>
      <c r="AP18">
        <v>0</v>
      </c>
      <c r="AQ18">
        <v>0</v>
      </c>
    </row>
    <row r="19" spans="1:43" x14ac:dyDescent="0.25">
      <c r="A19" t="s">
        <v>3761</v>
      </c>
      <c r="B19" t="s">
        <v>1715</v>
      </c>
      <c r="C19" t="s">
        <v>3760</v>
      </c>
      <c r="D19" s="1">
        <v>46080</v>
      </c>
      <c r="E19" t="s">
        <v>19</v>
      </c>
      <c r="F19" t="s">
        <v>255</v>
      </c>
      <c r="G19" t="s">
        <v>83</v>
      </c>
      <c r="H19" t="s">
        <v>66</v>
      </c>
      <c r="I19" t="s">
        <v>15</v>
      </c>
      <c r="J19" t="s">
        <v>55</v>
      </c>
      <c r="K19" t="s">
        <v>54</v>
      </c>
      <c r="L19" t="s">
        <v>12</v>
      </c>
      <c r="M19" t="s">
        <v>11</v>
      </c>
      <c r="N19" t="s">
        <v>93</v>
      </c>
      <c r="O19" t="s">
        <v>9</v>
      </c>
      <c r="P19" t="s">
        <v>8</v>
      </c>
      <c r="Q19" t="s">
        <v>7</v>
      </c>
      <c r="R19" t="s">
        <v>6</v>
      </c>
      <c r="S19">
        <v>7</v>
      </c>
      <c r="T19">
        <v>7</v>
      </c>
      <c r="U19">
        <v>207</v>
      </c>
      <c r="V19" t="s">
        <v>247</v>
      </c>
      <c r="W19" t="s">
        <v>5</v>
      </c>
      <c r="X19" t="s">
        <v>0</v>
      </c>
      <c r="Y19" t="s">
        <v>4</v>
      </c>
      <c r="Z19" t="s">
        <v>5</v>
      </c>
      <c r="AA19">
        <v>36.770000000000003</v>
      </c>
      <c r="AB19">
        <v>0</v>
      </c>
      <c r="AC19">
        <v>0</v>
      </c>
      <c r="AD19" t="s">
        <v>436</v>
      </c>
      <c r="AE19" t="s">
        <v>5</v>
      </c>
      <c r="AF19" t="s">
        <v>436</v>
      </c>
      <c r="AG19" t="s">
        <v>36</v>
      </c>
      <c r="AH19">
        <v>30</v>
      </c>
      <c r="AI19" t="s">
        <v>23</v>
      </c>
      <c r="AJ19">
        <v>4</v>
      </c>
      <c r="AK19">
        <v>0</v>
      </c>
      <c r="AL19">
        <v>51</v>
      </c>
      <c r="AM19" t="s">
        <v>5</v>
      </c>
      <c r="AN19">
        <v>1</v>
      </c>
      <c r="AO19">
        <v>1</v>
      </c>
      <c r="AP19">
        <v>0</v>
      </c>
      <c r="AQ19">
        <v>1</v>
      </c>
    </row>
    <row r="20" spans="1:43" x14ac:dyDescent="0.25">
      <c r="A20" t="s">
        <v>3759</v>
      </c>
      <c r="B20" t="s">
        <v>3758</v>
      </c>
      <c r="C20" t="s">
        <v>3757</v>
      </c>
      <c r="D20" s="1">
        <v>45793</v>
      </c>
      <c r="E20" t="s">
        <v>19</v>
      </c>
      <c r="F20" t="s">
        <v>295</v>
      </c>
      <c r="G20" t="s">
        <v>247</v>
      </c>
      <c r="H20" t="s">
        <v>77</v>
      </c>
      <c r="I20" t="s">
        <v>15</v>
      </c>
      <c r="J20" t="s">
        <v>146</v>
      </c>
      <c r="K20" t="s">
        <v>145</v>
      </c>
      <c r="L20" t="s">
        <v>12</v>
      </c>
      <c r="M20" t="s">
        <v>53</v>
      </c>
      <c r="N20" t="s">
        <v>154</v>
      </c>
      <c r="O20" t="s">
        <v>9</v>
      </c>
      <c r="P20" t="s">
        <v>63</v>
      </c>
      <c r="Q20" t="s">
        <v>7</v>
      </c>
      <c r="R20" t="s">
        <v>6</v>
      </c>
      <c r="S20">
        <v>7</v>
      </c>
      <c r="T20">
        <v>4</v>
      </c>
      <c r="U20">
        <v>306</v>
      </c>
      <c r="V20" t="s">
        <v>5</v>
      </c>
      <c r="W20" t="s">
        <v>0</v>
      </c>
      <c r="X20" t="s">
        <v>0</v>
      </c>
      <c r="Y20" t="s">
        <v>4</v>
      </c>
      <c r="Z20" t="s">
        <v>0</v>
      </c>
      <c r="AA20">
        <v>0</v>
      </c>
      <c r="AB20">
        <v>0</v>
      </c>
      <c r="AC20">
        <v>0</v>
      </c>
      <c r="AD20" t="s">
        <v>3</v>
      </c>
      <c r="AE20" t="s">
        <v>0</v>
      </c>
      <c r="AF20" t="s">
        <v>3</v>
      </c>
      <c r="AG20" t="s">
        <v>2</v>
      </c>
      <c r="AI20" t="s">
        <v>332</v>
      </c>
      <c r="AJ20">
        <v>3</v>
      </c>
      <c r="AK20">
        <v>15</v>
      </c>
      <c r="AL20">
        <v>0</v>
      </c>
      <c r="AM20" t="s">
        <v>0</v>
      </c>
      <c r="AN20">
        <v>0</v>
      </c>
      <c r="AO20">
        <v>0</v>
      </c>
      <c r="AP20">
        <v>0</v>
      </c>
      <c r="AQ20">
        <v>0</v>
      </c>
    </row>
    <row r="21" spans="1:43" x14ac:dyDescent="0.25">
      <c r="A21" t="s">
        <v>3756</v>
      </c>
      <c r="B21" t="s">
        <v>1613</v>
      </c>
      <c r="C21" t="s">
        <v>3755</v>
      </c>
      <c r="D21" s="1">
        <v>45866</v>
      </c>
      <c r="E21" t="s">
        <v>68</v>
      </c>
      <c r="F21" t="s">
        <v>243</v>
      </c>
      <c r="G21" t="s">
        <v>17</v>
      </c>
      <c r="H21" t="s">
        <v>16</v>
      </c>
      <c r="I21" t="s">
        <v>15</v>
      </c>
      <c r="J21" t="s">
        <v>55</v>
      </c>
      <c r="K21" t="s">
        <v>54</v>
      </c>
      <c r="L21" t="s">
        <v>117</v>
      </c>
      <c r="M21" t="s">
        <v>11</v>
      </c>
      <c r="N21" t="s">
        <v>10</v>
      </c>
      <c r="O21" t="s">
        <v>101</v>
      </c>
      <c r="P21" t="s">
        <v>63</v>
      </c>
      <c r="Q21" t="s">
        <v>7</v>
      </c>
      <c r="R21" t="s">
        <v>6</v>
      </c>
      <c r="S21">
        <v>4</v>
      </c>
      <c r="T21">
        <v>2</v>
      </c>
      <c r="U21">
        <v>120</v>
      </c>
      <c r="V21" t="s">
        <v>5</v>
      </c>
      <c r="W21" t="s">
        <v>0</v>
      </c>
      <c r="X21" t="s">
        <v>0</v>
      </c>
      <c r="Y21" t="s">
        <v>4</v>
      </c>
      <c r="Z21" t="s">
        <v>0</v>
      </c>
      <c r="AA21">
        <v>0</v>
      </c>
      <c r="AB21">
        <v>0</v>
      </c>
      <c r="AC21">
        <v>0</v>
      </c>
      <c r="AD21" t="s">
        <v>3</v>
      </c>
      <c r="AE21" t="s">
        <v>0</v>
      </c>
      <c r="AF21" t="s">
        <v>3</v>
      </c>
      <c r="AG21" t="s">
        <v>2</v>
      </c>
      <c r="AI21" t="s">
        <v>129</v>
      </c>
      <c r="AJ21">
        <v>3</v>
      </c>
      <c r="AK21">
        <v>43</v>
      </c>
      <c r="AL21">
        <v>0</v>
      </c>
      <c r="AM21" t="s">
        <v>0</v>
      </c>
      <c r="AN21">
        <v>0</v>
      </c>
      <c r="AO21">
        <v>0</v>
      </c>
      <c r="AP21">
        <v>0</v>
      </c>
      <c r="AQ21">
        <v>0</v>
      </c>
    </row>
    <row r="22" spans="1:43" x14ac:dyDescent="0.25">
      <c r="A22" t="s">
        <v>3754</v>
      </c>
      <c r="B22" t="s">
        <v>253</v>
      </c>
      <c r="C22" t="s">
        <v>3753</v>
      </c>
      <c r="D22" s="1">
        <v>46114</v>
      </c>
      <c r="E22" t="s">
        <v>45</v>
      </c>
      <c r="F22" t="s">
        <v>44</v>
      </c>
      <c r="G22" t="s">
        <v>56</v>
      </c>
      <c r="H22" t="s">
        <v>77</v>
      </c>
      <c r="I22" t="s">
        <v>15</v>
      </c>
      <c r="J22" t="s">
        <v>14</v>
      </c>
      <c r="K22" t="s">
        <v>13</v>
      </c>
      <c r="L22" t="s">
        <v>117</v>
      </c>
      <c r="M22" t="s">
        <v>27</v>
      </c>
      <c r="N22" t="s">
        <v>75</v>
      </c>
      <c r="O22" t="s">
        <v>199</v>
      </c>
      <c r="P22" t="s">
        <v>39</v>
      </c>
      <c r="Q22" t="s">
        <v>198</v>
      </c>
      <c r="R22" t="s">
        <v>6</v>
      </c>
      <c r="S22">
        <v>5</v>
      </c>
      <c r="T22">
        <v>5</v>
      </c>
      <c r="U22">
        <v>125</v>
      </c>
      <c r="V22" t="s">
        <v>0</v>
      </c>
      <c r="W22" t="s">
        <v>5</v>
      </c>
      <c r="X22" t="s">
        <v>0</v>
      </c>
      <c r="Y22" t="s">
        <v>4</v>
      </c>
      <c r="Z22" t="s">
        <v>5</v>
      </c>
      <c r="AA22">
        <v>19.309999999999999</v>
      </c>
      <c r="AB22">
        <v>0</v>
      </c>
      <c r="AC22">
        <v>0.37</v>
      </c>
      <c r="AD22" t="s">
        <v>3</v>
      </c>
      <c r="AE22" t="s">
        <v>0</v>
      </c>
      <c r="AF22" t="s">
        <v>3</v>
      </c>
      <c r="AG22" t="s">
        <v>2</v>
      </c>
      <c r="AI22" t="s">
        <v>23</v>
      </c>
      <c r="AJ22">
        <v>5</v>
      </c>
      <c r="AK22">
        <v>47</v>
      </c>
      <c r="AL22">
        <v>25</v>
      </c>
      <c r="AM22" t="s">
        <v>0</v>
      </c>
      <c r="AN22">
        <v>1</v>
      </c>
      <c r="AO22">
        <v>1</v>
      </c>
      <c r="AP22">
        <v>0</v>
      </c>
      <c r="AQ22">
        <v>0</v>
      </c>
    </row>
    <row r="23" spans="1:43" x14ac:dyDescent="0.25">
      <c r="A23" t="s">
        <v>3752</v>
      </c>
      <c r="B23" t="s">
        <v>3751</v>
      </c>
      <c r="C23" t="s">
        <v>3750</v>
      </c>
      <c r="D23" s="1">
        <v>45761</v>
      </c>
      <c r="E23" t="s">
        <v>168</v>
      </c>
      <c r="F23" t="s">
        <v>167</v>
      </c>
      <c r="G23" t="s">
        <v>56</v>
      </c>
      <c r="H23" t="s">
        <v>43</v>
      </c>
      <c r="I23" t="s">
        <v>28</v>
      </c>
      <c r="J23" t="s">
        <v>14</v>
      </c>
      <c r="K23" t="s">
        <v>13</v>
      </c>
      <c r="L23" t="s">
        <v>117</v>
      </c>
      <c r="M23" t="s">
        <v>11</v>
      </c>
      <c r="N23" t="s">
        <v>93</v>
      </c>
      <c r="O23" t="s">
        <v>51</v>
      </c>
      <c r="P23" t="s">
        <v>8</v>
      </c>
      <c r="Q23" t="s">
        <v>7</v>
      </c>
      <c r="R23" t="s">
        <v>6</v>
      </c>
      <c r="S23">
        <v>6</v>
      </c>
      <c r="T23">
        <v>6</v>
      </c>
      <c r="U23">
        <v>114</v>
      </c>
      <c r="V23" t="s">
        <v>0</v>
      </c>
      <c r="W23" t="s">
        <v>5</v>
      </c>
      <c r="X23" t="s">
        <v>0</v>
      </c>
      <c r="Y23" t="s">
        <v>4</v>
      </c>
      <c r="Z23" t="s">
        <v>5</v>
      </c>
      <c r="AA23">
        <v>5.14</v>
      </c>
      <c r="AB23">
        <v>0.09</v>
      </c>
      <c r="AC23">
        <v>0</v>
      </c>
      <c r="AD23" t="s">
        <v>3</v>
      </c>
      <c r="AE23" t="s">
        <v>0</v>
      </c>
      <c r="AF23" t="s">
        <v>3</v>
      </c>
      <c r="AG23" t="s">
        <v>2</v>
      </c>
      <c r="AI23" t="s">
        <v>23</v>
      </c>
      <c r="AJ23">
        <v>4</v>
      </c>
      <c r="AK23">
        <v>36</v>
      </c>
      <c r="AL23">
        <v>47</v>
      </c>
      <c r="AM23" t="s">
        <v>5</v>
      </c>
      <c r="AN23">
        <v>1</v>
      </c>
      <c r="AO23">
        <v>1</v>
      </c>
      <c r="AP23">
        <v>0</v>
      </c>
      <c r="AQ23">
        <v>1</v>
      </c>
    </row>
    <row r="24" spans="1:43" x14ac:dyDescent="0.25">
      <c r="A24" t="s">
        <v>3749</v>
      </c>
      <c r="B24" t="s">
        <v>1313</v>
      </c>
      <c r="C24" t="s">
        <v>3748</v>
      </c>
      <c r="D24" s="1">
        <v>45784</v>
      </c>
      <c r="E24" t="s">
        <v>79</v>
      </c>
      <c r="F24" t="s">
        <v>102</v>
      </c>
      <c r="G24" t="s">
        <v>17</v>
      </c>
      <c r="H24" t="s">
        <v>29</v>
      </c>
      <c r="I24" t="s">
        <v>15</v>
      </c>
      <c r="J24" t="s">
        <v>14</v>
      </c>
      <c r="K24" t="s">
        <v>13</v>
      </c>
      <c r="L24" t="s">
        <v>88</v>
      </c>
      <c r="M24" t="s">
        <v>11</v>
      </c>
      <c r="N24" t="s">
        <v>52</v>
      </c>
      <c r="O24" t="s">
        <v>199</v>
      </c>
      <c r="P24" t="s">
        <v>63</v>
      </c>
      <c r="Q24" t="s">
        <v>172</v>
      </c>
      <c r="R24" t="s">
        <v>6</v>
      </c>
      <c r="S24">
        <v>5</v>
      </c>
      <c r="T24">
        <v>5</v>
      </c>
      <c r="U24">
        <v>127</v>
      </c>
      <c r="V24" t="s">
        <v>0</v>
      </c>
      <c r="W24" t="s">
        <v>0</v>
      </c>
      <c r="X24" t="s">
        <v>0</v>
      </c>
      <c r="Y24" t="s">
        <v>4</v>
      </c>
      <c r="Z24" t="s">
        <v>5</v>
      </c>
      <c r="AA24">
        <v>20.88</v>
      </c>
      <c r="AB24">
        <v>0</v>
      </c>
      <c r="AC24">
        <v>0</v>
      </c>
      <c r="AD24" t="s">
        <v>3</v>
      </c>
      <c r="AE24" t="s">
        <v>0</v>
      </c>
      <c r="AF24" t="s">
        <v>3</v>
      </c>
      <c r="AG24" t="s">
        <v>2</v>
      </c>
      <c r="AI24" t="s">
        <v>1001</v>
      </c>
      <c r="AJ24">
        <v>4</v>
      </c>
      <c r="AK24">
        <v>23</v>
      </c>
      <c r="AL24">
        <v>0</v>
      </c>
      <c r="AM24" t="s">
        <v>5</v>
      </c>
      <c r="AN24">
        <v>0</v>
      </c>
      <c r="AO24">
        <v>1</v>
      </c>
      <c r="AP24">
        <v>0</v>
      </c>
      <c r="AQ24">
        <v>1</v>
      </c>
    </row>
    <row r="25" spans="1:43" x14ac:dyDescent="0.25">
      <c r="A25" t="s">
        <v>3747</v>
      </c>
      <c r="B25" t="s">
        <v>2059</v>
      </c>
      <c r="C25" t="s">
        <v>3746</v>
      </c>
      <c r="D25" s="1">
        <v>46022</v>
      </c>
      <c r="E25" t="s">
        <v>79</v>
      </c>
      <c r="F25" t="s">
        <v>206</v>
      </c>
      <c r="G25" t="s">
        <v>83</v>
      </c>
      <c r="H25" t="s">
        <v>43</v>
      </c>
      <c r="I25" t="s">
        <v>28</v>
      </c>
      <c r="J25" t="s">
        <v>55</v>
      </c>
      <c r="K25" t="s">
        <v>54</v>
      </c>
      <c r="L25" t="s">
        <v>117</v>
      </c>
      <c r="M25" t="s">
        <v>53</v>
      </c>
      <c r="N25" t="s">
        <v>93</v>
      </c>
      <c r="O25" t="s">
        <v>74</v>
      </c>
      <c r="P25" t="s">
        <v>63</v>
      </c>
      <c r="Q25" t="s">
        <v>198</v>
      </c>
      <c r="R25" t="s">
        <v>38</v>
      </c>
      <c r="S25">
        <v>6</v>
      </c>
      <c r="T25">
        <v>6</v>
      </c>
      <c r="U25">
        <v>163</v>
      </c>
      <c r="V25" t="s">
        <v>0</v>
      </c>
      <c r="W25" t="s">
        <v>5</v>
      </c>
      <c r="X25" t="s">
        <v>0</v>
      </c>
      <c r="Y25" t="s">
        <v>4</v>
      </c>
      <c r="Z25" t="s">
        <v>5</v>
      </c>
      <c r="AA25">
        <v>15.13</v>
      </c>
      <c r="AB25">
        <v>0</v>
      </c>
      <c r="AC25">
        <v>0.17</v>
      </c>
      <c r="AD25" t="s">
        <v>3</v>
      </c>
      <c r="AE25" t="s">
        <v>0</v>
      </c>
      <c r="AF25" t="s">
        <v>3</v>
      </c>
      <c r="AG25" t="s">
        <v>2</v>
      </c>
      <c r="AI25" t="s">
        <v>23</v>
      </c>
      <c r="AJ25">
        <v>4</v>
      </c>
      <c r="AK25">
        <v>10</v>
      </c>
      <c r="AL25">
        <v>0</v>
      </c>
      <c r="AM25" t="s">
        <v>5</v>
      </c>
      <c r="AN25">
        <v>1</v>
      </c>
      <c r="AO25">
        <v>1</v>
      </c>
      <c r="AP25">
        <v>0</v>
      </c>
      <c r="AQ25">
        <v>1</v>
      </c>
    </row>
    <row r="26" spans="1:43" x14ac:dyDescent="0.25">
      <c r="A26" t="s">
        <v>3745</v>
      </c>
      <c r="B26" t="s">
        <v>1873</v>
      </c>
      <c r="C26" t="s">
        <v>3744</v>
      </c>
      <c r="D26" s="1">
        <v>45728</v>
      </c>
      <c r="E26" t="s">
        <v>168</v>
      </c>
      <c r="F26" t="s">
        <v>233</v>
      </c>
      <c r="G26" t="s">
        <v>17</v>
      </c>
      <c r="H26" t="s">
        <v>16</v>
      </c>
      <c r="I26" t="s">
        <v>28</v>
      </c>
      <c r="J26" t="s">
        <v>14</v>
      </c>
      <c r="K26" t="s">
        <v>13</v>
      </c>
      <c r="L26" t="s">
        <v>64</v>
      </c>
      <c r="M26" t="s">
        <v>11</v>
      </c>
      <c r="N26" t="s">
        <v>116</v>
      </c>
      <c r="O26" t="s">
        <v>26</v>
      </c>
      <c r="P26" t="s">
        <v>39</v>
      </c>
      <c r="Q26" t="s">
        <v>7</v>
      </c>
      <c r="R26" t="s">
        <v>6</v>
      </c>
      <c r="S26">
        <v>4</v>
      </c>
      <c r="T26">
        <v>4</v>
      </c>
      <c r="U26">
        <v>105</v>
      </c>
      <c r="V26" t="s">
        <v>0</v>
      </c>
      <c r="W26" t="s">
        <v>5</v>
      </c>
      <c r="X26" t="s">
        <v>0</v>
      </c>
      <c r="Y26" t="s">
        <v>4</v>
      </c>
      <c r="Z26" t="s">
        <v>5</v>
      </c>
      <c r="AA26">
        <v>204.65</v>
      </c>
      <c r="AB26">
        <v>0.19</v>
      </c>
      <c r="AC26">
        <v>0</v>
      </c>
      <c r="AD26" t="s">
        <v>3</v>
      </c>
      <c r="AE26" t="s">
        <v>0</v>
      </c>
      <c r="AF26" t="s">
        <v>3</v>
      </c>
      <c r="AG26" t="s">
        <v>2</v>
      </c>
      <c r="AI26" t="s">
        <v>23</v>
      </c>
      <c r="AJ26">
        <v>4</v>
      </c>
      <c r="AK26">
        <v>40</v>
      </c>
      <c r="AL26">
        <v>29</v>
      </c>
      <c r="AM26" t="s">
        <v>5</v>
      </c>
      <c r="AN26">
        <v>1</v>
      </c>
      <c r="AO26">
        <v>1</v>
      </c>
      <c r="AP26">
        <v>0</v>
      </c>
      <c r="AQ26">
        <v>1</v>
      </c>
    </row>
    <row r="27" spans="1:43" x14ac:dyDescent="0.25">
      <c r="A27" t="s">
        <v>3743</v>
      </c>
      <c r="B27" t="s">
        <v>455</v>
      </c>
      <c r="C27" t="s">
        <v>3742</v>
      </c>
      <c r="D27" s="1">
        <v>45966</v>
      </c>
      <c r="E27" t="s">
        <v>19</v>
      </c>
      <c r="F27" t="s">
        <v>575</v>
      </c>
      <c r="G27" t="s">
        <v>83</v>
      </c>
      <c r="H27" t="s">
        <v>77</v>
      </c>
      <c r="I27" t="s">
        <v>28</v>
      </c>
      <c r="J27" t="s">
        <v>146</v>
      </c>
      <c r="K27" t="s">
        <v>145</v>
      </c>
      <c r="L27" t="s">
        <v>64</v>
      </c>
      <c r="M27" t="s">
        <v>11</v>
      </c>
      <c r="N27" t="s">
        <v>41</v>
      </c>
      <c r="O27" t="s">
        <v>26</v>
      </c>
      <c r="P27" t="s">
        <v>39</v>
      </c>
      <c r="Q27" t="s">
        <v>24</v>
      </c>
      <c r="R27" t="s">
        <v>38</v>
      </c>
      <c r="S27">
        <v>4</v>
      </c>
      <c r="T27">
        <v>4</v>
      </c>
      <c r="U27">
        <v>95</v>
      </c>
      <c r="V27" t="s">
        <v>0</v>
      </c>
      <c r="W27" t="s">
        <v>0</v>
      </c>
      <c r="X27" t="s">
        <v>5</v>
      </c>
      <c r="Y27" t="s">
        <v>62</v>
      </c>
      <c r="Z27" t="s">
        <v>0</v>
      </c>
      <c r="AA27">
        <v>0</v>
      </c>
      <c r="AB27">
        <v>0</v>
      </c>
      <c r="AC27">
        <v>0</v>
      </c>
      <c r="AD27" t="s">
        <v>3</v>
      </c>
      <c r="AE27" t="s">
        <v>0</v>
      </c>
      <c r="AF27" t="s">
        <v>3</v>
      </c>
      <c r="AG27" t="s">
        <v>2</v>
      </c>
      <c r="AI27" t="s">
        <v>122</v>
      </c>
      <c r="AJ27">
        <v>3</v>
      </c>
      <c r="AK27">
        <v>16</v>
      </c>
      <c r="AL27">
        <v>29</v>
      </c>
      <c r="AM27" t="s">
        <v>5</v>
      </c>
      <c r="AN27">
        <v>0</v>
      </c>
      <c r="AO27">
        <v>0</v>
      </c>
      <c r="AP27">
        <v>1</v>
      </c>
      <c r="AQ27">
        <v>1</v>
      </c>
    </row>
    <row r="28" spans="1:43" x14ac:dyDescent="0.25">
      <c r="A28" t="s">
        <v>3741</v>
      </c>
      <c r="B28" t="s">
        <v>3740</v>
      </c>
      <c r="C28" t="s">
        <v>3739</v>
      </c>
      <c r="D28" s="1">
        <v>46086</v>
      </c>
      <c r="E28" t="s">
        <v>79</v>
      </c>
      <c r="F28" t="s">
        <v>1253</v>
      </c>
      <c r="G28" t="s">
        <v>56</v>
      </c>
      <c r="H28" t="s">
        <v>16</v>
      </c>
      <c r="I28" t="s">
        <v>15</v>
      </c>
      <c r="J28" t="s">
        <v>14</v>
      </c>
      <c r="K28" t="s">
        <v>13</v>
      </c>
      <c r="L28" t="s">
        <v>64</v>
      </c>
      <c r="M28" t="s">
        <v>11</v>
      </c>
      <c r="N28" t="s">
        <v>52</v>
      </c>
      <c r="O28" t="s">
        <v>26</v>
      </c>
      <c r="P28" t="s">
        <v>63</v>
      </c>
      <c r="Q28" t="s">
        <v>7</v>
      </c>
      <c r="R28" t="s">
        <v>6</v>
      </c>
      <c r="S28">
        <v>4</v>
      </c>
      <c r="T28">
        <v>4</v>
      </c>
      <c r="U28">
        <v>173</v>
      </c>
      <c r="V28" t="s">
        <v>0</v>
      </c>
      <c r="W28" t="s">
        <v>5</v>
      </c>
      <c r="X28" t="s">
        <v>5</v>
      </c>
      <c r="Y28" t="s">
        <v>62</v>
      </c>
      <c r="Z28" t="s">
        <v>5</v>
      </c>
      <c r="AA28">
        <v>159.62</v>
      </c>
      <c r="AB28">
        <v>0.21</v>
      </c>
      <c r="AC28">
        <v>0</v>
      </c>
      <c r="AD28" t="s">
        <v>3</v>
      </c>
      <c r="AE28" t="s">
        <v>0</v>
      </c>
      <c r="AF28" t="s">
        <v>3</v>
      </c>
      <c r="AG28" t="s">
        <v>2</v>
      </c>
      <c r="AI28" t="s">
        <v>23</v>
      </c>
      <c r="AJ28">
        <v>3</v>
      </c>
      <c r="AK28">
        <v>10</v>
      </c>
      <c r="AL28">
        <v>0</v>
      </c>
      <c r="AM28" t="s">
        <v>0</v>
      </c>
      <c r="AN28">
        <v>1</v>
      </c>
      <c r="AO28">
        <v>1</v>
      </c>
      <c r="AP28">
        <v>1</v>
      </c>
      <c r="AQ28">
        <v>0</v>
      </c>
    </row>
    <row r="29" spans="1:43" x14ac:dyDescent="0.25">
      <c r="A29" t="s">
        <v>3738</v>
      </c>
      <c r="B29" t="s">
        <v>343</v>
      </c>
      <c r="C29" t="s">
        <v>3737</v>
      </c>
      <c r="D29" s="1">
        <v>45795</v>
      </c>
      <c r="E29" t="s">
        <v>19</v>
      </c>
      <c r="F29" t="s">
        <v>18</v>
      </c>
      <c r="G29" t="s">
        <v>56</v>
      </c>
      <c r="H29" t="s">
        <v>16</v>
      </c>
      <c r="I29" t="s">
        <v>28</v>
      </c>
      <c r="J29" t="s">
        <v>14</v>
      </c>
      <c r="K29" t="s">
        <v>13</v>
      </c>
      <c r="L29" t="s">
        <v>117</v>
      </c>
      <c r="M29" t="s">
        <v>53</v>
      </c>
      <c r="N29" t="s">
        <v>116</v>
      </c>
      <c r="O29" t="s">
        <v>26</v>
      </c>
      <c r="P29" t="s">
        <v>39</v>
      </c>
      <c r="Q29" t="s">
        <v>50</v>
      </c>
      <c r="R29" t="s">
        <v>38</v>
      </c>
      <c r="S29">
        <v>4</v>
      </c>
      <c r="T29">
        <v>4</v>
      </c>
      <c r="U29">
        <v>75</v>
      </c>
      <c r="V29" t="s">
        <v>0</v>
      </c>
      <c r="W29" t="s">
        <v>0</v>
      </c>
      <c r="X29" t="s">
        <v>181</v>
      </c>
      <c r="Y29" t="s">
        <v>4</v>
      </c>
      <c r="Z29" t="s">
        <v>5</v>
      </c>
      <c r="AA29">
        <v>189.89</v>
      </c>
      <c r="AB29">
        <v>0.23</v>
      </c>
      <c r="AC29">
        <v>0.17</v>
      </c>
      <c r="AD29" t="s">
        <v>3</v>
      </c>
      <c r="AE29" t="s">
        <v>0</v>
      </c>
      <c r="AF29" t="s">
        <v>3</v>
      </c>
      <c r="AG29" t="s">
        <v>2</v>
      </c>
      <c r="AI29" t="s">
        <v>332</v>
      </c>
      <c r="AJ29">
        <v>4</v>
      </c>
      <c r="AK29">
        <v>70</v>
      </c>
      <c r="AL29">
        <v>42</v>
      </c>
      <c r="AM29" t="s">
        <v>5</v>
      </c>
      <c r="AN29">
        <v>0</v>
      </c>
      <c r="AO29">
        <v>1</v>
      </c>
      <c r="AP29">
        <v>0</v>
      </c>
      <c r="AQ29">
        <v>1</v>
      </c>
    </row>
    <row r="30" spans="1:43" x14ac:dyDescent="0.25">
      <c r="A30" t="s">
        <v>3736</v>
      </c>
      <c r="B30" t="s">
        <v>3735</v>
      </c>
      <c r="C30" t="s">
        <v>3734</v>
      </c>
      <c r="D30" s="1">
        <v>45849</v>
      </c>
      <c r="E30" t="s">
        <v>19</v>
      </c>
      <c r="F30" t="s">
        <v>89</v>
      </c>
      <c r="G30" t="s">
        <v>110</v>
      </c>
      <c r="H30" t="s">
        <v>77</v>
      </c>
      <c r="I30" t="s">
        <v>15</v>
      </c>
      <c r="J30" t="s">
        <v>14</v>
      </c>
      <c r="K30" t="s">
        <v>13</v>
      </c>
      <c r="L30" t="s">
        <v>117</v>
      </c>
      <c r="M30" t="s">
        <v>11</v>
      </c>
      <c r="N30" t="s">
        <v>269</v>
      </c>
      <c r="O30" t="s">
        <v>130</v>
      </c>
      <c r="P30" t="s">
        <v>39</v>
      </c>
      <c r="Q30" t="s">
        <v>198</v>
      </c>
      <c r="R30" t="s">
        <v>6</v>
      </c>
      <c r="S30">
        <v>5</v>
      </c>
      <c r="T30">
        <v>5</v>
      </c>
      <c r="U30">
        <v>-30</v>
      </c>
      <c r="V30" t="s">
        <v>0</v>
      </c>
      <c r="W30" t="s">
        <v>135</v>
      </c>
      <c r="X30" t="s">
        <v>5</v>
      </c>
      <c r="Y30" t="s">
        <v>3733</v>
      </c>
      <c r="Z30" t="s">
        <v>0</v>
      </c>
      <c r="AA30">
        <v>0</v>
      </c>
      <c r="AB30">
        <v>0</v>
      </c>
      <c r="AC30">
        <v>0</v>
      </c>
      <c r="AD30" t="s">
        <v>37</v>
      </c>
      <c r="AE30" t="s">
        <v>5</v>
      </c>
      <c r="AF30" t="s">
        <v>37</v>
      </c>
      <c r="AG30" t="s">
        <v>36</v>
      </c>
      <c r="AH30">
        <v>14</v>
      </c>
      <c r="AI30" t="s">
        <v>122</v>
      </c>
      <c r="AJ30">
        <v>3</v>
      </c>
      <c r="AK30">
        <v>-37</v>
      </c>
      <c r="AL30">
        <v>35</v>
      </c>
      <c r="AM30" t="s">
        <v>5</v>
      </c>
      <c r="AN30">
        <v>0</v>
      </c>
      <c r="AO30">
        <v>0</v>
      </c>
      <c r="AP30">
        <v>1</v>
      </c>
      <c r="AQ30">
        <v>1</v>
      </c>
    </row>
    <row r="31" spans="1:43" x14ac:dyDescent="0.25">
      <c r="A31" t="s">
        <v>3732</v>
      </c>
      <c r="B31" t="s">
        <v>506</v>
      </c>
      <c r="C31" t="s">
        <v>3731</v>
      </c>
      <c r="D31" s="1">
        <v>45956</v>
      </c>
      <c r="E31" t="s">
        <v>79</v>
      </c>
      <c r="F31" t="s">
        <v>223</v>
      </c>
      <c r="G31" t="s">
        <v>247</v>
      </c>
      <c r="H31" t="s">
        <v>77</v>
      </c>
      <c r="I31" t="s">
        <v>15</v>
      </c>
      <c r="J31" t="s">
        <v>55</v>
      </c>
      <c r="K31" t="s">
        <v>54</v>
      </c>
      <c r="L31" t="s">
        <v>12</v>
      </c>
      <c r="M31" t="s">
        <v>11</v>
      </c>
      <c r="N31" t="s">
        <v>52</v>
      </c>
      <c r="O31" t="s">
        <v>51</v>
      </c>
      <c r="P31" t="s">
        <v>39</v>
      </c>
      <c r="Q31" t="s">
        <v>7</v>
      </c>
      <c r="R31" t="s">
        <v>6</v>
      </c>
      <c r="S31">
        <v>6</v>
      </c>
      <c r="T31">
        <v>3</v>
      </c>
      <c r="U31">
        <v>243</v>
      </c>
      <c r="V31" t="s">
        <v>5</v>
      </c>
      <c r="W31" t="s">
        <v>5</v>
      </c>
      <c r="X31" t="s">
        <v>0</v>
      </c>
      <c r="Y31" t="s">
        <v>4</v>
      </c>
      <c r="Z31" t="s">
        <v>5</v>
      </c>
      <c r="AA31">
        <v>94.05</v>
      </c>
      <c r="AB31">
        <v>0.11</v>
      </c>
      <c r="AC31">
        <v>0</v>
      </c>
      <c r="AD31" t="s">
        <v>3</v>
      </c>
      <c r="AE31" t="s">
        <v>0</v>
      </c>
      <c r="AF31" t="s">
        <v>3</v>
      </c>
      <c r="AG31" t="s">
        <v>2</v>
      </c>
      <c r="AI31" t="s">
        <v>23</v>
      </c>
      <c r="AJ31">
        <v>2</v>
      </c>
      <c r="AK31">
        <v>-40</v>
      </c>
      <c r="AL31">
        <v>22</v>
      </c>
      <c r="AM31" t="s">
        <v>0</v>
      </c>
      <c r="AN31">
        <v>1</v>
      </c>
      <c r="AO31">
        <v>1</v>
      </c>
      <c r="AP31">
        <v>0</v>
      </c>
      <c r="AQ31">
        <v>0</v>
      </c>
    </row>
    <row r="32" spans="1:43" x14ac:dyDescent="0.25">
      <c r="A32" t="s">
        <v>3730</v>
      </c>
      <c r="B32" t="s">
        <v>1316</v>
      </c>
      <c r="C32" t="s">
        <v>3729</v>
      </c>
      <c r="D32" s="1">
        <v>45972</v>
      </c>
      <c r="E32" t="s">
        <v>45</v>
      </c>
      <c r="F32" t="s">
        <v>348</v>
      </c>
      <c r="G32" t="s">
        <v>17</v>
      </c>
      <c r="H32" t="s">
        <v>16</v>
      </c>
      <c r="I32" t="s">
        <v>28</v>
      </c>
      <c r="J32" t="s">
        <v>55</v>
      </c>
      <c r="K32" t="s">
        <v>54</v>
      </c>
      <c r="L32" t="s">
        <v>42</v>
      </c>
      <c r="M32" t="s">
        <v>53</v>
      </c>
      <c r="N32" t="s">
        <v>93</v>
      </c>
      <c r="O32" t="s">
        <v>51</v>
      </c>
      <c r="P32" t="s">
        <v>39</v>
      </c>
      <c r="Q32" t="s">
        <v>7</v>
      </c>
      <c r="R32" t="s">
        <v>6</v>
      </c>
      <c r="S32">
        <v>6</v>
      </c>
      <c r="T32">
        <v>3</v>
      </c>
      <c r="U32">
        <v>219</v>
      </c>
      <c r="V32" t="s">
        <v>247</v>
      </c>
      <c r="W32" t="s">
        <v>5</v>
      </c>
      <c r="X32" t="s">
        <v>0</v>
      </c>
      <c r="Y32" t="s">
        <v>4</v>
      </c>
      <c r="Z32" t="s">
        <v>5</v>
      </c>
      <c r="AA32">
        <v>59.54</v>
      </c>
      <c r="AB32">
        <v>0.09</v>
      </c>
      <c r="AC32">
        <v>0.17</v>
      </c>
      <c r="AD32" t="s">
        <v>37</v>
      </c>
      <c r="AE32" t="s">
        <v>5</v>
      </c>
      <c r="AF32" t="s">
        <v>37</v>
      </c>
      <c r="AG32" t="s">
        <v>36</v>
      </c>
      <c r="AH32">
        <v>58</v>
      </c>
      <c r="AI32" t="s">
        <v>23</v>
      </c>
      <c r="AJ32">
        <v>3</v>
      </c>
      <c r="AK32">
        <v>11</v>
      </c>
      <c r="AL32">
        <v>55</v>
      </c>
      <c r="AM32" t="s">
        <v>0</v>
      </c>
      <c r="AN32">
        <v>1</v>
      </c>
      <c r="AO32">
        <v>1</v>
      </c>
      <c r="AP32">
        <v>0</v>
      </c>
      <c r="AQ32">
        <v>0</v>
      </c>
    </row>
    <row r="33" spans="1:43" x14ac:dyDescent="0.25">
      <c r="A33" t="s">
        <v>3728</v>
      </c>
      <c r="B33" t="s">
        <v>1278</v>
      </c>
      <c r="C33" t="s">
        <v>3727</v>
      </c>
      <c r="D33" s="1">
        <v>46039</v>
      </c>
      <c r="E33" t="s">
        <v>32</v>
      </c>
      <c r="F33" t="s">
        <v>107</v>
      </c>
      <c r="G33" t="s">
        <v>17</v>
      </c>
      <c r="H33" t="s">
        <v>29</v>
      </c>
      <c r="I33" t="s">
        <v>28</v>
      </c>
      <c r="J33" t="s">
        <v>146</v>
      </c>
      <c r="K33" t="s">
        <v>145</v>
      </c>
      <c r="L33" t="s">
        <v>12</v>
      </c>
      <c r="M33" t="s">
        <v>11</v>
      </c>
      <c r="N33" t="s">
        <v>52</v>
      </c>
      <c r="O33" t="s">
        <v>101</v>
      </c>
      <c r="P33" t="s">
        <v>39</v>
      </c>
      <c r="Q33" t="s">
        <v>24</v>
      </c>
      <c r="R33" t="s">
        <v>6</v>
      </c>
      <c r="S33">
        <v>4</v>
      </c>
      <c r="T33">
        <v>3</v>
      </c>
      <c r="U33">
        <v>140</v>
      </c>
      <c r="V33" t="s">
        <v>5</v>
      </c>
      <c r="W33" t="s">
        <v>5</v>
      </c>
      <c r="X33" t="s">
        <v>0</v>
      </c>
      <c r="Y33" t="s">
        <v>4</v>
      </c>
      <c r="Z33" t="s">
        <v>5</v>
      </c>
      <c r="AA33">
        <v>10.58</v>
      </c>
      <c r="AB33">
        <v>0.49</v>
      </c>
      <c r="AC33">
        <v>0</v>
      </c>
      <c r="AD33" t="s">
        <v>37</v>
      </c>
      <c r="AE33" t="s">
        <v>5</v>
      </c>
      <c r="AF33" t="s">
        <v>37</v>
      </c>
      <c r="AG33" t="s">
        <v>36</v>
      </c>
      <c r="AH33">
        <v>25</v>
      </c>
      <c r="AI33" t="s">
        <v>23</v>
      </c>
      <c r="AJ33">
        <v>3</v>
      </c>
      <c r="AK33">
        <v>31</v>
      </c>
      <c r="AL33">
        <v>39</v>
      </c>
      <c r="AM33" t="s">
        <v>5</v>
      </c>
      <c r="AN33">
        <v>1</v>
      </c>
      <c r="AO33">
        <v>1</v>
      </c>
      <c r="AP33">
        <v>0</v>
      </c>
      <c r="AQ33">
        <v>1</v>
      </c>
    </row>
    <row r="34" spans="1:43" x14ac:dyDescent="0.25">
      <c r="A34" t="s">
        <v>3726</v>
      </c>
      <c r="B34" t="s">
        <v>250</v>
      </c>
      <c r="C34" t="s">
        <v>3725</v>
      </c>
      <c r="D34" s="1">
        <v>45992</v>
      </c>
      <c r="E34" t="s">
        <v>168</v>
      </c>
      <c r="F34" t="s">
        <v>177</v>
      </c>
      <c r="G34" t="s">
        <v>30</v>
      </c>
      <c r="H34" t="s">
        <v>29</v>
      </c>
      <c r="I34" t="s">
        <v>28</v>
      </c>
      <c r="J34" t="s">
        <v>55</v>
      </c>
      <c r="K34" t="s">
        <v>54</v>
      </c>
      <c r="L34" t="s">
        <v>42</v>
      </c>
      <c r="M34" t="s">
        <v>53</v>
      </c>
      <c r="N34" t="s">
        <v>247</v>
      </c>
      <c r="O34" t="s">
        <v>199</v>
      </c>
      <c r="P34" t="s">
        <v>39</v>
      </c>
      <c r="Q34" t="s">
        <v>24</v>
      </c>
      <c r="R34" t="s">
        <v>38</v>
      </c>
      <c r="S34">
        <v>5</v>
      </c>
      <c r="T34">
        <v>4</v>
      </c>
      <c r="U34">
        <v>156</v>
      </c>
      <c r="V34" t="s">
        <v>5</v>
      </c>
      <c r="W34" t="s">
        <v>0</v>
      </c>
      <c r="X34" t="s">
        <v>0</v>
      </c>
      <c r="Y34" t="s">
        <v>4</v>
      </c>
      <c r="Z34" t="s">
        <v>0</v>
      </c>
      <c r="AA34">
        <v>0</v>
      </c>
      <c r="AB34">
        <v>0</v>
      </c>
      <c r="AC34">
        <v>0</v>
      </c>
      <c r="AD34" t="s">
        <v>3</v>
      </c>
      <c r="AE34" t="s">
        <v>0</v>
      </c>
      <c r="AF34" t="s">
        <v>3</v>
      </c>
      <c r="AG34" t="s">
        <v>2</v>
      </c>
      <c r="AI34" t="s">
        <v>332</v>
      </c>
      <c r="AJ34">
        <v>4</v>
      </c>
      <c r="AK34">
        <v>15</v>
      </c>
      <c r="AL34">
        <v>35</v>
      </c>
      <c r="AM34" t="s">
        <v>0</v>
      </c>
      <c r="AN34">
        <v>0</v>
      </c>
      <c r="AO34">
        <v>0</v>
      </c>
      <c r="AP34">
        <v>0</v>
      </c>
      <c r="AQ34">
        <v>0</v>
      </c>
    </row>
    <row r="35" spans="1:43" x14ac:dyDescent="0.25">
      <c r="A35" t="s">
        <v>3724</v>
      </c>
      <c r="B35" t="s">
        <v>3162</v>
      </c>
      <c r="C35" t="s">
        <v>3723</v>
      </c>
      <c r="D35" s="1">
        <v>45973</v>
      </c>
      <c r="E35" t="s">
        <v>149</v>
      </c>
      <c r="F35" t="s">
        <v>183</v>
      </c>
      <c r="G35" t="s">
        <v>17</v>
      </c>
      <c r="H35" t="s">
        <v>29</v>
      </c>
      <c r="I35" t="s">
        <v>28</v>
      </c>
      <c r="J35" t="s">
        <v>55</v>
      </c>
      <c r="K35" t="s">
        <v>54</v>
      </c>
      <c r="L35" t="s">
        <v>64</v>
      </c>
      <c r="M35" t="s">
        <v>27</v>
      </c>
      <c r="N35" t="s">
        <v>269</v>
      </c>
      <c r="O35" t="s">
        <v>199</v>
      </c>
      <c r="P35" t="s">
        <v>8</v>
      </c>
      <c r="Q35" t="s">
        <v>7</v>
      </c>
      <c r="R35" t="s">
        <v>6</v>
      </c>
      <c r="S35">
        <v>5</v>
      </c>
      <c r="T35">
        <v>5</v>
      </c>
      <c r="U35">
        <v>118</v>
      </c>
      <c r="V35" t="s">
        <v>0</v>
      </c>
      <c r="W35" t="s">
        <v>0</v>
      </c>
      <c r="X35" t="s">
        <v>0</v>
      </c>
      <c r="Y35" t="s">
        <v>4</v>
      </c>
      <c r="Z35" t="s">
        <v>0</v>
      </c>
      <c r="AA35">
        <v>0</v>
      </c>
      <c r="AB35">
        <v>0</v>
      </c>
      <c r="AC35">
        <v>0</v>
      </c>
      <c r="AD35" t="s">
        <v>3</v>
      </c>
      <c r="AE35" t="s">
        <v>0</v>
      </c>
      <c r="AF35" t="s">
        <v>3</v>
      </c>
      <c r="AG35" t="s">
        <v>2</v>
      </c>
      <c r="AI35" t="s">
        <v>23</v>
      </c>
      <c r="AJ35">
        <v>2</v>
      </c>
      <c r="AK35">
        <v>44</v>
      </c>
      <c r="AL35" t="s">
        <v>549</v>
      </c>
      <c r="AM35" t="s">
        <v>0</v>
      </c>
      <c r="AN35">
        <v>0</v>
      </c>
      <c r="AO35">
        <v>0</v>
      </c>
      <c r="AP35">
        <v>0</v>
      </c>
      <c r="AQ35">
        <v>0</v>
      </c>
    </row>
    <row r="36" spans="1:43" x14ac:dyDescent="0.25">
      <c r="A36" t="s">
        <v>3722</v>
      </c>
      <c r="B36" t="s">
        <v>3291</v>
      </c>
      <c r="C36" t="s">
        <v>3721</v>
      </c>
      <c r="D36" s="1">
        <v>45777</v>
      </c>
      <c r="E36" t="s">
        <v>112</v>
      </c>
      <c r="F36" t="s">
        <v>307</v>
      </c>
      <c r="G36" t="s">
        <v>56</v>
      </c>
      <c r="H36" t="s">
        <v>77</v>
      </c>
      <c r="I36" t="s">
        <v>28</v>
      </c>
      <c r="J36" t="s">
        <v>55</v>
      </c>
      <c r="K36" t="s">
        <v>54</v>
      </c>
      <c r="L36" t="s">
        <v>64</v>
      </c>
      <c r="M36" t="s">
        <v>11</v>
      </c>
      <c r="N36" t="s">
        <v>75</v>
      </c>
      <c r="O36" t="s">
        <v>40</v>
      </c>
      <c r="P36" t="s">
        <v>63</v>
      </c>
      <c r="Q36" t="s">
        <v>7</v>
      </c>
      <c r="R36" t="s">
        <v>6</v>
      </c>
      <c r="S36">
        <v>8</v>
      </c>
      <c r="T36">
        <v>5</v>
      </c>
      <c r="U36">
        <v>267</v>
      </c>
      <c r="V36" t="s">
        <v>5</v>
      </c>
      <c r="W36" t="s">
        <v>0</v>
      </c>
      <c r="X36" t="s">
        <v>0</v>
      </c>
      <c r="Y36" t="s">
        <v>4</v>
      </c>
      <c r="Z36" t="s">
        <v>0</v>
      </c>
      <c r="AA36">
        <v>0</v>
      </c>
      <c r="AB36">
        <v>0</v>
      </c>
      <c r="AC36">
        <v>0</v>
      </c>
      <c r="AD36" t="s">
        <v>3</v>
      </c>
      <c r="AE36" t="s">
        <v>0</v>
      </c>
      <c r="AF36" t="s">
        <v>3</v>
      </c>
      <c r="AG36" t="s">
        <v>2</v>
      </c>
      <c r="AI36" t="s">
        <v>332</v>
      </c>
      <c r="AJ36">
        <v>3</v>
      </c>
      <c r="AK36">
        <v>-54</v>
      </c>
      <c r="AL36">
        <v>0</v>
      </c>
      <c r="AM36" t="s">
        <v>0</v>
      </c>
      <c r="AN36">
        <v>0</v>
      </c>
      <c r="AO36">
        <v>0</v>
      </c>
      <c r="AP36">
        <v>0</v>
      </c>
      <c r="AQ36">
        <v>0</v>
      </c>
    </row>
    <row r="37" spans="1:43" x14ac:dyDescent="0.25">
      <c r="A37" t="s">
        <v>3720</v>
      </c>
      <c r="B37" t="s">
        <v>3719</v>
      </c>
      <c r="C37" t="s">
        <v>3718</v>
      </c>
      <c r="D37" s="1">
        <v>45974</v>
      </c>
      <c r="E37" t="s">
        <v>45</v>
      </c>
      <c r="F37" t="s">
        <v>57</v>
      </c>
      <c r="G37" t="s">
        <v>110</v>
      </c>
      <c r="H37" t="s">
        <v>29</v>
      </c>
      <c r="I37" t="s">
        <v>15</v>
      </c>
      <c r="J37" t="s">
        <v>146</v>
      </c>
      <c r="K37" t="s">
        <v>176</v>
      </c>
      <c r="L37" t="s">
        <v>117</v>
      </c>
      <c r="M37" t="s">
        <v>53</v>
      </c>
      <c r="N37" t="s">
        <v>116</v>
      </c>
      <c r="O37" t="s">
        <v>9</v>
      </c>
      <c r="P37" t="s">
        <v>25</v>
      </c>
      <c r="Q37" t="s">
        <v>7</v>
      </c>
      <c r="R37" t="s">
        <v>6</v>
      </c>
      <c r="S37">
        <v>7</v>
      </c>
      <c r="T37">
        <v>7</v>
      </c>
      <c r="U37">
        <v>203</v>
      </c>
      <c r="V37" t="s">
        <v>0</v>
      </c>
      <c r="W37" t="s">
        <v>0</v>
      </c>
      <c r="X37" t="s">
        <v>0</v>
      </c>
      <c r="Y37" t="s">
        <v>4</v>
      </c>
      <c r="Z37" t="s">
        <v>0</v>
      </c>
      <c r="AA37">
        <v>0</v>
      </c>
      <c r="AB37">
        <v>0</v>
      </c>
      <c r="AC37">
        <v>0</v>
      </c>
      <c r="AD37" t="s">
        <v>3</v>
      </c>
      <c r="AE37" t="s">
        <v>0</v>
      </c>
      <c r="AF37" t="s">
        <v>3</v>
      </c>
      <c r="AG37" t="s">
        <v>2</v>
      </c>
      <c r="AI37" t="s">
        <v>332</v>
      </c>
      <c r="AJ37">
        <v>3</v>
      </c>
      <c r="AK37">
        <v>0</v>
      </c>
      <c r="AL37">
        <v>7</v>
      </c>
      <c r="AM37" t="s">
        <v>0</v>
      </c>
      <c r="AN37">
        <v>0</v>
      </c>
      <c r="AO37">
        <v>0</v>
      </c>
      <c r="AP37">
        <v>0</v>
      </c>
      <c r="AQ37">
        <v>0</v>
      </c>
    </row>
    <row r="38" spans="1:43" x14ac:dyDescent="0.25">
      <c r="A38" t="s">
        <v>3717</v>
      </c>
      <c r="B38" t="s">
        <v>3716</v>
      </c>
      <c r="C38" t="s">
        <v>3715</v>
      </c>
      <c r="D38" s="1">
        <v>45941</v>
      </c>
      <c r="E38" t="s">
        <v>45</v>
      </c>
      <c r="F38" t="s">
        <v>44</v>
      </c>
      <c r="G38" t="s">
        <v>17</v>
      </c>
      <c r="H38" t="s">
        <v>77</v>
      </c>
      <c r="I38" t="s">
        <v>15</v>
      </c>
      <c r="J38" t="s">
        <v>55</v>
      </c>
      <c r="K38" t="s">
        <v>54</v>
      </c>
      <c r="L38" t="s">
        <v>42</v>
      </c>
      <c r="M38" t="s">
        <v>299</v>
      </c>
      <c r="N38" t="s">
        <v>52</v>
      </c>
      <c r="O38" t="s">
        <v>101</v>
      </c>
      <c r="P38" t="s">
        <v>63</v>
      </c>
      <c r="Q38" t="s">
        <v>24</v>
      </c>
      <c r="R38" t="s">
        <v>6</v>
      </c>
      <c r="S38">
        <v>4</v>
      </c>
      <c r="T38">
        <v>4</v>
      </c>
      <c r="U38">
        <v>114</v>
      </c>
      <c r="V38" t="s">
        <v>0</v>
      </c>
      <c r="W38" t="s">
        <v>0</v>
      </c>
      <c r="X38" t="s">
        <v>0</v>
      </c>
      <c r="Y38" t="s">
        <v>4</v>
      </c>
      <c r="Z38" t="s">
        <v>5</v>
      </c>
      <c r="AA38">
        <v>0</v>
      </c>
      <c r="AB38">
        <v>0.56000000000000005</v>
      </c>
      <c r="AC38">
        <v>0</v>
      </c>
      <c r="AD38" t="s">
        <v>3</v>
      </c>
      <c r="AE38" t="s">
        <v>0</v>
      </c>
      <c r="AF38" t="s">
        <v>3</v>
      </c>
      <c r="AG38" t="s">
        <v>2</v>
      </c>
      <c r="AI38" t="s">
        <v>23</v>
      </c>
      <c r="AJ38">
        <v>4</v>
      </c>
      <c r="AK38">
        <v>42</v>
      </c>
      <c r="AL38">
        <v>0</v>
      </c>
      <c r="AM38" t="s">
        <v>0</v>
      </c>
      <c r="AN38">
        <v>0</v>
      </c>
      <c r="AO38">
        <v>1</v>
      </c>
      <c r="AP38">
        <v>0</v>
      </c>
      <c r="AQ38">
        <v>0</v>
      </c>
    </row>
    <row r="39" spans="1:43" x14ac:dyDescent="0.25">
      <c r="A39" t="s">
        <v>3714</v>
      </c>
      <c r="B39" t="s">
        <v>3335</v>
      </c>
      <c r="C39" t="s">
        <v>3713</v>
      </c>
      <c r="D39" s="1">
        <v>46012</v>
      </c>
      <c r="E39" t="s">
        <v>125</v>
      </c>
      <c r="F39" t="s">
        <v>140</v>
      </c>
      <c r="G39" t="s">
        <v>17</v>
      </c>
      <c r="H39" t="s">
        <v>66</v>
      </c>
      <c r="I39" t="s">
        <v>15</v>
      </c>
      <c r="J39" t="s">
        <v>55</v>
      </c>
      <c r="K39" t="s">
        <v>54</v>
      </c>
      <c r="L39" t="s">
        <v>12</v>
      </c>
      <c r="M39" t="s">
        <v>11</v>
      </c>
      <c r="N39" t="s">
        <v>75</v>
      </c>
      <c r="O39" t="s">
        <v>87</v>
      </c>
      <c r="P39" t="s">
        <v>8</v>
      </c>
      <c r="Q39" t="s">
        <v>7</v>
      </c>
      <c r="R39" t="s">
        <v>6</v>
      </c>
      <c r="S39">
        <v>99</v>
      </c>
      <c r="T39">
        <v>5</v>
      </c>
      <c r="U39">
        <v>100</v>
      </c>
      <c r="V39" t="s">
        <v>0</v>
      </c>
      <c r="W39" t="s">
        <v>0</v>
      </c>
      <c r="X39" t="s">
        <v>0</v>
      </c>
      <c r="Y39" t="s">
        <v>4</v>
      </c>
      <c r="Z39" t="s">
        <v>0</v>
      </c>
      <c r="AA39">
        <v>0</v>
      </c>
      <c r="AB39">
        <v>0</v>
      </c>
      <c r="AC39">
        <v>0</v>
      </c>
      <c r="AD39" t="s">
        <v>3</v>
      </c>
      <c r="AE39" t="s">
        <v>0</v>
      </c>
      <c r="AF39" t="s">
        <v>3</v>
      </c>
      <c r="AG39" t="s">
        <v>2</v>
      </c>
      <c r="AI39" t="s">
        <v>23</v>
      </c>
      <c r="AJ39">
        <v>4</v>
      </c>
      <c r="AK39">
        <v>53</v>
      </c>
      <c r="AL39">
        <v>20</v>
      </c>
      <c r="AM39" t="s">
        <v>0</v>
      </c>
      <c r="AN39">
        <v>0</v>
      </c>
      <c r="AO39">
        <v>0</v>
      </c>
      <c r="AP39">
        <v>0</v>
      </c>
      <c r="AQ39">
        <v>0</v>
      </c>
    </row>
    <row r="40" spans="1:43" x14ac:dyDescent="0.25">
      <c r="A40" t="s">
        <v>3712</v>
      </c>
      <c r="B40" t="s">
        <v>3711</v>
      </c>
      <c r="C40" t="s">
        <v>3710</v>
      </c>
      <c r="D40" s="1">
        <v>45725</v>
      </c>
      <c r="E40" t="s">
        <v>45</v>
      </c>
      <c r="F40" t="s">
        <v>1335</v>
      </c>
      <c r="G40" t="s">
        <v>30</v>
      </c>
      <c r="H40" t="s">
        <v>77</v>
      </c>
      <c r="I40" t="s">
        <v>15</v>
      </c>
      <c r="J40" t="s">
        <v>55</v>
      </c>
      <c r="K40" t="s">
        <v>54</v>
      </c>
      <c r="L40" t="s">
        <v>42</v>
      </c>
      <c r="M40" t="s">
        <v>53</v>
      </c>
      <c r="N40" t="s">
        <v>93</v>
      </c>
      <c r="O40" t="s">
        <v>193</v>
      </c>
      <c r="P40" t="s">
        <v>63</v>
      </c>
      <c r="Q40" t="s">
        <v>24</v>
      </c>
      <c r="R40" t="s">
        <v>6</v>
      </c>
      <c r="S40">
        <v>9</v>
      </c>
      <c r="T40" t="s">
        <v>232</v>
      </c>
      <c r="U40">
        <v>226</v>
      </c>
      <c r="V40" t="s">
        <v>0</v>
      </c>
      <c r="W40" t="s">
        <v>5</v>
      </c>
      <c r="X40" t="s">
        <v>0</v>
      </c>
      <c r="Y40" t="s">
        <v>4</v>
      </c>
      <c r="Z40" t="s">
        <v>0</v>
      </c>
      <c r="AA40">
        <v>0</v>
      </c>
      <c r="AB40">
        <v>0</v>
      </c>
      <c r="AC40">
        <v>0</v>
      </c>
      <c r="AD40" t="s">
        <v>3</v>
      </c>
      <c r="AE40" t="s">
        <v>0</v>
      </c>
      <c r="AF40" t="s">
        <v>3</v>
      </c>
      <c r="AG40" t="s">
        <v>2</v>
      </c>
      <c r="AI40" t="s">
        <v>23</v>
      </c>
      <c r="AJ40">
        <v>2</v>
      </c>
      <c r="AK40">
        <v>-30</v>
      </c>
      <c r="AL40">
        <v>0</v>
      </c>
      <c r="AM40" t="s">
        <v>0</v>
      </c>
      <c r="AN40">
        <v>1</v>
      </c>
      <c r="AO40">
        <v>0</v>
      </c>
      <c r="AP40">
        <v>0</v>
      </c>
      <c r="AQ40">
        <v>0</v>
      </c>
    </row>
    <row r="41" spans="1:43" x14ac:dyDescent="0.25">
      <c r="A41" t="s">
        <v>3709</v>
      </c>
      <c r="B41" t="s">
        <v>2315</v>
      </c>
      <c r="C41" t="s">
        <v>3708</v>
      </c>
      <c r="D41" s="1">
        <v>46064</v>
      </c>
      <c r="E41" t="s">
        <v>32</v>
      </c>
      <c r="F41" t="s">
        <v>107</v>
      </c>
      <c r="G41" t="s">
        <v>110</v>
      </c>
      <c r="H41" t="s">
        <v>237</v>
      </c>
      <c r="I41" t="s">
        <v>15</v>
      </c>
      <c r="J41" t="s">
        <v>55</v>
      </c>
      <c r="K41" t="s">
        <v>54</v>
      </c>
      <c r="L41" t="s">
        <v>88</v>
      </c>
      <c r="M41" t="s">
        <v>11</v>
      </c>
      <c r="N41" t="s">
        <v>52</v>
      </c>
      <c r="O41" t="s">
        <v>130</v>
      </c>
      <c r="P41" t="s">
        <v>39</v>
      </c>
      <c r="Q41" t="s">
        <v>50</v>
      </c>
      <c r="R41" t="s">
        <v>38</v>
      </c>
      <c r="S41">
        <v>5</v>
      </c>
      <c r="T41">
        <v>5</v>
      </c>
      <c r="U41">
        <v>98</v>
      </c>
      <c r="V41" t="s">
        <v>0</v>
      </c>
      <c r="W41" t="s">
        <v>5</v>
      </c>
      <c r="X41" t="s">
        <v>0</v>
      </c>
      <c r="Y41" t="s">
        <v>4</v>
      </c>
      <c r="Z41" t="s">
        <v>5</v>
      </c>
      <c r="AA41">
        <v>0</v>
      </c>
      <c r="AB41">
        <v>0</v>
      </c>
      <c r="AC41">
        <v>0</v>
      </c>
      <c r="AD41" t="s">
        <v>3</v>
      </c>
      <c r="AE41" t="s">
        <v>0</v>
      </c>
      <c r="AF41" t="s">
        <v>3</v>
      </c>
      <c r="AG41" t="s">
        <v>2</v>
      </c>
      <c r="AI41" t="s">
        <v>23</v>
      </c>
      <c r="AJ41">
        <v>5</v>
      </c>
      <c r="AK41">
        <v>62</v>
      </c>
      <c r="AL41">
        <v>29</v>
      </c>
      <c r="AM41" t="s">
        <v>5</v>
      </c>
      <c r="AN41">
        <v>1</v>
      </c>
      <c r="AO41">
        <v>1</v>
      </c>
      <c r="AP41">
        <v>0</v>
      </c>
      <c r="AQ41">
        <v>1</v>
      </c>
    </row>
    <row r="42" spans="1:43" x14ac:dyDescent="0.25">
      <c r="A42" t="s">
        <v>3707</v>
      </c>
      <c r="B42" t="s">
        <v>1389</v>
      </c>
      <c r="C42" t="s">
        <v>3706</v>
      </c>
      <c r="D42" s="1">
        <v>45733</v>
      </c>
      <c r="E42" t="s">
        <v>125</v>
      </c>
      <c r="F42" t="s">
        <v>140</v>
      </c>
      <c r="G42" t="s">
        <v>110</v>
      </c>
      <c r="H42" t="s">
        <v>16</v>
      </c>
      <c r="I42" t="s">
        <v>28</v>
      </c>
      <c r="J42" t="s">
        <v>14</v>
      </c>
      <c r="K42" t="s">
        <v>13</v>
      </c>
      <c r="L42" t="s">
        <v>64</v>
      </c>
      <c r="M42" t="s">
        <v>53</v>
      </c>
      <c r="N42" t="s">
        <v>116</v>
      </c>
      <c r="O42" t="s">
        <v>40</v>
      </c>
      <c r="P42" t="s">
        <v>39</v>
      </c>
      <c r="Q42" t="s">
        <v>7</v>
      </c>
      <c r="R42" t="s">
        <v>6</v>
      </c>
      <c r="S42">
        <v>8</v>
      </c>
      <c r="T42" t="s">
        <v>106</v>
      </c>
      <c r="U42">
        <v>255</v>
      </c>
      <c r="V42" t="s">
        <v>0</v>
      </c>
      <c r="W42" t="s">
        <v>0</v>
      </c>
      <c r="X42" t="s">
        <v>0</v>
      </c>
      <c r="Y42" t="s">
        <v>4</v>
      </c>
      <c r="Z42" t="s">
        <v>5</v>
      </c>
      <c r="AA42">
        <v>455.16</v>
      </c>
      <c r="AB42">
        <v>2.36</v>
      </c>
      <c r="AC42">
        <v>0.17</v>
      </c>
      <c r="AD42" t="s">
        <v>3</v>
      </c>
      <c r="AE42" t="s">
        <v>0</v>
      </c>
      <c r="AF42" t="s">
        <v>3</v>
      </c>
      <c r="AG42" t="s">
        <v>2</v>
      </c>
      <c r="AI42" t="s">
        <v>129</v>
      </c>
      <c r="AJ42">
        <v>4</v>
      </c>
      <c r="AK42">
        <v>-7</v>
      </c>
      <c r="AL42">
        <v>1</v>
      </c>
      <c r="AM42" t="s">
        <v>0</v>
      </c>
      <c r="AN42">
        <v>0</v>
      </c>
      <c r="AO42">
        <v>1</v>
      </c>
      <c r="AP42">
        <v>0</v>
      </c>
      <c r="AQ42">
        <v>0</v>
      </c>
    </row>
    <row r="43" spans="1:43" x14ac:dyDescent="0.25">
      <c r="A43" t="s">
        <v>3705</v>
      </c>
      <c r="B43" t="s">
        <v>455</v>
      </c>
      <c r="C43" t="s">
        <v>3704</v>
      </c>
      <c r="D43" s="1">
        <v>46050</v>
      </c>
      <c r="E43" t="s">
        <v>156</v>
      </c>
      <c r="F43" t="s">
        <v>550</v>
      </c>
      <c r="G43" t="s">
        <v>110</v>
      </c>
      <c r="H43" t="s">
        <v>16</v>
      </c>
      <c r="I43" t="s">
        <v>15</v>
      </c>
      <c r="J43" t="s">
        <v>14</v>
      </c>
      <c r="K43" t="s">
        <v>13</v>
      </c>
      <c r="L43" t="s">
        <v>64</v>
      </c>
      <c r="M43" t="s">
        <v>53</v>
      </c>
      <c r="N43" t="s">
        <v>10</v>
      </c>
      <c r="O43" t="s">
        <v>74</v>
      </c>
      <c r="P43" t="s">
        <v>25</v>
      </c>
      <c r="Q43" t="s">
        <v>198</v>
      </c>
      <c r="R43" t="s">
        <v>38</v>
      </c>
      <c r="S43" t="s">
        <v>205</v>
      </c>
      <c r="T43">
        <v>6</v>
      </c>
      <c r="U43">
        <v>262</v>
      </c>
      <c r="V43" t="s">
        <v>0</v>
      </c>
      <c r="W43" t="s">
        <v>5</v>
      </c>
      <c r="X43" t="s">
        <v>5</v>
      </c>
      <c r="Y43" t="s">
        <v>73</v>
      </c>
      <c r="Z43" t="s">
        <v>0</v>
      </c>
      <c r="AA43">
        <v>0</v>
      </c>
      <c r="AB43">
        <v>0</v>
      </c>
      <c r="AC43">
        <v>0</v>
      </c>
      <c r="AD43" t="s">
        <v>3</v>
      </c>
      <c r="AE43" t="s">
        <v>0</v>
      </c>
      <c r="AF43" t="s">
        <v>3</v>
      </c>
      <c r="AG43" t="s">
        <v>2</v>
      </c>
      <c r="AI43" t="s">
        <v>23</v>
      </c>
      <c r="AJ43">
        <v>3</v>
      </c>
      <c r="AK43">
        <v>-3</v>
      </c>
      <c r="AL43">
        <v>47</v>
      </c>
      <c r="AM43" t="s">
        <v>5</v>
      </c>
      <c r="AN43">
        <v>1</v>
      </c>
      <c r="AO43">
        <v>0</v>
      </c>
      <c r="AP43">
        <v>1</v>
      </c>
      <c r="AQ43">
        <v>1</v>
      </c>
    </row>
    <row r="44" spans="1:43" x14ac:dyDescent="0.25">
      <c r="A44" t="s">
        <v>3703</v>
      </c>
      <c r="B44" t="s">
        <v>888</v>
      </c>
      <c r="C44" t="s">
        <v>3702</v>
      </c>
      <c r="D44" s="1">
        <v>46063</v>
      </c>
      <c r="E44" t="s">
        <v>125</v>
      </c>
      <c r="F44" t="s">
        <v>132</v>
      </c>
      <c r="G44" t="s">
        <v>17</v>
      </c>
      <c r="H44" t="s">
        <v>77</v>
      </c>
      <c r="I44" t="s">
        <v>15</v>
      </c>
      <c r="J44" t="s">
        <v>55</v>
      </c>
      <c r="K44" t="s">
        <v>54</v>
      </c>
      <c r="L44" t="s">
        <v>117</v>
      </c>
      <c r="M44" t="s">
        <v>53</v>
      </c>
      <c r="N44" t="s">
        <v>93</v>
      </c>
      <c r="O44" t="s">
        <v>40</v>
      </c>
      <c r="P44" t="s">
        <v>8</v>
      </c>
      <c r="Q44" t="s">
        <v>24</v>
      </c>
      <c r="R44" t="s">
        <v>38</v>
      </c>
      <c r="S44">
        <v>8</v>
      </c>
      <c r="T44">
        <v>5</v>
      </c>
      <c r="U44">
        <v>299</v>
      </c>
      <c r="V44" t="s">
        <v>5</v>
      </c>
      <c r="W44" t="s">
        <v>5</v>
      </c>
      <c r="X44" t="s">
        <v>0</v>
      </c>
      <c r="Y44" t="s">
        <v>4</v>
      </c>
      <c r="Z44" t="s">
        <v>5</v>
      </c>
      <c r="AA44">
        <v>377.61</v>
      </c>
      <c r="AB44">
        <v>2.87</v>
      </c>
      <c r="AC44">
        <v>0.17</v>
      </c>
      <c r="AD44" t="s">
        <v>187</v>
      </c>
      <c r="AE44" t="s">
        <v>5</v>
      </c>
      <c r="AF44" t="s">
        <v>187</v>
      </c>
      <c r="AG44" t="s">
        <v>36</v>
      </c>
      <c r="AH44">
        <v>26</v>
      </c>
      <c r="AI44" t="s">
        <v>23</v>
      </c>
      <c r="AJ44">
        <v>3</v>
      </c>
      <c r="AK44">
        <v>-19</v>
      </c>
      <c r="AL44">
        <v>44</v>
      </c>
      <c r="AM44" t="s">
        <v>0</v>
      </c>
      <c r="AN44">
        <v>1</v>
      </c>
      <c r="AO44">
        <v>1</v>
      </c>
      <c r="AP44">
        <v>0</v>
      </c>
      <c r="AQ44">
        <v>0</v>
      </c>
    </row>
    <row r="45" spans="1:43" x14ac:dyDescent="0.25">
      <c r="A45" t="s">
        <v>3701</v>
      </c>
      <c r="B45" t="s">
        <v>297</v>
      </c>
      <c r="C45" t="s">
        <v>3700</v>
      </c>
      <c r="D45" s="1">
        <v>45871</v>
      </c>
      <c r="E45" t="s">
        <v>95</v>
      </c>
      <c r="F45" t="s">
        <v>270</v>
      </c>
      <c r="G45" t="s">
        <v>17</v>
      </c>
      <c r="H45" t="s">
        <v>29</v>
      </c>
      <c r="I45" t="s">
        <v>28</v>
      </c>
      <c r="J45" t="s">
        <v>146</v>
      </c>
      <c r="K45" t="s">
        <v>145</v>
      </c>
      <c r="L45" t="s">
        <v>12</v>
      </c>
      <c r="M45" t="s">
        <v>11</v>
      </c>
      <c r="N45" t="s">
        <v>10</v>
      </c>
      <c r="O45" t="s">
        <v>9</v>
      </c>
      <c r="P45" t="s">
        <v>8</v>
      </c>
      <c r="Q45" t="s">
        <v>7</v>
      </c>
      <c r="R45" t="s">
        <v>6</v>
      </c>
      <c r="S45">
        <v>7</v>
      </c>
      <c r="T45">
        <v>7</v>
      </c>
      <c r="U45">
        <v>219</v>
      </c>
      <c r="V45" t="s">
        <v>0</v>
      </c>
      <c r="W45" t="s">
        <v>287</v>
      </c>
      <c r="X45" t="s">
        <v>0</v>
      </c>
      <c r="Y45" t="s">
        <v>4</v>
      </c>
      <c r="Z45" t="s">
        <v>5</v>
      </c>
      <c r="AA45">
        <v>0</v>
      </c>
      <c r="AB45">
        <v>0</v>
      </c>
      <c r="AC45">
        <v>0</v>
      </c>
      <c r="AD45" t="s">
        <v>3</v>
      </c>
      <c r="AE45" t="s">
        <v>0</v>
      </c>
      <c r="AF45" t="s">
        <v>3</v>
      </c>
      <c r="AG45" t="s">
        <v>2</v>
      </c>
      <c r="AI45" t="s">
        <v>23</v>
      </c>
      <c r="AJ45">
        <v>4</v>
      </c>
      <c r="AK45">
        <v>11</v>
      </c>
      <c r="AL45">
        <v>39</v>
      </c>
      <c r="AM45" t="s">
        <v>5</v>
      </c>
      <c r="AN45">
        <v>1</v>
      </c>
      <c r="AO45">
        <v>1</v>
      </c>
      <c r="AP45">
        <v>0</v>
      </c>
      <c r="AQ45">
        <v>1</v>
      </c>
    </row>
    <row r="46" spans="1:43" x14ac:dyDescent="0.25">
      <c r="A46" t="s">
        <v>3699</v>
      </c>
      <c r="B46" t="s">
        <v>1144</v>
      </c>
      <c r="C46" t="s">
        <v>3698</v>
      </c>
      <c r="D46" s="1">
        <v>45720</v>
      </c>
      <c r="E46" t="s">
        <v>79</v>
      </c>
      <c r="F46" t="s">
        <v>78</v>
      </c>
      <c r="G46" t="s">
        <v>83</v>
      </c>
      <c r="H46" t="s">
        <v>66</v>
      </c>
      <c r="I46" t="s">
        <v>28</v>
      </c>
      <c r="J46" t="s">
        <v>55</v>
      </c>
      <c r="K46" t="s">
        <v>65</v>
      </c>
      <c r="L46" t="s">
        <v>88</v>
      </c>
      <c r="M46" t="s">
        <v>53</v>
      </c>
      <c r="N46" t="s">
        <v>154</v>
      </c>
      <c r="O46" t="s">
        <v>193</v>
      </c>
      <c r="P46" t="s">
        <v>39</v>
      </c>
      <c r="Q46" t="s">
        <v>7</v>
      </c>
      <c r="R46" t="s">
        <v>6</v>
      </c>
      <c r="S46">
        <v>9</v>
      </c>
      <c r="T46">
        <v>7</v>
      </c>
      <c r="U46">
        <v>571</v>
      </c>
      <c r="V46" t="s">
        <v>5</v>
      </c>
      <c r="W46" t="s">
        <v>0</v>
      </c>
      <c r="X46" t="s">
        <v>5</v>
      </c>
      <c r="Y46" t="s">
        <v>192</v>
      </c>
      <c r="Z46" t="s">
        <v>0</v>
      </c>
      <c r="AA46">
        <v>0</v>
      </c>
      <c r="AB46">
        <v>0</v>
      </c>
      <c r="AC46">
        <v>0</v>
      </c>
      <c r="AD46" t="s">
        <v>37</v>
      </c>
      <c r="AE46" t="s">
        <v>5</v>
      </c>
      <c r="AF46" t="s">
        <v>37</v>
      </c>
      <c r="AG46" t="s">
        <v>36</v>
      </c>
      <c r="AH46">
        <v>25</v>
      </c>
      <c r="AI46" t="s">
        <v>122</v>
      </c>
      <c r="AJ46">
        <v>2</v>
      </c>
      <c r="AK46">
        <v>-24</v>
      </c>
      <c r="AL46">
        <v>1</v>
      </c>
      <c r="AM46" t="s">
        <v>0</v>
      </c>
      <c r="AN46">
        <v>0</v>
      </c>
      <c r="AO46">
        <v>0</v>
      </c>
      <c r="AP46">
        <v>1</v>
      </c>
      <c r="AQ46">
        <v>0</v>
      </c>
    </row>
    <row r="47" spans="1:43" x14ac:dyDescent="0.25">
      <c r="A47" t="s">
        <v>3697</v>
      </c>
      <c r="B47" t="s">
        <v>2353</v>
      </c>
      <c r="C47" t="s">
        <v>3696</v>
      </c>
      <c r="D47" s="1">
        <v>46123</v>
      </c>
      <c r="E47" t="s">
        <v>79</v>
      </c>
      <c r="F47" t="s">
        <v>223</v>
      </c>
      <c r="G47" t="s">
        <v>83</v>
      </c>
      <c r="H47" t="s">
        <v>29</v>
      </c>
      <c r="I47" t="s">
        <v>15</v>
      </c>
      <c r="J47" t="s">
        <v>55</v>
      </c>
      <c r="K47" t="s">
        <v>54</v>
      </c>
      <c r="L47" t="s">
        <v>42</v>
      </c>
      <c r="M47" t="s">
        <v>299</v>
      </c>
      <c r="N47" t="s">
        <v>10</v>
      </c>
      <c r="O47" t="s">
        <v>130</v>
      </c>
      <c r="P47" t="s">
        <v>39</v>
      </c>
      <c r="Q47" t="s">
        <v>7</v>
      </c>
      <c r="R47" t="s">
        <v>6</v>
      </c>
      <c r="S47">
        <v>5</v>
      </c>
      <c r="T47" t="s">
        <v>277</v>
      </c>
      <c r="U47">
        <v>112</v>
      </c>
      <c r="V47" t="s">
        <v>0</v>
      </c>
      <c r="W47" t="s">
        <v>5</v>
      </c>
      <c r="X47" t="s">
        <v>0</v>
      </c>
      <c r="Y47" t="s">
        <v>4</v>
      </c>
      <c r="Z47" t="s">
        <v>5</v>
      </c>
      <c r="AA47">
        <v>56.97</v>
      </c>
      <c r="AB47">
        <v>0</v>
      </c>
      <c r="AC47">
        <v>0</v>
      </c>
      <c r="AD47" t="s">
        <v>3</v>
      </c>
      <c r="AE47" t="s">
        <v>0</v>
      </c>
      <c r="AF47" t="s">
        <v>3</v>
      </c>
      <c r="AG47" t="s">
        <v>2</v>
      </c>
      <c r="AI47" t="s">
        <v>23</v>
      </c>
      <c r="AJ47">
        <v>4</v>
      </c>
      <c r="AK47">
        <v>37</v>
      </c>
      <c r="AL47">
        <v>64</v>
      </c>
      <c r="AM47" t="s">
        <v>0</v>
      </c>
      <c r="AN47">
        <v>1</v>
      </c>
      <c r="AO47">
        <v>1</v>
      </c>
      <c r="AP47">
        <v>0</v>
      </c>
      <c r="AQ47">
        <v>0</v>
      </c>
    </row>
    <row r="48" spans="1:43" x14ac:dyDescent="0.25">
      <c r="A48" t="s">
        <v>3695</v>
      </c>
      <c r="B48" t="s">
        <v>3599</v>
      </c>
      <c r="C48" t="s">
        <v>3694</v>
      </c>
      <c r="D48" s="1">
        <v>46144</v>
      </c>
      <c r="E48" t="s">
        <v>68</v>
      </c>
      <c r="F48" t="s">
        <v>278</v>
      </c>
      <c r="G48" t="s">
        <v>56</v>
      </c>
      <c r="H48" t="s">
        <v>77</v>
      </c>
      <c r="I48" t="s">
        <v>15</v>
      </c>
      <c r="J48" t="s">
        <v>14</v>
      </c>
      <c r="K48" t="s">
        <v>13</v>
      </c>
      <c r="L48" t="s">
        <v>117</v>
      </c>
      <c r="M48" t="s">
        <v>11</v>
      </c>
      <c r="N48" t="s">
        <v>93</v>
      </c>
      <c r="O48" t="s">
        <v>130</v>
      </c>
      <c r="P48" t="s">
        <v>25</v>
      </c>
      <c r="Q48" t="s">
        <v>7</v>
      </c>
      <c r="R48" t="s">
        <v>6</v>
      </c>
      <c r="S48">
        <v>5</v>
      </c>
      <c r="T48">
        <v>5</v>
      </c>
      <c r="U48">
        <v>113</v>
      </c>
      <c r="V48" t="s">
        <v>247</v>
      </c>
      <c r="W48" t="s">
        <v>5</v>
      </c>
      <c r="X48" t="s">
        <v>0</v>
      </c>
      <c r="Y48" t="s">
        <v>4</v>
      </c>
      <c r="Z48" t="s">
        <v>5</v>
      </c>
      <c r="AA48">
        <v>10.08</v>
      </c>
      <c r="AB48">
        <v>0</v>
      </c>
      <c r="AC48">
        <v>0</v>
      </c>
      <c r="AD48" t="s">
        <v>3</v>
      </c>
      <c r="AE48" t="s">
        <v>0</v>
      </c>
      <c r="AF48" t="s">
        <v>3</v>
      </c>
      <c r="AG48" t="s">
        <v>2</v>
      </c>
      <c r="AI48" t="s">
        <v>23</v>
      </c>
      <c r="AJ48">
        <v>4</v>
      </c>
      <c r="AK48">
        <v>52</v>
      </c>
      <c r="AL48">
        <v>13</v>
      </c>
      <c r="AM48" t="s">
        <v>5</v>
      </c>
      <c r="AN48">
        <v>1</v>
      </c>
      <c r="AO48">
        <v>1</v>
      </c>
      <c r="AP48">
        <v>0</v>
      </c>
      <c r="AQ48">
        <v>1</v>
      </c>
    </row>
    <row r="49" spans="1:43" x14ac:dyDescent="0.25">
      <c r="A49" t="s">
        <v>3693</v>
      </c>
      <c r="B49" t="s">
        <v>2995</v>
      </c>
      <c r="C49" t="s">
        <v>3692</v>
      </c>
      <c r="D49" s="1">
        <v>46083</v>
      </c>
      <c r="E49" t="s">
        <v>68</v>
      </c>
      <c r="F49" t="s">
        <v>243</v>
      </c>
      <c r="G49" t="s">
        <v>83</v>
      </c>
      <c r="H49" t="s">
        <v>66</v>
      </c>
      <c r="I49" t="s">
        <v>15</v>
      </c>
      <c r="J49" t="s">
        <v>14</v>
      </c>
      <c r="K49" t="s">
        <v>13</v>
      </c>
      <c r="L49" t="s">
        <v>12</v>
      </c>
      <c r="M49" t="s">
        <v>11</v>
      </c>
      <c r="N49" t="s">
        <v>52</v>
      </c>
      <c r="O49" t="s">
        <v>51</v>
      </c>
      <c r="P49" t="s">
        <v>8</v>
      </c>
      <c r="Q49" t="s">
        <v>198</v>
      </c>
      <c r="R49" t="s">
        <v>6</v>
      </c>
      <c r="S49">
        <v>6</v>
      </c>
      <c r="T49">
        <v>6</v>
      </c>
      <c r="U49">
        <v>136</v>
      </c>
      <c r="V49" t="s">
        <v>0</v>
      </c>
      <c r="W49" t="s">
        <v>0</v>
      </c>
      <c r="X49" t="s">
        <v>0</v>
      </c>
      <c r="Y49" t="s">
        <v>4</v>
      </c>
      <c r="Z49" t="s">
        <v>0</v>
      </c>
      <c r="AA49">
        <v>0</v>
      </c>
      <c r="AB49">
        <v>0</v>
      </c>
      <c r="AC49">
        <v>0</v>
      </c>
      <c r="AD49" t="s">
        <v>3</v>
      </c>
      <c r="AE49" t="s">
        <v>0</v>
      </c>
      <c r="AF49" t="s">
        <v>3</v>
      </c>
      <c r="AG49" t="s">
        <v>2</v>
      </c>
      <c r="AI49" t="s">
        <v>23</v>
      </c>
      <c r="AJ49">
        <v>2</v>
      </c>
      <c r="AK49">
        <v>-27</v>
      </c>
      <c r="AL49">
        <v>13</v>
      </c>
      <c r="AM49" t="s">
        <v>0</v>
      </c>
      <c r="AN49">
        <v>0</v>
      </c>
      <c r="AO49">
        <v>0</v>
      </c>
      <c r="AP49">
        <v>0</v>
      </c>
      <c r="AQ49">
        <v>0</v>
      </c>
    </row>
    <row r="50" spans="1:43" x14ac:dyDescent="0.25">
      <c r="A50" t="s">
        <v>3691</v>
      </c>
      <c r="B50" t="s">
        <v>898</v>
      </c>
      <c r="C50" t="s">
        <v>3690</v>
      </c>
      <c r="D50" s="1">
        <v>45824</v>
      </c>
      <c r="E50" t="s">
        <v>32</v>
      </c>
      <c r="F50" t="s">
        <v>382</v>
      </c>
      <c r="G50" t="s">
        <v>30</v>
      </c>
      <c r="H50" t="s">
        <v>77</v>
      </c>
      <c r="I50" t="s">
        <v>28</v>
      </c>
      <c r="J50" t="s">
        <v>14</v>
      </c>
      <c r="K50" t="s">
        <v>13</v>
      </c>
      <c r="L50" t="s">
        <v>12</v>
      </c>
      <c r="M50" t="s">
        <v>11</v>
      </c>
      <c r="N50" t="s">
        <v>116</v>
      </c>
      <c r="O50" t="s">
        <v>101</v>
      </c>
      <c r="P50" t="s">
        <v>39</v>
      </c>
      <c r="Q50" t="s">
        <v>24</v>
      </c>
      <c r="R50" t="s">
        <v>38</v>
      </c>
      <c r="S50">
        <v>4</v>
      </c>
      <c r="T50">
        <v>4</v>
      </c>
      <c r="U50">
        <v>90</v>
      </c>
      <c r="V50" t="s">
        <v>0</v>
      </c>
      <c r="W50" t="s">
        <v>5</v>
      </c>
      <c r="X50" t="s">
        <v>0</v>
      </c>
      <c r="Y50" t="s">
        <v>4</v>
      </c>
      <c r="Z50" t="s">
        <v>5</v>
      </c>
      <c r="AA50">
        <v>106.15</v>
      </c>
      <c r="AB50">
        <v>0.48</v>
      </c>
      <c r="AC50">
        <v>0</v>
      </c>
      <c r="AD50" t="s">
        <v>61</v>
      </c>
      <c r="AE50" t="s">
        <v>5</v>
      </c>
      <c r="AF50" t="s">
        <v>61</v>
      </c>
      <c r="AG50" t="s">
        <v>36</v>
      </c>
      <c r="AH50">
        <v>33</v>
      </c>
      <c r="AI50" t="s">
        <v>23</v>
      </c>
      <c r="AJ50">
        <v>5</v>
      </c>
      <c r="AK50">
        <v>58</v>
      </c>
      <c r="AL50">
        <v>31</v>
      </c>
      <c r="AM50" t="s">
        <v>5</v>
      </c>
      <c r="AN50">
        <v>1</v>
      </c>
      <c r="AO50">
        <v>1</v>
      </c>
      <c r="AP50">
        <v>0</v>
      </c>
      <c r="AQ50">
        <v>1</v>
      </c>
    </row>
    <row r="51" spans="1:43" x14ac:dyDescent="0.25">
      <c r="A51" t="s">
        <v>3689</v>
      </c>
      <c r="B51" t="s">
        <v>170</v>
      </c>
      <c r="C51" t="s">
        <v>3688</v>
      </c>
      <c r="D51" s="1">
        <v>45680</v>
      </c>
      <c r="E51" t="s">
        <v>156</v>
      </c>
      <c r="F51" t="s">
        <v>3276</v>
      </c>
      <c r="G51" t="s">
        <v>110</v>
      </c>
      <c r="H51" t="s">
        <v>16</v>
      </c>
      <c r="I51" t="s">
        <v>15</v>
      </c>
      <c r="J51" t="s">
        <v>55</v>
      </c>
      <c r="K51" t="s">
        <v>65</v>
      </c>
      <c r="L51" t="s">
        <v>88</v>
      </c>
      <c r="M51" t="s">
        <v>11</v>
      </c>
      <c r="N51" t="s">
        <v>75</v>
      </c>
      <c r="O51" t="s">
        <v>9</v>
      </c>
      <c r="P51" t="s">
        <v>39</v>
      </c>
      <c r="Q51" t="s">
        <v>7</v>
      </c>
      <c r="R51" t="s">
        <v>6</v>
      </c>
      <c r="S51">
        <v>7</v>
      </c>
      <c r="T51">
        <v>7</v>
      </c>
      <c r="U51">
        <v>177</v>
      </c>
      <c r="V51" t="s">
        <v>0</v>
      </c>
      <c r="W51" t="s">
        <v>0</v>
      </c>
      <c r="X51" t="s">
        <v>0</v>
      </c>
      <c r="Y51" t="s">
        <v>4</v>
      </c>
      <c r="Z51" t="s">
        <v>0</v>
      </c>
      <c r="AA51">
        <v>0</v>
      </c>
      <c r="AB51">
        <v>0</v>
      </c>
      <c r="AC51">
        <v>0</v>
      </c>
      <c r="AD51" t="s">
        <v>3</v>
      </c>
      <c r="AE51" t="s">
        <v>0</v>
      </c>
      <c r="AF51" t="s">
        <v>3</v>
      </c>
      <c r="AG51" t="s">
        <v>2</v>
      </c>
      <c r="AI51" t="s">
        <v>332</v>
      </c>
      <c r="AJ51">
        <v>3</v>
      </c>
      <c r="AK51">
        <v>11</v>
      </c>
      <c r="AL51">
        <v>13</v>
      </c>
      <c r="AM51" t="s">
        <v>5</v>
      </c>
      <c r="AN51">
        <v>0</v>
      </c>
      <c r="AO51">
        <v>0</v>
      </c>
      <c r="AP51">
        <v>0</v>
      </c>
      <c r="AQ51">
        <v>1</v>
      </c>
    </row>
    <row r="52" spans="1:43" x14ac:dyDescent="0.25">
      <c r="A52" t="s">
        <v>3687</v>
      </c>
      <c r="B52" t="s">
        <v>994</v>
      </c>
      <c r="C52" t="s">
        <v>3686</v>
      </c>
      <c r="D52" s="1">
        <v>46198</v>
      </c>
      <c r="E52" t="s">
        <v>79</v>
      </c>
      <c r="F52" t="s">
        <v>102</v>
      </c>
      <c r="G52" t="s">
        <v>17</v>
      </c>
      <c r="H52" t="s">
        <v>77</v>
      </c>
      <c r="I52" t="s">
        <v>28</v>
      </c>
      <c r="J52" t="s">
        <v>146</v>
      </c>
      <c r="K52" t="s">
        <v>145</v>
      </c>
      <c r="L52" t="s">
        <v>42</v>
      </c>
      <c r="M52" t="s">
        <v>11</v>
      </c>
      <c r="N52" t="s">
        <v>75</v>
      </c>
      <c r="O52" t="s">
        <v>26</v>
      </c>
      <c r="P52" t="s">
        <v>39</v>
      </c>
      <c r="Q52" t="s">
        <v>24</v>
      </c>
      <c r="R52" t="s">
        <v>6</v>
      </c>
      <c r="S52">
        <v>4</v>
      </c>
      <c r="T52">
        <v>4</v>
      </c>
      <c r="U52">
        <v>98</v>
      </c>
      <c r="V52" t="s">
        <v>0</v>
      </c>
      <c r="W52" t="s">
        <v>181</v>
      </c>
      <c r="X52" t="s">
        <v>0</v>
      </c>
      <c r="Y52" t="s">
        <v>4</v>
      </c>
      <c r="Z52" t="s">
        <v>5</v>
      </c>
      <c r="AA52">
        <v>135.32</v>
      </c>
      <c r="AB52">
        <v>0.2</v>
      </c>
      <c r="AC52">
        <v>0</v>
      </c>
      <c r="AD52" t="s">
        <v>3</v>
      </c>
      <c r="AE52" t="s">
        <v>0</v>
      </c>
      <c r="AF52" t="s">
        <v>3</v>
      </c>
      <c r="AG52" t="s">
        <v>2</v>
      </c>
      <c r="AI52" t="s">
        <v>23</v>
      </c>
      <c r="AJ52">
        <v>4</v>
      </c>
      <c r="AK52">
        <v>21</v>
      </c>
      <c r="AL52">
        <v>38</v>
      </c>
      <c r="AM52" t="s">
        <v>0</v>
      </c>
      <c r="AN52">
        <v>0</v>
      </c>
      <c r="AO52">
        <v>1</v>
      </c>
      <c r="AP52">
        <v>0</v>
      </c>
      <c r="AQ52">
        <v>0</v>
      </c>
    </row>
    <row r="53" spans="1:43" x14ac:dyDescent="0.25">
      <c r="A53" t="s">
        <v>3685</v>
      </c>
      <c r="B53" t="s">
        <v>3684</v>
      </c>
      <c r="C53" t="s">
        <v>3683</v>
      </c>
      <c r="D53" s="1">
        <v>45891</v>
      </c>
      <c r="E53" t="s">
        <v>168</v>
      </c>
      <c r="F53" t="s">
        <v>167</v>
      </c>
      <c r="G53" t="s">
        <v>123</v>
      </c>
      <c r="H53" t="s">
        <v>66</v>
      </c>
      <c r="I53" t="s">
        <v>28</v>
      </c>
      <c r="J53" t="s">
        <v>146</v>
      </c>
      <c r="K53" t="s">
        <v>176</v>
      </c>
      <c r="L53" t="s">
        <v>64</v>
      </c>
      <c r="M53" t="s">
        <v>53</v>
      </c>
      <c r="N53" t="s">
        <v>154</v>
      </c>
      <c r="O53" t="s">
        <v>40</v>
      </c>
      <c r="P53" t="s">
        <v>39</v>
      </c>
      <c r="Q53" t="s">
        <v>24</v>
      </c>
      <c r="R53" t="s">
        <v>6</v>
      </c>
      <c r="S53">
        <v>8</v>
      </c>
      <c r="T53">
        <v>8</v>
      </c>
      <c r="U53">
        <v>200</v>
      </c>
      <c r="V53" t="s">
        <v>0</v>
      </c>
      <c r="W53" t="s">
        <v>0</v>
      </c>
      <c r="X53" t="s">
        <v>5</v>
      </c>
      <c r="Y53" t="s">
        <v>489</v>
      </c>
      <c r="Z53" t="s">
        <v>0</v>
      </c>
      <c r="AA53">
        <v>0</v>
      </c>
      <c r="AB53">
        <v>0</v>
      </c>
      <c r="AC53">
        <v>0</v>
      </c>
      <c r="AD53" t="s">
        <v>3</v>
      </c>
      <c r="AE53" t="s">
        <v>0</v>
      </c>
      <c r="AF53" t="s">
        <v>3</v>
      </c>
      <c r="AG53" t="s">
        <v>2</v>
      </c>
      <c r="AI53" t="s">
        <v>23</v>
      </c>
      <c r="AJ53">
        <v>3</v>
      </c>
      <c r="AK53">
        <v>-19</v>
      </c>
      <c r="AL53">
        <v>40</v>
      </c>
      <c r="AM53" t="s">
        <v>5</v>
      </c>
      <c r="AN53">
        <v>0</v>
      </c>
      <c r="AO53">
        <v>0</v>
      </c>
      <c r="AP53">
        <v>1</v>
      </c>
      <c r="AQ53">
        <v>1</v>
      </c>
    </row>
    <row r="54" spans="1:43" x14ac:dyDescent="0.25">
      <c r="A54" t="s">
        <v>3682</v>
      </c>
      <c r="B54" t="s">
        <v>2906</v>
      </c>
      <c r="C54" t="s">
        <v>3681</v>
      </c>
      <c r="D54" s="1">
        <v>46051</v>
      </c>
      <c r="E54" t="s">
        <v>149</v>
      </c>
      <c r="F54" t="s">
        <v>183</v>
      </c>
      <c r="G54" t="s">
        <v>56</v>
      </c>
      <c r="H54" t="s">
        <v>16</v>
      </c>
      <c r="I54" t="s">
        <v>15</v>
      </c>
      <c r="J54" t="s">
        <v>55</v>
      </c>
      <c r="K54" t="s">
        <v>54</v>
      </c>
      <c r="L54" t="s">
        <v>117</v>
      </c>
      <c r="M54" t="s">
        <v>11</v>
      </c>
      <c r="N54" t="s">
        <v>269</v>
      </c>
      <c r="O54" t="s">
        <v>40</v>
      </c>
      <c r="P54" t="s">
        <v>39</v>
      </c>
      <c r="Q54" t="s">
        <v>198</v>
      </c>
      <c r="R54" t="s">
        <v>6</v>
      </c>
      <c r="S54">
        <v>8</v>
      </c>
      <c r="T54">
        <v>8</v>
      </c>
      <c r="U54">
        <v>189</v>
      </c>
      <c r="V54" t="s">
        <v>0</v>
      </c>
      <c r="W54" t="s">
        <v>5</v>
      </c>
      <c r="X54" t="s">
        <v>0</v>
      </c>
      <c r="Y54" t="s">
        <v>4</v>
      </c>
      <c r="Z54" t="s">
        <v>5</v>
      </c>
      <c r="AA54">
        <v>484.92</v>
      </c>
      <c r="AB54">
        <v>2.29</v>
      </c>
      <c r="AC54">
        <v>0</v>
      </c>
      <c r="AD54" t="s">
        <v>3</v>
      </c>
      <c r="AE54" t="s">
        <v>0</v>
      </c>
      <c r="AF54" t="s">
        <v>3</v>
      </c>
      <c r="AG54" t="s">
        <v>2</v>
      </c>
      <c r="AI54" t="s">
        <v>23</v>
      </c>
      <c r="AJ54">
        <v>3</v>
      </c>
      <c r="AK54">
        <v>16</v>
      </c>
      <c r="AL54">
        <v>55</v>
      </c>
      <c r="AM54" t="s">
        <v>0</v>
      </c>
      <c r="AN54">
        <v>1</v>
      </c>
      <c r="AO54">
        <v>1</v>
      </c>
      <c r="AP54">
        <v>0</v>
      </c>
      <c r="AQ54">
        <v>0</v>
      </c>
    </row>
    <row r="55" spans="1:43" x14ac:dyDescent="0.25">
      <c r="A55" t="s">
        <v>3680</v>
      </c>
      <c r="B55" t="s">
        <v>2219</v>
      </c>
      <c r="C55" t="s">
        <v>3679</v>
      </c>
      <c r="D55" s="1">
        <v>45895</v>
      </c>
      <c r="E55" t="s">
        <v>32</v>
      </c>
      <c r="F55" t="s">
        <v>107</v>
      </c>
      <c r="G55" t="s">
        <v>56</v>
      </c>
      <c r="H55" t="s">
        <v>77</v>
      </c>
      <c r="I55" t="s">
        <v>28</v>
      </c>
      <c r="J55" t="s">
        <v>146</v>
      </c>
      <c r="K55" t="s">
        <v>145</v>
      </c>
      <c r="L55" t="s">
        <v>88</v>
      </c>
      <c r="M55" t="s">
        <v>11</v>
      </c>
      <c r="N55" t="s">
        <v>52</v>
      </c>
      <c r="O55" t="s">
        <v>87</v>
      </c>
      <c r="P55" t="s">
        <v>39</v>
      </c>
      <c r="Q55" t="s">
        <v>7</v>
      </c>
      <c r="R55" t="s">
        <v>6</v>
      </c>
      <c r="S55" t="s">
        <v>277</v>
      </c>
      <c r="T55">
        <v>3</v>
      </c>
      <c r="U55">
        <v>161</v>
      </c>
      <c r="V55" t="s">
        <v>5</v>
      </c>
      <c r="W55" t="s">
        <v>181</v>
      </c>
      <c r="X55" t="s">
        <v>0</v>
      </c>
      <c r="Y55" t="s">
        <v>4</v>
      </c>
      <c r="Z55" t="s">
        <v>5</v>
      </c>
      <c r="AA55">
        <v>132.08000000000001</v>
      </c>
      <c r="AB55">
        <v>0</v>
      </c>
      <c r="AC55">
        <v>0</v>
      </c>
      <c r="AD55" t="s">
        <v>3</v>
      </c>
      <c r="AE55" t="s">
        <v>0</v>
      </c>
      <c r="AF55" t="s">
        <v>3</v>
      </c>
      <c r="AG55" t="s">
        <v>2</v>
      </c>
      <c r="AI55" t="s">
        <v>1</v>
      </c>
      <c r="AJ55">
        <v>3</v>
      </c>
      <c r="AK55">
        <v>18</v>
      </c>
      <c r="AL55">
        <v>53</v>
      </c>
      <c r="AM55" t="s">
        <v>5</v>
      </c>
      <c r="AN55">
        <v>0</v>
      </c>
      <c r="AO55">
        <v>1</v>
      </c>
      <c r="AP55">
        <v>0</v>
      </c>
      <c r="AQ55">
        <v>1</v>
      </c>
    </row>
    <row r="56" spans="1:43" x14ac:dyDescent="0.25">
      <c r="A56" t="s">
        <v>3678</v>
      </c>
      <c r="B56" t="s">
        <v>1751</v>
      </c>
      <c r="C56" t="s">
        <v>3677</v>
      </c>
      <c r="D56" s="1">
        <v>45771</v>
      </c>
      <c r="E56" t="s">
        <v>79</v>
      </c>
      <c r="F56" t="s">
        <v>102</v>
      </c>
      <c r="G56" t="s">
        <v>17</v>
      </c>
      <c r="H56" t="s">
        <v>29</v>
      </c>
      <c r="I56" t="s">
        <v>15</v>
      </c>
      <c r="J56" t="s">
        <v>14</v>
      </c>
      <c r="K56" t="s">
        <v>13</v>
      </c>
      <c r="L56" t="s">
        <v>12</v>
      </c>
      <c r="M56" t="s">
        <v>11</v>
      </c>
      <c r="N56" t="s">
        <v>269</v>
      </c>
      <c r="O56" t="s">
        <v>26</v>
      </c>
      <c r="P56" t="s">
        <v>39</v>
      </c>
      <c r="Q56" t="s">
        <v>7</v>
      </c>
      <c r="R56" t="s">
        <v>6</v>
      </c>
      <c r="S56">
        <v>4</v>
      </c>
      <c r="T56">
        <v>4</v>
      </c>
      <c r="U56">
        <v>157</v>
      </c>
      <c r="V56" t="s">
        <v>0</v>
      </c>
      <c r="W56" t="s">
        <v>5</v>
      </c>
      <c r="X56" t="s">
        <v>182</v>
      </c>
      <c r="Y56" t="s">
        <v>62</v>
      </c>
      <c r="Z56" t="s">
        <v>5</v>
      </c>
      <c r="AA56">
        <v>191.62</v>
      </c>
      <c r="AB56">
        <v>0.17</v>
      </c>
      <c r="AC56">
        <v>0</v>
      </c>
      <c r="AD56" t="s">
        <v>3</v>
      </c>
      <c r="AE56" t="s">
        <v>0</v>
      </c>
      <c r="AF56" t="s">
        <v>3</v>
      </c>
      <c r="AG56" t="s">
        <v>2</v>
      </c>
      <c r="AI56" t="s">
        <v>23</v>
      </c>
      <c r="AJ56">
        <v>3</v>
      </c>
      <c r="AK56">
        <v>40</v>
      </c>
      <c r="AL56">
        <v>19</v>
      </c>
      <c r="AM56" t="s">
        <v>5</v>
      </c>
      <c r="AN56">
        <v>1</v>
      </c>
      <c r="AO56">
        <v>1</v>
      </c>
      <c r="AP56">
        <v>1</v>
      </c>
      <c r="AQ56">
        <v>1</v>
      </c>
    </row>
    <row r="57" spans="1:43" x14ac:dyDescent="0.25">
      <c r="A57" t="s">
        <v>3676</v>
      </c>
      <c r="B57" t="s">
        <v>938</v>
      </c>
      <c r="C57" t="s">
        <v>3675</v>
      </c>
      <c r="D57" s="1">
        <v>46039</v>
      </c>
      <c r="E57" t="s">
        <v>112</v>
      </c>
      <c r="F57" t="s">
        <v>642</v>
      </c>
      <c r="G57" t="s">
        <v>56</v>
      </c>
      <c r="H57" t="s">
        <v>43</v>
      </c>
      <c r="I57" t="s">
        <v>28</v>
      </c>
      <c r="J57" t="s">
        <v>14</v>
      </c>
      <c r="K57" t="s">
        <v>13</v>
      </c>
      <c r="L57" t="s">
        <v>117</v>
      </c>
      <c r="M57" t="s">
        <v>11</v>
      </c>
      <c r="N57" t="s">
        <v>93</v>
      </c>
      <c r="O57" t="s">
        <v>193</v>
      </c>
      <c r="P57" t="s">
        <v>39</v>
      </c>
      <c r="Q57" t="s">
        <v>7</v>
      </c>
      <c r="R57" t="s">
        <v>6</v>
      </c>
      <c r="S57">
        <v>9</v>
      </c>
      <c r="T57">
        <v>9</v>
      </c>
      <c r="U57">
        <v>168</v>
      </c>
      <c r="V57" t="s">
        <v>0</v>
      </c>
      <c r="W57" t="s">
        <v>0</v>
      </c>
      <c r="X57" t="s">
        <v>0</v>
      </c>
      <c r="Y57" t="s">
        <v>4</v>
      </c>
      <c r="Z57" t="s">
        <v>0</v>
      </c>
      <c r="AA57">
        <v>0</v>
      </c>
      <c r="AB57">
        <v>0</v>
      </c>
      <c r="AC57">
        <v>0</v>
      </c>
      <c r="AD57" t="s">
        <v>37</v>
      </c>
      <c r="AE57" t="s">
        <v>5</v>
      </c>
      <c r="AF57" t="s">
        <v>37</v>
      </c>
      <c r="AG57" t="s">
        <v>36</v>
      </c>
      <c r="AH57">
        <v>46</v>
      </c>
      <c r="AI57" t="s">
        <v>23</v>
      </c>
      <c r="AJ57">
        <v>2</v>
      </c>
      <c r="AK57">
        <v>29</v>
      </c>
      <c r="AL57">
        <v>27</v>
      </c>
      <c r="AM57" t="s">
        <v>5</v>
      </c>
      <c r="AN57">
        <v>0</v>
      </c>
      <c r="AO57">
        <v>0</v>
      </c>
      <c r="AP57">
        <v>0</v>
      </c>
      <c r="AQ57">
        <v>1</v>
      </c>
    </row>
    <row r="58" spans="1:43" x14ac:dyDescent="0.25">
      <c r="A58" t="s">
        <v>3674</v>
      </c>
      <c r="B58" t="s">
        <v>615</v>
      </c>
      <c r="C58" t="s">
        <v>3673</v>
      </c>
      <c r="D58" s="1">
        <v>45947</v>
      </c>
      <c r="E58" t="s">
        <v>156</v>
      </c>
      <c r="F58" t="s">
        <v>550</v>
      </c>
      <c r="G58" t="s">
        <v>17</v>
      </c>
      <c r="H58" t="s">
        <v>16</v>
      </c>
      <c r="I58" t="s">
        <v>15</v>
      </c>
      <c r="J58" t="s">
        <v>55</v>
      </c>
      <c r="K58" t="s">
        <v>65</v>
      </c>
      <c r="L58" t="s">
        <v>64</v>
      </c>
      <c r="M58" t="s">
        <v>11</v>
      </c>
      <c r="N58" t="s">
        <v>93</v>
      </c>
      <c r="O58" t="s">
        <v>51</v>
      </c>
      <c r="P58" t="s">
        <v>8</v>
      </c>
      <c r="Q58" t="s">
        <v>50</v>
      </c>
      <c r="R58" t="s">
        <v>38</v>
      </c>
      <c r="S58" t="s">
        <v>205</v>
      </c>
      <c r="T58">
        <v>4</v>
      </c>
      <c r="U58">
        <v>176</v>
      </c>
      <c r="V58" t="s">
        <v>5</v>
      </c>
      <c r="W58" t="s">
        <v>0</v>
      </c>
      <c r="X58" t="s">
        <v>0</v>
      </c>
      <c r="Y58" t="s">
        <v>4</v>
      </c>
      <c r="Z58" t="s">
        <v>247</v>
      </c>
      <c r="AA58">
        <v>0</v>
      </c>
      <c r="AB58">
        <v>0</v>
      </c>
      <c r="AC58">
        <v>0</v>
      </c>
      <c r="AD58" t="s">
        <v>3</v>
      </c>
      <c r="AE58" t="s">
        <v>0</v>
      </c>
      <c r="AF58" t="s">
        <v>3</v>
      </c>
      <c r="AG58" t="s">
        <v>2</v>
      </c>
      <c r="AI58" t="s">
        <v>191</v>
      </c>
      <c r="AJ58">
        <v>3</v>
      </c>
      <c r="AK58">
        <v>12</v>
      </c>
      <c r="AL58">
        <v>41</v>
      </c>
      <c r="AM58" t="s">
        <v>5</v>
      </c>
      <c r="AN58">
        <v>0</v>
      </c>
      <c r="AO58">
        <v>0</v>
      </c>
      <c r="AP58">
        <v>0</v>
      </c>
      <c r="AQ58">
        <v>1</v>
      </c>
    </row>
    <row r="59" spans="1:43" x14ac:dyDescent="0.25">
      <c r="A59" t="s">
        <v>3672</v>
      </c>
      <c r="B59" t="s">
        <v>959</v>
      </c>
      <c r="C59" t="s">
        <v>3671</v>
      </c>
      <c r="D59" s="1">
        <v>45955</v>
      </c>
      <c r="E59" t="s">
        <v>149</v>
      </c>
      <c r="F59" t="s">
        <v>248</v>
      </c>
      <c r="G59" t="s">
        <v>56</v>
      </c>
      <c r="H59" t="s">
        <v>77</v>
      </c>
      <c r="I59" t="s">
        <v>28</v>
      </c>
      <c r="J59" t="s">
        <v>146</v>
      </c>
      <c r="K59" t="s">
        <v>145</v>
      </c>
      <c r="L59" t="s">
        <v>64</v>
      </c>
      <c r="M59" t="s">
        <v>11</v>
      </c>
      <c r="N59" t="s">
        <v>41</v>
      </c>
      <c r="O59" t="s">
        <v>40</v>
      </c>
      <c r="P59" t="s">
        <v>39</v>
      </c>
      <c r="Q59" t="s">
        <v>50</v>
      </c>
      <c r="R59" t="s">
        <v>38</v>
      </c>
      <c r="S59">
        <v>8</v>
      </c>
      <c r="T59">
        <v>8</v>
      </c>
      <c r="U59">
        <v>236</v>
      </c>
      <c r="V59" t="s">
        <v>0</v>
      </c>
      <c r="W59" t="s">
        <v>5</v>
      </c>
      <c r="X59" t="s">
        <v>0</v>
      </c>
      <c r="Y59" t="s">
        <v>4</v>
      </c>
      <c r="Z59" t="s">
        <v>5</v>
      </c>
      <c r="AA59">
        <v>408.98</v>
      </c>
      <c r="AB59">
        <v>2.67</v>
      </c>
      <c r="AC59">
        <v>0</v>
      </c>
      <c r="AD59" t="s">
        <v>37</v>
      </c>
      <c r="AE59" t="s">
        <v>5</v>
      </c>
      <c r="AF59" t="s">
        <v>37</v>
      </c>
      <c r="AG59" t="s">
        <v>139</v>
      </c>
      <c r="AH59">
        <v>34</v>
      </c>
      <c r="AI59" t="s">
        <v>23</v>
      </c>
      <c r="AJ59">
        <v>4</v>
      </c>
      <c r="AK59">
        <v>6</v>
      </c>
      <c r="AL59">
        <v>59</v>
      </c>
      <c r="AM59" t="s">
        <v>5</v>
      </c>
      <c r="AN59">
        <v>1</v>
      </c>
      <c r="AO59">
        <v>1</v>
      </c>
      <c r="AP59">
        <v>0</v>
      </c>
      <c r="AQ59">
        <v>1</v>
      </c>
    </row>
    <row r="60" spans="1:43" x14ac:dyDescent="0.25">
      <c r="A60" t="s">
        <v>3670</v>
      </c>
      <c r="B60" t="s">
        <v>2667</v>
      </c>
      <c r="C60" t="s">
        <v>3669</v>
      </c>
      <c r="D60" s="1">
        <v>46165</v>
      </c>
      <c r="E60" t="s">
        <v>112</v>
      </c>
      <c r="F60" t="s">
        <v>461</v>
      </c>
      <c r="G60" t="s">
        <v>17</v>
      </c>
      <c r="H60" t="s">
        <v>77</v>
      </c>
      <c r="I60" t="s">
        <v>28</v>
      </c>
      <c r="J60" t="s">
        <v>55</v>
      </c>
      <c r="K60" t="s">
        <v>54</v>
      </c>
      <c r="L60" t="s">
        <v>88</v>
      </c>
      <c r="M60" t="s">
        <v>53</v>
      </c>
      <c r="N60" t="s">
        <v>52</v>
      </c>
      <c r="O60" t="s">
        <v>51</v>
      </c>
      <c r="P60" t="s">
        <v>8</v>
      </c>
      <c r="Q60" t="s">
        <v>7</v>
      </c>
      <c r="R60" t="s">
        <v>6</v>
      </c>
      <c r="S60">
        <v>6</v>
      </c>
      <c r="T60">
        <v>4</v>
      </c>
      <c r="U60">
        <v>336</v>
      </c>
      <c r="V60" t="s">
        <v>182</v>
      </c>
      <c r="W60" t="s">
        <v>0</v>
      </c>
      <c r="X60" t="s">
        <v>5</v>
      </c>
      <c r="Y60" t="s">
        <v>153</v>
      </c>
      <c r="Z60" t="s">
        <v>0</v>
      </c>
      <c r="AA60">
        <v>0</v>
      </c>
      <c r="AB60">
        <v>0</v>
      </c>
      <c r="AC60">
        <v>0</v>
      </c>
      <c r="AD60" t="s">
        <v>3</v>
      </c>
      <c r="AE60" t="s">
        <v>0</v>
      </c>
      <c r="AF60" t="s">
        <v>3</v>
      </c>
      <c r="AG60" t="s">
        <v>2</v>
      </c>
      <c r="AI60" t="s">
        <v>122</v>
      </c>
      <c r="AJ60">
        <v>2</v>
      </c>
      <c r="AK60">
        <v>-39</v>
      </c>
      <c r="AL60">
        <v>7</v>
      </c>
      <c r="AM60" t="s">
        <v>0</v>
      </c>
      <c r="AN60">
        <v>0</v>
      </c>
      <c r="AO60">
        <v>0</v>
      </c>
      <c r="AP60">
        <v>1</v>
      </c>
      <c r="AQ60">
        <v>0</v>
      </c>
    </row>
    <row r="61" spans="1:43" x14ac:dyDescent="0.25">
      <c r="A61" t="s">
        <v>3668</v>
      </c>
      <c r="B61" t="s">
        <v>452</v>
      </c>
      <c r="C61" t="s">
        <v>3667</v>
      </c>
      <c r="D61" s="1">
        <v>46107</v>
      </c>
      <c r="E61" t="s">
        <v>19</v>
      </c>
      <c r="F61" t="s">
        <v>575</v>
      </c>
      <c r="G61" t="s">
        <v>56</v>
      </c>
      <c r="H61" t="s">
        <v>16</v>
      </c>
      <c r="I61" t="s">
        <v>28</v>
      </c>
      <c r="J61" t="s">
        <v>55</v>
      </c>
      <c r="K61" t="s">
        <v>54</v>
      </c>
      <c r="L61" t="s">
        <v>88</v>
      </c>
      <c r="M61" t="s">
        <v>11</v>
      </c>
      <c r="N61" t="s">
        <v>10</v>
      </c>
      <c r="O61" t="s">
        <v>51</v>
      </c>
      <c r="P61" t="s">
        <v>25</v>
      </c>
      <c r="Q61" t="s">
        <v>7</v>
      </c>
      <c r="R61" t="s">
        <v>6</v>
      </c>
      <c r="S61">
        <v>6</v>
      </c>
      <c r="T61">
        <v>6</v>
      </c>
      <c r="U61">
        <v>108</v>
      </c>
      <c r="V61" t="s">
        <v>0</v>
      </c>
      <c r="W61" t="s">
        <v>5</v>
      </c>
      <c r="X61" t="s">
        <v>0</v>
      </c>
      <c r="Y61" t="s">
        <v>4</v>
      </c>
      <c r="Z61" t="s">
        <v>5</v>
      </c>
      <c r="AA61">
        <v>0</v>
      </c>
      <c r="AB61">
        <v>0.1</v>
      </c>
      <c r="AC61">
        <v>0</v>
      </c>
      <c r="AD61" t="s">
        <v>3</v>
      </c>
      <c r="AE61" t="s">
        <v>0</v>
      </c>
      <c r="AF61" t="s">
        <v>3</v>
      </c>
      <c r="AG61" t="s">
        <v>2</v>
      </c>
      <c r="AI61" t="s">
        <v>23</v>
      </c>
      <c r="AJ61">
        <v>5</v>
      </c>
      <c r="AK61">
        <v>-35</v>
      </c>
      <c r="AL61">
        <v>78</v>
      </c>
      <c r="AM61" t="s">
        <v>0</v>
      </c>
      <c r="AN61">
        <v>1</v>
      </c>
      <c r="AO61">
        <v>1</v>
      </c>
      <c r="AP61">
        <v>0</v>
      </c>
      <c r="AQ61">
        <v>0</v>
      </c>
    </row>
    <row r="62" spans="1:43" x14ac:dyDescent="0.25">
      <c r="A62" t="s">
        <v>3666</v>
      </c>
      <c r="B62" t="s">
        <v>431</v>
      </c>
      <c r="C62" t="s">
        <v>3665</v>
      </c>
      <c r="D62" s="1">
        <v>45753</v>
      </c>
      <c r="E62" t="s">
        <v>149</v>
      </c>
      <c r="F62" t="s">
        <v>589</v>
      </c>
      <c r="G62" t="s">
        <v>110</v>
      </c>
      <c r="H62" t="s">
        <v>43</v>
      </c>
      <c r="I62" t="s">
        <v>15</v>
      </c>
      <c r="J62" t="s">
        <v>55</v>
      </c>
      <c r="K62" t="s">
        <v>54</v>
      </c>
      <c r="L62" t="s">
        <v>12</v>
      </c>
      <c r="M62" t="s">
        <v>11</v>
      </c>
      <c r="N62" t="s">
        <v>116</v>
      </c>
      <c r="O62" t="s">
        <v>26</v>
      </c>
      <c r="P62" t="s">
        <v>25</v>
      </c>
      <c r="Q62" t="s">
        <v>172</v>
      </c>
      <c r="R62" t="s">
        <v>38</v>
      </c>
      <c r="S62">
        <v>4</v>
      </c>
      <c r="T62">
        <v>2</v>
      </c>
      <c r="U62">
        <v>143</v>
      </c>
      <c r="V62" t="s">
        <v>5</v>
      </c>
      <c r="W62" t="s">
        <v>5</v>
      </c>
      <c r="X62" t="s">
        <v>0</v>
      </c>
      <c r="Y62" t="s">
        <v>4</v>
      </c>
      <c r="Z62" t="s">
        <v>5</v>
      </c>
      <c r="AA62">
        <v>165.93</v>
      </c>
      <c r="AB62">
        <v>0.17</v>
      </c>
      <c r="AC62">
        <v>0</v>
      </c>
      <c r="AD62" t="s">
        <v>3</v>
      </c>
      <c r="AE62" t="s">
        <v>0</v>
      </c>
      <c r="AF62" t="s">
        <v>3</v>
      </c>
      <c r="AG62" t="s">
        <v>2</v>
      </c>
      <c r="AI62" t="s">
        <v>23</v>
      </c>
      <c r="AJ62">
        <v>4</v>
      </c>
      <c r="AK62">
        <v>30</v>
      </c>
      <c r="AL62">
        <v>39</v>
      </c>
      <c r="AM62" t="s">
        <v>5</v>
      </c>
      <c r="AN62">
        <v>1</v>
      </c>
      <c r="AO62">
        <v>1</v>
      </c>
      <c r="AP62">
        <v>0</v>
      </c>
      <c r="AQ62">
        <v>1</v>
      </c>
    </row>
    <row r="63" spans="1:43" x14ac:dyDescent="0.25">
      <c r="A63" t="s">
        <v>3664</v>
      </c>
      <c r="B63" t="s">
        <v>1231</v>
      </c>
      <c r="C63" t="s">
        <v>3663</v>
      </c>
      <c r="D63" s="1">
        <v>45970</v>
      </c>
      <c r="E63" t="s">
        <v>45</v>
      </c>
      <c r="F63" t="s">
        <v>348</v>
      </c>
      <c r="G63" t="s">
        <v>83</v>
      </c>
      <c r="H63" t="s">
        <v>66</v>
      </c>
      <c r="I63" t="s">
        <v>28</v>
      </c>
      <c r="J63" t="s">
        <v>14</v>
      </c>
      <c r="K63" t="s">
        <v>13</v>
      </c>
      <c r="L63" t="s">
        <v>88</v>
      </c>
      <c r="M63" t="s">
        <v>11</v>
      </c>
      <c r="N63" t="s">
        <v>154</v>
      </c>
      <c r="O63" t="s">
        <v>40</v>
      </c>
      <c r="P63" t="s">
        <v>8</v>
      </c>
      <c r="Q63" t="s">
        <v>172</v>
      </c>
      <c r="R63" t="s">
        <v>6</v>
      </c>
      <c r="S63">
        <v>8</v>
      </c>
      <c r="T63">
        <v>8</v>
      </c>
      <c r="U63">
        <v>229</v>
      </c>
      <c r="V63" t="s">
        <v>0</v>
      </c>
      <c r="W63" t="s">
        <v>5</v>
      </c>
      <c r="X63" t="s">
        <v>0</v>
      </c>
      <c r="Y63" t="s">
        <v>4</v>
      </c>
      <c r="Z63" t="s">
        <v>5</v>
      </c>
      <c r="AA63">
        <v>436.3</v>
      </c>
      <c r="AB63">
        <v>2.71</v>
      </c>
      <c r="AC63">
        <v>0</v>
      </c>
      <c r="AD63" t="s">
        <v>3</v>
      </c>
      <c r="AE63" t="s">
        <v>0</v>
      </c>
      <c r="AF63" t="s">
        <v>3</v>
      </c>
      <c r="AG63" t="s">
        <v>2</v>
      </c>
      <c r="AI63" t="s">
        <v>23</v>
      </c>
      <c r="AJ63">
        <v>4</v>
      </c>
      <c r="AK63">
        <v>15</v>
      </c>
      <c r="AL63">
        <v>15</v>
      </c>
      <c r="AM63" t="s">
        <v>0</v>
      </c>
      <c r="AN63">
        <v>1</v>
      </c>
      <c r="AO63">
        <v>1</v>
      </c>
      <c r="AP63">
        <v>0</v>
      </c>
      <c r="AQ63">
        <v>0</v>
      </c>
    </row>
    <row r="64" spans="1:43" x14ac:dyDescent="0.25">
      <c r="A64" t="s">
        <v>3662</v>
      </c>
      <c r="B64" t="s">
        <v>2403</v>
      </c>
      <c r="C64" t="s">
        <v>3661</v>
      </c>
      <c r="D64" s="1">
        <v>45707</v>
      </c>
      <c r="E64" t="s">
        <v>149</v>
      </c>
      <c r="F64" t="s">
        <v>183</v>
      </c>
      <c r="G64" t="s">
        <v>110</v>
      </c>
      <c r="H64" t="s">
        <v>43</v>
      </c>
      <c r="I64" t="s">
        <v>28</v>
      </c>
      <c r="J64" t="s">
        <v>55</v>
      </c>
      <c r="K64" t="s">
        <v>54</v>
      </c>
      <c r="L64" t="s">
        <v>12</v>
      </c>
      <c r="M64" t="s">
        <v>11</v>
      </c>
      <c r="N64" t="s">
        <v>10</v>
      </c>
      <c r="O64" t="s">
        <v>193</v>
      </c>
      <c r="P64" t="s">
        <v>63</v>
      </c>
      <c r="Q64" t="s">
        <v>198</v>
      </c>
      <c r="R64" t="s">
        <v>38</v>
      </c>
      <c r="S64">
        <v>9</v>
      </c>
      <c r="T64">
        <v>9</v>
      </c>
      <c r="U64">
        <v>322</v>
      </c>
      <c r="V64" t="s">
        <v>247</v>
      </c>
      <c r="W64" t="s">
        <v>0</v>
      </c>
      <c r="X64" t="s">
        <v>5</v>
      </c>
      <c r="Y64" t="s">
        <v>475</v>
      </c>
      <c r="Z64" t="s">
        <v>0</v>
      </c>
      <c r="AA64">
        <v>0</v>
      </c>
      <c r="AB64">
        <v>0</v>
      </c>
      <c r="AC64">
        <v>0</v>
      </c>
      <c r="AD64" t="s">
        <v>187</v>
      </c>
      <c r="AE64" t="s">
        <v>5</v>
      </c>
      <c r="AF64" t="s">
        <v>187</v>
      </c>
      <c r="AG64" t="s">
        <v>36</v>
      </c>
      <c r="AH64">
        <v>18</v>
      </c>
      <c r="AI64" t="s">
        <v>122</v>
      </c>
      <c r="AJ64">
        <v>3</v>
      </c>
      <c r="AK64">
        <v>14</v>
      </c>
      <c r="AL64">
        <v>0</v>
      </c>
      <c r="AM64" t="s">
        <v>0</v>
      </c>
      <c r="AN64">
        <v>0</v>
      </c>
      <c r="AO64">
        <v>0</v>
      </c>
      <c r="AP64">
        <v>1</v>
      </c>
      <c r="AQ64">
        <v>0</v>
      </c>
    </row>
    <row r="65" spans="1:43" x14ac:dyDescent="0.25">
      <c r="A65" t="s">
        <v>3660</v>
      </c>
      <c r="B65" t="s">
        <v>1862</v>
      </c>
      <c r="C65" t="s">
        <v>3659</v>
      </c>
      <c r="D65" s="1">
        <v>45812</v>
      </c>
      <c r="E65" t="s">
        <v>168</v>
      </c>
      <c r="F65" t="s">
        <v>233</v>
      </c>
      <c r="G65" t="s">
        <v>56</v>
      </c>
      <c r="H65" t="s">
        <v>237</v>
      </c>
      <c r="I65" t="s">
        <v>15</v>
      </c>
      <c r="J65" t="s">
        <v>55</v>
      </c>
      <c r="K65" t="s">
        <v>54</v>
      </c>
      <c r="L65" t="s">
        <v>64</v>
      </c>
      <c r="M65" t="s">
        <v>11</v>
      </c>
      <c r="N65" t="s">
        <v>52</v>
      </c>
      <c r="O65" t="s">
        <v>130</v>
      </c>
      <c r="P65" t="s">
        <v>39</v>
      </c>
      <c r="Q65" t="s">
        <v>7</v>
      </c>
      <c r="R65" t="s">
        <v>6</v>
      </c>
      <c r="S65">
        <v>5</v>
      </c>
      <c r="T65">
        <v>5</v>
      </c>
      <c r="U65">
        <v>146</v>
      </c>
      <c r="V65" t="s">
        <v>0</v>
      </c>
      <c r="W65" t="s">
        <v>5</v>
      </c>
      <c r="X65" t="s">
        <v>0</v>
      </c>
      <c r="Y65" t="s">
        <v>4</v>
      </c>
      <c r="Z65" t="s">
        <v>5</v>
      </c>
      <c r="AA65">
        <v>50.06</v>
      </c>
      <c r="AB65">
        <v>0</v>
      </c>
      <c r="AC65">
        <v>0</v>
      </c>
      <c r="AD65" t="s">
        <v>436</v>
      </c>
      <c r="AE65" t="s">
        <v>5</v>
      </c>
      <c r="AF65" t="s">
        <v>436</v>
      </c>
      <c r="AG65" t="s">
        <v>139</v>
      </c>
      <c r="AH65">
        <v>27</v>
      </c>
      <c r="AI65" t="s">
        <v>23</v>
      </c>
      <c r="AJ65">
        <v>5</v>
      </c>
      <c r="AK65">
        <v>19</v>
      </c>
      <c r="AL65" t="s">
        <v>3658</v>
      </c>
      <c r="AM65" t="s">
        <v>5</v>
      </c>
      <c r="AN65">
        <v>1</v>
      </c>
      <c r="AO65">
        <v>1</v>
      </c>
      <c r="AP65">
        <v>0</v>
      </c>
      <c r="AQ65">
        <v>1</v>
      </c>
    </row>
    <row r="66" spans="1:43" x14ac:dyDescent="0.25">
      <c r="A66" t="s">
        <v>3657</v>
      </c>
      <c r="B66" t="s">
        <v>3221</v>
      </c>
      <c r="C66" t="s">
        <v>3656</v>
      </c>
      <c r="D66" s="1">
        <v>45819</v>
      </c>
      <c r="E66" t="s">
        <v>32</v>
      </c>
      <c r="F66" t="s">
        <v>356</v>
      </c>
      <c r="G66" t="s">
        <v>17</v>
      </c>
      <c r="H66" t="s">
        <v>43</v>
      </c>
      <c r="I66" t="s">
        <v>28</v>
      </c>
      <c r="J66" t="s">
        <v>14</v>
      </c>
      <c r="K66" t="s">
        <v>13</v>
      </c>
      <c r="L66" t="s">
        <v>88</v>
      </c>
      <c r="M66" t="s">
        <v>11</v>
      </c>
      <c r="N66" t="s">
        <v>41</v>
      </c>
      <c r="O66" t="s">
        <v>87</v>
      </c>
      <c r="P66" t="s">
        <v>39</v>
      </c>
      <c r="Q66" t="s">
        <v>7</v>
      </c>
      <c r="R66" t="s">
        <v>6</v>
      </c>
      <c r="S66">
        <v>5</v>
      </c>
      <c r="T66">
        <v>5</v>
      </c>
      <c r="U66">
        <v>94</v>
      </c>
      <c r="V66" t="s">
        <v>0</v>
      </c>
      <c r="W66" t="s">
        <v>0</v>
      </c>
      <c r="X66" t="s">
        <v>0</v>
      </c>
      <c r="Y66" t="s">
        <v>4</v>
      </c>
      <c r="Z66" t="s">
        <v>5</v>
      </c>
      <c r="AA66">
        <v>118.3</v>
      </c>
      <c r="AB66">
        <v>0</v>
      </c>
      <c r="AC66">
        <v>0</v>
      </c>
      <c r="AD66" t="s">
        <v>3</v>
      </c>
      <c r="AE66" t="s">
        <v>0</v>
      </c>
      <c r="AF66" t="s">
        <v>3</v>
      </c>
      <c r="AG66" t="s">
        <v>2</v>
      </c>
      <c r="AI66" t="s">
        <v>23</v>
      </c>
      <c r="AJ66">
        <v>4</v>
      </c>
      <c r="AK66">
        <v>18</v>
      </c>
      <c r="AL66">
        <v>53</v>
      </c>
      <c r="AM66" t="s">
        <v>0</v>
      </c>
      <c r="AN66">
        <v>0</v>
      </c>
      <c r="AO66">
        <v>1</v>
      </c>
      <c r="AP66">
        <v>0</v>
      </c>
      <c r="AQ66">
        <v>0</v>
      </c>
    </row>
    <row r="67" spans="1:43" x14ac:dyDescent="0.25">
      <c r="A67" t="s">
        <v>3655</v>
      </c>
      <c r="B67" t="s">
        <v>2642</v>
      </c>
      <c r="C67" t="s">
        <v>3654</v>
      </c>
      <c r="D67" s="1">
        <v>45764</v>
      </c>
      <c r="E67" t="s">
        <v>32</v>
      </c>
      <c r="F67" t="s">
        <v>107</v>
      </c>
      <c r="G67" t="s">
        <v>17</v>
      </c>
      <c r="H67" t="s">
        <v>237</v>
      </c>
      <c r="I67" t="s">
        <v>28</v>
      </c>
      <c r="J67" t="s">
        <v>14</v>
      </c>
      <c r="K67" t="s">
        <v>13</v>
      </c>
      <c r="L67" t="s">
        <v>88</v>
      </c>
      <c r="M67" t="s">
        <v>11</v>
      </c>
      <c r="N67" t="s">
        <v>93</v>
      </c>
      <c r="O67" t="s">
        <v>74</v>
      </c>
      <c r="P67" t="s">
        <v>63</v>
      </c>
      <c r="Q67" t="s">
        <v>7</v>
      </c>
      <c r="R67" t="s">
        <v>6</v>
      </c>
      <c r="S67">
        <v>6</v>
      </c>
      <c r="T67">
        <v>6</v>
      </c>
      <c r="U67">
        <v>148</v>
      </c>
      <c r="V67" t="s">
        <v>0</v>
      </c>
      <c r="W67" t="s">
        <v>5</v>
      </c>
      <c r="X67" t="s">
        <v>0</v>
      </c>
      <c r="Y67" t="s">
        <v>4</v>
      </c>
      <c r="Z67" t="s">
        <v>5</v>
      </c>
      <c r="AA67">
        <v>0</v>
      </c>
      <c r="AB67">
        <v>0</v>
      </c>
      <c r="AC67">
        <v>0</v>
      </c>
      <c r="AD67" t="s">
        <v>37</v>
      </c>
      <c r="AE67" t="s">
        <v>5</v>
      </c>
      <c r="AF67" t="s">
        <v>37</v>
      </c>
      <c r="AG67" t="s">
        <v>36</v>
      </c>
      <c r="AH67">
        <v>2</v>
      </c>
      <c r="AI67" t="s">
        <v>23</v>
      </c>
      <c r="AJ67">
        <v>5</v>
      </c>
      <c r="AK67">
        <v>1</v>
      </c>
      <c r="AL67">
        <v>0</v>
      </c>
      <c r="AM67" t="s">
        <v>5</v>
      </c>
      <c r="AN67">
        <v>1</v>
      </c>
      <c r="AO67">
        <v>1</v>
      </c>
      <c r="AP67">
        <v>0</v>
      </c>
      <c r="AQ67">
        <v>1</v>
      </c>
    </row>
    <row r="68" spans="1:43" x14ac:dyDescent="0.25">
      <c r="A68" t="s">
        <v>3653</v>
      </c>
      <c r="B68" t="s">
        <v>3652</v>
      </c>
      <c r="C68" t="s">
        <v>3651</v>
      </c>
      <c r="D68" s="1">
        <v>45669</v>
      </c>
      <c r="E68" t="s">
        <v>125</v>
      </c>
      <c r="F68" t="s">
        <v>132</v>
      </c>
      <c r="G68" t="s">
        <v>17</v>
      </c>
      <c r="H68" t="s">
        <v>29</v>
      </c>
      <c r="I68" t="s">
        <v>15</v>
      </c>
      <c r="J68" t="s">
        <v>14</v>
      </c>
      <c r="K68" t="s">
        <v>13</v>
      </c>
      <c r="L68" t="s">
        <v>88</v>
      </c>
      <c r="M68" t="s">
        <v>11</v>
      </c>
      <c r="N68" t="s">
        <v>75</v>
      </c>
      <c r="O68" t="s">
        <v>40</v>
      </c>
      <c r="P68" t="s">
        <v>39</v>
      </c>
      <c r="Q68" t="s">
        <v>172</v>
      </c>
      <c r="R68" t="s">
        <v>6</v>
      </c>
      <c r="S68">
        <v>8</v>
      </c>
      <c r="T68">
        <v>8</v>
      </c>
      <c r="U68">
        <v>255</v>
      </c>
      <c r="V68" t="s">
        <v>0</v>
      </c>
      <c r="W68" t="s">
        <v>5</v>
      </c>
      <c r="X68" t="s">
        <v>5</v>
      </c>
      <c r="Y68" t="s">
        <v>160</v>
      </c>
      <c r="Z68" t="s">
        <v>0</v>
      </c>
      <c r="AA68">
        <v>0</v>
      </c>
      <c r="AB68">
        <v>0</v>
      </c>
      <c r="AC68">
        <v>0</v>
      </c>
      <c r="AD68" t="s">
        <v>37</v>
      </c>
      <c r="AE68" t="s">
        <v>5</v>
      </c>
      <c r="AF68" t="s">
        <v>37</v>
      </c>
      <c r="AG68" t="s">
        <v>36</v>
      </c>
      <c r="AI68" t="s">
        <v>23</v>
      </c>
      <c r="AJ68">
        <v>4</v>
      </c>
      <c r="AK68">
        <v>11</v>
      </c>
      <c r="AL68">
        <v>27</v>
      </c>
      <c r="AM68" t="s">
        <v>5</v>
      </c>
      <c r="AN68">
        <v>1</v>
      </c>
      <c r="AO68">
        <v>0</v>
      </c>
      <c r="AP68">
        <v>1</v>
      </c>
      <c r="AQ68">
        <v>1</v>
      </c>
    </row>
    <row r="69" spans="1:43" x14ac:dyDescent="0.25">
      <c r="A69" t="s">
        <v>3650</v>
      </c>
      <c r="B69" t="s">
        <v>3117</v>
      </c>
      <c r="C69" t="s">
        <v>3649</v>
      </c>
      <c r="D69" s="1">
        <v>46159</v>
      </c>
      <c r="E69" t="s">
        <v>125</v>
      </c>
      <c r="F69" t="s">
        <v>265</v>
      </c>
      <c r="G69" t="s">
        <v>30</v>
      </c>
      <c r="H69" t="s">
        <v>29</v>
      </c>
      <c r="I69" t="s">
        <v>28</v>
      </c>
      <c r="J69" t="s">
        <v>14</v>
      </c>
      <c r="K69" t="s">
        <v>13</v>
      </c>
      <c r="L69" t="s">
        <v>12</v>
      </c>
      <c r="M69" t="s">
        <v>11</v>
      </c>
      <c r="N69" t="s">
        <v>10</v>
      </c>
      <c r="O69" t="s">
        <v>193</v>
      </c>
      <c r="P69" t="s">
        <v>63</v>
      </c>
      <c r="Q69" t="s">
        <v>7</v>
      </c>
      <c r="R69" t="s">
        <v>6</v>
      </c>
      <c r="S69">
        <v>9</v>
      </c>
      <c r="T69">
        <v>9</v>
      </c>
      <c r="U69">
        <v>283</v>
      </c>
      <c r="V69" t="s">
        <v>0</v>
      </c>
      <c r="W69" t="s">
        <v>5</v>
      </c>
      <c r="X69" t="s">
        <v>5</v>
      </c>
      <c r="Y69" t="s">
        <v>475</v>
      </c>
      <c r="Z69" t="s">
        <v>0</v>
      </c>
      <c r="AA69">
        <v>0</v>
      </c>
      <c r="AB69">
        <v>0</v>
      </c>
      <c r="AC69">
        <v>0</v>
      </c>
      <c r="AD69" t="s">
        <v>61</v>
      </c>
      <c r="AE69" t="s">
        <v>5</v>
      </c>
      <c r="AF69" t="s">
        <v>61</v>
      </c>
      <c r="AG69" t="s">
        <v>139</v>
      </c>
      <c r="AH69">
        <v>25</v>
      </c>
      <c r="AI69" t="s">
        <v>23</v>
      </c>
      <c r="AJ69">
        <v>2</v>
      </c>
      <c r="AK69">
        <v>-53</v>
      </c>
      <c r="AL69">
        <v>0</v>
      </c>
      <c r="AM69" t="s">
        <v>5</v>
      </c>
      <c r="AN69">
        <v>1</v>
      </c>
      <c r="AO69">
        <v>0</v>
      </c>
      <c r="AP69">
        <v>1</v>
      </c>
      <c r="AQ69">
        <v>1</v>
      </c>
    </row>
    <row r="70" spans="1:43" x14ac:dyDescent="0.25">
      <c r="A70" t="s">
        <v>3217</v>
      </c>
      <c r="B70" t="s">
        <v>2098</v>
      </c>
      <c r="C70" t="s">
        <v>3216</v>
      </c>
      <c r="D70" s="1">
        <v>45975</v>
      </c>
      <c r="E70" t="s">
        <v>112</v>
      </c>
      <c r="F70" t="s">
        <v>461</v>
      </c>
      <c r="G70" t="s">
        <v>17</v>
      </c>
      <c r="H70" t="s">
        <v>29</v>
      </c>
      <c r="I70" t="s">
        <v>15</v>
      </c>
      <c r="J70" t="s">
        <v>14</v>
      </c>
      <c r="K70" t="s">
        <v>13</v>
      </c>
      <c r="L70" t="s">
        <v>88</v>
      </c>
      <c r="M70" t="s">
        <v>11</v>
      </c>
      <c r="N70" t="s">
        <v>75</v>
      </c>
      <c r="O70" t="s">
        <v>193</v>
      </c>
      <c r="P70" t="s">
        <v>39</v>
      </c>
      <c r="Q70" t="s">
        <v>7</v>
      </c>
      <c r="R70" t="s">
        <v>6</v>
      </c>
      <c r="S70">
        <v>9</v>
      </c>
      <c r="T70" t="s">
        <v>232</v>
      </c>
      <c r="U70">
        <v>217</v>
      </c>
      <c r="V70" t="s">
        <v>0</v>
      </c>
      <c r="W70" t="s">
        <v>5</v>
      </c>
      <c r="X70" t="s">
        <v>0</v>
      </c>
      <c r="Y70" t="s">
        <v>4</v>
      </c>
      <c r="Z70" t="s">
        <v>5</v>
      </c>
      <c r="AA70">
        <v>171.19</v>
      </c>
      <c r="AB70">
        <v>3.29</v>
      </c>
      <c r="AC70">
        <v>0</v>
      </c>
      <c r="AD70" t="s">
        <v>3</v>
      </c>
      <c r="AE70" t="s">
        <v>0</v>
      </c>
      <c r="AF70" t="s">
        <v>3</v>
      </c>
      <c r="AG70" t="s">
        <v>2</v>
      </c>
      <c r="AI70" t="s">
        <v>23</v>
      </c>
      <c r="AJ70">
        <v>3</v>
      </c>
      <c r="AK70">
        <v>12</v>
      </c>
      <c r="AL70">
        <v>36</v>
      </c>
      <c r="AM70" t="s">
        <v>5</v>
      </c>
      <c r="AN70">
        <v>1</v>
      </c>
      <c r="AO70">
        <v>1</v>
      </c>
      <c r="AP70">
        <v>0</v>
      </c>
      <c r="AQ70">
        <v>1</v>
      </c>
    </row>
    <row r="71" spans="1:43" x14ac:dyDescent="0.25">
      <c r="A71" t="s">
        <v>3648</v>
      </c>
      <c r="B71" t="s">
        <v>3058</v>
      </c>
      <c r="C71" t="s">
        <v>3647</v>
      </c>
      <c r="D71" s="1">
        <v>45779</v>
      </c>
      <c r="E71" t="s">
        <v>95</v>
      </c>
      <c r="F71" t="s">
        <v>94</v>
      </c>
      <c r="G71" t="s">
        <v>17</v>
      </c>
      <c r="H71" t="s">
        <v>77</v>
      </c>
      <c r="I71" t="s">
        <v>15</v>
      </c>
      <c r="J71" t="s">
        <v>14</v>
      </c>
      <c r="K71" t="s">
        <v>13</v>
      </c>
      <c r="L71" t="s">
        <v>117</v>
      </c>
      <c r="M71" t="s">
        <v>11</v>
      </c>
      <c r="N71" t="s">
        <v>75</v>
      </c>
      <c r="O71" t="s">
        <v>26</v>
      </c>
      <c r="P71" t="s">
        <v>25</v>
      </c>
      <c r="Q71" t="s">
        <v>7</v>
      </c>
      <c r="R71" t="s">
        <v>6</v>
      </c>
      <c r="S71">
        <v>4</v>
      </c>
      <c r="T71">
        <v>4</v>
      </c>
      <c r="U71">
        <v>83</v>
      </c>
      <c r="V71" t="s">
        <v>0</v>
      </c>
      <c r="W71" t="s">
        <v>5</v>
      </c>
      <c r="X71" t="s">
        <v>0</v>
      </c>
      <c r="Y71" t="s">
        <v>4</v>
      </c>
      <c r="Z71" t="s">
        <v>5</v>
      </c>
      <c r="AA71">
        <v>219.17</v>
      </c>
      <c r="AB71">
        <v>0.23</v>
      </c>
      <c r="AC71">
        <v>0</v>
      </c>
      <c r="AD71" t="s">
        <v>3</v>
      </c>
      <c r="AE71" t="s">
        <v>0</v>
      </c>
      <c r="AF71" t="s">
        <v>3</v>
      </c>
      <c r="AG71" t="s">
        <v>2</v>
      </c>
      <c r="AI71" t="s">
        <v>23</v>
      </c>
      <c r="AJ71">
        <v>3</v>
      </c>
      <c r="AK71">
        <v>33</v>
      </c>
      <c r="AL71">
        <v>22</v>
      </c>
      <c r="AM71" t="s">
        <v>5</v>
      </c>
      <c r="AN71">
        <v>1</v>
      </c>
      <c r="AO71">
        <v>1</v>
      </c>
      <c r="AP71">
        <v>0</v>
      </c>
      <c r="AQ71">
        <v>1</v>
      </c>
    </row>
    <row r="72" spans="1:43" x14ac:dyDescent="0.25">
      <c r="A72" t="s">
        <v>3646</v>
      </c>
      <c r="B72" t="s">
        <v>3645</v>
      </c>
      <c r="C72" t="s">
        <v>3644</v>
      </c>
      <c r="D72" s="1">
        <v>46164</v>
      </c>
      <c r="E72" t="s">
        <v>95</v>
      </c>
      <c r="F72" t="s">
        <v>118</v>
      </c>
      <c r="G72" t="s">
        <v>17</v>
      </c>
      <c r="H72" t="s">
        <v>43</v>
      </c>
      <c r="I72" t="s">
        <v>15</v>
      </c>
      <c r="J72" t="s">
        <v>14</v>
      </c>
      <c r="K72" t="s">
        <v>13</v>
      </c>
      <c r="L72" t="s">
        <v>64</v>
      </c>
      <c r="M72" t="s">
        <v>11</v>
      </c>
      <c r="N72" t="s">
        <v>93</v>
      </c>
      <c r="O72" t="s">
        <v>26</v>
      </c>
      <c r="P72" t="s">
        <v>39</v>
      </c>
      <c r="Q72" t="s">
        <v>198</v>
      </c>
      <c r="R72" t="s">
        <v>6</v>
      </c>
      <c r="S72">
        <v>4</v>
      </c>
      <c r="T72">
        <v>2</v>
      </c>
      <c r="U72">
        <v>152</v>
      </c>
      <c r="V72" t="s">
        <v>5</v>
      </c>
      <c r="W72" t="s">
        <v>5</v>
      </c>
      <c r="X72" t="s">
        <v>0</v>
      </c>
      <c r="Y72" t="s">
        <v>4</v>
      </c>
      <c r="Z72" t="s">
        <v>5</v>
      </c>
      <c r="AA72">
        <v>150.85</v>
      </c>
      <c r="AB72">
        <v>0</v>
      </c>
      <c r="AC72">
        <v>0</v>
      </c>
      <c r="AD72" t="s">
        <v>3</v>
      </c>
      <c r="AE72" t="s">
        <v>0</v>
      </c>
      <c r="AF72" t="s">
        <v>3</v>
      </c>
      <c r="AG72" t="s">
        <v>2</v>
      </c>
      <c r="AI72" t="s">
        <v>23</v>
      </c>
      <c r="AJ72">
        <v>3</v>
      </c>
      <c r="AK72">
        <v>31</v>
      </c>
      <c r="AL72">
        <v>12</v>
      </c>
      <c r="AM72" t="s">
        <v>0</v>
      </c>
      <c r="AN72">
        <v>1</v>
      </c>
      <c r="AO72">
        <v>1</v>
      </c>
      <c r="AP72">
        <v>0</v>
      </c>
      <c r="AQ72">
        <v>0</v>
      </c>
    </row>
    <row r="73" spans="1:43" x14ac:dyDescent="0.25">
      <c r="A73" t="s">
        <v>3643</v>
      </c>
      <c r="B73" t="s">
        <v>503</v>
      </c>
      <c r="C73" t="s">
        <v>3642</v>
      </c>
      <c r="D73" s="1">
        <v>45677</v>
      </c>
      <c r="E73" t="s">
        <v>32</v>
      </c>
      <c r="F73" t="s">
        <v>31</v>
      </c>
      <c r="G73" t="s">
        <v>17</v>
      </c>
      <c r="H73" t="s">
        <v>77</v>
      </c>
      <c r="I73" t="s">
        <v>28</v>
      </c>
      <c r="J73" t="s">
        <v>146</v>
      </c>
      <c r="K73" t="s">
        <v>145</v>
      </c>
      <c r="L73" t="s">
        <v>64</v>
      </c>
      <c r="M73" t="s">
        <v>11</v>
      </c>
      <c r="N73" t="s">
        <v>75</v>
      </c>
      <c r="O73" t="s">
        <v>9</v>
      </c>
      <c r="P73" t="s">
        <v>63</v>
      </c>
      <c r="Q73" t="s">
        <v>50</v>
      </c>
      <c r="R73" t="s">
        <v>6</v>
      </c>
      <c r="S73">
        <v>7</v>
      </c>
      <c r="T73">
        <v>7</v>
      </c>
      <c r="U73">
        <v>252</v>
      </c>
      <c r="V73" t="s">
        <v>0</v>
      </c>
      <c r="W73" t="s">
        <v>0</v>
      </c>
      <c r="X73" t="s">
        <v>5</v>
      </c>
      <c r="Y73" t="s">
        <v>228</v>
      </c>
      <c r="Z73" t="s">
        <v>0</v>
      </c>
      <c r="AA73">
        <v>0</v>
      </c>
      <c r="AB73">
        <v>0</v>
      </c>
      <c r="AC73">
        <v>0</v>
      </c>
      <c r="AD73" t="s">
        <v>3</v>
      </c>
      <c r="AE73" t="s">
        <v>0</v>
      </c>
      <c r="AF73" t="s">
        <v>3</v>
      </c>
      <c r="AG73" t="s">
        <v>2</v>
      </c>
      <c r="AI73" t="s">
        <v>122</v>
      </c>
      <c r="AJ73">
        <v>2</v>
      </c>
      <c r="AK73">
        <v>-14</v>
      </c>
      <c r="AL73" t="s">
        <v>347</v>
      </c>
      <c r="AM73" t="s">
        <v>5</v>
      </c>
      <c r="AN73">
        <v>0</v>
      </c>
      <c r="AO73">
        <v>0</v>
      </c>
      <c r="AP73">
        <v>1</v>
      </c>
      <c r="AQ73">
        <v>1</v>
      </c>
    </row>
    <row r="74" spans="1:43" x14ac:dyDescent="0.25">
      <c r="A74" t="s">
        <v>3641</v>
      </c>
      <c r="B74" t="s">
        <v>1366</v>
      </c>
      <c r="C74" t="s">
        <v>3640</v>
      </c>
      <c r="D74" s="1">
        <v>45867</v>
      </c>
      <c r="E74" t="s">
        <v>95</v>
      </c>
      <c r="F74" t="s">
        <v>338</v>
      </c>
      <c r="G74" t="s">
        <v>123</v>
      </c>
      <c r="H74" t="s">
        <v>66</v>
      </c>
      <c r="I74" t="s">
        <v>15</v>
      </c>
      <c r="J74" t="s">
        <v>55</v>
      </c>
      <c r="K74" t="s">
        <v>54</v>
      </c>
      <c r="L74" t="s">
        <v>88</v>
      </c>
      <c r="M74" t="s">
        <v>53</v>
      </c>
      <c r="N74" t="s">
        <v>93</v>
      </c>
      <c r="O74" t="s">
        <v>74</v>
      </c>
      <c r="P74" t="s">
        <v>39</v>
      </c>
      <c r="Q74" t="s">
        <v>7</v>
      </c>
      <c r="R74" t="s">
        <v>6</v>
      </c>
      <c r="S74">
        <v>6</v>
      </c>
      <c r="T74">
        <v>6</v>
      </c>
      <c r="U74">
        <v>131</v>
      </c>
      <c r="V74" t="s">
        <v>0</v>
      </c>
      <c r="W74" t="s">
        <v>0</v>
      </c>
      <c r="X74" t="s">
        <v>0</v>
      </c>
      <c r="Y74" t="s">
        <v>4</v>
      </c>
      <c r="Z74" t="s">
        <v>0</v>
      </c>
      <c r="AA74">
        <v>0</v>
      </c>
      <c r="AB74">
        <v>0</v>
      </c>
      <c r="AC74">
        <v>0</v>
      </c>
      <c r="AD74" t="s">
        <v>3</v>
      </c>
      <c r="AE74" t="s">
        <v>0</v>
      </c>
      <c r="AF74" t="s">
        <v>3</v>
      </c>
      <c r="AG74" t="s">
        <v>2</v>
      </c>
      <c r="AI74" t="s">
        <v>23</v>
      </c>
      <c r="AJ74">
        <v>4</v>
      </c>
      <c r="AK74">
        <v>17</v>
      </c>
      <c r="AL74">
        <v>30</v>
      </c>
      <c r="AM74" t="s">
        <v>0</v>
      </c>
      <c r="AN74">
        <v>0</v>
      </c>
      <c r="AO74">
        <v>0</v>
      </c>
      <c r="AP74">
        <v>0</v>
      </c>
      <c r="AQ74">
        <v>0</v>
      </c>
    </row>
    <row r="75" spans="1:43" x14ac:dyDescent="0.25">
      <c r="A75" t="s">
        <v>3639</v>
      </c>
      <c r="B75" t="s">
        <v>3638</v>
      </c>
      <c r="C75" t="s">
        <v>3637</v>
      </c>
      <c r="D75" s="1">
        <v>46056</v>
      </c>
      <c r="E75" t="s">
        <v>79</v>
      </c>
      <c r="F75" t="s">
        <v>206</v>
      </c>
      <c r="G75" t="s">
        <v>110</v>
      </c>
      <c r="H75" t="s">
        <v>43</v>
      </c>
      <c r="I75" t="s">
        <v>28</v>
      </c>
      <c r="J75" t="s">
        <v>14</v>
      </c>
      <c r="K75" t="s">
        <v>13</v>
      </c>
      <c r="L75" t="s">
        <v>64</v>
      </c>
      <c r="M75" t="s">
        <v>11</v>
      </c>
      <c r="N75" t="s">
        <v>93</v>
      </c>
      <c r="O75" t="s">
        <v>51</v>
      </c>
      <c r="P75" t="s">
        <v>39</v>
      </c>
      <c r="Q75" t="s">
        <v>198</v>
      </c>
      <c r="R75" t="s">
        <v>6</v>
      </c>
      <c r="S75">
        <v>6</v>
      </c>
      <c r="T75">
        <v>6</v>
      </c>
      <c r="U75">
        <v>180</v>
      </c>
      <c r="V75" t="s">
        <v>0</v>
      </c>
      <c r="W75" t="s">
        <v>5</v>
      </c>
      <c r="X75" t="s">
        <v>0</v>
      </c>
      <c r="Y75" t="s">
        <v>4</v>
      </c>
      <c r="Z75" t="s">
        <v>0</v>
      </c>
      <c r="AA75">
        <v>0</v>
      </c>
      <c r="AB75">
        <v>0</v>
      </c>
      <c r="AC75">
        <v>0</v>
      </c>
      <c r="AD75" t="s">
        <v>3</v>
      </c>
      <c r="AE75" t="s">
        <v>0</v>
      </c>
      <c r="AF75" t="s">
        <v>3</v>
      </c>
      <c r="AG75" t="s">
        <v>2</v>
      </c>
      <c r="AI75" t="s">
        <v>23</v>
      </c>
      <c r="AJ75">
        <v>3</v>
      </c>
      <c r="AK75">
        <v>15</v>
      </c>
      <c r="AL75">
        <v>34</v>
      </c>
      <c r="AM75" t="s">
        <v>5</v>
      </c>
      <c r="AN75">
        <v>1</v>
      </c>
      <c r="AO75">
        <v>0</v>
      </c>
      <c r="AP75">
        <v>0</v>
      </c>
      <c r="AQ75">
        <v>1</v>
      </c>
    </row>
    <row r="76" spans="1:43" x14ac:dyDescent="0.25">
      <c r="A76" t="s">
        <v>3636</v>
      </c>
      <c r="B76" t="s">
        <v>3635</v>
      </c>
      <c r="C76" t="s">
        <v>3634</v>
      </c>
      <c r="D76" s="1">
        <v>45665</v>
      </c>
      <c r="E76" t="s">
        <v>95</v>
      </c>
      <c r="F76" t="s">
        <v>321</v>
      </c>
      <c r="G76" t="s">
        <v>17</v>
      </c>
      <c r="H76" t="s">
        <v>16</v>
      </c>
      <c r="I76" t="s">
        <v>15</v>
      </c>
      <c r="J76" t="s">
        <v>14</v>
      </c>
      <c r="K76" t="s">
        <v>247</v>
      </c>
      <c r="L76" t="s">
        <v>42</v>
      </c>
      <c r="M76" t="s">
        <v>53</v>
      </c>
      <c r="N76" t="s">
        <v>116</v>
      </c>
      <c r="O76" t="s">
        <v>193</v>
      </c>
      <c r="P76" t="s">
        <v>25</v>
      </c>
      <c r="Q76" t="s">
        <v>7</v>
      </c>
      <c r="R76" t="s">
        <v>6</v>
      </c>
      <c r="S76">
        <v>9</v>
      </c>
      <c r="T76">
        <v>9</v>
      </c>
      <c r="U76">
        <v>191</v>
      </c>
      <c r="V76" t="s">
        <v>0</v>
      </c>
      <c r="W76" t="s">
        <v>0</v>
      </c>
      <c r="X76" t="s">
        <v>181</v>
      </c>
      <c r="Y76" t="s">
        <v>4</v>
      </c>
      <c r="Z76" t="s">
        <v>5</v>
      </c>
      <c r="AA76">
        <v>168.28</v>
      </c>
      <c r="AB76">
        <v>2.71</v>
      </c>
      <c r="AC76">
        <v>0.17</v>
      </c>
      <c r="AD76" t="s">
        <v>3</v>
      </c>
      <c r="AE76" t="s">
        <v>0</v>
      </c>
      <c r="AF76" t="s">
        <v>3</v>
      </c>
      <c r="AG76" t="s">
        <v>2</v>
      </c>
      <c r="AI76" t="s">
        <v>332</v>
      </c>
      <c r="AJ76">
        <v>4</v>
      </c>
      <c r="AK76">
        <v>5</v>
      </c>
      <c r="AL76">
        <v>36</v>
      </c>
      <c r="AM76" t="s">
        <v>0</v>
      </c>
      <c r="AN76">
        <v>0</v>
      </c>
      <c r="AO76">
        <v>1</v>
      </c>
      <c r="AP76">
        <v>0</v>
      </c>
      <c r="AQ76">
        <v>0</v>
      </c>
    </row>
    <row r="77" spans="1:43" x14ac:dyDescent="0.25">
      <c r="A77" t="s">
        <v>3633</v>
      </c>
      <c r="B77" t="s">
        <v>3632</v>
      </c>
      <c r="C77" t="s">
        <v>3631</v>
      </c>
      <c r="D77" s="1">
        <v>45797</v>
      </c>
      <c r="E77" t="s">
        <v>79</v>
      </c>
      <c r="F77" t="s">
        <v>223</v>
      </c>
      <c r="G77" t="s">
        <v>56</v>
      </c>
      <c r="H77" t="s">
        <v>29</v>
      </c>
      <c r="I77" t="s">
        <v>28</v>
      </c>
      <c r="J77" t="s">
        <v>55</v>
      </c>
      <c r="K77" t="s">
        <v>54</v>
      </c>
      <c r="L77" t="s">
        <v>88</v>
      </c>
      <c r="M77" t="s">
        <v>299</v>
      </c>
      <c r="N77" t="s">
        <v>52</v>
      </c>
      <c r="O77" t="s">
        <v>101</v>
      </c>
      <c r="P77" t="s">
        <v>25</v>
      </c>
      <c r="Q77" t="s">
        <v>100</v>
      </c>
      <c r="R77" t="s">
        <v>38</v>
      </c>
      <c r="S77">
        <v>4</v>
      </c>
      <c r="T77">
        <v>4</v>
      </c>
      <c r="U77">
        <v>91</v>
      </c>
      <c r="V77" t="s">
        <v>0</v>
      </c>
      <c r="W77" t="s">
        <v>5</v>
      </c>
      <c r="X77" t="s">
        <v>0</v>
      </c>
      <c r="Y77" t="s">
        <v>4</v>
      </c>
      <c r="Z77" t="s">
        <v>5</v>
      </c>
      <c r="AA77">
        <v>81.63</v>
      </c>
      <c r="AB77">
        <v>0.46</v>
      </c>
      <c r="AC77">
        <v>0</v>
      </c>
      <c r="AD77" t="s">
        <v>3</v>
      </c>
      <c r="AE77" t="s">
        <v>0</v>
      </c>
      <c r="AF77" t="s">
        <v>3</v>
      </c>
      <c r="AG77" t="s">
        <v>2</v>
      </c>
      <c r="AI77" t="s">
        <v>23</v>
      </c>
      <c r="AJ77">
        <v>4</v>
      </c>
      <c r="AK77">
        <v>29</v>
      </c>
      <c r="AL77">
        <v>18</v>
      </c>
      <c r="AM77" t="s">
        <v>5</v>
      </c>
      <c r="AN77">
        <v>1</v>
      </c>
      <c r="AO77">
        <v>1</v>
      </c>
      <c r="AP77">
        <v>0</v>
      </c>
      <c r="AQ77">
        <v>1</v>
      </c>
    </row>
    <row r="78" spans="1:43" x14ac:dyDescent="0.25">
      <c r="A78" t="s">
        <v>3630</v>
      </c>
      <c r="B78" t="s">
        <v>3629</v>
      </c>
      <c r="C78" t="s">
        <v>3628</v>
      </c>
      <c r="D78" s="1">
        <v>46090</v>
      </c>
      <c r="E78" t="s">
        <v>45</v>
      </c>
      <c r="F78" t="s">
        <v>44</v>
      </c>
      <c r="G78" t="s">
        <v>83</v>
      </c>
      <c r="H78" t="s">
        <v>77</v>
      </c>
      <c r="I78" t="s">
        <v>28</v>
      </c>
      <c r="J78" t="s">
        <v>55</v>
      </c>
      <c r="K78" t="s">
        <v>54</v>
      </c>
      <c r="L78" t="s">
        <v>64</v>
      </c>
      <c r="M78" t="s">
        <v>27</v>
      </c>
      <c r="N78" t="s">
        <v>75</v>
      </c>
      <c r="O78" t="s">
        <v>51</v>
      </c>
      <c r="P78" t="s">
        <v>63</v>
      </c>
      <c r="Q78" t="s">
        <v>7</v>
      </c>
      <c r="R78" t="s">
        <v>6</v>
      </c>
      <c r="S78">
        <v>6</v>
      </c>
      <c r="T78">
        <v>5</v>
      </c>
      <c r="U78">
        <v>183</v>
      </c>
      <c r="V78" t="s">
        <v>5</v>
      </c>
      <c r="W78" t="s">
        <v>0</v>
      </c>
      <c r="X78" t="s">
        <v>0</v>
      </c>
      <c r="Y78" t="s">
        <v>4</v>
      </c>
      <c r="Z78" t="s">
        <v>5</v>
      </c>
      <c r="AA78">
        <v>69.44</v>
      </c>
      <c r="AB78">
        <v>0.1</v>
      </c>
      <c r="AC78">
        <v>0.37</v>
      </c>
      <c r="AD78" t="s">
        <v>3</v>
      </c>
      <c r="AE78" t="s">
        <v>0</v>
      </c>
      <c r="AF78" t="s">
        <v>3</v>
      </c>
      <c r="AG78" t="s">
        <v>2</v>
      </c>
      <c r="AI78" t="s">
        <v>129</v>
      </c>
      <c r="AJ78">
        <v>2</v>
      </c>
      <c r="AK78">
        <v>-3</v>
      </c>
      <c r="AL78" t="s">
        <v>347</v>
      </c>
      <c r="AM78" t="s">
        <v>5</v>
      </c>
      <c r="AN78">
        <v>0</v>
      </c>
      <c r="AO78">
        <v>1</v>
      </c>
      <c r="AP78">
        <v>0</v>
      </c>
      <c r="AQ78">
        <v>1</v>
      </c>
    </row>
    <row r="79" spans="1:43" x14ac:dyDescent="0.25">
      <c r="A79" t="s">
        <v>3627</v>
      </c>
      <c r="B79" t="s">
        <v>3626</v>
      </c>
      <c r="C79" t="s">
        <v>3625</v>
      </c>
      <c r="D79" s="1">
        <v>45757</v>
      </c>
      <c r="E79" t="s">
        <v>95</v>
      </c>
      <c r="F79" t="s">
        <v>321</v>
      </c>
      <c r="G79" t="s">
        <v>56</v>
      </c>
      <c r="H79" t="s">
        <v>29</v>
      </c>
      <c r="I79" t="s">
        <v>15</v>
      </c>
      <c r="J79" t="s">
        <v>146</v>
      </c>
      <c r="K79" t="s">
        <v>145</v>
      </c>
      <c r="L79" t="s">
        <v>117</v>
      </c>
      <c r="M79" t="s">
        <v>11</v>
      </c>
      <c r="N79" t="s">
        <v>41</v>
      </c>
      <c r="O79" t="s">
        <v>199</v>
      </c>
      <c r="P79" t="s">
        <v>25</v>
      </c>
      <c r="Q79" t="s">
        <v>24</v>
      </c>
      <c r="R79" t="s">
        <v>6</v>
      </c>
      <c r="S79">
        <v>5</v>
      </c>
      <c r="T79" t="s">
        <v>479</v>
      </c>
      <c r="U79">
        <v>148</v>
      </c>
      <c r="V79" t="s">
        <v>0</v>
      </c>
      <c r="W79" t="s">
        <v>5</v>
      </c>
      <c r="X79" t="s">
        <v>0</v>
      </c>
      <c r="Y79" t="s">
        <v>4</v>
      </c>
      <c r="Z79" t="s">
        <v>5</v>
      </c>
      <c r="AA79">
        <v>113.18</v>
      </c>
      <c r="AB79">
        <v>0</v>
      </c>
      <c r="AC79">
        <v>0</v>
      </c>
      <c r="AD79" t="s">
        <v>3</v>
      </c>
      <c r="AE79" t="s">
        <v>0</v>
      </c>
      <c r="AF79" t="s">
        <v>3</v>
      </c>
      <c r="AG79" t="s">
        <v>2</v>
      </c>
      <c r="AI79" t="s">
        <v>23</v>
      </c>
      <c r="AJ79">
        <v>5</v>
      </c>
      <c r="AK79">
        <v>49</v>
      </c>
      <c r="AL79">
        <v>49</v>
      </c>
      <c r="AM79" t="s">
        <v>5</v>
      </c>
      <c r="AN79">
        <v>1</v>
      </c>
      <c r="AO79">
        <v>1</v>
      </c>
      <c r="AP79">
        <v>0</v>
      </c>
      <c r="AQ79">
        <v>1</v>
      </c>
    </row>
    <row r="80" spans="1:43" x14ac:dyDescent="0.25">
      <c r="A80" t="s">
        <v>3624</v>
      </c>
      <c r="B80" t="s">
        <v>1825</v>
      </c>
      <c r="C80" t="s">
        <v>3623</v>
      </c>
      <c r="D80" s="1">
        <v>45898</v>
      </c>
      <c r="E80" t="s">
        <v>32</v>
      </c>
      <c r="F80" t="s">
        <v>107</v>
      </c>
      <c r="G80" t="s">
        <v>17</v>
      </c>
      <c r="H80" t="s">
        <v>77</v>
      </c>
      <c r="I80" t="s">
        <v>28</v>
      </c>
      <c r="J80" t="s">
        <v>146</v>
      </c>
      <c r="K80" t="s">
        <v>145</v>
      </c>
      <c r="L80" t="s">
        <v>64</v>
      </c>
      <c r="M80" t="s">
        <v>11</v>
      </c>
      <c r="N80" t="s">
        <v>52</v>
      </c>
      <c r="O80" t="s">
        <v>26</v>
      </c>
      <c r="P80" t="s">
        <v>25</v>
      </c>
      <c r="Q80" t="s">
        <v>7</v>
      </c>
      <c r="R80" t="s">
        <v>6</v>
      </c>
      <c r="S80">
        <v>4</v>
      </c>
      <c r="T80">
        <v>4</v>
      </c>
      <c r="U80">
        <v>93</v>
      </c>
      <c r="V80" t="s">
        <v>0</v>
      </c>
      <c r="W80" t="s">
        <v>0</v>
      </c>
      <c r="X80" t="s">
        <v>5</v>
      </c>
      <c r="Y80" t="s">
        <v>355</v>
      </c>
      <c r="Z80" t="s">
        <v>0</v>
      </c>
      <c r="AA80">
        <v>0</v>
      </c>
      <c r="AB80">
        <v>0</v>
      </c>
      <c r="AC80">
        <v>0</v>
      </c>
      <c r="AD80" t="s">
        <v>3</v>
      </c>
      <c r="AE80" t="s">
        <v>0</v>
      </c>
      <c r="AF80" t="s">
        <v>3</v>
      </c>
      <c r="AG80" t="s">
        <v>2</v>
      </c>
      <c r="AI80" t="s">
        <v>23</v>
      </c>
      <c r="AJ80">
        <v>2</v>
      </c>
      <c r="AK80">
        <v>-8</v>
      </c>
      <c r="AL80">
        <v>58</v>
      </c>
      <c r="AM80" t="s">
        <v>5</v>
      </c>
      <c r="AN80">
        <v>0</v>
      </c>
      <c r="AO80">
        <v>0</v>
      </c>
      <c r="AP80">
        <v>1</v>
      </c>
      <c r="AQ80">
        <v>1</v>
      </c>
    </row>
    <row r="81" spans="1:43" x14ac:dyDescent="0.25">
      <c r="A81" t="s">
        <v>3622</v>
      </c>
      <c r="B81" t="s">
        <v>2521</v>
      </c>
      <c r="C81" t="s">
        <v>3621</v>
      </c>
      <c r="D81" s="1">
        <v>45854</v>
      </c>
      <c r="E81" t="s">
        <v>162</v>
      </c>
      <c r="F81" t="s">
        <v>540</v>
      </c>
      <c r="G81" t="s">
        <v>30</v>
      </c>
      <c r="H81" t="s">
        <v>77</v>
      </c>
      <c r="I81" t="s">
        <v>28</v>
      </c>
      <c r="J81" t="s">
        <v>14</v>
      </c>
      <c r="K81" t="s">
        <v>13</v>
      </c>
      <c r="L81" t="s">
        <v>88</v>
      </c>
      <c r="M81" t="s">
        <v>11</v>
      </c>
      <c r="N81" t="s">
        <v>10</v>
      </c>
      <c r="O81" t="s">
        <v>199</v>
      </c>
      <c r="P81" t="s">
        <v>39</v>
      </c>
      <c r="Q81" t="s">
        <v>7</v>
      </c>
      <c r="R81" t="s">
        <v>6</v>
      </c>
      <c r="S81">
        <v>5</v>
      </c>
      <c r="T81">
        <v>5</v>
      </c>
      <c r="U81">
        <v>110</v>
      </c>
      <c r="V81" t="s">
        <v>0</v>
      </c>
      <c r="W81" t="s">
        <v>0</v>
      </c>
      <c r="X81" t="s">
        <v>0</v>
      </c>
      <c r="Y81" t="s">
        <v>4</v>
      </c>
      <c r="Z81" t="s">
        <v>0</v>
      </c>
      <c r="AA81">
        <v>0</v>
      </c>
      <c r="AB81">
        <v>0</v>
      </c>
      <c r="AC81">
        <v>0</v>
      </c>
      <c r="AD81" t="s">
        <v>3</v>
      </c>
      <c r="AE81" t="s">
        <v>0</v>
      </c>
      <c r="AF81" t="s">
        <v>3</v>
      </c>
      <c r="AG81" t="s">
        <v>2</v>
      </c>
      <c r="AI81" t="s">
        <v>23</v>
      </c>
      <c r="AJ81">
        <v>5</v>
      </c>
      <c r="AK81">
        <v>-14</v>
      </c>
      <c r="AL81">
        <v>1</v>
      </c>
      <c r="AM81" t="s">
        <v>5</v>
      </c>
      <c r="AN81">
        <v>0</v>
      </c>
      <c r="AO81">
        <v>0</v>
      </c>
      <c r="AP81">
        <v>0</v>
      </c>
      <c r="AQ81">
        <v>1</v>
      </c>
    </row>
    <row r="82" spans="1:43" x14ac:dyDescent="0.25">
      <c r="A82" t="s">
        <v>3620</v>
      </c>
      <c r="B82" t="s">
        <v>2538</v>
      </c>
      <c r="C82" t="s">
        <v>3619</v>
      </c>
      <c r="D82" s="1">
        <v>46131</v>
      </c>
      <c r="E82" t="s">
        <v>162</v>
      </c>
      <c r="F82" t="s">
        <v>310</v>
      </c>
      <c r="G82" t="s">
        <v>110</v>
      </c>
      <c r="H82" t="s">
        <v>77</v>
      </c>
      <c r="I82" t="s">
        <v>28</v>
      </c>
      <c r="J82" t="s">
        <v>55</v>
      </c>
      <c r="K82" t="s">
        <v>54</v>
      </c>
      <c r="L82" t="s">
        <v>88</v>
      </c>
      <c r="M82" t="s">
        <v>11</v>
      </c>
      <c r="N82" t="s">
        <v>52</v>
      </c>
      <c r="O82" t="s">
        <v>130</v>
      </c>
      <c r="P82" t="s">
        <v>39</v>
      </c>
      <c r="Q82" t="s">
        <v>198</v>
      </c>
      <c r="R82" t="s">
        <v>6</v>
      </c>
      <c r="S82">
        <v>5</v>
      </c>
      <c r="T82" t="s">
        <v>277</v>
      </c>
      <c r="U82">
        <v>171</v>
      </c>
      <c r="V82" t="s">
        <v>0</v>
      </c>
      <c r="W82" t="s">
        <v>5</v>
      </c>
      <c r="X82" t="s">
        <v>5</v>
      </c>
      <c r="Y82" t="s">
        <v>166</v>
      </c>
      <c r="Z82" t="s">
        <v>0</v>
      </c>
      <c r="AA82">
        <v>0</v>
      </c>
      <c r="AB82">
        <v>0</v>
      </c>
      <c r="AC82">
        <v>0</v>
      </c>
      <c r="AD82" t="s">
        <v>3</v>
      </c>
      <c r="AE82" t="s">
        <v>0</v>
      </c>
      <c r="AF82" t="s">
        <v>3</v>
      </c>
      <c r="AG82" t="s">
        <v>2</v>
      </c>
      <c r="AI82" t="s">
        <v>23</v>
      </c>
      <c r="AJ82">
        <v>4</v>
      </c>
      <c r="AK82">
        <v>-48</v>
      </c>
      <c r="AL82" t="s">
        <v>440</v>
      </c>
      <c r="AM82" t="s">
        <v>5</v>
      </c>
      <c r="AN82">
        <v>1</v>
      </c>
      <c r="AO82">
        <v>0</v>
      </c>
      <c r="AP82">
        <v>1</v>
      </c>
      <c r="AQ82">
        <v>1</v>
      </c>
    </row>
    <row r="83" spans="1:43" x14ac:dyDescent="0.25">
      <c r="A83" t="s">
        <v>3618</v>
      </c>
      <c r="B83" t="s">
        <v>2370</v>
      </c>
      <c r="C83" t="s">
        <v>3617</v>
      </c>
      <c r="D83" s="1">
        <v>45895</v>
      </c>
      <c r="E83" t="s">
        <v>45</v>
      </c>
      <c r="F83" t="s">
        <v>57</v>
      </c>
      <c r="G83" t="s">
        <v>17</v>
      </c>
      <c r="H83" t="s">
        <v>77</v>
      </c>
      <c r="I83" t="s">
        <v>147</v>
      </c>
      <c r="J83" t="s">
        <v>14</v>
      </c>
      <c r="K83" t="s">
        <v>13</v>
      </c>
      <c r="L83" t="s">
        <v>88</v>
      </c>
      <c r="M83" t="s">
        <v>53</v>
      </c>
      <c r="N83" t="s">
        <v>41</v>
      </c>
      <c r="O83" t="s">
        <v>199</v>
      </c>
      <c r="P83" t="s">
        <v>39</v>
      </c>
      <c r="Q83" t="s">
        <v>7</v>
      </c>
      <c r="R83" t="s">
        <v>6</v>
      </c>
      <c r="S83">
        <v>5</v>
      </c>
      <c r="T83">
        <v>5</v>
      </c>
      <c r="U83">
        <v>110</v>
      </c>
      <c r="V83" t="s">
        <v>0</v>
      </c>
      <c r="W83" t="s">
        <v>0</v>
      </c>
      <c r="X83" t="s">
        <v>0</v>
      </c>
      <c r="Y83" t="s">
        <v>4</v>
      </c>
      <c r="Z83" t="s">
        <v>0</v>
      </c>
      <c r="AA83">
        <v>0</v>
      </c>
      <c r="AB83">
        <v>0</v>
      </c>
      <c r="AC83">
        <v>0</v>
      </c>
      <c r="AD83" t="s">
        <v>37</v>
      </c>
      <c r="AE83" t="s">
        <v>5</v>
      </c>
      <c r="AF83" t="s">
        <v>37</v>
      </c>
      <c r="AG83" t="s">
        <v>36</v>
      </c>
      <c r="AH83">
        <v>33</v>
      </c>
      <c r="AJ83">
        <v>4</v>
      </c>
      <c r="AK83">
        <v>2</v>
      </c>
      <c r="AL83" t="s">
        <v>3616</v>
      </c>
      <c r="AM83" t="s">
        <v>5</v>
      </c>
      <c r="AN83">
        <v>0</v>
      </c>
      <c r="AO83">
        <v>0</v>
      </c>
      <c r="AP83">
        <v>0</v>
      </c>
      <c r="AQ83">
        <v>1</v>
      </c>
    </row>
    <row r="84" spans="1:43" x14ac:dyDescent="0.25">
      <c r="A84" t="s">
        <v>3615</v>
      </c>
      <c r="B84" t="s">
        <v>3614</v>
      </c>
      <c r="C84" t="s">
        <v>3613</v>
      </c>
      <c r="D84" s="1">
        <v>46114</v>
      </c>
      <c r="E84" t="s">
        <v>168</v>
      </c>
      <c r="F84" t="s">
        <v>167</v>
      </c>
      <c r="G84" t="s">
        <v>30</v>
      </c>
      <c r="H84" t="s">
        <v>77</v>
      </c>
      <c r="I84" t="s">
        <v>28</v>
      </c>
      <c r="J84" t="s">
        <v>55</v>
      </c>
      <c r="K84" t="s">
        <v>54</v>
      </c>
      <c r="L84" t="s">
        <v>12</v>
      </c>
      <c r="M84" t="s">
        <v>11</v>
      </c>
      <c r="N84" t="s">
        <v>93</v>
      </c>
      <c r="O84" t="s">
        <v>130</v>
      </c>
      <c r="P84" t="s">
        <v>39</v>
      </c>
      <c r="Q84" t="s">
        <v>50</v>
      </c>
      <c r="R84" t="s">
        <v>38</v>
      </c>
      <c r="S84">
        <v>5</v>
      </c>
      <c r="T84">
        <v>5</v>
      </c>
      <c r="U84">
        <v>149</v>
      </c>
      <c r="V84" t="s">
        <v>0</v>
      </c>
      <c r="W84" t="s">
        <v>5</v>
      </c>
      <c r="X84" t="s">
        <v>0</v>
      </c>
      <c r="Y84" t="s">
        <v>4</v>
      </c>
      <c r="Z84" t="s">
        <v>5</v>
      </c>
      <c r="AA84">
        <v>63.91</v>
      </c>
      <c r="AB84">
        <v>0</v>
      </c>
      <c r="AC84">
        <v>0</v>
      </c>
      <c r="AD84" t="s">
        <v>3</v>
      </c>
      <c r="AE84" t="s">
        <v>0</v>
      </c>
      <c r="AF84" t="s">
        <v>3</v>
      </c>
      <c r="AG84" t="s">
        <v>2</v>
      </c>
      <c r="AI84" t="s">
        <v>23</v>
      </c>
      <c r="AJ84">
        <v>5</v>
      </c>
      <c r="AK84">
        <v>61</v>
      </c>
      <c r="AL84">
        <v>7</v>
      </c>
      <c r="AM84" t="s">
        <v>0</v>
      </c>
      <c r="AN84">
        <v>1</v>
      </c>
      <c r="AO84">
        <v>1</v>
      </c>
      <c r="AP84">
        <v>0</v>
      </c>
      <c r="AQ84">
        <v>0</v>
      </c>
    </row>
    <row r="85" spans="1:43" x14ac:dyDescent="0.25">
      <c r="A85" t="s">
        <v>3612</v>
      </c>
      <c r="B85" t="s">
        <v>3611</v>
      </c>
      <c r="C85" t="s">
        <v>3610</v>
      </c>
      <c r="D85" s="1">
        <v>45945</v>
      </c>
      <c r="E85" t="s">
        <v>149</v>
      </c>
      <c r="F85" t="s">
        <v>183</v>
      </c>
      <c r="G85" t="s">
        <v>30</v>
      </c>
      <c r="H85" t="s">
        <v>29</v>
      </c>
      <c r="I85" t="s">
        <v>15</v>
      </c>
      <c r="J85" t="s">
        <v>55</v>
      </c>
      <c r="K85" t="s">
        <v>54</v>
      </c>
      <c r="L85" t="s">
        <v>12</v>
      </c>
      <c r="M85" t="s">
        <v>11</v>
      </c>
      <c r="N85" t="s">
        <v>154</v>
      </c>
      <c r="O85" t="s">
        <v>9</v>
      </c>
      <c r="P85" t="s">
        <v>8</v>
      </c>
      <c r="Q85" t="s">
        <v>100</v>
      </c>
      <c r="R85" t="s">
        <v>38</v>
      </c>
      <c r="S85">
        <v>7</v>
      </c>
      <c r="T85">
        <v>6</v>
      </c>
      <c r="U85">
        <v>254</v>
      </c>
      <c r="V85" t="s">
        <v>5</v>
      </c>
      <c r="W85" t="s">
        <v>0</v>
      </c>
      <c r="X85" t="s">
        <v>0</v>
      </c>
      <c r="Y85" t="s">
        <v>4</v>
      </c>
      <c r="Z85" t="s">
        <v>5</v>
      </c>
      <c r="AA85">
        <v>0</v>
      </c>
      <c r="AB85">
        <v>0</v>
      </c>
      <c r="AC85">
        <v>0</v>
      </c>
      <c r="AD85" t="s">
        <v>3</v>
      </c>
      <c r="AE85" t="s">
        <v>0</v>
      </c>
      <c r="AF85" t="s">
        <v>3</v>
      </c>
      <c r="AG85" t="s">
        <v>2</v>
      </c>
      <c r="AI85" t="s">
        <v>1</v>
      </c>
      <c r="AJ85">
        <v>2</v>
      </c>
      <c r="AK85">
        <v>-20</v>
      </c>
      <c r="AL85">
        <v>57</v>
      </c>
      <c r="AM85" t="s">
        <v>5</v>
      </c>
      <c r="AN85">
        <v>0</v>
      </c>
      <c r="AO85">
        <v>1</v>
      </c>
      <c r="AP85">
        <v>0</v>
      </c>
      <c r="AQ85">
        <v>1</v>
      </c>
    </row>
    <row r="86" spans="1:43" x14ac:dyDescent="0.25">
      <c r="A86" t="s">
        <v>3609</v>
      </c>
      <c r="B86" t="s">
        <v>3608</v>
      </c>
      <c r="C86" t="s">
        <v>3607</v>
      </c>
      <c r="D86" s="1">
        <v>46149</v>
      </c>
      <c r="E86" t="s">
        <v>168</v>
      </c>
      <c r="F86" t="s">
        <v>233</v>
      </c>
      <c r="G86" t="s">
        <v>56</v>
      </c>
      <c r="H86" t="s">
        <v>16</v>
      </c>
      <c r="I86" t="s">
        <v>28</v>
      </c>
      <c r="J86" t="s">
        <v>55</v>
      </c>
      <c r="K86" t="s">
        <v>54</v>
      </c>
      <c r="L86" t="s">
        <v>64</v>
      </c>
      <c r="M86" t="s">
        <v>11</v>
      </c>
      <c r="N86" t="s">
        <v>93</v>
      </c>
      <c r="O86" t="s">
        <v>9</v>
      </c>
      <c r="P86" t="s">
        <v>8</v>
      </c>
      <c r="Q86" t="s">
        <v>50</v>
      </c>
      <c r="R86" t="s">
        <v>38</v>
      </c>
      <c r="S86">
        <v>7</v>
      </c>
      <c r="T86">
        <v>7</v>
      </c>
      <c r="U86">
        <v>166</v>
      </c>
      <c r="V86" t="s">
        <v>0</v>
      </c>
      <c r="W86" t="s">
        <v>0</v>
      </c>
      <c r="X86" t="s">
        <v>0</v>
      </c>
      <c r="Y86" t="s">
        <v>4</v>
      </c>
      <c r="Z86" t="s">
        <v>5</v>
      </c>
      <c r="AA86">
        <v>0</v>
      </c>
      <c r="AB86">
        <v>0</v>
      </c>
      <c r="AC86">
        <v>0</v>
      </c>
      <c r="AD86" t="s">
        <v>3</v>
      </c>
      <c r="AE86" t="s">
        <v>0</v>
      </c>
      <c r="AF86" t="s">
        <v>3</v>
      </c>
      <c r="AG86" t="s">
        <v>2</v>
      </c>
      <c r="AI86" t="s">
        <v>23</v>
      </c>
      <c r="AJ86">
        <v>3</v>
      </c>
      <c r="AK86">
        <v>-14</v>
      </c>
      <c r="AL86">
        <v>9</v>
      </c>
      <c r="AM86" t="s">
        <v>0</v>
      </c>
      <c r="AN86">
        <v>0</v>
      </c>
      <c r="AO86">
        <v>1</v>
      </c>
      <c r="AP86">
        <v>0</v>
      </c>
      <c r="AQ86">
        <v>0</v>
      </c>
    </row>
    <row r="87" spans="1:43" x14ac:dyDescent="0.25">
      <c r="A87" t="s">
        <v>3606</v>
      </c>
      <c r="B87" t="s">
        <v>1718</v>
      </c>
      <c r="C87" t="s">
        <v>3605</v>
      </c>
      <c r="D87" s="1">
        <v>45954</v>
      </c>
      <c r="E87" t="s">
        <v>32</v>
      </c>
      <c r="F87" t="s">
        <v>356</v>
      </c>
      <c r="G87" t="s">
        <v>56</v>
      </c>
      <c r="H87" t="s">
        <v>237</v>
      </c>
      <c r="I87" t="s">
        <v>28</v>
      </c>
      <c r="J87" t="s">
        <v>146</v>
      </c>
      <c r="K87" t="s">
        <v>176</v>
      </c>
      <c r="L87" t="s">
        <v>64</v>
      </c>
      <c r="M87" t="s">
        <v>11</v>
      </c>
      <c r="N87" t="s">
        <v>154</v>
      </c>
      <c r="O87" t="s">
        <v>51</v>
      </c>
      <c r="P87" t="s">
        <v>8</v>
      </c>
      <c r="Q87" t="s">
        <v>198</v>
      </c>
      <c r="R87" t="s">
        <v>38</v>
      </c>
      <c r="S87">
        <v>6</v>
      </c>
      <c r="T87">
        <v>6</v>
      </c>
      <c r="U87">
        <v>157</v>
      </c>
      <c r="V87" t="s">
        <v>0</v>
      </c>
      <c r="W87" t="s">
        <v>5</v>
      </c>
      <c r="X87" t="s">
        <v>0</v>
      </c>
      <c r="Y87" t="s">
        <v>4</v>
      </c>
      <c r="Z87" t="s">
        <v>5</v>
      </c>
      <c r="AA87">
        <v>69.569999999999993</v>
      </c>
      <c r="AB87">
        <v>0.11</v>
      </c>
      <c r="AC87">
        <v>0</v>
      </c>
      <c r="AD87" t="s">
        <v>3</v>
      </c>
      <c r="AE87" t="s">
        <v>0</v>
      </c>
      <c r="AF87" t="s">
        <v>3</v>
      </c>
      <c r="AG87" t="s">
        <v>2</v>
      </c>
      <c r="AI87" t="s">
        <v>23</v>
      </c>
      <c r="AJ87">
        <v>4</v>
      </c>
      <c r="AK87">
        <v>-8</v>
      </c>
      <c r="AL87">
        <v>56</v>
      </c>
      <c r="AM87" t="s">
        <v>5</v>
      </c>
      <c r="AN87">
        <v>1</v>
      </c>
      <c r="AO87">
        <v>1</v>
      </c>
      <c r="AP87">
        <v>0</v>
      </c>
      <c r="AQ87">
        <v>1</v>
      </c>
    </row>
    <row r="88" spans="1:43" x14ac:dyDescent="0.25">
      <c r="A88" t="s">
        <v>3604</v>
      </c>
      <c r="B88" t="s">
        <v>1283</v>
      </c>
      <c r="C88" t="s">
        <v>3603</v>
      </c>
      <c r="D88" s="1">
        <v>45910</v>
      </c>
      <c r="E88" t="s">
        <v>95</v>
      </c>
      <c r="F88" t="s">
        <v>270</v>
      </c>
      <c r="G88" t="s">
        <v>83</v>
      </c>
      <c r="H88" t="s">
        <v>77</v>
      </c>
      <c r="I88" t="s">
        <v>28</v>
      </c>
      <c r="J88" t="s">
        <v>14</v>
      </c>
      <c r="K88" t="s">
        <v>13</v>
      </c>
      <c r="L88" t="s">
        <v>64</v>
      </c>
      <c r="M88" t="s">
        <v>11</v>
      </c>
      <c r="N88" t="s">
        <v>154</v>
      </c>
      <c r="O88" t="s">
        <v>26</v>
      </c>
      <c r="P88" t="s">
        <v>8</v>
      </c>
      <c r="Q88" t="s">
        <v>24</v>
      </c>
      <c r="R88" t="s">
        <v>6</v>
      </c>
      <c r="S88" t="s">
        <v>99</v>
      </c>
      <c r="T88">
        <v>4</v>
      </c>
      <c r="U88">
        <v>90</v>
      </c>
      <c r="V88" t="s">
        <v>0</v>
      </c>
      <c r="W88" t="s">
        <v>0</v>
      </c>
      <c r="X88" t="s">
        <v>5</v>
      </c>
      <c r="Y88" t="s">
        <v>144</v>
      </c>
      <c r="Z88" t="s">
        <v>0</v>
      </c>
      <c r="AA88">
        <v>0</v>
      </c>
      <c r="AB88">
        <v>0</v>
      </c>
      <c r="AC88">
        <v>0</v>
      </c>
      <c r="AD88" t="s">
        <v>3</v>
      </c>
      <c r="AE88" t="s">
        <v>0</v>
      </c>
      <c r="AF88" t="s">
        <v>3</v>
      </c>
      <c r="AG88" t="s">
        <v>2</v>
      </c>
      <c r="AI88" t="s">
        <v>1</v>
      </c>
      <c r="AJ88">
        <v>3</v>
      </c>
      <c r="AK88">
        <v>-2</v>
      </c>
      <c r="AL88">
        <v>1</v>
      </c>
      <c r="AM88" t="s">
        <v>0</v>
      </c>
      <c r="AN88">
        <v>0</v>
      </c>
      <c r="AO88">
        <v>0</v>
      </c>
      <c r="AP88">
        <v>1</v>
      </c>
      <c r="AQ88">
        <v>0</v>
      </c>
    </row>
    <row r="89" spans="1:43" x14ac:dyDescent="0.25">
      <c r="A89" t="s">
        <v>3602</v>
      </c>
      <c r="B89" t="s">
        <v>2692</v>
      </c>
      <c r="C89" t="s">
        <v>3601</v>
      </c>
      <c r="D89" s="1">
        <v>46051</v>
      </c>
      <c r="E89" t="s">
        <v>125</v>
      </c>
      <c r="F89" t="s">
        <v>132</v>
      </c>
      <c r="G89" t="s">
        <v>131</v>
      </c>
      <c r="H89" t="s">
        <v>16</v>
      </c>
      <c r="I89" t="s">
        <v>15</v>
      </c>
      <c r="J89" t="s">
        <v>14</v>
      </c>
      <c r="K89" t="s">
        <v>13</v>
      </c>
      <c r="L89" t="s">
        <v>64</v>
      </c>
      <c r="M89" t="s">
        <v>11</v>
      </c>
      <c r="N89" t="s">
        <v>52</v>
      </c>
      <c r="O89" t="s">
        <v>130</v>
      </c>
      <c r="P89" t="s">
        <v>25</v>
      </c>
      <c r="Q89" t="s">
        <v>7</v>
      </c>
      <c r="R89" t="s">
        <v>6</v>
      </c>
      <c r="S89">
        <v>5</v>
      </c>
      <c r="T89">
        <v>4</v>
      </c>
      <c r="U89">
        <v>191</v>
      </c>
      <c r="V89" t="s">
        <v>5</v>
      </c>
      <c r="W89" t="s">
        <v>0</v>
      </c>
      <c r="X89" t="s">
        <v>0</v>
      </c>
      <c r="Y89" t="s">
        <v>4</v>
      </c>
      <c r="Z89" t="s">
        <v>5</v>
      </c>
      <c r="AA89">
        <v>59.68</v>
      </c>
      <c r="AB89">
        <v>0</v>
      </c>
      <c r="AC89">
        <v>0</v>
      </c>
      <c r="AD89" t="s">
        <v>3</v>
      </c>
      <c r="AE89" t="s">
        <v>0</v>
      </c>
      <c r="AF89" t="s">
        <v>3</v>
      </c>
      <c r="AG89" t="s">
        <v>2</v>
      </c>
      <c r="AI89" t="s">
        <v>129</v>
      </c>
      <c r="AJ89">
        <v>2</v>
      </c>
      <c r="AK89">
        <v>-13</v>
      </c>
      <c r="AL89">
        <v>29</v>
      </c>
      <c r="AM89" t="s">
        <v>5</v>
      </c>
      <c r="AN89">
        <v>0</v>
      </c>
      <c r="AO89">
        <v>1</v>
      </c>
      <c r="AP89">
        <v>0</v>
      </c>
      <c r="AQ89">
        <v>1</v>
      </c>
    </row>
    <row r="90" spans="1:43" x14ac:dyDescent="0.25">
      <c r="A90" t="s">
        <v>3600</v>
      </c>
      <c r="B90" t="s">
        <v>3599</v>
      </c>
      <c r="C90" t="s">
        <v>3598</v>
      </c>
      <c r="D90" s="1">
        <v>45782</v>
      </c>
      <c r="E90" t="s">
        <v>68</v>
      </c>
      <c r="F90" t="s">
        <v>278</v>
      </c>
      <c r="G90" t="s">
        <v>17</v>
      </c>
      <c r="H90" t="s">
        <v>16</v>
      </c>
      <c r="I90" t="s">
        <v>15</v>
      </c>
      <c r="J90" t="s">
        <v>55</v>
      </c>
      <c r="K90" t="s">
        <v>54</v>
      </c>
      <c r="L90" t="s">
        <v>64</v>
      </c>
      <c r="M90" t="s">
        <v>11</v>
      </c>
      <c r="N90" t="s">
        <v>75</v>
      </c>
      <c r="O90" t="s">
        <v>193</v>
      </c>
      <c r="P90" t="s">
        <v>39</v>
      </c>
      <c r="Q90" t="s">
        <v>7</v>
      </c>
      <c r="R90" t="s">
        <v>6</v>
      </c>
      <c r="S90">
        <v>9</v>
      </c>
      <c r="T90">
        <v>8</v>
      </c>
      <c r="U90">
        <v>267</v>
      </c>
      <c r="V90" t="s">
        <v>5</v>
      </c>
      <c r="W90" t="s">
        <v>5</v>
      </c>
      <c r="X90" t="s">
        <v>135</v>
      </c>
      <c r="Y90" t="s">
        <v>4</v>
      </c>
      <c r="Z90" t="s">
        <v>5</v>
      </c>
      <c r="AA90">
        <v>160.61000000000001</v>
      </c>
      <c r="AB90">
        <v>3.3</v>
      </c>
      <c r="AC90">
        <v>0</v>
      </c>
      <c r="AD90" t="s">
        <v>3</v>
      </c>
      <c r="AE90" t="s">
        <v>0</v>
      </c>
      <c r="AF90" t="s">
        <v>3</v>
      </c>
      <c r="AG90" t="s">
        <v>479</v>
      </c>
      <c r="AI90" t="s">
        <v>23</v>
      </c>
      <c r="AJ90">
        <v>2</v>
      </c>
      <c r="AK90">
        <v>-8</v>
      </c>
      <c r="AL90" t="s">
        <v>440</v>
      </c>
      <c r="AM90" t="s">
        <v>5</v>
      </c>
      <c r="AN90">
        <v>1</v>
      </c>
      <c r="AO90">
        <v>1</v>
      </c>
      <c r="AP90">
        <v>0</v>
      </c>
      <c r="AQ90">
        <v>1</v>
      </c>
    </row>
    <row r="91" spans="1:43" x14ac:dyDescent="0.25">
      <c r="A91" t="s">
        <v>3597</v>
      </c>
      <c r="B91" t="s">
        <v>683</v>
      </c>
      <c r="C91" t="s">
        <v>3596</v>
      </c>
      <c r="D91" s="1">
        <v>45891</v>
      </c>
      <c r="E91" t="s">
        <v>156</v>
      </c>
      <c r="G91" t="s">
        <v>17</v>
      </c>
      <c r="H91" t="s">
        <v>29</v>
      </c>
      <c r="I91" t="s">
        <v>28</v>
      </c>
      <c r="J91" t="s">
        <v>55</v>
      </c>
      <c r="K91" t="s">
        <v>54</v>
      </c>
      <c r="L91" t="s">
        <v>88</v>
      </c>
      <c r="M91" t="s">
        <v>53</v>
      </c>
      <c r="N91" t="s">
        <v>116</v>
      </c>
      <c r="O91" t="s">
        <v>193</v>
      </c>
      <c r="P91" t="s">
        <v>39</v>
      </c>
      <c r="Q91" t="s">
        <v>7</v>
      </c>
      <c r="R91" t="s">
        <v>6</v>
      </c>
      <c r="S91">
        <v>9</v>
      </c>
      <c r="T91">
        <v>9</v>
      </c>
      <c r="U91">
        <v>394</v>
      </c>
      <c r="V91" t="s">
        <v>0</v>
      </c>
      <c r="W91" t="s">
        <v>5</v>
      </c>
      <c r="X91" t="s">
        <v>5</v>
      </c>
      <c r="Y91" t="s">
        <v>475</v>
      </c>
      <c r="Z91" t="s">
        <v>0</v>
      </c>
      <c r="AA91">
        <v>0</v>
      </c>
      <c r="AB91">
        <v>0</v>
      </c>
      <c r="AC91">
        <v>0</v>
      </c>
      <c r="AD91" t="s">
        <v>436</v>
      </c>
      <c r="AE91" t="s">
        <v>5</v>
      </c>
      <c r="AF91" t="s">
        <v>436</v>
      </c>
      <c r="AG91" t="s">
        <v>36</v>
      </c>
      <c r="AH91">
        <v>11</v>
      </c>
      <c r="AI91" t="s">
        <v>23</v>
      </c>
      <c r="AJ91">
        <v>3</v>
      </c>
      <c r="AK91">
        <v>-28</v>
      </c>
      <c r="AL91">
        <v>19</v>
      </c>
      <c r="AM91" t="s">
        <v>5</v>
      </c>
      <c r="AN91">
        <v>1</v>
      </c>
      <c r="AO91">
        <v>0</v>
      </c>
      <c r="AP91">
        <v>1</v>
      </c>
      <c r="AQ91">
        <v>1</v>
      </c>
    </row>
    <row r="92" spans="1:43" x14ac:dyDescent="0.25">
      <c r="A92" t="s">
        <v>3595</v>
      </c>
      <c r="B92" t="s">
        <v>979</v>
      </c>
      <c r="C92" t="s">
        <v>3594</v>
      </c>
      <c r="D92" s="1">
        <v>46129</v>
      </c>
      <c r="E92" t="s">
        <v>68</v>
      </c>
      <c r="F92" t="s">
        <v>67</v>
      </c>
      <c r="G92" t="s">
        <v>83</v>
      </c>
      <c r="H92" t="s">
        <v>66</v>
      </c>
      <c r="I92" t="s">
        <v>28</v>
      </c>
      <c r="J92" t="s">
        <v>14</v>
      </c>
      <c r="K92" t="s">
        <v>13</v>
      </c>
      <c r="L92" t="s">
        <v>42</v>
      </c>
      <c r="M92" t="s">
        <v>11</v>
      </c>
      <c r="N92" t="s">
        <v>52</v>
      </c>
      <c r="O92" t="s">
        <v>199</v>
      </c>
      <c r="P92" t="s">
        <v>39</v>
      </c>
      <c r="Q92" t="s">
        <v>7</v>
      </c>
      <c r="R92" t="s">
        <v>6</v>
      </c>
      <c r="S92">
        <v>5</v>
      </c>
      <c r="T92">
        <v>5</v>
      </c>
      <c r="U92">
        <v>153</v>
      </c>
      <c r="V92" t="s">
        <v>0</v>
      </c>
      <c r="W92" t="s">
        <v>5</v>
      </c>
      <c r="X92" t="s">
        <v>0</v>
      </c>
      <c r="Y92" t="s">
        <v>4</v>
      </c>
      <c r="Z92" t="s">
        <v>5</v>
      </c>
      <c r="AA92">
        <v>108.64</v>
      </c>
      <c r="AB92">
        <v>0</v>
      </c>
      <c r="AC92">
        <v>0</v>
      </c>
      <c r="AD92" t="s">
        <v>3</v>
      </c>
      <c r="AE92" t="s">
        <v>0</v>
      </c>
      <c r="AF92" t="s">
        <v>3</v>
      </c>
      <c r="AG92" t="s">
        <v>2</v>
      </c>
      <c r="AI92" t="s">
        <v>23</v>
      </c>
      <c r="AJ92">
        <v>4</v>
      </c>
      <c r="AK92">
        <v>33</v>
      </c>
      <c r="AL92">
        <v>26</v>
      </c>
      <c r="AM92" t="s">
        <v>5</v>
      </c>
      <c r="AN92">
        <v>1</v>
      </c>
      <c r="AO92">
        <v>1</v>
      </c>
      <c r="AP92">
        <v>0</v>
      </c>
      <c r="AQ92">
        <v>1</v>
      </c>
    </row>
    <row r="93" spans="1:43" x14ac:dyDescent="0.25">
      <c r="A93" t="s">
        <v>3593</v>
      </c>
      <c r="B93" t="s">
        <v>3592</v>
      </c>
      <c r="C93" t="s">
        <v>3591</v>
      </c>
      <c r="D93" s="1">
        <v>45927</v>
      </c>
      <c r="E93" t="s">
        <v>149</v>
      </c>
      <c r="F93" t="s">
        <v>148</v>
      </c>
      <c r="G93" t="s">
        <v>30</v>
      </c>
      <c r="H93" t="s">
        <v>77</v>
      </c>
      <c r="I93" t="s">
        <v>15</v>
      </c>
      <c r="J93" t="s">
        <v>146</v>
      </c>
      <c r="K93" t="s">
        <v>176</v>
      </c>
      <c r="L93" t="s">
        <v>64</v>
      </c>
      <c r="M93" t="s">
        <v>11</v>
      </c>
      <c r="N93" t="s">
        <v>75</v>
      </c>
      <c r="O93" t="s">
        <v>101</v>
      </c>
      <c r="P93" t="s">
        <v>39</v>
      </c>
      <c r="Q93" t="s">
        <v>7</v>
      </c>
      <c r="R93" t="s">
        <v>6</v>
      </c>
      <c r="S93">
        <v>4</v>
      </c>
      <c r="T93">
        <v>4</v>
      </c>
      <c r="U93">
        <v>102</v>
      </c>
      <c r="V93" t="s">
        <v>0</v>
      </c>
      <c r="W93" t="s">
        <v>181</v>
      </c>
      <c r="X93" t="s">
        <v>0</v>
      </c>
      <c r="Y93" t="s">
        <v>4</v>
      </c>
      <c r="Z93" t="s">
        <v>5</v>
      </c>
      <c r="AA93">
        <v>64.7</v>
      </c>
      <c r="AB93">
        <v>0.53</v>
      </c>
      <c r="AC93">
        <v>0</v>
      </c>
      <c r="AD93" t="s">
        <v>61</v>
      </c>
      <c r="AE93" t="s">
        <v>5</v>
      </c>
      <c r="AF93" t="s">
        <v>61</v>
      </c>
      <c r="AG93" t="s">
        <v>36</v>
      </c>
      <c r="AH93">
        <v>25</v>
      </c>
      <c r="AI93" t="s">
        <v>332</v>
      </c>
      <c r="AJ93">
        <v>4</v>
      </c>
      <c r="AK93">
        <v>12</v>
      </c>
      <c r="AL93" t="s">
        <v>3590</v>
      </c>
      <c r="AM93" t="s">
        <v>5</v>
      </c>
      <c r="AN93">
        <v>0</v>
      </c>
      <c r="AO93">
        <v>1</v>
      </c>
      <c r="AP93">
        <v>0</v>
      </c>
      <c r="AQ93">
        <v>1</v>
      </c>
    </row>
    <row r="94" spans="1:43" x14ac:dyDescent="0.25">
      <c r="A94" t="s">
        <v>3589</v>
      </c>
      <c r="B94" t="s">
        <v>3588</v>
      </c>
      <c r="C94" t="s">
        <v>3587</v>
      </c>
      <c r="D94" s="1">
        <v>45993</v>
      </c>
      <c r="E94" t="s">
        <v>45</v>
      </c>
      <c r="F94" t="s">
        <v>57</v>
      </c>
      <c r="G94" t="s">
        <v>56</v>
      </c>
      <c r="H94" t="s">
        <v>77</v>
      </c>
      <c r="I94" t="s">
        <v>28</v>
      </c>
      <c r="J94" t="s">
        <v>14</v>
      </c>
      <c r="K94" t="s">
        <v>13</v>
      </c>
      <c r="L94" t="s">
        <v>88</v>
      </c>
      <c r="M94" t="s">
        <v>11</v>
      </c>
      <c r="N94" t="s">
        <v>93</v>
      </c>
      <c r="O94" t="s">
        <v>87</v>
      </c>
      <c r="P94" t="s">
        <v>8</v>
      </c>
      <c r="Q94" t="s">
        <v>7</v>
      </c>
      <c r="R94" t="s">
        <v>6</v>
      </c>
      <c r="S94">
        <v>5</v>
      </c>
      <c r="T94">
        <v>5</v>
      </c>
      <c r="U94">
        <v>120</v>
      </c>
      <c r="V94" t="s">
        <v>0</v>
      </c>
      <c r="W94" t="s">
        <v>5</v>
      </c>
      <c r="X94" t="s">
        <v>0</v>
      </c>
      <c r="Y94" t="s">
        <v>4</v>
      </c>
      <c r="Z94" t="s">
        <v>0</v>
      </c>
      <c r="AA94">
        <v>0</v>
      </c>
      <c r="AB94">
        <v>0</v>
      </c>
      <c r="AC94">
        <v>0</v>
      </c>
      <c r="AD94" t="s">
        <v>3</v>
      </c>
      <c r="AE94" t="s">
        <v>0</v>
      </c>
      <c r="AF94" t="s">
        <v>3</v>
      </c>
      <c r="AG94" t="s">
        <v>2</v>
      </c>
      <c r="AI94" t="s">
        <v>23</v>
      </c>
      <c r="AJ94">
        <v>4</v>
      </c>
      <c r="AK94">
        <v>22</v>
      </c>
      <c r="AL94">
        <v>3</v>
      </c>
      <c r="AM94" t="s">
        <v>5</v>
      </c>
      <c r="AN94">
        <v>1</v>
      </c>
      <c r="AO94">
        <v>0</v>
      </c>
      <c r="AP94">
        <v>0</v>
      </c>
      <c r="AQ94">
        <v>1</v>
      </c>
    </row>
    <row r="95" spans="1:43" x14ac:dyDescent="0.25">
      <c r="A95" t="s">
        <v>3586</v>
      </c>
      <c r="B95" t="s">
        <v>2493</v>
      </c>
      <c r="C95" t="s">
        <v>3585</v>
      </c>
      <c r="D95" s="1">
        <v>45813</v>
      </c>
      <c r="E95" t="s">
        <v>149</v>
      </c>
      <c r="F95" t="s">
        <v>183</v>
      </c>
      <c r="G95" t="s">
        <v>83</v>
      </c>
      <c r="H95" t="s">
        <v>77</v>
      </c>
      <c r="I95" t="s">
        <v>28</v>
      </c>
      <c r="J95" t="s">
        <v>14</v>
      </c>
      <c r="K95" t="s">
        <v>13</v>
      </c>
      <c r="L95" t="s">
        <v>88</v>
      </c>
      <c r="M95" t="s">
        <v>11</v>
      </c>
      <c r="N95" t="s">
        <v>52</v>
      </c>
      <c r="O95" t="s">
        <v>9</v>
      </c>
      <c r="P95" t="s">
        <v>39</v>
      </c>
      <c r="Q95" t="s">
        <v>7</v>
      </c>
      <c r="R95" t="s">
        <v>6</v>
      </c>
      <c r="S95">
        <v>7</v>
      </c>
      <c r="T95">
        <v>6</v>
      </c>
      <c r="U95">
        <v>211</v>
      </c>
      <c r="V95" t="s">
        <v>5</v>
      </c>
      <c r="W95" t="s">
        <v>5</v>
      </c>
      <c r="X95" t="s">
        <v>0</v>
      </c>
      <c r="Y95" t="s">
        <v>4</v>
      </c>
      <c r="Z95" t="s">
        <v>5</v>
      </c>
      <c r="AA95">
        <v>0</v>
      </c>
      <c r="AB95">
        <v>0</v>
      </c>
      <c r="AC95">
        <v>0</v>
      </c>
      <c r="AD95" t="s">
        <v>3</v>
      </c>
      <c r="AE95" t="s">
        <v>0</v>
      </c>
      <c r="AF95" t="s">
        <v>3</v>
      </c>
      <c r="AG95" t="s">
        <v>2</v>
      </c>
      <c r="AI95" t="s">
        <v>23</v>
      </c>
      <c r="AJ95">
        <v>2</v>
      </c>
      <c r="AK95">
        <v>-11</v>
      </c>
      <c r="AL95">
        <v>49</v>
      </c>
      <c r="AM95" t="s">
        <v>5</v>
      </c>
      <c r="AN95">
        <v>1</v>
      </c>
      <c r="AO95">
        <v>1</v>
      </c>
      <c r="AP95">
        <v>0</v>
      </c>
      <c r="AQ95">
        <v>1</v>
      </c>
    </row>
    <row r="96" spans="1:43" x14ac:dyDescent="0.25">
      <c r="A96" t="s">
        <v>3584</v>
      </c>
      <c r="B96" t="s">
        <v>3583</v>
      </c>
      <c r="C96" t="s">
        <v>3582</v>
      </c>
      <c r="D96" s="1">
        <v>45700</v>
      </c>
      <c r="E96" t="s">
        <v>45</v>
      </c>
      <c r="F96" t="s">
        <v>57</v>
      </c>
      <c r="G96" t="s">
        <v>30</v>
      </c>
      <c r="H96" t="s">
        <v>77</v>
      </c>
      <c r="I96" t="s">
        <v>28</v>
      </c>
      <c r="J96" t="s">
        <v>14</v>
      </c>
      <c r="K96" t="s">
        <v>13</v>
      </c>
      <c r="L96" t="s">
        <v>42</v>
      </c>
      <c r="M96" t="s">
        <v>27</v>
      </c>
      <c r="N96" t="s">
        <v>52</v>
      </c>
      <c r="O96" t="s">
        <v>193</v>
      </c>
      <c r="P96" t="s">
        <v>63</v>
      </c>
      <c r="Q96" t="s">
        <v>24</v>
      </c>
      <c r="R96" t="s">
        <v>6</v>
      </c>
      <c r="S96" t="s">
        <v>232</v>
      </c>
      <c r="T96" t="s">
        <v>232</v>
      </c>
      <c r="U96">
        <v>347</v>
      </c>
      <c r="V96" t="s">
        <v>0</v>
      </c>
      <c r="W96" t="s">
        <v>0</v>
      </c>
      <c r="X96" t="s">
        <v>5</v>
      </c>
      <c r="Y96" t="s">
        <v>475</v>
      </c>
      <c r="Z96" t="s">
        <v>0</v>
      </c>
      <c r="AA96">
        <v>0</v>
      </c>
      <c r="AB96">
        <v>0</v>
      </c>
      <c r="AC96">
        <v>0</v>
      </c>
      <c r="AD96" t="s">
        <v>3</v>
      </c>
      <c r="AE96" t="s">
        <v>0</v>
      </c>
      <c r="AF96" t="s">
        <v>3</v>
      </c>
      <c r="AG96" t="s">
        <v>2</v>
      </c>
      <c r="AI96" t="s">
        <v>23</v>
      </c>
      <c r="AJ96">
        <v>1</v>
      </c>
      <c r="AK96">
        <v>-26</v>
      </c>
      <c r="AL96">
        <v>0</v>
      </c>
      <c r="AM96" t="s">
        <v>0</v>
      </c>
      <c r="AN96">
        <v>0</v>
      </c>
      <c r="AO96">
        <v>0</v>
      </c>
      <c r="AP96">
        <v>1</v>
      </c>
      <c r="AQ96">
        <v>0</v>
      </c>
    </row>
    <row r="97" spans="1:43" x14ac:dyDescent="0.25">
      <c r="A97" t="s">
        <v>3581</v>
      </c>
      <c r="B97" t="s">
        <v>2059</v>
      </c>
      <c r="C97" t="s">
        <v>3580</v>
      </c>
      <c r="D97" s="1">
        <v>45660</v>
      </c>
      <c r="E97" t="s">
        <v>149</v>
      </c>
      <c r="F97" t="s">
        <v>248</v>
      </c>
      <c r="G97" t="s">
        <v>110</v>
      </c>
      <c r="H97" t="s">
        <v>237</v>
      </c>
      <c r="I97" t="s">
        <v>15</v>
      </c>
      <c r="J97" t="s">
        <v>55</v>
      </c>
      <c r="K97" t="s">
        <v>54</v>
      </c>
      <c r="L97" t="s">
        <v>12</v>
      </c>
      <c r="M97" t="s">
        <v>11</v>
      </c>
      <c r="N97" t="s">
        <v>269</v>
      </c>
      <c r="O97" t="s">
        <v>101</v>
      </c>
      <c r="P97" t="s">
        <v>63</v>
      </c>
      <c r="Q97" t="s">
        <v>24</v>
      </c>
      <c r="R97" t="s">
        <v>38</v>
      </c>
      <c r="S97">
        <v>4</v>
      </c>
      <c r="T97">
        <v>4</v>
      </c>
      <c r="U97">
        <v>112</v>
      </c>
      <c r="V97" t="s">
        <v>0</v>
      </c>
      <c r="W97" t="s">
        <v>5</v>
      </c>
      <c r="X97" t="s">
        <v>0</v>
      </c>
      <c r="Y97" t="s">
        <v>4</v>
      </c>
      <c r="Z97" t="s">
        <v>5</v>
      </c>
      <c r="AA97">
        <v>103.07</v>
      </c>
      <c r="AB97">
        <v>0.54</v>
      </c>
      <c r="AC97">
        <v>0</v>
      </c>
      <c r="AD97" t="s">
        <v>3</v>
      </c>
      <c r="AE97" t="s">
        <v>0</v>
      </c>
      <c r="AF97" t="s">
        <v>3</v>
      </c>
      <c r="AG97" t="s">
        <v>2</v>
      </c>
      <c r="AI97" t="s">
        <v>23</v>
      </c>
      <c r="AJ97">
        <v>5</v>
      </c>
      <c r="AK97">
        <v>59</v>
      </c>
      <c r="AL97">
        <v>0</v>
      </c>
      <c r="AM97" t="s">
        <v>0</v>
      </c>
      <c r="AN97">
        <v>1</v>
      </c>
      <c r="AO97">
        <v>1</v>
      </c>
      <c r="AP97">
        <v>0</v>
      </c>
      <c r="AQ97">
        <v>0</v>
      </c>
    </row>
    <row r="98" spans="1:43" x14ac:dyDescent="0.25">
      <c r="A98" t="s">
        <v>3579</v>
      </c>
      <c r="B98" t="s">
        <v>3578</v>
      </c>
      <c r="C98" t="s">
        <v>3577</v>
      </c>
      <c r="D98" s="1">
        <v>45777</v>
      </c>
      <c r="E98" t="s">
        <v>156</v>
      </c>
      <c r="F98" t="s">
        <v>325</v>
      </c>
      <c r="G98" t="s">
        <v>17</v>
      </c>
      <c r="H98" t="s">
        <v>237</v>
      </c>
      <c r="I98" t="s">
        <v>15</v>
      </c>
      <c r="J98" t="s">
        <v>14</v>
      </c>
      <c r="K98" t="s">
        <v>13</v>
      </c>
      <c r="L98" t="s">
        <v>42</v>
      </c>
      <c r="M98" t="s">
        <v>27</v>
      </c>
      <c r="N98" t="s">
        <v>75</v>
      </c>
      <c r="O98" t="s">
        <v>51</v>
      </c>
      <c r="P98" t="s">
        <v>39</v>
      </c>
      <c r="Q98" t="s">
        <v>7</v>
      </c>
      <c r="R98" t="s">
        <v>6</v>
      </c>
      <c r="S98">
        <v>6</v>
      </c>
      <c r="T98">
        <v>6</v>
      </c>
      <c r="U98">
        <v>169</v>
      </c>
      <c r="V98" t="s">
        <v>0</v>
      </c>
      <c r="W98" t="s">
        <v>0</v>
      </c>
      <c r="X98" t="s">
        <v>5</v>
      </c>
      <c r="Y98" t="s">
        <v>49</v>
      </c>
      <c r="Z98" t="s">
        <v>0</v>
      </c>
      <c r="AA98">
        <v>0</v>
      </c>
      <c r="AB98">
        <v>0</v>
      </c>
      <c r="AC98">
        <v>0</v>
      </c>
      <c r="AD98" t="s">
        <v>3</v>
      </c>
      <c r="AE98" t="s">
        <v>0</v>
      </c>
      <c r="AF98" t="s">
        <v>3</v>
      </c>
      <c r="AG98" t="s">
        <v>2</v>
      </c>
      <c r="AI98" t="s">
        <v>122</v>
      </c>
      <c r="AJ98">
        <v>2</v>
      </c>
      <c r="AK98">
        <v>21</v>
      </c>
      <c r="AL98">
        <v>21</v>
      </c>
      <c r="AM98" t="s">
        <v>5</v>
      </c>
      <c r="AN98">
        <v>0</v>
      </c>
      <c r="AO98">
        <v>0</v>
      </c>
      <c r="AP98">
        <v>1</v>
      </c>
      <c r="AQ98">
        <v>1</v>
      </c>
    </row>
    <row r="99" spans="1:43" x14ac:dyDescent="0.25">
      <c r="A99" t="s">
        <v>3576</v>
      </c>
      <c r="B99" t="s">
        <v>2581</v>
      </c>
      <c r="C99" t="s">
        <v>3575</v>
      </c>
      <c r="D99" s="1">
        <v>46195</v>
      </c>
      <c r="E99" t="s">
        <v>168</v>
      </c>
      <c r="F99" t="s">
        <v>177</v>
      </c>
      <c r="G99" t="s">
        <v>30</v>
      </c>
      <c r="H99" t="s">
        <v>77</v>
      </c>
      <c r="I99" t="s">
        <v>963</v>
      </c>
      <c r="J99" t="s">
        <v>55</v>
      </c>
      <c r="K99" t="s">
        <v>54</v>
      </c>
      <c r="L99" t="s">
        <v>88</v>
      </c>
      <c r="M99" t="s">
        <v>53</v>
      </c>
      <c r="N99" t="s">
        <v>75</v>
      </c>
      <c r="O99" t="s">
        <v>9</v>
      </c>
      <c r="P99" t="s">
        <v>25</v>
      </c>
      <c r="Q99" t="s">
        <v>198</v>
      </c>
      <c r="R99" t="s">
        <v>6</v>
      </c>
      <c r="S99">
        <v>7</v>
      </c>
      <c r="T99">
        <v>7</v>
      </c>
      <c r="U99">
        <v>201</v>
      </c>
      <c r="V99" t="s">
        <v>0</v>
      </c>
      <c r="W99" t="s">
        <v>5</v>
      </c>
      <c r="X99" t="s">
        <v>0</v>
      </c>
      <c r="Y99" t="s">
        <v>4</v>
      </c>
      <c r="Z99" t="s">
        <v>5</v>
      </c>
      <c r="AA99">
        <v>90.82</v>
      </c>
      <c r="AB99">
        <v>0</v>
      </c>
      <c r="AC99">
        <v>0.17</v>
      </c>
      <c r="AD99" t="s">
        <v>3</v>
      </c>
      <c r="AE99" t="s">
        <v>0</v>
      </c>
      <c r="AF99" t="s">
        <v>3</v>
      </c>
      <c r="AG99" t="s">
        <v>2</v>
      </c>
      <c r="AI99" t="s">
        <v>23</v>
      </c>
      <c r="AJ99">
        <v>4</v>
      </c>
      <c r="AK99">
        <v>-1</v>
      </c>
      <c r="AL99">
        <v>24</v>
      </c>
      <c r="AM99" t="s">
        <v>5</v>
      </c>
      <c r="AN99">
        <v>1</v>
      </c>
      <c r="AO99">
        <v>1</v>
      </c>
      <c r="AP99">
        <v>0</v>
      </c>
      <c r="AQ99">
        <v>1</v>
      </c>
    </row>
    <row r="100" spans="1:43" x14ac:dyDescent="0.25">
      <c r="A100" t="s">
        <v>3574</v>
      </c>
      <c r="B100" t="s">
        <v>2283</v>
      </c>
      <c r="C100" t="s">
        <v>3573</v>
      </c>
      <c r="D100" s="1">
        <v>45790</v>
      </c>
      <c r="E100" t="s">
        <v>19</v>
      </c>
      <c r="F100" t="s">
        <v>18</v>
      </c>
      <c r="G100" t="s">
        <v>131</v>
      </c>
      <c r="H100" t="s">
        <v>43</v>
      </c>
      <c r="I100" t="s">
        <v>28</v>
      </c>
      <c r="J100" t="s">
        <v>55</v>
      </c>
      <c r="K100" t="s">
        <v>54</v>
      </c>
      <c r="L100" t="s">
        <v>42</v>
      </c>
      <c r="M100" t="s">
        <v>11</v>
      </c>
      <c r="N100" t="s">
        <v>269</v>
      </c>
      <c r="O100" t="s">
        <v>40</v>
      </c>
      <c r="P100" t="s">
        <v>39</v>
      </c>
      <c r="Q100" t="s">
        <v>100</v>
      </c>
      <c r="R100" t="s">
        <v>38</v>
      </c>
      <c r="S100">
        <v>8</v>
      </c>
      <c r="T100">
        <v>8</v>
      </c>
      <c r="U100">
        <v>208</v>
      </c>
      <c r="V100" t="s">
        <v>0</v>
      </c>
      <c r="W100" t="s">
        <v>5</v>
      </c>
      <c r="X100" t="s">
        <v>0</v>
      </c>
      <c r="Y100" t="s">
        <v>4</v>
      </c>
      <c r="Z100" t="s">
        <v>5</v>
      </c>
      <c r="AA100">
        <v>476.91</v>
      </c>
      <c r="AB100">
        <v>2.83</v>
      </c>
      <c r="AC100">
        <v>0</v>
      </c>
      <c r="AD100" t="s">
        <v>3</v>
      </c>
      <c r="AE100" t="s">
        <v>0</v>
      </c>
      <c r="AF100" t="s">
        <v>3</v>
      </c>
      <c r="AG100" t="s">
        <v>2</v>
      </c>
      <c r="AI100" t="s">
        <v>23</v>
      </c>
      <c r="AJ100">
        <v>4</v>
      </c>
      <c r="AK100">
        <v>65</v>
      </c>
      <c r="AL100">
        <v>20</v>
      </c>
      <c r="AM100" t="s">
        <v>5</v>
      </c>
      <c r="AN100">
        <v>1</v>
      </c>
      <c r="AO100">
        <v>1</v>
      </c>
      <c r="AP100">
        <v>0</v>
      </c>
      <c r="AQ100">
        <v>1</v>
      </c>
    </row>
    <row r="101" spans="1:43" x14ac:dyDescent="0.25">
      <c r="A101" t="s">
        <v>3572</v>
      </c>
      <c r="B101" t="s">
        <v>1899</v>
      </c>
      <c r="C101" t="s">
        <v>3571</v>
      </c>
      <c r="D101" s="1">
        <v>46139</v>
      </c>
      <c r="E101" t="s">
        <v>125</v>
      </c>
      <c r="F101" t="s">
        <v>124</v>
      </c>
      <c r="G101" t="s">
        <v>83</v>
      </c>
      <c r="H101" t="s">
        <v>77</v>
      </c>
      <c r="I101" t="s">
        <v>15</v>
      </c>
      <c r="J101" t="s">
        <v>14</v>
      </c>
      <c r="K101" t="s">
        <v>13</v>
      </c>
      <c r="L101" t="s">
        <v>117</v>
      </c>
      <c r="M101" t="s">
        <v>11</v>
      </c>
      <c r="N101" t="s">
        <v>75</v>
      </c>
      <c r="O101" t="s">
        <v>199</v>
      </c>
      <c r="P101" t="s">
        <v>25</v>
      </c>
      <c r="Q101" t="s">
        <v>100</v>
      </c>
      <c r="R101" t="s">
        <v>38</v>
      </c>
      <c r="S101">
        <v>5</v>
      </c>
      <c r="T101">
        <v>5</v>
      </c>
      <c r="U101">
        <v>113</v>
      </c>
      <c r="V101" t="s">
        <v>0</v>
      </c>
      <c r="W101" t="s">
        <v>5</v>
      </c>
      <c r="X101" t="s">
        <v>0</v>
      </c>
      <c r="Y101" t="s">
        <v>4</v>
      </c>
      <c r="Z101" t="s">
        <v>5</v>
      </c>
      <c r="AA101">
        <v>2.96</v>
      </c>
      <c r="AB101">
        <v>0</v>
      </c>
      <c r="AC101">
        <v>0</v>
      </c>
      <c r="AD101" t="s">
        <v>3</v>
      </c>
      <c r="AE101" t="s">
        <v>0</v>
      </c>
      <c r="AF101" t="s">
        <v>3</v>
      </c>
      <c r="AG101" t="s">
        <v>2</v>
      </c>
      <c r="AI101" t="s">
        <v>23</v>
      </c>
      <c r="AJ101">
        <v>5</v>
      </c>
      <c r="AK101">
        <v>60</v>
      </c>
      <c r="AL101">
        <v>28</v>
      </c>
      <c r="AM101" t="s">
        <v>5</v>
      </c>
      <c r="AN101">
        <v>1</v>
      </c>
      <c r="AO101">
        <v>1</v>
      </c>
      <c r="AP101">
        <v>0</v>
      </c>
      <c r="AQ101">
        <v>1</v>
      </c>
    </row>
    <row r="102" spans="1:43" x14ac:dyDescent="0.25">
      <c r="A102" t="s">
        <v>3570</v>
      </c>
      <c r="B102" t="s">
        <v>1852</v>
      </c>
      <c r="C102" t="s">
        <v>3569</v>
      </c>
      <c r="D102" s="1">
        <v>46063</v>
      </c>
      <c r="E102" t="s">
        <v>79</v>
      </c>
      <c r="F102" t="s">
        <v>1211</v>
      </c>
      <c r="G102" t="s">
        <v>110</v>
      </c>
      <c r="H102" t="s">
        <v>66</v>
      </c>
      <c r="I102" t="s">
        <v>15</v>
      </c>
      <c r="J102" t="s">
        <v>55</v>
      </c>
      <c r="K102" t="s">
        <v>54</v>
      </c>
      <c r="L102" t="s">
        <v>64</v>
      </c>
      <c r="M102" t="s">
        <v>11</v>
      </c>
      <c r="N102" t="s">
        <v>52</v>
      </c>
      <c r="O102" t="s">
        <v>9</v>
      </c>
      <c r="P102" t="s">
        <v>39</v>
      </c>
      <c r="Q102" t="s">
        <v>7</v>
      </c>
      <c r="R102" t="s">
        <v>6</v>
      </c>
      <c r="S102">
        <v>7</v>
      </c>
      <c r="T102">
        <v>7</v>
      </c>
      <c r="U102">
        <v>209</v>
      </c>
      <c r="V102" t="s">
        <v>0</v>
      </c>
      <c r="W102" t="s">
        <v>0</v>
      </c>
      <c r="X102" t="s">
        <v>0</v>
      </c>
      <c r="Y102" t="s">
        <v>4</v>
      </c>
      <c r="Z102" t="s">
        <v>0</v>
      </c>
      <c r="AA102">
        <v>0</v>
      </c>
      <c r="AB102">
        <v>0</v>
      </c>
      <c r="AC102">
        <v>0</v>
      </c>
      <c r="AD102" t="s">
        <v>3</v>
      </c>
      <c r="AE102" t="s">
        <v>0</v>
      </c>
      <c r="AF102" t="s">
        <v>3</v>
      </c>
      <c r="AG102" t="s">
        <v>2</v>
      </c>
      <c r="AI102" t="s">
        <v>129</v>
      </c>
      <c r="AJ102">
        <v>3</v>
      </c>
      <c r="AK102">
        <v>-2</v>
      </c>
      <c r="AL102">
        <v>21</v>
      </c>
      <c r="AM102" t="s">
        <v>5</v>
      </c>
      <c r="AN102">
        <v>0</v>
      </c>
      <c r="AO102">
        <v>0</v>
      </c>
      <c r="AP102">
        <v>0</v>
      </c>
      <c r="AQ102">
        <v>1</v>
      </c>
    </row>
    <row r="103" spans="1:43" x14ac:dyDescent="0.25">
      <c r="A103" t="s">
        <v>3568</v>
      </c>
      <c r="B103" t="s">
        <v>2222</v>
      </c>
      <c r="C103" t="s">
        <v>3567</v>
      </c>
      <c r="D103" s="1">
        <v>45922</v>
      </c>
      <c r="E103" t="s">
        <v>112</v>
      </c>
      <c r="F103" t="s">
        <v>111</v>
      </c>
      <c r="G103" t="s">
        <v>56</v>
      </c>
      <c r="H103" t="s">
        <v>29</v>
      </c>
      <c r="I103" t="s">
        <v>15</v>
      </c>
      <c r="J103" t="s">
        <v>14</v>
      </c>
      <c r="K103" t="s">
        <v>13</v>
      </c>
      <c r="L103" t="s">
        <v>117</v>
      </c>
      <c r="M103" t="s">
        <v>11</v>
      </c>
      <c r="N103" t="s">
        <v>52</v>
      </c>
      <c r="O103" t="s">
        <v>26</v>
      </c>
      <c r="P103" t="s">
        <v>39</v>
      </c>
      <c r="Q103" t="s">
        <v>24</v>
      </c>
      <c r="R103" t="s">
        <v>6</v>
      </c>
      <c r="S103">
        <v>4</v>
      </c>
      <c r="T103">
        <v>4</v>
      </c>
      <c r="U103">
        <v>91</v>
      </c>
      <c r="V103" t="s">
        <v>0</v>
      </c>
      <c r="W103" t="s">
        <v>5</v>
      </c>
      <c r="X103" t="s">
        <v>0</v>
      </c>
      <c r="Y103" t="s">
        <v>4</v>
      </c>
      <c r="Z103" t="s">
        <v>5</v>
      </c>
      <c r="AA103">
        <v>60.01</v>
      </c>
      <c r="AB103">
        <v>0.17</v>
      </c>
      <c r="AC103">
        <v>0</v>
      </c>
      <c r="AD103" t="s">
        <v>3</v>
      </c>
      <c r="AE103" t="s">
        <v>0</v>
      </c>
      <c r="AF103" t="s">
        <v>3</v>
      </c>
      <c r="AG103" t="s">
        <v>2</v>
      </c>
      <c r="AI103" t="s">
        <v>23</v>
      </c>
      <c r="AJ103">
        <v>5</v>
      </c>
      <c r="AK103">
        <v>-4</v>
      </c>
      <c r="AL103">
        <v>22</v>
      </c>
      <c r="AM103" t="s">
        <v>247</v>
      </c>
      <c r="AN103">
        <v>1</v>
      </c>
      <c r="AO103">
        <v>1</v>
      </c>
      <c r="AP103">
        <v>0</v>
      </c>
      <c r="AQ103">
        <v>0</v>
      </c>
    </row>
    <row r="104" spans="1:43" x14ac:dyDescent="0.25">
      <c r="A104" t="s">
        <v>3566</v>
      </c>
      <c r="B104" t="s">
        <v>3565</v>
      </c>
      <c r="C104" t="s">
        <v>3564</v>
      </c>
      <c r="D104" s="1">
        <v>46085</v>
      </c>
      <c r="E104" t="s">
        <v>32</v>
      </c>
      <c r="F104" t="s">
        <v>356</v>
      </c>
      <c r="G104" t="s">
        <v>83</v>
      </c>
      <c r="H104" t="s">
        <v>77</v>
      </c>
      <c r="I104" t="s">
        <v>28</v>
      </c>
      <c r="J104" t="s">
        <v>55</v>
      </c>
      <c r="K104" t="s">
        <v>54</v>
      </c>
      <c r="L104" t="s">
        <v>64</v>
      </c>
      <c r="M104" t="s">
        <v>27</v>
      </c>
      <c r="N104" t="s">
        <v>41</v>
      </c>
      <c r="O104" t="s">
        <v>26</v>
      </c>
      <c r="P104" t="s">
        <v>63</v>
      </c>
      <c r="Q104" t="s">
        <v>7</v>
      </c>
      <c r="R104" t="s">
        <v>6</v>
      </c>
      <c r="S104">
        <v>4</v>
      </c>
      <c r="T104">
        <v>4</v>
      </c>
      <c r="U104">
        <v>124</v>
      </c>
      <c r="V104" t="s">
        <v>0</v>
      </c>
      <c r="W104" t="s">
        <v>5</v>
      </c>
      <c r="X104" t="s">
        <v>0</v>
      </c>
      <c r="Y104" t="s">
        <v>4</v>
      </c>
      <c r="Z104" t="s">
        <v>5</v>
      </c>
      <c r="AA104">
        <v>19.82</v>
      </c>
      <c r="AB104">
        <v>0.21</v>
      </c>
      <c r="AC104">
        <v>0.37</v>
      </c>
      <c r="AD104" t="s">
        <v>3</v>
      </c>
      <c r="AE104" t="s">
        <v>0</v>
      </c>
      <c r="AF104" t="s">
        <v>3</v>
      </c>
      <c r="AG104" t="s">
        <v>2</v>
      </c>
      <c r="AI104" t="s">
        <v>23</v>
      </c>
      <c r="AJ104">
        <v>4</v>
      </c>
      <c r="AK104">
        <v>4</v>
      </c>
      <c r="AL104">
        <v>0</v>
      </c>
      <c r="AM104" t="s">
        <v>0</v>
      </c>
      <c r="AN104">
        <v>1</v>
      </c>
      <c r="AO104">
        <v>1</v>
      </c>
      <c r="AP104">
        <v>0</v>
      </c>
      <c r="AQ104">
        <v>0</v>
      </c>
    </row>
    <row r="105" spans="1:43" x14ac:dyDescent="0.25">
      <c r="A105" t="s">
        <v>3563</v>
      </c>
      <c r="B105" t="s">
        <v>891</v>
      </c>
      <c r="C105" t="s">
        <v>3562</v>
      </c>
      <c r="D105" s="1">
        <v>46021</v>
      </c>
      <c r="E105" t="s">
        <v>45</v>
      </c>
      <c r="F105" t="s">
        <v>1335</v>
      </c>
      <c r="G105" t="s">
        <v>17</v>
      </c>
      <c r="H105" t="s">
        <v>77</v>
      </c>
      <c r="I105" t="s">
        <v>28</v>
      </c>
      <c r="J105" t="s">
        <v>55</v>
      </c>
      <c r="K105" t="s">
        <v>54</v>
      </c>
      <c r="L105" t="s">
        <v>117</v>
      </c>
      <c r="M105" t="s">
        <v>11</v>
      </c>
      <c r="N105" t="s">
        <v>269</v>
      </c>
      <c r="O105" t="s">
        <v>193</v>
      </c>
      <c r="P105" t="s">
        <v>39</v>
      </c>
      <c r="Q105" t="s">
        <v>7</v>
      </c>
      <c r="R105" t="s">
        <v>6</v>
      </c>
      <c r="S105">
        <v>9</v>
      </c>
      <c r="T105">
        <v>9</v>
      </c>
      <c r="U105">
        <v>165</v>
      </c>
      <c r="V105" t="s">
        <v>0</v>
      </c>
      <c r="W105" t="s">
        <v>5</v>
      </c>
      <c r="X105" t="s">
        <v>0</v>
      </c>
      <c r="Y105" t="s">
        <v>4</v>
      </c>
      <c r="Z105" t="s">
        <v>0</v>
      </c>
      <c r="AA105">
        <v>0</v>
      </c>
      <c r="AB105">
        <v>0</v>
      </c>
      <c r="AC105">
        <v>0</v>
      </c>
      <c r="AD105" t="s">
        <v>3</v>
      </c>
      <c r="AE105" t="s">
        <v>0</v>
      </c>
      <c r="AF105" t="s">
        <v>3</v>
      </c>
      <c r="AG105" t="s">
        <v>2</v>
      </c>
      <c r="AI105" t="s">
        <v>23</v>
      </c>
      <c r="AJ105">
        <v>3</v>
      </c>
      <c r="AK105">
        <v>-28</v>
      </c>
      <c r="AL105">
        <v>1</v>
      </c>
      <c r="AM105" t="s">
        <v>5</v>
      </c>
      <c r="AN105">
        <v>1</v>
      </c>
      <c r="AO105">
        <v>0</v>
      </c>
      <c r="AP105">
        <v>0</v>
      </c>
      <c r="AQ105">
        <v>1</v>
      </c>
    </row>
    <row r="106" spans="1:43" x14ac:dyDescent="0.25">
      <c r="A106" t="s">
        <v>3561</v>
      </c>
      <c r="B106" t="s">
        <v>888</v>
      </c>
      <c r="C106" t="s">
        <v>3560</v>
      </c>
      <c r="D106" s="1">
        <v>45933</v>
      </c>
      <c r="E106" t="s">
        <v>19</v>
      </c>
      <c r="F106" t="s">
        <v>575</v>
      </c>
      <c r="G106" t="s">
        <v>83</v>
      </c>
      <c r="H106" t="s">
        <v>16</v>
      </c>
      <c r="I106" t="s">
        <v>15</v>
      </c>
      <c r="J106" t="s">
        <v>55</v>
      </c>
      <c r="K106" t="s">
        <v>54</v>
      </c>
      <c r="L106" t="s">
        <v>88</v>
      </c>
      <c r="M106" t="s">
        <v>11</v>
      </c>
      <c r="N106" t="s">
        <v>269</v>
      </c>
      <c r="O106" t="s">
        <v>26</v>
      </c>
      <c r="P106" t="s">
        <v>63</v>
      </c>
      <c r="Q106" t="s">
        <v>50</v>
      </c>
      <c r="R106" t="s">
        <v>6</v>
      </c>
      <c r="S106">
        <v>4</v>
      </c>
      <c r="T106">
        <v>4</v>
      </c>
      <c r="U106">
        <v>110</v>
      </c>
      <c r="V106" t="s">
        <v>0</v>
      </c>
      <c r="W106" t="s">
        <v>5</v>
      </c>
      <c r="X106" t="s">
        <v>0</v>
      </c>
      <c r="Y106" t="s">
        <v>4</v>
      </c>
      <c r="Z106" t="s">
        <v>5</v>
      </c>
      <c r="AA106">
        <v>115.81</v>
      </c>
      <c r="AB106">
        <v>0.18</v>
      </c>
      <c r="AC106">
        <v>0</v>
      </c>
      <c r="AD106" t="s">
        <v>3</v>
      </c>
      <c r="AE106" t="s">
        <v>0</v>
      </c>
      <c r="AF106" t="s">
        <v>3</v>
      </c>
      <c r="AG106" t="s">
        <v>2</v>
      </c>
      <c r="AI106" t="s">
        <v>23</v>
      </c>
      <c r="AJ106">
        <v>4</v>
      </c>
      <c r="AK106">
        <v>34</v>
      </c>
      <c r="AL106">
        <v>0</v>
      </c>
      <c r="AM106" t="s">
        <v>5</v>
      </c>
      <c r="AN106">
        <v>1</v>
      </c>
      <c r="AO106">
        <v>1</v>
      </c>
      <c r="AP106">
        <v>0</v>
      </c>
      <c r="AQ106">
        <v>1</v>
      </c>
    </row>
    <row r="107" spans="1:43" x14ac:dyDescent="0.25">
      <c r="A107" t="s">
        <v>3559</v>
      </c>
      <c r="B107" t="s">
        <v>3558</v>
      </c>
      <c r="C107" t="s">
        <v>3557</v>
      </c>
      <c r="D107" s="1">
        <v>45747</v>
      </c>
      <c r="E107" t="s">
        <v>125</v>
      </c>
      <c r="F107" t="s">
        <v>124</v>
      </c>
      <c r="G107" t="s">
        <v>83</v>
      </c>
      <c r="H107" t="s">
        <v>16</v>
      </c>
      <c r="I107" t="s">
        <v>15</v>
      </c>
      <c r="J107" t="s">
        <v>146</v>
      </c>
      <c r="K107" t="s">
        <v>145</v>
      </c>
      <c r="L107" t="s">
        <v>88</v>
      </c>
      <c r="M107" t="s">
        <v>11</v>
      </c>
      <c r="N107" t="s">
        <v>41</v>
      </c>
      <c r="O107" t="s">
        <v>101</v>
      </c>
      <c r="P107" t="s">
        <v>39</v>
      </c>
      <c r="Q107" t="s">
        <v>7</v>
      </c>
      <c r="R107" t="s">
        <v>6</v>
      </c>
      <c r="S107">
        <v>4</v>
      </c>
      <c r="T107" t="s">
        <v>99</v>
      </c>
      <c r="U107">
        <v>80</v>
      </c>
      <c r="V107" t="s">
        <v>0</v>
      </c>
      <c r="W107" t="s">
        <v>135</v>
      </c>
      <c r="X107" t="s">
        <v>0</v>
      </c>
      <c r="Y107" t="s">
        <v>4</v>
      </c>
      <c r="Z107" t="s">
        <v>0</v>
      </c>
      <c r="AA107">
        <v>0</v>
      </c>
      <c r="AB107">
        <v>0</v>
      </c>
      <c r="AC107">
        <v>0</v>
      </c>
      <c r="AD107" t="s">
        <v>3</v>
      </c>
      <c r="AE107" t="s">
        <v>0</v>
      </c>
      <c r="AF107" t="s">
        <v>3</v>
      </c>
      <c r="AG107" t="s">
        <v>2</v>
      </c>
      <c r="AI107" t="s">
        <v>23</v>
      </c>
      <c r="AJ107">
        <v>3</v>
      </c>
      <c r="AK107">
        <v>52</v>
      </c>
      <c r="AL107">
        <v>19</v>
      </c>
      <c r="AM107" t="s">
        <v>0</v>
      </c>
      <c r="AN107">
        <v>0</v>
      </c>
      <c r="AO107">
        <v>0</v>
      </c>
      <c r="AP107">
        <v>0</v>
      </c>
      <c r="AQ107">
        <v>0</v>
      </c>
    </row>
    <row r="108" spans="1:43" x14ac:dyDescent="0.25">
      <c r="A108" t="s">
        <v>3556</v>
      </c>
      <c r="B108" t="s">
        <v>799</v>
      </c>
      <c r="C108" t="s">
        <v>3555</v>
      </c>
      <c r="D108" s="1">
        <v>45704</v>
      </c>
      <c r="E108" t="s">
        <v>95</v>
      </c>
      <c r="F108" t="s">
        <v>94</v>
      </c>
      <c r="G108" t="s">
        <v>30</v>
      </c>
      <c r="H108" t="s">
        <v>16</v>
      </c>
      <c r="I108" t="s">
        <v>15</v>
      </c>
      <c r="J108" t="s">
        <v>55</v>
      </c>
      <c r="K108" t="s">
        <v>54</v>
      </c>
      <c r="L108" t="s">
        <v>64</v>
      </c>
      <c r="M108" t="s">
        <v>299</v>
      </c>
      <c r="N108" t="s">
        <v>52</v>
      </c>
      <c r="O108" t="s">
        <v>87</v>
      </c>
      <c r="P108" t="s">
        <v>39</v>
      </c>
      <c r="Q108" t="s">
        <v>7</v>
      </c>
      <c r="R108" t="s">
        <v>6</v>
      </c>
      <c r="S108">
        <v>5</v>
      </c>
      <c r="T108">
        <v>5</v>
      </c>
      <c r="U108">
        <v>95</v>
      </c>
      <c r="V108" t="s">
        <v>0</v>
      </c>
      <c r="W108" t="s">
        <v>5</v>
      </c>
      <c r="X108" t="s">
        <v>0</v>
      </c>
      <c r="Y108" t="s">
        <v>4</v>
      </c>
      <c r="Z108" t="s">
        <v>5</v>
      </c>
      <c r="AA108">
        <v>146.57</v>
      </c>
      <c r="AB108">
        <v>0</v>
      </c>
      <c r="AC108">
        <v>0</v>
      </c>
      <c r="AD108" t="s">
        <v>3</v>
      </c>
      <c r="AE108" t="s">
        <v>0</v>
      </c>
      <c r="AF108" t="s">
        <v>3</v>
      </c>
      <c r="AG108" t="s">
        <v>2</v>
      </c>
      <c r="AI108" t="s">
        <v>23</v>
      </c>
      <c r="AJ108">
        <v>4</v>
      </c>
      <c r="AK108">
        <v>50</v>
      </c>
      <c r="AL108">
        <v>20</v>
      </c>
      <c r="AM108" t="s">
        <v>0</v>
      </c>
      <c r="AN108">
        <v>1</v>
      </c>
      <c r="AO108">
        <v>1</v>
      </c>
      <c r="AP108">
        <v>0</v>
      </c>
      <c r="AQ108">
        <v>0</v>
      </c>
    </row>
    <row r="109" spans="1:43" x14ac:dyDescent="0.25">
      <c r="A109" t="s">
        <v>3554</v>
      </c>
      <c r="B109" t="s">
        <v>195</v>
      </c>
      <c r="C109" t="s">
        <v>3553</v>
      </c>
      <c r="D109" s="1">
        <v>45722</v>
      </c>
      <c r="E109" t="s">
        <v>125</v>
      </c>
      <c r="F109" t="s">
        <v>265</v>
      </c>
      <c r="G109" t="s">
        <v>30</v>
      </c>
      <c r="H109" t="s">
        <v>66</v>
      </c>
      <c r="I109" t="s">
        <v>28</v>
      </c>
      <c r="J109" t="s">
        <v>14</v>
      </c>
      <c r="K109" t="s">
        <v>13</v>
      </c>
      <c r="L109" t="s">
        <v>42</v>
      </c>
      <c r="M109" t="s">
        <v>11</v>
      </c>
      <c r="N109" t="s">
        <v>116</v>
      </c>
      <c r="O109" t="s">
        <v>26</v>
      </c>
      <c r="P109" t="s">
        <v>39</v>
      </c>
      <c r="Q109" t="s">
        <v>172</v>
      </c>
      <c r="R109" t="s">
        <v>6</v>
      </c>
      <c r="S109">
        <v>4</v>
      </c>
      <c r="T109">
        <v>4</v>
      </c>
      <c r="U109">
        <v>112</v>
      </c>
      <c r="V109" t="s">
        <v>0</v>
      </c>
      <c r="W109" t="s">
        <v>5</v>
      </c>
      <c r="X109" t="s">
        <v>0</v>
      </c>
      <c r="Y109" t="s">
        <v>4</v>
      </c>
      <c r="Z109" t="s">
        <v>5</v>
      </c>
      <c r="AA109">
        <v>166.59</v>
      </c>
      <c r="AB109">
        <v>0.17</v>
      </c>
      <c r="AC109">
        <v>0</v>
      </c>
      <c r="AD109" t="s">
        <v>3</v>
      </c>
      <c r="AE109" t="s">
        <v>0</v>
      </c>
      <c r="AF109" t="s">
        <v>3</v>
      </c>
      <c r="AG109" t="s">
        <v>2</v>
      </c>
      <c r="AI109" t="s">
        <v>23</v>
      </c>
      <c r="AJ109">
        <v>4</v>
      </c>
      <c r="AK109">
        <v>12</v>
      </c>
      <c r="AL109">
        <v>1</v>
      </c>
      <c r="AM109" t="s">
        <v>5</v>
      </c>
      <c r="AN109">
        <v>1</v>
      </c>
      <c r="AO109">
        <v>1</v>
      </c>
      <c r="AP109">
        <v>0</v>
      </c>
      <c r="AQ109">
        <v>1</v>
      </c>
    </row>
    <row r="110" spans="1:43" x14ac:dyDescent="0.25">
      <c r="A110" t="s">
        <v>3552</v>
      </c>
      <c r="B110" t="s">
        <v>1079</v>
      </c>
      <c r="C110" t="s">
        <v>3551</v>
      </c>
      <c r="D110" s="1">
        <v>46002</v>
      </c>
      <c r="E110" t="s">
        <v>45</v>
      </c>
      <c r="F110" t="s">
        <v>348</v>
      </c>
      <c r="G110" t="s">
        <v>30</v>
      </c>
      <c r="H110" t="s">
        <v>29</v>
      </c>
      <c r="I110" t="s">
        <v>15</v>
      </c>
      <c r="J110" t="s">
        <v>55</v>
      </c>
      <c r="K110" t="s">
        <v>54</v>
      </c>
      <c r="L110" t="s">
        <v>64</v>
      </c>
      <c r="M110" t="s">
        <v>11</v>
      </c>
      <c r="N110" t="s">
        <v>75</v>
      </c>
      <c r="O110" t="s">
        <v>74</v>
      </c>
      <c r="P110" t="s">
        <v>25</v>
      </c>
      <c r="Q110" t="s">
        <v>7</v>
      </c>
      <c r="R110" t="s">
        <v>6</v>
      </c>
      <c r="S110">
        <v>6</v>
      </c>
      <c r="T110">
        <v>6</v>
      </c>
      <c r="U110">
        <v>123</v>
      </c>
      <c r="V110" t="s">
        <v>0</v>
      </c>
      <c r="W110" t="s">
        <v>0</v>
      </c>
      <c r="X110" t="s">
        <v>0</v>
      </c>
      <c r="Y110" t="s">
        <v>4</v>
      </c>
      <c r="Z110" t="s">
        <v>5</v>
      </c>
      <c r="AA110">
        <v>27.25</v>
      </c>
      <c r="AB110">
        <v>0</v>
      </c>
      <c r="AC110">
        <v>0</v>
      </c>
      <c r="AD110" t="s">
        <v>3</v>
      </c>
      <c r="AE110" t="s">
        <v>0</v>
      </c>
      <c r="AF110" t="s">
        <v>3</v>
      </c>
      <c r="AG110" t="s">
        <v>2</v>
      </c>
      <c r="AI110" t="s">
        <v>23</v>
      </c>
      <c r="AJ110">
        <v>5</v>
      </c>
      <c r="AK110">
        <v>-13</v>
      </c>
      <c r="AL110">
        <v>35</v>
      </c>
      <c r="AM110" t="s">
        <v>5</v>
      </c>
      <c r="AN110">
        <v>0</v>
      </c>
      <c r="AO110">
        <v>1</v>
      </c>
      <c r="AP110">
        <v>0</v>
      </c>
      <c r="AQ110">
        <v>1</v>
      </c>
    </row>
    <row r="111" spans="1:43" x14ac:dyDescent="0.25">
      <c r="A111" t="s">
        <v>3550</v>
      </c>
      <c r="B111" t="s">
        <v>817</v>
      </c>
      <c r="C111" t="s">
        <v>3549</v>
      </c>
      <c r="D111" s="1">
        <v>45678</v>
      </c>
      <c r="E111" t="s">
        <v>32</v>
      </c>
      <c r="F111" t="s">
        <v>31</v>
      </c>
      <c r="G111" t="s">
        <v>30</v>
      </c>
      <c r="H111" t="s">
        <v>77</v>
      </c>
      <c r="I111" t="s">
        <v>15</v>
      </c>
      <c r="J111" t="s">
        <v>14</v>
      </c>
      <c r="K111" t="s">
        <v>13</v>
      </c>
      <c r="L111" t="s">
        <v>88</v>
      </c>
      <c r="M111" t="s">
        <v>11</v>
      </c>
      <c r="N111" t="s">
        <v>52</v>
      </c>
      <c r="O111" t="s">
        <v>199</v>
      </c>
      <c r="P111" t="s">
        <v>63</v>
      </c>
      <c r="Q111" t="s">
        <v>172</v>
      </c>
      <c r="R111" t="s">
        <v>38</v>
      </c>
      <c r="S111">
        <v>5</v>
      </c>
      <c r="T111">
        <v>5</v>
      </c>
      <c r="U111">
        <v>96</v>
      </c>
      <c r="V111" t="s">
        <v>0</v>
      </c>
      <c r="W111" t="s">
        <v>5</v>
      </c>
      <c r="X111" t="s">
        <v>0</v>
      </c>
      <c r="Y111" t="s">
        <v>4</v>
      </c>
      <c r="Z111" t="s">
        <v>5</v>
      </c>
      <c r="AA111">
        <v>56.26</v>
      </c>
      <c r="AB111">
        <v>0</v>
      </c>
      <c r="AC111">
        <v>0</v>
      </c>
      <c r="AD111" t="s">
        <v>3</v>
      </c>
      <c r="AE111" t="s">
        <v>0</v>
      </c>
      <c r="AF111" t="s">
        <v>3</v>
      </c>
      <c r="AG111" t="s">
        <v>2</v>
      </c>
      <c r="AI111" t="s">
        <v>23</v>
      </c>
      <c r="AJ111">
        <v>4</v>
      </c>
      <c r="AK111">
        <v>20</v>
      </c>
      <c r="AL111">
        <v>0</v>
      </c>
      <c r="AM111" t="s">
        <v>0</v>
      </c>
      <c r="AN111">
        <v>1</v>
      </c>
      <c r="AO111">
        <v>1</v>
      </c>
      <c r="AP111">
        <v>0</v>
      </c>
      <c r="AQ111">
        <v>0</v>
      </c>
    </row>
    <row r="112" spans="1:43" x14ac:dyDescent="0.25">
      <c r="A112" t="s">
        <v>3548</v>
      </c>
      <c r="B112" t="s">
        <v>3395</v>
      </c>
      <c r="C112" t="s">
        <v>3547</v>
      </c>
      <c r="D112" s="1">
        <v>45942</v>
      </c>
      <c r="E112" t="s">
        <v>125</v>
      </c>
      <c r="F112" t="s">
        <v>124</v>
      </c>
      <c r="G112" t="s">
        <v>110</v>
      </c>
      <c r="H112" t="s">
        <v>43</v>
      </c>
      <c r="I112" t="s">
        <v>15</v>
      </c>
      <c r="J112" t="s">
        <v>55</v>
      </c>
      <c r="K112" t="s">
        <v>54</v>
      </c>
      <c r="L112" t="s">
        <v>88</v>
      </c>
      <c r="M112" t="s">
        <v>11</v>
      </c>
      <c r="N112" t="s">
        <v>269</v>
      </c>
      <c r="O112" t="s">
        <v>130</v>
      </c>
      <c r="P112" t="s">
        <v>63</v>
      </c>
      <c r="Q112" t="s">
        <v>7</v>
      </c>
      <c r="R112" t="s">
        <v>6</v>
      </c>
      <c r="S112">
        <v>5</v>
      </c>
      <c r="T112">
        <v>5</v>
      </c>
      <c r="U112">
        <v>100</v>
      </c>
      <c r="V112" t="s">
        <v>0</v>
      </c>
      <c r="W112" t="s">
        <v>0</v>
      </c>
      <c r="X112" t="s">
        <v>0</v>
      </c>
      <c r="Y112" t="s">
        <v>4</v>
      </c>
      <c r="Z112" t="s">
        <v>5</v>
      </c>
      <c r="AA112">
        <v>29.61</v>
      </c>
      <c r="AB112">
        <v>0</v>
      </c>
      <c r="AC112">
        <v>0</v>
      </c>
      <c r="AD112" t="s">
        <v>3</v>
      </c>
      <c r="AE112" t="s">
        <v>0</v>
      </c>
      <c r="AF112" t="s">
        <v>3</v>
      </c>
      <c r="AG112" t="s">
        <v>2</v>
      </c>
      <c r="AI112" t="s">
        <v>23</v>
      </c>
      <c r="AJ112">
        <v>5</v>
      </c>
      <c r="AK112">
        <v>45</v>
      </c>
      <c r="AL112">
        <v>0</v>
      </c>
      <c r="AM112" t="s">
        <v>5</v>
      </c>
      <c r="AN112">
        <v>0</v>
      </c>
      <c r="AO112">
        <v>1</v>
      </c>
      <c r="AP112">
        <v>0</v>
      </c>
      <c r="AQ112">
        <v>1</v>
      </c>
    </row>
    <row r="113" spans="1:43" x14ac:dyDescent="0.25">
      <c r="A113" t="s">
        <v>3546</v>
      </c>
      <c r="B113" t="s">
        <v>2799</v>
      </c>
      <c r="C113" t="s">
        <v>3545</v>
      </c>
      <c r="D113" s="1">
        <v>45682</v>
      </c>
      <c r="E113" t="s">
        <v>162</v>
      </c>
      <c r="F113" t="s">
        <v>310</v>
      </c>
      <c r="G113" t="s">
        <v>56</v>
      </c>
      <c r="H113" t="s">
        <v>16</v>
      </c>
      <c r="I113" t="s">
        <v>28</v>
      </c>
      <c r="J113" t="s">
        <v>146</v>
      </c>
      <c r="K113" t="s">
        <v>460</v>
      </c>
      <c r="L113" t="s">
        <v>64</v>
      </c>
      <c r="M113" t="s">
        <v>53</v>
      </c>
      <c r="N113" t="s">
        <v>154</v>
      </c>
      <c r="O113" t="s">
        <v>9</v>
      </c>
      <c r="P113" t="s">
        <v>8</v>
      </c>
      <c r="Q113" t="s">
        <v>7</v>
      </c>
      <c r="R113" t="s">
        <v>6</v>
      </c>
      <c r="S113">
        <v>7</v>
      </c>
      <c r="T113">
        <v>7</v>
      </c>
      <c r="U113">
        <v>187</v>
      </c>
      <c r="V113" t="s">
        <v>0</v>
      </c>
      <c r="W113" t="s">
        <v>5</v>
      </c>
      <c r="X113" t="s">
        <v>0</v>
      </c>
      <c r="Y113" t="s">
        <v>4</v>
      </c>
      <c r="Z113" t="s">
        <v>0</v>
      </c>
      <c r="AA113">
        <v>0</v>
      </c>
      <c r="AB113">
        <v>0</v>
      </c>
      <c r="AC113">
        <v>0</v>
      </c>
      <c r="AD113" t="s">
        <v>3</v>
      </c>
      <c r="AE113" t="s">
        <v>0</v>
      </c>
      <c r="AF113" t="s">
        <v>3</v>
      </c>
      <c r="AG113" t="s">
        <v>2</v>
      </c>
      <c r="AI113" t="s">
        <v>23</v>
      </c>
      <c r="AJ113">
        <v>4</v>
      </c>
      <c r="AK113">
        <v>13</v>
      </c>
      <c r="AL113">
        <v>32</v>
      </c>
      <c r="AM113" t="s">
        <v>5</v>
      </c>
      <c r="AN113">
        <v>1</v>
      </c>
      <c r="AO113">
        <v>0</v>
      </c>
      <c r="AP113">
        <v>0</v>
      </c>
      <c r="AQ113">
        <v>1</v>
      </c>
    </row>
    <row r="114" spans="1:43" x14ac:dyDescent="0.25">
      <c r="A114" t="s">
        <v>3544</v>
      </c>
      <c r="B114" t="s">
        <v>3543</v>
      </c>
      <c r="C114" t="s">
        <v>3542</v>
      </c>
      <c r="D114" s="1">
        <v>45704</v>
      </c>
      <c r="E114" t="s">
        <v>68</v>
      </c>
      <c r="F114" t="s">
        <v>67</v>
      </c>
      <c r="G114" t="s">
        <v>17</v>
      </c>
      <c r="H114" t="s">
        <v>29</v>
      </c>
      <c r="I114" t="s">
        <v>15</v>
      </c>
      <c r="J114" t="s">
        <v>55</v>
      </c>
      <c r="K114" t="s">
        <v>54</v>
      </c>
      <c r="L114" t="s">
        <v>12</v>
      </c>
      <c r="M114" t="s">
        <v>53</v>
      </c>
      <c r="N114" t="s">
        <v>75</v>
      </c>
      <c r="O114" t="s">
        <v>26</v>
      </c>
      <c r="P114" t="s">
        <v>39</v>
      </c>
      <c r="Q114" t="s">
        <v>7</v>
      </c>
      <c r="R114" t="s">
        <v>6</v>
      </c>
      <c r="S114">
        <v>4</v>
      </c>
      <c r="T114" t="s">
        <v>99</v>
      </c>
      <c r="U114">
        <v>88</v>
      </c>
      <c r="V114" t="s">
        <v>0</v>
      </c>
      <c r="W114" t="s">
        <v>5</v>
      </c>
      <c r="X114" t="s">
        <v>0</v>
      </c>
      <c r="Y114" t="s">
        <v>4</v>
      </c>
      <c r="Z114" t="s">
        <v>5</v>
      </c>
      <c r="AA114">
        <v>162.44</v>
      </c>
      <c r="AB114">
        <v>0.23</v>
      </c>
      <c r="AC114">
        <v>0.17</v>
      </c>
      <c r="AD114" t="s">
        <v>3</v>
      </c>
      <c r="AE114" t="s">
        <v>0</v>
      </c>
      <c r="AF114" t="s">
        <v>3</v>
      </c>
      <c r="AG114" t="s">
        <v>2</v>
      </c>
      <c r="AI114" t="s">
        <v>23</v>
      </c>
      <c r="AJ114">
        <v>5</v>
      </c>
      <c r="AK114">
        <v>25</v>
      </c>
      <c r="AL114">
        <v>4</v>
      </c>
      <c r="AM114" t="s">
        <v>0</v>
      </c>
      <c r="AN114">
        <v>1</v>
      </c>
      <c r="AO114">
        <v>1</v>
      </c>
      <c r="AP114">
        <v>0</v>
      </c>
      <c r="AQ114">
        <v>0</v>
      </c>
    </row>
    <row r="115" spans="1:43" x14ac:dyDescent="0.25">
      <c r="A115" t="s">
        <v>3541</v>
      </c>
      <c r="B115" t="s">
        <v>253</v>
      </c>
      <c r="C115" t="s">
        <v>3540</v>
      </c>
      <c r="D115" s="1">
        <v>46169</v>
      </c>
      <c r="E115" t="s">
        <v>45</v>
      </c>
      <c r="F115" t="s">
        <v>348</v>
      </c>
      <c r="G115" t="s">
        <v>110</v>
      </c>
      <c r="H115" t="s">
        <v>16</v>
      </c>
      <c r="I115" t="s">
        <v>28</v>
      </c>
      <c r="J115" t="s">
        <v>14</v>
      </c>
      <c r="K115" t="s">
        <v>13</v>
      </c>
      <c r="L115" t="s">
        <v>64</v>
      </c>
      <c r="M115" t="s">
        <v>53</v>
      </c>
      <c r="N115" t="s">
        <v>116</v>
      </c>
      <c r="O115" t="s">
        <v>26</v>
      </c>
      <c r="P115" t="s">
        <v>39</v>
      </c>
      <c r="Q115" t="s">
        <v>172</v>
      </c>
      <c r="R115" t="s">
        <v>6</v>
      </c>
      <c r="S115">
        <v>4</v>
      </c>
      <c r="T115" t="s">
        <v>99</v>
      </c>
      <c r="U115">
        <v>90</v>
      </c>
      <c r="V115" t="s">
        <v>0</v>
      </c>
      <c r="W115" t="s">
        <v>5</v>
      </c>
      <c r="X115" t="s">
        <v>0</v>
      </c>
      <c r="Y115" t="s">
        <v>4</v>
      </c>
      <c r="Z115" t="s">
        <v>5</v>
      </c>
      <c r="AA115">
        <v>167.87</v>
      </c>
      <c r="AB115">
        <v>0.19</v>
      </c>
      <c r="AC115">
        <v>0.17</v>
      </c>
      <c r="AD115" t="s">
        <v>3</v>
      </c>
      <c r="AE115" t="s">
        <v>0</v>
      </c>
      <c r="AF115" t="s">
        <v>3</v>
      </c>
      <c r="AG115" t="s">
        <v>2</v>
      </c>
      <c r="AI115" t="s">
        <v>23</v>
      </c>
      <c r="AJ115">
        <v>4</v>
      </c>
      <c r="AK115">
        <v>47</v>
      </c>
      <c r="AL115">
        <v>50</v>
      </c>
      <c r="AM115" t="s">
        <v>5</v>
      </c>
      <c r="AN115">
        <v>1</v>
      </c>
      <c r="AO115">
        <v>1</v>
      </c>
      <c r="AP115">
        <v>0</v>
      </c>
      <c r="AQ115">
        <v>1</v>
      </c>
    </row>
    <row r="116" spans="1:43" x14ac:dyDescent="0.25">
      <c r="A116" t="s">
        <v>3539</v>
      </c>
      <c r="B116" t="s">
        <v>2260</v>
      </c>
      <c r="C116" t="s">
        <v>3538</v>
      </c>
      <c r="D116" s="1">
        <v>45893</v>
      </c>
      <c r="E116" t="s">
        <v>125</v>
      </c>
      <c r="F116" t="s">
        <v>1999</v>
      </c>
      <c r="G116" t="s">
        <v>131</v>
      </c>
      <c r="H116" t="s">
        <v>29</v>
      </c>
      <c r="I116" t="s">
        <v>15</v>
      </c>
      <c r="J116" t="s">
        <v>146</v>
      </c>
      <c r="K116" t="s">
        <v>176</v>
      </c>
      <c r="L116" t="s">
        <v>64</v>
      </c>
      <c r="M116" t="s">
        <v>11</v>
      </c>
      <c r="N116" t="s">
        <v>52</v>
      </c>
      <c r="O116" t="s">
        <v>193</v>
      </c>
      <c r="P116" t="s">
        <v>25</v>
      </c>
      <c r="Q116" t="s">
        <v>198</v>
      </c>
      <c r="R116" t="s">
        <v>38</v>
      </c>
      <c r="S116">
        <v>9</v>
      </c>
      <c r="T116">
        <v>9</v>
      </c>
      <c r="U116">
        <v>194</v>
      </c>
      <c r="V116" t="s">
        <v>0</v>
      </c>
      <c r="W116" t="s">
        <v>5</v>
      </c>
      <c r="X116" t="s">
        <v>135</v>
      </c>
      <c r="Y116" t="s">
        <v>4</v>
      </c>
      <c r="Z116" t="s">
        <v>5</v>
      </c>
      <c r="AA116">
        <v>182.07</v>
      </c>
      <c r="AB116">
        <v>3.37</v>
      </c>
      <c r="AC116">
        <v>0</v>
      </c>
      <c r="AD116" t="s">
        <v>3</v>
      </c>
      <c r="AE116" t="s">
        <v>0</v>
      </c>
      <c r="AF116" t="s">
        <v>3</v>
      </c>
      <c r="AG116" t="s">
        <v>2</v>
      </c>
      <c r="AI116" t="s">
        <v>23</v>
      </c>
      <c r="AJ116">
        <v>3</v>
      </c>
      <c r="AK116">
        <v>12</v>
      </c>
      <c r="AL116" t="s">
        <v>3537</v>
      </c>
      <c r="AM116" t="s">
        <v>0</v>
      </c>
      <c r="AN116">
        <v>1</v>
      </c>
      <c r="AO116">
        <v>1</v>
      </c>
      <c r="AP116">
        <v>0</v>
      </c>
      <c r="AQ116">
        <v>0</v>
      </c>
    </row>
    <row r="117" spans="1:43" x14ac:dyDescent="0.25">
      <c r="A117" t="s">
        <v>3536</v>
      </c>
      <c r="B117" t="s">
        <v>2137</v>
      </c>
      <c r="C117" t="s">
        <v>3535</v>
      </c>
      <c r="D117" s="1">
        <v>46192</v>
      </c>
      <c r="E117" t="s">
        <v>149</v>
      </c>
      <c r="F117" t="s">
        <v>471</v>
      </c>
      <c r="G117" t="s">
        <v>83</v>
      </c>
      <c r="H117" t="s">
        <v>237</v>
      </c>
      <c r="I117" t="s">
        <v>28</v>
      </c>
      <c r="J117" t="s">
        <v>14</v>
      </c>
      <c r="K117" t="s">
        <v>13</v>
      </c>
      <c r="L117" t="s">
        <v>88</v>
      </c>
      <c r="M117" t="s">
        <v>11</v>
      </c>
      <c r="N117" t="s">
        <v>154</v>
      </c>
      <c r="O117" t="s">
        <v>87</v>
      </c>
      <c r="P117" t="s">
        <v>8</v>
      </c>
      <c r="Q117" t="s">
        <v>7</v>
      </c>
      <c r="R117" t="s">
        <v>6</v>
      </c>
      <c r="S117">
        <v>5</v>
      </c>
      <c r="T117">
        <v>5</v>
      </c>
      <c r="U117">
        <v>117</v>
      </c>
      <c r="V117" t="s">
        <v>0</v>
      </c>
      <c r="W117" t="s">
        <v>0</v>
      </c>
      <c r="X117" t="s">
        <v>0</v>
      </c>
      <c r="Y117" t="s">
        <v>4</v>
      </c>
      <c r="Z117" t="s">
        <v>0</v>
      </c>
      <c r="AA117">
        <v>0</v>
      </c>
      <c r="AB117">
        <v>0</v>
      </c>
      <c r="AC117">
        <v>0</v>
      </c>
      <c r="AD117" t="s">
        <v>3</v>
      </c>
      <c r="AE117" t="s">
        <v>0</v>
      </c>
      <c r="AF117" t="s">
        <v>3</v>
      </c>
      <c r="AG117" t="s">
        <v>2</v>
      </c>
      <c r="AI117" t="s">
        <v>23</v>
      </c>
      <c r="AJ117">
        <v>4</v>
      </c>
      <c r="AK117">
        <v>42</v>
      </c>
      <c r="AL117">
        <v>27</v>
      </c>
      <c r="AM117" t="s">
        <v>5</v>
      </c>
      <c r="AN117">
        <v>0</v>
      </c>
      <c r="AO117">
        <v>0</v>
      </c>
      <c r="AP117">
        <v>0</v>
      </c>
      <c r="AQ117">
        <v>1</v>
      </c>
    </row>
    <row r="118" spans="1:43" x14ac:dyDescent="0.25">
      <c r="A118" t="s">
        <v>3534</v>
      </c>
      <c r="B118" t="s">
        <v>901</v>
      </c>
      <c r="C118" t="s">
        <v>3533</v>
      </c>
      <c r="D118" s="1">
        <v>46036</v>
      </c>
      <c r="E118" t="s">
        <v>45</v>
      </c>
      <c r="F118" t="s">
        <v>57</v>
      </c>
      <c r="G118" t="s">
        <v>30</v>
      </c>
      <c r="H118" t="s">
        <v>16</v>
      </c>
      <c r="I118" t="s">
        <v>15</v>
      </c>
      <c r="J118" t="s">
        <v>14</v>
      </c>
      <c r="K118" t="s">
        <v>13</v>
      </c>
      <c r="L118" t="s">
        <v>42</v>
      </c>
      <c r="M118" t="s">
        <v>11</v>
      </c>
      <c r="N118" t="s">
        <v>10</v>
      </c>
      <c r="O118" t="s">
        <v>26</v>
      </c>
      <c r="P118" t="s">
        <v>63</v>
      </c>
      <c r="Q118" t="s">
        <v>50</v>
      </c>
      <c r="R118" t="s">
        <v>38</v>
      </c>
      <c r="S118">
        <v>4</v>
      </c>
      <c r="T118">
        <v>4</v>
      </c>
      <c r="U118">
        <v>114</v>
      </c>
      <c r="V118" t="s">
        <v>0</v>
      </c>
      <c r="W118" t="s">
        <v>287</v>
      </c>
      <c r="X118" t="s">
        <v>0</v>
      </c>
      <c r="Y118" t="s">
        <v>4</v>
      </c>
      <c r="Z118" t="s">
        <v>5</v>
      </c>
      <c r="AA118">
        <v>158.1</v>
      </c>
      <c r="AB118">
        <v>0.22</v>
      </c>
      <c r="AC118">
        <v>0</v>
      </c>
      <c r="AD118" t="s">
        <v>436</v>
      </c>
      <c r="AE118" t="s">
        <v>5</v>
      </c>
      <c r="AF118" t="s">
        <v>436</v>
      </c>
      <c r="AG118" t="s">
        <v>139</v>
      </c>
      <c r="AH118">
        <v>18</v>
      </c>
      <c r="AI118" t="s">
        <v>23</v>
      </c>
      <c r="AJ118">
        <v>3</v>
      </c>
      <c r="AK118">
        <v>52</v>
      </c>
      <c r="AL118">
        <v>0</v>
      </c>
      <c r="AM118" t="s">
        <v>5</v>
      </c>
      <c r="AN118">
        <v>1</v>
      </c>
      <c r="AO118">
        <v>1</v>
      </c>
      <c r="AP118">
        <v>0</v>
      </c>
      <c r="AQ118">
        <v>1</v>
      </c>
    </row>
    <row r="119" spans="1:43" x14ac:dyDescent="0.25">
      <c r="A119" t="s">
        <v>3532</v>
      </c>
      <c r="B119" t="s">
        <v>1933</v>
      </c>
      <c r="C119" t="s">
        <v>3531</v>
      </c>
      <c r="D119" s="1">
        <v>46008</v>
      </c>
      <c r="E119" t="s">
        <v>112</v>
      </c>
      <c r="F119" t="s">
        <v>307</v>
      </c>
      <c r="G119" t="s">
        <v>30</v>
      </c>
      <c r="H119" t="s">
        <v>16</v>
      </c>
      <c r="I119" t="s">
        <v>28</v>
      </c>
      <c r="J119" t="s">
        <v>14</v>
      </c>
      <c r="K119" t="s">
        <v>13</v>
      </c>
      <c r="L119" t="s">
        <v>88</v>
      </c>
      <c r="M119" t="s">
        <v>27</v>
      </c>
      <c r="N119" t="s">
        <v>10</v>
      </c>
      <c r="O119" t="s">
        <v>74</v>
      </c>
      <c r="P119" t="s">
        <v>39</v>
      </c>
      <c r="Q119" t="s">
        <v>24</v>
      </c>
      <c r="R119" t="s">
        <v>38</v>
      </c>
      <c r="S119">
        <v>6</v>
      </c>
      <c r="T119">
        <v>6</v>
      </c>
      <c r="U119">
        <v>182</v>
      </c>
      <c r="V119" t="s">
        <v>0</v>
      </c>
      <c r="W119" t="s">
        <v>0</v>
      </c>
      <c r="X119" t="s">
        <v>135</v>
      </c>
      <c r="Y119" t="s">
        <v>4</v>
      </c>
      <c r="Z119" t="s">
        <v>5</v>
      </c>
      <c r="AA119">
        <v>0</v>
      </c>
      <c r="AB119">
        <v>0</v>
      </c>
      <c r="AC119">
        <v>0.37</v>
      </c>
      <c r="AD119" t="s">
        <v>3</v>
      </c>
      <c r="AE119" t="s">
        <v>0</v>
      </c>
      <c r="AF119" t="s">
        <v>3</v>
      </c>
      <c r="AG119" t="s">
        <v>2</v>
      </c>
      <c r="AI119" t="s">
        <v>129</v>
      </c>
      <c r="AJ119">
        <v>2</v>
      </c>
      <c r="AK119">
        <v>21</v>
      </c>
      <c r="AL119" t="s">
        <v>3364</v>
      </c>
      <c r="AM119" t="s">
        <v>5</v>
      </c>
      <c r="AN119">
        <v>0</v>
      </c>
      <c r="AO119">
        <v>1</v>
      </c>
      <c r="AP119">
        <v>0</v>
      </c>
      <c r="AQ119">
        <v>1</v>
      </c>
    </row>
    <row r="120" spans="1:43" x14ac:dyDescent="0.25">
      <c r="A120" t="s">
        <v>3530</v>
      </c>
      <c r="B120" t="s">
        <v>2518</v>
      </c>
      <c r="C120" t="s">
        <v>3529</v>
      </c>
      <c r="D120" s="1">
        <v>46017</v>
      </c>
      <c r="E120" t="s">
        <v>68</v>
      </c>
      <c r="F120" t="s">
        <v>278</v>
      </c>
      <c r="G120" t="s">
        <v>30</v>
      </c>
      <c r="H120" t="s">
        <v>16</v>
      </c>
      <c r="I120" t="s">
        <v>28</v>
      </c>
      <c r="J120" t="s">
        <v>55</v>
      </c>
      <c r="K120" t="s">
        <v>54</v>
      </c>
      <c r="L120" t="s">
        <v>42</v>
      </c>
      <c r="M120" t="s">
        <v>11</v>
      </c>
      <c r="N120" t="s">
        <v>269</v>
      </c>
      <c r="O120" t="s">
        <v>101</v>
      </c>
      <c r="P120" t="s">
        <v>63</v>
      </c>
      <c r="Q120" t="s">
        <v>198</v>
      </c>
      <c r="R120" t="s">
        <v>38</v>
      </c>
      <c r="S120" t="s">
        <v>99</v>
      </c>
      <c r="T120">
        <v>4</v>
      </c>
      <c r="U120">
        <v>115</v>
      </c>
      <c r="V120" t="s">
        <v>0</v>
      </c>
      <c r="W120" t="s">
        <v>5</v>
      </c>
      <c r="X120" t="s">
        <v>0</v>
      </c>
      <c r="Y120" t="s">
        <v>4</v>
      </c>
      <c r="Z120" t="s">
        <v>5</v>
      </c>
      <c r="AA120">
        <v>60.28</v>
      </c>
      <c r="AB120">
        <v>0.48</v>
      </c>
      <c r="AC120">
        <v>0</v>
      </c>
      <c r="AD120" t="s">
        <v>3</v>
      </c>
      <c r="AE120" t="s">
        <v>0</v>
      </c>
      <c r="AF120" t="s">
        <v>3</v>
      </c>
      <c r="AG120" t="s">
        <v>2</v>
      </c>
      <c r="AI120" t="s">
        <v>23</v>
      </c>
      <c r="AJ120">
        <v>3</v>
      </c>
      <c r="AK120">
        <v>36</v>
      </c>
      <c r="AL120">
        <v>0</v>
      </c>
      <c r="AM120" t="s">
        <v>5</v>
      </c>
      <c r="AN120">
        <v>1</v>
      </c>
      <c r="AO120">
        <v>1</v>
      </c>
      <c r="AP120">
        <v>0</v>
      </c>
      <c r="AQ120">
        <v>1</v>
      </c>
    </row>
    <row r="121" spans="1:43" x14ac:dyDescent="0.25">
      <c r="A121" t="s">
        <v>3528</v>
      </c>
      <c r="B121" t="s">
        <v>2607</v>
      </c>
      <c r="C121" t="s">
        <v>3527</v>
      </c>
      <c r="D121" s="1">
        <v>46181</v>
      </c>
      <c r="E121" t="s">
        <v>156</v>
      </c>
      <c r="F121" t="s">
        <v>1287</v>
      </c>
      <c r="G121" t="s">
        <v>131</v>
      </c>
      <c r="H121" t="s">
        <v>77</v>
      </c>
      <c r="I121" t="s">
        <v>15</v>
      </c>
      <c r="J121" t="s">
        <v>146</v>
      </c>
      <c r="K121" t="s">
        <v>145</v>
      </c>
      <c r="L121" t="s">
        <v>42</v>
      </c>
      <c r="M121" t="s">
        <v>53</v>
      </c>
      <c r="N121" t="s">
        <v>41</v>
      </c>
      <c r="O121" t="s">
        <v>51</v>
      </c>
      <c r="P121" t="s">
        <v>63</v>
      </c>
      <c r="Q121" t="s">
        <v>50</v>
      </c>
      <c r="R121" t="s">
        <v>6</v>
      </c>
      <c r="S121">
        <v>6</v>
      </c>
      <c r="T121">
        <v>6</v>
      </c>
      <c r="U121">
        <v>109</v>
      </c>
      <c r="V121" t="s">
        <v>0</v>
      </c>
      <c r="W121" t="s">
        <v>5</v>
      </c>
      <c r="X121" t="s">
        <v>0</v>
      </c>
      <c r="Y121" t="s">
        <v>4</v>
      </c>
      <c r="Z121" t="s">
        <v>5</v>
      </c>
      <c r="AA121">
        <v>60</v>
      </c>
      <c r="AB121">
        <v>0.1</v>
      </c>
      <c r="AC121">
        <v>0.17</v>
      </c>
      <c r="AD121" t="s">
        <v>3</v>
      </c>
      <c r="AE121" t="s">
        <v>0</v>
      </c>
      <c r="AF121" t="s">
        <v>3</v>
      </c>
      <c r="AG121" t="s">
        <v>2</v>
      </c>
      <c r="AI121" t="s">
        <v>23</v>
      </c>
      <c r="AJ121">
        <v>3</v>
      </c>
      <c r="AK121">
        <v>34</v>
      </c>
      <c r="AL121">
        <v>0</v>
      </c>
      <c r="AM121" t="s">
        <v>5</v>
      </c>
      <c r="AN121">
        <v>1</v>
      </c>
      <c r="AO121">
        <v>1</v>
      </c>
      <c r="AP121">
        <v>0</v>
      </c>
      <c r="AQ121">
        <v>1</v>
      </c>
    </row>
    <row r="122" spans="1:43" x14ac:dyDescent="0.25">
      <c r="A122" t="s">
        <v>3526</v>
      </c>
      <c r="B122" t="s">
        <v>542</v>
      </c>
      <c r="C122" t="s">
        <v>3525</v>
      </c>
      <c r="D122" s="1">
        <v>45668</v>
      </c>
      <c r="E122" t="s">
        <v>156</v>
      </c>
      <c r="F122" t="s">
        <v>325</v>
      </c>
      <c r="G122" t="s">
        <v>17</v>
      </c>
      <c r="H122" t="s">
        <v>77</v>
      </c>
      <c r="I122" t="s">
        <v>28</v>
      </c>
      <c r="J122" t="s">
        <v>55</v>
      </c>
      <c r="K122" t="s">
        <v>54</v>
      </c>
      <c r="L122" t="s">
        <v>64</v>
      </c>
      <c r="M122" t="s">
        <v>27</v>
      </c>
      <c r="N122" t="s">
        <v>52</v>
      </c>
      <c r="O122" t="s">
        <v>26</v>
      </c>
      <c r="P122" t="s">
        <v>25</v>
      </c>
      <c r="Q122" t="s">
        <v>24</v>
      </c>
      <c r="R122" t="s">
        <v>6</v>
      </c>
      <c r="S122">
        <v>4</v>
      </c>
      <c r="T122">
        <v>4</v>
      </c>
      <c r="U122">
        <v>82</v>
      </c>
      <c r="V122" t="s">
        <v>0</v>
      </c>
      <c r="W122" t="s">
        <v>5</v>
      </c>
      <c r="X122" t="s">
        <v>0</v>
      </c>
      <c r="Y122" t="s">
        <v>4</v>
      </c>
      <c r="Z122" t="s">
        <v>5</v>
      </c>
      <c r="AA122">
        <v>134.61000000000001</v>
      </c>
      <c r="AB122">
        <v>0.2</v>
      </c>
      <c r="AC122">
        <v>0.37</v>
      </c>
      <c r="AD122" t="s">
        <v>3</v>
      </c>
      <c r="AE122" t="s">
        <v>0</v>
      </c>
      <c r="AF122" t="s">
        <v>3</v>
      </c>
      <c r="AG122" t="s">
        <v>2</v>
      </c>
      <c r="AI122" t="s">
        <v>23</v>
      </c>
      <c r="AJ122">
        <v>4</v>
      </c>
      <c r="AK122">
        <v>51</v>
      </c>
      <c r="AL122">
        <v>26</v>
      </c>
      <c r="AM122" t="s">
        <v>5</v>
      </c>
      <c r="AN122">
        <v>1</v>
      </c>
      <c r="AO122">
        <v>1</v>
      </c>
      <c r="AP122">
        <v>0</v>
      </c>
      <c r="AQ122">
        <v>1</v>
      </c>
    </row>
    <row r="123" spans="1:43" x14ac:dyDescent="0.25">
      <c r="A123" t="s">
        <v>3524</v>
      </c>
      <c r="B123" t="s">
        <v>235</v>
      </c>
      <c r="C123" t="s">
        <v>3523</v>
      </c>
      <c r="D123" s="1">
        <v>45799</v>
      </c>
      <c r="E123" t="s">
        <v>112</v>
      </c>
      <c r="F123" t="s">
        <v>111</v>
      </c>
      <c r="G123" t="s">
        <v>123</v>
      </c>
      <c r="H123" t="s">
        <v>16</v>
      </c>
      <c r="I123" t="s">
        <v>15</v>
      </c>
      <c r="J123" t="s">
        <v>55</v>
      </c>
      <c r="K123" t="s">
        <v>54</v>
      </c>
      <c r="L123" t="s">
        <v>64</v>
      </c>
      <c r="M123" t="s">
        <v>299</v>
      </c>
      <c r="N123" t="s">
        <v>75</v>
      </c>
      <c r="O123" t="s">
        <v>26</v>
      </c>
      <c r="P123" t="s">
        <v>39</v>
      </c>
      <c r="Q123" t="s">
        <v>7</v>
      </c>
      <c r="R123" t="s">
        <v>6</v>
      </c>
      <c r="S123">
        <v>4</v>
      </c>
      <c r="T123">
        <v>2</v>
      </c>
      <c r="U123">
        <v>164</v>
      </c>
      <c r="V123" t="s">
        <v>5</v>
      </c>
      <c r="W123" t="s">
        <v>5</v>
      </c>
      <c r="X123" t="s">
        <v>0</v>
      </c>
      <c r="Y123" t="s">
        <v>4</v>
      </c>
      <c r="Z123" t="s">
        <v>5</v>
      </c>
      <c r="AA123">
        <v>220.93</v>
      </c>
      <c r="AB123">
        <v>0.2</v>
      </c>
      <c r="AC123">
        <v>0</v>
      </c>
      <c r="AD123" t="s">
        <v>3</v>
      </c>
      <c r="AE123" t="s">
        <v>0</v>
      </c>
      <c r="AF123" t="s">
        <v>3</v>
      </c>
      <c r="AG123" t="s">
        <v>2</v>
      </c>
      <c r="AI123" t="s">
        <v>23</v>
      </c>
      <c r="AJ123">
        <v>5</v>
      </c>
      <c r="AK123">
        <v>-1</v>
      </c>
      <c r="AL123">
        <v>55</v>
      </c>
      <c r="AM123" t="s">
        <v>0</v>
      </c>
      <c r="AN123">
        <v>1</v>
      </c>
      <c r="AO123">
        <v>1</v>
      </c>
      <c r="AP123">
        <v>0</v>
      </c>
      <c r="AQ123">
        <v>0</v>
      </c>
    </row>
    <row r="124" spans="1:43" x14ac:dyDescent="0.25">
      <c r="A124" t="s">
        <v>3522</v>
      </c>
      <c r="B124" t="s">
        <v>1059</v>
      </c>
      <c r="C124" t="s">
        <v>3521</v>
      </c>
      <c r="D124" s="1">
        <v>46025</v>
      </c>
      <c r="E124" t="s">
        <v>95</v>
      </c>
      <c r="F124" t="s">
        <v>321</v>
      </c>
      <c r="G124" t="s">
        <v>30</v>
      </c>
      <c r="H124" t="s">
        <v>43</v>
      </c>
      <c r="I124" t="s">
        <v>28</v>
      </c>
      <c r="J124" t="s">
        <v>55</v>
      </c>
      <c r="K124" t="s">
        <v>54</v>
      </c>
      <c r="L124" t="s">
        <v>117</v>
      </c>
      <c r="M124" t="s">
        <v>53</v>
      </c>
      <c r="N124" t="s">
        <v>10</v>
      </c>
      <c r="O124" t="s">
        <v>26</v>
      </c>
      <c r="P124" t="s">
        <v>39</v>
      </c>
      <c r="Q124" t="s">
        <v>7</v>
      </c>
      <c r="R124" t="s">
        <v>6</v>
      </c>
      <c r="S124">
        <v>4</v>
      </c>
      <c r="T124">
        <v>99</v>
      </c>
      <c r="U124">
        <v>203</v>
      </c>
      <c r="V124" t="s">
        <v>5</v>
      </c>
      <c r="W124" t="s">
        <v>0</v>
      </c>
      <c r="X124" t="s">
        <v>0</v>
      </c>
      <c r="Y124" t="s">
        <v>4</v>
      </c>
      <c r="Z124" t="s">
        <v>5</v>
      </c>
      <c r="AA124">
        <v>198.51</v>
      </c>
      <c r="AB124">
        <v>0.23</v>
      </c>
      <c r="AC124">
        <v>0.17</v>
      </c>
      <c r="AD124" t="s">
        <v>3</v>
      </c>
      <c r="AE124" t="s">
        <v>0</v>
      </c>
      <c r="AF124" t="s">
        <v>3</v>
      </c>
      <c r="AG124" t="s">
        <v>2</v>
      </c>
      <c r="AI124" t="s">
        <v>332</v>
      </c>
      <c r="AJ124">
        <v>3</v>
      </c>
      <c r="AK124">
        <v>4</v>
      </c>
      <c r="AL124">
        <v>62</v>
      </c>
      <c r="AM124" t="s">
        <v>0</v>
      </c>
      <c r="AN124">
        <v>0</v>
      </c>
      <c r="AO124">
        <v>1</v>
      </c>
      <c r="AP124">
        <v>0</v>
      </c>
      <c r="AQ124">
        <v>0</v>
      </c>
    </row>
    <row r="125" spans="1:43" x14ac:dyDescent="0.25">
      <c r="A125" t="s">
        <v>3520</v>
      </c>
      <c r="B125" t="s">
        <v>1795</v>
      </c>
      <c r="C125" t="s">
        <v>3519</v>
      </c>
      <c r="D125" s="1">
        <v>45959</v>
      </c>
      <c r="E125" t="s">
        <v>149</v>
      </c>
      <c r="F125" t="s">
        <v>148</v>
      </c>
      <c r="G125" t="s">
        <v>123</v>
      </c>
      <c r="H125" t="s">
        <v>16</v>
      </c>
      <c r="I125" t="s">
        <v>15</v>
      </c>
      <c r="J125" t="s">
        <v>14</v>
      </c>
      <c r="K125" t="s">
        <v>13</v>
      </c>
      <c r="L125" t="s">
        <v>64</v>
      </c>
      <c r="M125" t="s">
        <v>11</v>
      </c>
      <c r="N125" t="s">
        <v>75</v>
      </c>
      <c r="O125" t="s">
        <v>74</v>
      </c>
      <c r="P125" t="s">
        <v>63</v>
      </c>
      <c r="Q125" t="s">
        <v>7</v>
      </c>
      <c r="R125" t="s">
        <v>6</v>
      </c>
      <c r="S125">
        <v>6</v>
      </c>
      <c r="T125">
        <v>6</v>
      </c>
      <c r="U125">
        <v>109</v>
      </c>
      <c r="V125" t="s">
        <v>0</v>
      </c>
      <c r="W125" t="s">
        <v>5</v>
      </c>
      <c r="X125" t="s">
        <v>0</v>
      </c>
      <c r="Y125" t="s">
        <v>4</v>
      </c>
      <c r="Z125" t="s">
        <v>5</v>
      </c>
      <c r="AA125">
        <v>0</v>
      </c>
      <c r="AB125">
        <v>0</v>
      </c>
      <c r="AC125">
        <v>0</v>
      </c>
      <c r="AD125" t="s">
        <v>3</v>
      </c>
      <c r="AE125" t="s">
        <v>0</v>
      </c>
      <c r="AF125" t="s">
        <v>3</v>
      </c>
      <c r="AG125" t="s">
        <v>2</v>
      </c>
      <c r="AI125" t="s">
        <v>23</v>
      </c>
      <c r="AJ125">
        <v>5</v>
      </c>
      <c r="AK125">
        <v>-29</v>
      </c>
      <c r="AL125">
        <v>0</v>
      </c>
      <c r="AM125" t="s">
        <v>0</v>
      </c>
      <c r="AN125">
        <v>1</v>
      </c>
      <c r="AO125">
        <v>1</v>
      </c>
      <c r="AP125">
        <v>0</v>
      </c>
      <c r="AQ125">
        <v>0</v>
      </c>
    </row>
    <row r="126" spans="1:43" x14ac:dyDescent="0.25">
      <c r="A126" t="s">
        <v>3518</v>
      </c>
      <c r="B126" t="s">
        <v>3194</v>
      </c>
      <c r="C126" t="s">
        <v>3517</v>
      </c>
      <c r="D126" s="1">
        <v>45915</v>
      </c>
      <c r="E126" t="s">
        <v>45</v>
      </c>
      <c r="F126" t="s">
        <v>348</v>
      </c>
      <c r="G126" t="s">
        <v>30</v>
      </c>
      <c r="H126" t="s">
        <v>29</v>
      </c>
      <c r="I126" t="s">
        <v>28</v>
      </c>
      <c r="J126" t="s">
        <v>55</v>
      </c>
      <c r="K126" t="s">
        <v>54</v>
      </c>
      <c r="L126" t="s">
        <v>64</v>
      </c>
      <c r="M126" t="s">
        <v>11</v>
      </c>
      <c r="N126" t="s">
        <v>154</v>
      </c>
      <c r="O126" t="s">
        <v>51</v>
      </c>
      <c r="P126" t="s">
        <v>39</v>
      </c>
      <c r="Q126" t="s">
        <v>50</v>
      </c>
      <c r="R126" t="s">
        <v>38</v>
      </c>
      <c r="S126">
        <v>6</v>
      </c>
      <c r="T126">
        <v>6</v>
      </c>
      <c r="U126">
        <v>184</v>
      </c>
      <c r="V126" t="s">
        <v>0</v>
      </c>
      <c r="W126" t="s">
        <v>5</v>
      </c>
      <c r="X126" t="s">
        <v>0</v>
      </c>
      <c r="Y126" t="s">
        <v>4</v>
      </c>
      <c r="Z126" t="s">
        <v>5</v>
      </c>
      <c r="AA126">
        <v>0</v>
      </c>
      <c r="AB126">
        <v>0.11</v>
      </c>
      <c r="AC126">
        <v>0</v>
      </c>
      <c r="AD126" t="s">
        <v>3</v>
      </c>
      <c r="AE126" t="s">
        <v>0</v>
      </c>
      <c r="AF126" t="s">
        <v>3</v>
      </c>
      <c r="AG126" t="s">
        <v>2</v>
      </c>
      <c r="AI126" t="s">
        <v>23</v>
      </c>
      <c r="AJ126">
        <v>3</v>
      </c>
      <c r="AK126">
        <v>150</v>
      </c>
      <c r="AL126">
        <v>38</v>
      </c>
      <c r="AM126" t="s">
        <v>0</v>
      </c>
      <c r="AN126">
        <v>1</v>
      </c>
      <c r="AO126">
        <v>1</v>
      </c>
      <c r="AP126">
        <v>0</v>
      </c>
      <c r="AQ126">
        <v>0</v>
      </c>
    </row>
    <row r="127" spans="1:43" x14ac:dyDescent="0.25">
      <c r="A127" t="s">
        <v>3516</v>
      </c>
      <c r="B127" t="s">
        <v>1475</v>
      </c>
      <c r="C127" t="s">
        <v>3515</v>
      </c>
      <c r="D127" s="1">
        <v>45977</v>
      </c>
      <c r="E127" t="s">
        <v>125</v>
      </c>
      <c r="F127" t="s">
        <v>265</v>
      </c>
      <c r="G127" t="s">
        <v>83</v>
      </c>
      <c r="H127" t="s">
        <v>43</v>
      </c>
      <c r="I127" t="s">
        <v>15</v>
      </c>
      <c r="J127" t="s">
        <v>14</v>
      </c>
      <c r="K127" t="s">
        <v>76</v>
      </c>
      <c r="L127" t="s">
        <v>117</v>
      </c>
      <c r="M127" t="s">
        <v>299</v>
      </c>
      <c r="N127" t="s">
        <v>75</v>
      </c>
      <c r="O127" t="s">
        <v>101</v>
      </c>
      <c r="P127" t="s">
        <v>39</v>
      </c>
      <c r="Q127" t="s">
        <v>24</v>
      </c>
      <c r="R127" t="s">
        <v>38</v>
      </c>
      <c r="S127">
        <v>4</v>
      </c>
      <c r="T127">
        <v>2</v>
      </c>
      <c r="U127">
        <v>268</v>
      </c>
      <c r="V127" t="s">
        <v>5</v>
      </c>
      <c r="W127" t="s">
        <v>5</v>
      </c>
      <c r="X127" t="s">
        <v>5</v>
      </c>
      <c r="Y127" t="s">
        <v>696</v>
      </c>
      <c r="Z127" t="s">
        <v>5</v>
      </c>
      <c r="AA127">
        <v>133.13999999999999</v>
      </c>
      <c r="AB127">
        <v>0.5</v>
      </c>
      <c r="AC127">
        <v>0</v>
      </c>
      <c r="AD127" t="s">
        <v>3</v>
      </c>
      <c r="AE127" t="s">
        <v>0</v>
      </c>
      <c r="AF127" t="s">
        <v>3</v>
      </c>
      <c r="AG127" t="s">
        <v>2</v>
      </c>
      <c r="AI127" t="s">
        <v>23</v>
      </c>
      <c r="AJ127">
        <v>4</v>
      </c>
      <c r="AK127">
        <v>-18</v>
      </c>
      <c r="AL127">
        <v>26</v>
      </c>
      <c r="AM127" t="s">
        <v>5</v>
      </c>
      <c r="AN127">
        <v>1</v>
      </c>
      <c r="AO127">
        <v>1</v>
      </c>
      <c r="AP127">
        <v>1</v>
      </c>
      <c r="AQ127">
        <v>1</v>
      </c>
    </row>
    <row r="128" spans="1:43" x14ac:dyDescent="0.25">
      <c r="A128" t="s">
        <v>3514</v>
      </c>
      <c r="B128" t="s">
        <v>572</v>
      </c>
      <c r="C128" t="s">
        <v>3513</v>
      </c>
      <c r="D128" s="1">
        <v>45670</v>
      </c>
      <c r="E128" t="s">
        <v>95</v>
      </c>
      <c r="F128" t="s">
        <v>118</v>
      </c>
      <c r="G128" t="s">
        <v>56</v>
      </c>
      <c r="H128" t="s">
        <v>77</v>
      </c>
      <c r="I128" t="s">
        <v>15</v>
      </c>
      <c r="J128" t="s">
        <v>14</v>
      </c>
      <c r="K128" t="s">
        <v>13</v>
      </c>
      <c r="L128" t="s">
        <v>117</v>
      </c>
      <c r="M128" t="s">
        <v>53</v>
      </c>
      <c r="N128" t="s">
        <v>269</v>
      </c>
      <c r="O128" t="s">
        <v>101</v>
      </c>
      <c r="P128" t="s">
        <v>39</v>
      </c>
      <c r="Q128" t="s">
        <v>7</v>
      </c>
      <c r="R128" t="s">
        <v>6</v>
      </c>
      <c r="S128">
        <v>4</v>
      </c>
      <c r="T128">
        <v>4</v>
      </c>
      <c r="U128">
        <v>100</v>
      </c>
      <c r="V128" t="s">
        <v>0</v>
      </c>
      <c r="W128" t="s">
        <v>5</v>
      </c>
      <c r="X128" t="s">
        <v>181</v>
      </c>
      <c r="Y128" t="s">
        <v>4</v>
      </c>
      <c r="Z128" t="s">
        <v>5</v>
      </c>
      <c r="AA128">
        <v>76.77</v>
      </c>
      <c r="AB128">
        <v>0.56999999999999995</v>
      </c>
      <c r="AC128">
        <v>0.17</v>
      </c>
      <c r="AD128" t="s">
        <v>3</v>
      </c>
      <c r="AE128" t="s">
        <v>0</v>
      </c>
      <c r="AF128" t="s">
        <v>3</v>
      </c>
      <c r="AG128" t="s">
        <v>2</v>
      </c>
      <c r="AI128" t="s">
        <v>23</v>
      </c>
      <c r="AJ128">
        <v>4</v>
      </c>
      <c r="AK128">
        <v>65</v>
      </c>
      <c r="AL128">
        <v>14</v>
      </c>
      <c r="AM128" t="s">
        <v>5</v>
      </c>
      <c r="AN128">
        <v>1</v>
      </c>
      <c r="AO128">
        <v>1</v>
      </c>
      <c r="AP128">
        <v>0</v>
      </c>
      <c r="AQ128">
        <v>1</v>
      </c>
    </row>
    <row r="129" spans="1:43" x14ac:dyDescent="0.25">
      <c r="A129" t="s">
        <v>3512</v>
      </c>
      <c r="B129" t="s">
        <v>340</v>
      </c>
      <c r="C129" t="s">
        <v>3511</v>
      </c>
      <c r="D129" s="1">
        <v>46042</v>
      </c>
      <c r="E129" t="s">
        <v>156</v>
      </c>
      <c r="F129" t="s">
        <v>155</v>
      </c>
      <c r="G129" t="s">
        <v>30</v>
      </c>
      <c r="H129" t="s">
        <v>77</v>
      </c>
      <c r="I129" t="s">
        <v>15</v>
      </c>
      <c r="J129" t="s">
        <v>55</v>
      </c>
      <c r="K129" t="s">
        <v>54</v>
      </c>
      <c r="L129" t="s">
        <v>117</v>
      </c>
      <c r="M129" t="s">
        <v>53</v>
      </c>
      <c r="N129" t="s">
        <v>52</v>
      </c>
      <c r="O129" t="s">
        <v>9</v>
      </c>
      <c r="P129" t="s">
        <v>39</v>
      </c>
      <c r="Q129" t="s">
        <v>172</v>
      </c>
      <c r="R129" t="s">
        <v>38</v>
      </c>
      <c r="S129">
        <v>7</v>
      </c>
      <c r="T129">
        <v>7</v>
      </c>
      <c r="U129">
        <v>162</v>
      </c>
      <c r="V129" t="s">
        <v>0</v>
      </c>
      <c r="W129" t="s">
        <v>0</v>
      </c>
      <c r="X129" t="s">
        <v>0</v>
      </c>
      <c r="Y129" t="s">
        <v>4</v>
      </c>
      <c r="Z129" t="s">
        <v>5</v>
      </c>
      <c r="AA129">
        <v>0</v>
      </c>
      <c r="AB129">
        <v>0</v>
      </c>
      <c r="AC129">
        <v>0.17</v>
      </c>
      <c r="AD129" t="s">
        <v>3</v>
      </c>
      <c r="AE129" t="s">
        <v>0</v>
      </c>
      <c r="AF129" t="s">
        <v>3</v>
      </c>
      <c r="AG129" t="s">
        <v>2</v>
      </c>
      <c r="AI129" t="s">
        <v>129</v>
      </c>
      <c r="AJ129">
        <v>4</v>
      </c>
      <c r="AK129">
        <v>-8</v>
      </c>
      <c r="AL129" t="s">
        <v>3510</v>
      </c>
      <c r="AM129" t="s">
        <v>0</v>
      </c>
      <c r="AN129">
        <v>0</v>
      </c>
      <c r="AO129">
        <v>1</v>
      </c>
      <c r="AP129">
        <v>0</v>
      </c>
      <c r="AQ129">
        <v>0</v>
      </c>
    </row>
    <row r="130" spans="1:43" x14ac:dyDescent="0.25">
      <c r="A130" t="s">
        <v>3509</v>
      </c>
      <c r="B130" t="s">
        <v>250</v>
      </c>
      <c r="C130" t="s">
        <v>3508</v>
      </c>
      <c r="D130" s="1">
        <v>45985</v>
      </c>
      <c r="E130" t="s">
        <v>79</v>
      </c>
      <c r="F130" t="s">
        <v>206</v>
      </c>
      <c r="G130" t="s">
        <v>17</v>
      </c>
      <c r="H130" t="s">
        <v>29</v>
      </c>
      <c r="I130" t="s">
        <v>15</v>
      </c>
      <c r="J130" t="s">
        <v>55</v>
      </c>
      <c r="K130" t="s">
        <v>54</v>
      </c>
      <c r="L130" t="s">
        <v>64</v>
      </c>
      <c r="M130" t="s">
        <v>11</v>
      </c>
      <c r="N130" t="s">
        <v>41</v>
      </c>
      <c r="O130" t="s">
        <v>101</v>
      </c>
      <c r="P130" t="s">
        <v>63</v>
      </c>
      <c r="Q130" t="s">
        <v>50</v>
      </c>
      <c r="R130" t="s">
        <v>38</v>
      </c>
      <c r="S130">
        <v>4</v>
      </c>
      <c r="T130" t="s">
        <v>527</v>
      </c>
      <c r="U130">
        <v>72</v>
      </c>
      <c r="V130" t="s">
        <v>0</v>
      </c>
      <c r="W130" t="s">
        <v>5</v>
      </c>
      <c r="X130" t="s">
        <v>0</v>
      </c>
      <c r="Y130" t="s">
        <v>4</v>
      </c>
      <c r="Z130" t="s">
        <v>5</v>
      </c>
      <c r="AA130">
        <v>33.74</v>
      </c>
      <c r="AB130">
        <v>0.43</v>
      </c>
      <c r="AC130">
        <v>0</v>
      </c>
      <c r="AD130" t="s">
        <v>3</v>
      </c>
      <c r="AE130" t="s">
        <v>0</v>
      </c>
      <c r="AF130" t="s">
        <v>3</v>
      </c>
      <c r="AG130" t="s">
        <v>2</v>
      </c>
      <c r="AI130" t="s">
        <v>23</v>
      </c>
      <c r="AJ130">
        <v>4</v>
      </c>
      <c r="AK130">
        <v>150</v>
      </c>
      <c r="AL130">
        <v>0</v>
      </c>
      <c r="AM130" t="s">
        <v>5</v>
      </c>
      <c r="AN130">
        <v>1</v>
      </c>
      <c r="AO130">
        <v>1</v>
      </c>
      <c r="AP130">
        <v>0</v>
      </c>
      <c r="AQ130">
        <v>1</v>
      </c>
    </row>
    <row r="131" spans="1:43" x14ac:dyDescent="0.25">
      <c r="A131" t="s">
        <v>3507</v>
      </c>
      <c r="B131" t="s">
        <v>678</v>
      </c>
      <c r="C131" t="s">
        <v>3506</v>
      </c>
      <c r="D131" s="1">
        <v>45750</v>
      </c>
      <c r="E131" t="s">
        <v>149</v>
      </c>
      <c r="F131" t="s">
        <v>471</v>
      </c>
      <c r="G131" t="s">
        <v>56</v>
      </c>
      <c r="H131" t="s">
        <v>16</v>
      </c>
      <c r="I131" t="s">
        <v>28</v>
      </c>
      <c r="J131" t="s">
        <v>55</v>
      </c>
      <c r="K131" t="s">
        <v>54</v>
      </c>
      <c r="L131" t="s">
        <v>88</v>
      </c>
      <c r="M131" t="s">
        <v>53</v>
      </c>
      <c r="N131" t="s">
        <v>269</v>
      </c>
      <c r="O131" t="s">
        <v>74</v>
      </c>
      <c r="P131" t="s">
        <v>8</v>
      </c>
      <c r="Q131" t="s">
        <v>7</v>
      </c>
      <c r="R131" t="s">
        <v>6</v>
      </c>
      <c r="S131">
        <v>6</v>
      </c>
      <c r="T131">
        <v>5</v>
      </c>
      <c r="U131">
        <v>224</v>
      </c>
      <c r="V131" t="s">
        <v>5</v>
      </c>
      <c r="W131" t="s">
        <v>5</v>
      </c>
      <c r="X131" t="s">
        <v>0</v>
      </c>
      <c r="Y131" t="s">
        <v>4</v>
      </c>
      <c r="Z131" t="s">
        <v>0</v>
      </c>
      <c r="AA131">
        <v>0</v>
      </c>
      <c r="AB131">
        <v>0</v>
      </c>
      <c r="AC131">
        <v>0</v>
      </c>
      <c r="AD131" t="s">
        <v>3</v>
      </c>
      <c r="AE131" t="s">
        <v>0</v>
      </c>
      <c r="AF131" t="s">
        <v>3</v>
      </c>
      <c r="AG131" t="s">
        <v>2</v>
      </c>
      <c r="AI131" t="s">
        <v>23</v>
      </c>
      <c r="AJ131">
        <v>3</v>
      </c>
      <c r="AK131">
        <v>-30</v>
      </c>
      <c r="AL131">
        <v>23</v>
      </c>
      <c r="AM131" t="s">
        <v>0</v>
      </c>
      <c r="AN131">
        <v>1</v>
      </c>
      <c r="AO131">
        <v>0</v>
      </c>
      <c r="AP131">
        <v>0</v>
      </c>
      <c r="AQ131">
        <v>0</v>
      </c>
    </row>
    <row r="132" spans="1:43" x14ac:dyDescent="0.25">
      <c r="A132" t="s">
        <v>3505</v>
      </c>
      <c r="B132" t="s">
        <v>3504</v>
      </c>
      <c r="C132" t="s">
        <v>3503</v>
      </c>
      <c r="D132" s="1">
        <v>45918</v>
      </c>
      <c r="E132" t="s">
        <v>68</v>
      </c>
      <c r="F132" t="s">
        <v>67</v>
      </c>
      <c r="G132" t="s">
        <v>30</v>
      </c>
      <c r="H132" t="s">
        <v>77</v>
      </c>
      <c r="I132" t="s">
        <v>28</v>
      </c>
      <c r="J132" t="s">
        <v>55</v>
      </c>
      <c r="K132" t="s">
        <v>54</v>
      </c>
      <c r="L132" t="s">
        <v>64</v>
      </c>
      <c r="M132" t="s">
        <v>53</v>
      </c>
      <c r="N132" t="s">
        <v>52</v>
      </c>
      <c r="O132" t="s">
        <v>74</v>
      </c>
      <c r="P132" t="s">
        <v>25</v>
      </c>
      <c r="Q132" t="s">
        <v>50</v>
      </c>
      <c r="R132" t="s">
        <v>6</v>
      </c>
      <c r="S132">
        <v>6</v>
      </c>
      <c r="T132">
        <v>6</v>
      </c>
      <c r="U132">
        <v>159</v>
      </c>
      <c r="V132" t="s">
        <v>0</v>
      </c>
      <c r="W132" t="s">
        <v>0</v>
      </c>
      <c r="X132" t="s">
        <v>0</v>
      </c>
      <c r="Y132" t="s">
        <v>4</v>
      </c>
      <c r="Z132" t="s">
        <v>5</v>
      </c>
      <c r="AA132">
        <v>0</v>
      </c>
      <c r="AB132">
        <v>0</v>
      </c>
      <c r="AC132">
        <v>0.17</v>
      </c>
      <c r="AD132" t="s">
        <v>3</v>
      </c>
      <c r="AE132" t="s">
        <v>0</v>
      </c>
      <c r="AF132" t="s">
        <v>3</v>
      </c>
      <c r="AG132" t="s">
        <v>2</v>
      </c>
      <c r="AI132" t="s">
        <v>23</v>
      </c>
      <c r="AJ132">
        <v>3</v>
      </c>
      <c r="AK132">
        <v>-3</v>
      </c>
      <c r="AL132">
        <v>14</v>
      </c>
      <c r="AM132" t="s">
        <v>5</v>
      </c>
      <c r="AN132">
        <v>0</v>
      </c>
      <c r="AO132">
        <v>1</v>
      </c>
      <c r="AP132">
        <v>0</v>
      </c>
      <c r="AQ132">
        <v>1</v>
      </c>
    </row>
    <row r="133" spans="1:43" x14ac:dyDescent="0.25">
      <c r="A133" t="s">
        <v>3502</v>
      </c>
      <c r="B133" t="s">
        <v>1547</v>
      </c>
      <c r="C133" t="s">
        <v>3501</v>
      </c>
      <c r="D133" s="1">
        <v>46002</v>
      </c>
      <c r="E133" t="s">
        <v>95</v>
      </c>
      <c r="F133" t="s">
        <v>94</v>
      </c>
      <c r="G133" t="s">
        <v>30</v>
      </c>
      <c r="H133" t="s">
        <v>29</v>
      </c>
      <c r="I133" t="s">
        <v>28</v>
      </c>
      <c r="J133" t="s">
        <v>55</v>
      </c>
      <c r="K133" t="s">
        <v>54</v>
      </c>
      <c r="L133" t="s">
        <v>42</v>
      </c>
      <c r="M133" t="s">
        <v>53</v>
      </c>
      <c r="N133" t="s">
        <v>116</v>
      </c>
      <c r="O133" t="s">
        <v>74</v>
      </c>
      <c r="P133" t="s">
        <v>39</v>
      </c>
      <c r="Q133" t="s">
        <v>7</v>
      </c>
      <c r="R133" t="s">
        <v>6</v>
      </c>
      <c r="S133">
        <v>6</v>
      </c>
      <c r="T133">
        <v>6</v>
      </c>
      <c r="U133">
        <v>155</v>
      </c>
      <c r="V133" t="s">
        <v>0</v>
      </c>
      <c r="W133" t="s">
        <v>0</v>
      </c>
      <c r="X133" t="s">
        <v>0</v>
      </c>
      <c r="Y133" t="s">
        <v>4</v>
      </c>
      <c r="Z133" t="s">
        <v>0</v>
      </c>
      <c r="AA133">
        <v>0</v>
      </c>
      <c r="AB133">
        <v>0</v>
      </c>
      <c r="AC133">
        <v>0</v>
      </c>
      <c r="AD133" t="s">
        <v>3</v>
      </c>
      <c r="AE133" t="s">
        <v>0</v>
      </c>
      <c r="AF133" t="s">
        <v>3</v>
      </c>
      <c r="AG133" t="s">
        <v>2</v>
      </c>
      <c r="AI133" t="s">
        <v>23</v>
      </c>
      <c r="AJ133">
        <v>2</v>
      </c>
      <c r="AK133">
        <v>29</v>
      </c>
      <c r="AL133">
        <v>49</v>
      </c>
      <c r="AM133" t="s">
        <v>0</v>
      </c>
      <c r="AN133">
        <v>0</v>
      </c>
      <c r="AO133">
        <v>0</v>
      </c>
      <c r="AP133">
        <v>0</v>
      </c>
      <c r="AQ133">
        <v>0</v>
      </c>
    </row>
    <row r="134" spans="1:43" x14ac:dyDescent="0.25">
      <c r="A134" t="s">
        <v>3500</v>
      </c>
      <c r="B134" t="s">
        <v>3187</v>
      </c>
      <c r="C134" t="s">
        <v>3499</v>
      </c>
      <c r="D134" s="1">
        <v>45673</v>
      </c>
      <c r="E134" t="s">
        <v>125</v>
      </c>
      <c r="F134" t="s">
        <v>132</v>
      </c>
      <c r="G134" t="s">
        <v>17</v>
      </c>
      <c r="H134" t="s">
        <v>16</v>
      </c>
      <c r="I134" t="s">
        <v>15</v>
      </c>
      <c r="J134" t="s">
        <v>14</v>
      </c>
      <c r="K134" t="s">
        <v>13</v>
      </c>
      <c r="L134" t="s">
        <v>117</v>
      </c>
      <c r="M134" t="s">
        <v>27</v>
      </c>
      <c r="N134" t="s">
        <v>75</v>
      </c>
      <c r="O134" t="s">
        <v>193</v>
      </c>
      <c r="P134" t="s">
        <v>39</v>
      </c>
      <c r="Q134" t="s">
        <v>50</v>
      </c>
      <c r="R134" t="s">
        <v>6</v>
      </c>
      <c r="S134">
        <v>9</v>
      </c>
      <c r="T134">
        <v>9</v>
      </c>
      <c r="U134">
        <v>212</v>
      </c>
      <c r="V134" t="s">
        <v>0</v>
      </c>
      <c r="W134" t="s">
        <v>5</v>
      </c>
      <c r="X134" t="s">
        <v>0</v>
      </c>
      <c r="Y134" t="s">
        <v>4</v>
      </c>
      <c r="Z134" t="s">
        <v>0</v>
      </c>
      <c r="AA134">
        <v>0</v>
      </c>
      <c r="AB134">
        <v>0</v>
      </c>
      <c r="AC134">
        <v>0</v>
      </c>
      <c r="AD134" t="s">
        <v>3</v>
      </c>
      <c r="AE134" t="s">
        <v>0</v>
      </c>
      <c r="AF134" t="s">
        <v>3</v>
      </c>
      <c r="AG134" t="s">
        <v>2</v>
      </c>
      <c r="AI134" t="s">
        <v>23</v>
      </c>
      <c r="AJ134">
        <v>3</v>
      </c>
      <c r="AK134">
        <v>-27</v>
      </c>
      <c r="AL134">
        <v>35</v>
      </c>
      <c r="AM134" t="s">
        <v>0</v>
      </c>
      <c r="AN134">
        <v>1</v>
      </c>
      <c r="AO134">
        <v>0</v>
      </c>
      <c r="AP134">
        <v>0</v>
      </c>
      <c r="AQ134">
        <v>0</v>
      </c>
    </row>
    <row r="135" spans="1:43" x14ac:dyDescent="0.25">
      <c r="A135" t="s">
        <v>3498</v>
      </c>
      <c r="B135" t="s">
        <v>1154</v>
      </c>
      <c r="C135" t="s">
        <v>3497</v>
      </c>
      <c r="D135" s="1">
        <v>45941</v>
      </c>
      <c r="E135" t="s">
        <v>125</v>
      </c>
      <c r="F135" t="s">
        <v>140</v>
      </c>
      <c r="G135" t="s">
        <v>123</v>
      </c>
      <c r="H135" t="s">
        <v>29</v>
      </c>
      <c r="I135" t="s">
        <v>28</v>
      </c>
      <c r="J135" t="s">
        <v>55</v>
      </c>
      <c r="K135" t="s">
        <v>54</v>
      </c>
      <c r="L135" t="s">
        <v>88</v>
      </c>
      <c r="M135" t="s">
        <v>53</v>
      </c>
      <c r="N135" t="s">
        <v>93</v>
      </c>
      <c r="O135" t="s">
        <v>51</v>
      </c>
      <c r="P135" t="s">
        <v>39</v>
      </c>
      <c r="Q135" t="s">
        <v>7</v>
      </c>
      <c r="R135" t="s">
        <v>6</v>
      </c>
      <c r="S135">
        <v>6</v>
      </c>
      <c r="T135">
        <v>6</v>
      </c>
      <c r="U135">
        <v>160</v>
      </c>
      <c r="V135" t="s">
        <v>0</v>
      </c>
      <c r="W135" t="s">
        <v>0</v>
      </c>
      <c r="X135" t="s">
        <v>0</v>
      </c>
      <c r="Y135" t="s">
        <v>4</v>
      </c>
      <c r="Z135" t="s">
        <v>5</v>
      </c>
      <c r="AA135">
        <v>40.74</v>
      </c>
      <c r="AB135">
        <v>0.1</v>
      </c>
      <c r="AC135">
        <v>0.17</v>
      </c>
      <c r="AD135" t="s">
        <v>3</v>
      </c>
      <c r="AE135" t="s">
        <v>0</v>
      </c>
      <c r="AF135" t="s">
        <v>3</v>
      </c>
      <c r="AG135" t="s">
        <v>2</v>
      </c>
      <c r="AI135" t="s">
        <v>23</v>
      </c>
      <c r="AJ135">
        <v>3</v>
      </c>
      <c r="AK135">
        <v>27</v>
      </c>
      <c r="AL135">
        <v>17</v>
      </c>
      <c r="AM135" t="s">
        <v>5</v>
      </c>
      <c r="AN135">
        <v>0</v>
      </c>
      <c r="AO135">
        <v>1</v>
      </c>
      <c r="AP135">
        <v>0</v>
      </c>
      <c r="AQ135">
        <v>1</v>
      </c>
    </row>
    <row r="136" spans="1:43" x14ac:dyDescent="0.25">
      <c r="A136" t="s">
        <v>3496</v>
      </c>
      <c r="B136" t="s">
        <v>3495</v>
      </c>
      <c r="C136" t="s">
        <v>3494</v>
      </c>
      <c r="D136" s="1">
        <v>45998</v>
      </c>
      <c r="E136" t="s">
        <v>68</v>
      </c>
      <c r="F136" t="s">
        <v>67</v>
      </c>
      <c r="G136" t="s">
        <v>30</v>
      </c>
      <c r="H136" t="s">
        <v>16</v>
      </c>
      <c r="I136" t="s">
        <v>15</v>
      </c>
      <c r="J136" t="s">
        <v>55</v>
      </c>
      <c r="K136" t="s">
        <v>54</v>
      </c>
      <c r="L136" t="s">
        <v>64</v>
      </c>
      <c r="M136" t="s">
        <v>567</v>
      </c>
      <c r="N136" t="s">
        <v>10</v>
      </c>
      <c r="O136" t="s">
        <v>74</v>
      </c>
      <c r="P136" t="s">
        <v>39</v>
      </c>
      <c r="Q136" t="s">
        <v>24</v>
      </c>
      <c r="R136" t="s">
        <v>6</v>
      </c>
      <c r="S136">
        <v>6</v>
      </c>
      <c r="T136">
        <v>5</v>
      </c>
      <c r="U136">
        <v>247</v>
      </c>
      <c r="V136" t="s">
        <v>5</v>
      </c>
      <c r="W136" t="s">
        <v>0</v>
      </c>
      <c r="X136" t="s">
        <v>0</v>
      </c>
      <c r="Y136" t="s">
        <v>4</v>
      </c>
      <c r="Z136" t="s">
        <v>0</v>
      </c>
      <c r="AA136">
        <v>0</v>
      </c>
      <c r="AB136">
        <v>0</v>
      </c>
      <c r="AC136">
        <v>0</v>
      </c>
      <c r="AD136" t="s">
        <v>3</v>
      </c>
      <c r="AE136" t="s">
        <v>0</v>
      </c>
      <c r="AF136" t="s">
        <v>3</v>
      </c>
      <c r="AG136" t="s">
        <v>2</v>
      </c>
      <c r="AI136" t="s">
        <v>332</v>
      </c>
      <c r="AJ136">
        <v>2</v>
      </c>
      <c r="AK136">
        <v>10</v>
      </c>
      <c r="AL136">
        <v>24</v>
      </c>
      <c r="AM136" t="s">
        <v>0</v>
      </c>
      <c r="AN136">
        <v>0</v>
      </c>
      <c r="AO136">
        <v>0</v>
      </c>
      <c r="AP136">
        <v>0</v>
      </c>
      <c r="AQ136">
        <v>0</v>
      </c>
    </row>
    <row r="137" spans="1:43" x14ac:dyDescent="0.25">
      <c r="A137" t="s">
        <v>3493</v>
      </c>
      <c r="B137" t="s">
        <v>3492</v>
      </c>
      <c r="C137" t="s">
        <v>3491</v>
      </c>
      <c r="D137" s="1">
        <v>45828</v>
      </c>
      <c r="E137" t="s">
        <v>168</v>
      </c>
      <c r="F137" t="s">
        <v>177</v>
      </c>
      <c r="G137" t="s">
        <v>83</v>
      </c>
      <c r="H137" t="s">
        <v>29</v>
      </c>
      <c r="I137" t="s">
        <v>28</v>
      </c>
      <c r="J137" t="s">
        <v>14</v>
      </c>
      <c r="K137" t="s">
        <v>13</v>
      </c>
      <c r="L137" t="s">
        <v>64</v>
      </c>
      <c r="M137" t="s">
        <v>53</v>
      </c>
      <c r="N137" t="s">
        <v>116</v>
      </c>
      <c r="O137" t="s">
        <v>26</v>
      </c>
      <c r="P137" t="s">
        <v>39</v>
      </c>
      <c r="Q137" t="s">
        <v>7</v>
      </c>
      <c r="R137" t="s">
        <v>6</v>
      </c>
      <c r="S137">
        <v>4</v>
      </c>
      <c r="T137" t="s">
        <v>99</v>
      </c>
      <c r="U137">
        <v>111</v>
      </c>
      <c r="V137" t="s">
        <v>0</v>
      </c>
      <c r="W137" t="s">
        <v>5</v>
      </c>
      <c r="X137" t="s">
        <v>0</v>
      </c>
      <c r="Y137" t="s">
        <v>4</v>
      </c>
      <c r="Z137" t="s">
        <v>5</v>
      </c>
      <c r="AA137">
        <v>82.73</v>
      </c>
      <c r="AB137">
        <v>0.23</v>
      </c>
      <c r="AC137">
        <v>0.17</v>
      </c>
      <c r="AD137" t="s">
        <v>3</v>
      </c>
      <c r="AE137" t="s">
        <v>0</v>
      </c>
      <c r="AF137" t="s">
        <v>3</v>
      </c>
      <c r="AG137" t="s">
        <v>2</v>
      </c>
      <c r="AI137" t="s">
        <v>23</v>
      </c>
      <c r="AJ137">
        <v>3</v>
      </c>
      <c r="AK137">
        <v>-12</v>
      </c>
      <c r="AL137">
        <v>16</v>
      </c>
      <c r="AM137" t="s">
        <v>0</v>
      </c>
      <c r="AN137">
        <v>1</v>
      </c>
      <c r="AO137">
        <v>1</v>
      </c>
      <c r="AP137">
        <v>0</v>
      </c>
      <c r="AQ137">
        <v>0</v>
      </c>
    </row>
    <row r="138" spans="1:43" x14ac:dyDescent="0.25">
      <c r="A138" t="s">
        <v>3490</v>
      </c>
      <c r="B138" t="s">
        <v>257</v>
      </c>
      <c r="C138" t="s">
        <v>3489</v>
      </c>
      <c r="D138" s="1">
        <v>45816</v>
      </c>
      <c r="E138" t="s">
        <v>162</v>
      </c>
      <c r="F138" t="s">
        <v>310</v>
      </c>
      <c r="G138" t="s">
        <v>30</v>
      </c>
      <c r="H138" t="s">
        <v>16</v>
      </c>
      <c r="I138" t="s">
        <v>15</v>
      </c>
      <c r="J138" t="s">
        <v>55</v>
      </c>
      <c r="K138" t="s">
        <v>54</v>
      </c>
      <c r="L138" t="s">
        <v>64</v>
      </c>
      <c r="M138" t="s">
        <v>11</v>
      </c>
      <c r="N138" t="s">
        <v>75</v>
      </c>
      <c r="O138" t="s">
        <v>26</v>
      </c>
      <c r="P138" t="s">
        <v>39</v>
      </c>
      <c r="Q138" t="s">
        <v>50</v>
      </c>
      <c r="R138" t="s">
        <v>6</v>
      </c>
      <c r="S138">
        <v>4</v>
      </c>
      <c r="T138">
        <v>4</v>
      </c>
      <c r="U138">
        <v>113</v>
      </c>
      <c r="V138" t="s">
        <v>0</v>
      </c>
      <c r="W138" t="s">
        <v>5</v>
      </c>
      <c r="X138" t="s">
        <v>0</v>
      </c>
      <c r="Y138" t="s">
        <v>4</v>
      </c>
      <c r="Z138" t="s">
        <v>0</v>
      </c>
      <c r="AA138">
        <v>0</v>
      </c>
      <c r="AB138">
        <v>0</v>
      </c>
      <c r="AC138">
        <v>0</v>
      </c>
      <c r="AD138" t="s">
        <v>3</v>
      </c>
      <c r="AE138" t="s">
        <v>0</v>
      </c>
      <c r="AF138" t="s">
        <v>3</v>
      </c>
      <c r="AG138" t="s">
        <v>2</v>
      </c>
      <c r="AI138" t="s">
        <v>23</v>
      </c>
      <c r="AJ138">
        <v>5</v>
      </c>
      <c r="AK138">
        <v>30</v>
      </c>
      <c r="AL138">
        <v>1</v>
      </c>
      <c r="AM138" t="s">
        <v>5</v>
      </c>
      <c r="AN138">
        <v>1</v>
      </c>
      <c r="AO138">
        <v>0</v>
      </c>
      <c r="AP138">
        <v>0</v>
      </c>
      <c r="AQ138">
        <v>1</v>
      </c>
    </row>
    <row r="139" spans="1:43" x14ac:dyDescent="0.25">
      <c r="A139" t="s">
        <v>3488</v>
      </c>
      <c r="B139" t="s">
        <v>1313</v>
      </c>
      <c r="C139" t="s">
        <v>3487</v>
      </c>
      <c r="D139" s="1">
        <v>45760</v>
      </c>
      <c r="E139" t="s">
        <v>125</v>
      </c>
      <c r="F139" t="s">
        <v>265</v>
      </c>
      <c r="G139" t="s">
        <v>83</v>
      </c>
      <c r="H139" t="s">
        <v>29</v>
      </c>
      <c r="I139" t="s">
        <v>28</v>
      </c>
      <c r="J139" t="s">
        <v>14</v>
      </c>
      <c r="K139" t="s">
        <v>13</v>
      </c>
      <c r="L139" t="s">
        <v>42</v>
      </c>
      <c r="M139" t="s">
        <v>53</v>
      </c>
      <c r="N139" t="s">
        <v>93</v>
      </c>
      <c r="O139" t="s">
        <v>193</v>
      </c>
      <c r="P139" t="s">
        <v>39</v>
      </c>
      <c r="Q139" t="s">
        <v>7</v>
      </c>
      <c r="R139" t="s">
        <v>6</v>
      </c>
      <c r="S139">
        <v>9</v>
      </c>
      <c r="T139">
        <v>5</v>
      </c>
      <c r="U139">
        <v>536</v>
      </c>
      <c r="V139" t="s">
        <v>5</v>
      </c>
      <c r="W139" t="s">
        <v>5</v>
      </c>
      <c r="X139" t="s">
        <v>5</v>
      </c>
      <c r="Y139" t="s">
        <v>1002</v>
      </c>
      <c r="Z139" t="s">
        <v>5</v>
      </c>
      <c r="AA139">
        <v>146.69999999999999</v>
      </c>
      <c r="AB139">
        <v>2.6</v>
      </c>
      <c r="AC139">
        <v>0.17</v>
      </c>
      <c r="AD139" t="s">
        <v>3</v>
      </c>
      <c r="AE139" t="s">
        <v>0</v>
      </c>
      <c r="AF139" t="s">
        <v>3</v>
      </c>
      <c r="AG139" t="s">
        <v>2</v>
      </c>
      <c r="AI139" t="s">
        <v>23</v>
      </c>
      <c r="AJ139">
        <v>1</v>
      </c>
      <c r="AK139">
        <v>-52</v>
      </c>
      <c r="AL139">
        <v>28</v>
      </c>
      <c r="AM139" t="s">
        <v>0</v>
      </c>
      <c r="AN139">
        <v>1</v>
      </c>
      <c r="AO139">
        <v>1</v>
      </c>
      <c r="AP139">
        <v>1</v>
      </c>
      <c r="AQ139">
        <v>0</v>
      </c>
    </row>
    <row r="140" spans="1:43" x14ac:dyDescent="0.25">
      <c r="A140" t="s">
        <v>3486</v>
      </c>
      <c r="B140" t="s">
        <v>3485</v>
      </c>
      <c r="C140" t="s">
        <v>3484</v>
      </c>
      <c r="D140" s="1">
        <v>46111</v>
      </c>
      <c r="E140" t="s">
        <v>156</v>
      </c>
      <c r="F140" t="s">
        <v>238</v>
      </c>
      <c r="G140" t="s">
        <v>30</v>
      </c>
      <c r="H140" t="s">
        <v>16</v>
      </c>
      <c r="I140" t="s">
        <v>28</v>
      </c>
      <c r="J140" t="s">
        <v>55</v>
      </c>
      <c r="K140" t="s">
        <v>54</v>
      </c>
      <c r="L140" t="s">
        <v>64</v>
      </c>
      <c r="M140" t="s">
        <v>299</v>
      </c>
      <c r="N140" t="s">
        <v>41</v>
      </c>
      <c r="O140" t="s">
        <v>26</v>
      </c>
      <c r="P140" t="s">
        <v>39</v>
      </c>
      <c r="Q140" t="s">
        <v>7</v>
      </c>
      <c r="R140" t="s">
        <v>6</v>
      </c>
      <c r="S140" t="s">
        <v>99</v>
      </c>
      <c r="T140">
        <v>4</v>
      </c>
      <c r="U140">
        <v>88</v>
      </c>
      <c r="V140" t="s">
        <v>0</v>
      </c>
      <c r="W140" t="s">
        <v>0</v>
      </c>
      <c r="X140" t="s">
        <v>0</v>
      </c>
      <c r="Y140" t="s">
        <v>4</v>
      </c>
      <c r="Z140" t="s">
        <v>0</v>
      </c>
      <c r="AA140">
        <v>0</v>
      </c>
      <c r="AB140">
        <v>0</v>
      </c>
      <c r="AC140">
        <v>0</v>
      </c>
      <c r="AD140" t="s">
        <v>3</v>
      </c>
      <c r="AE140" t="s">
        <v>0</v>
      </c>
      <c r="AF140" t="s">
        <v>3</v>
      </c>
      <c r="AG140" t="s">
        <v>2</v>
      </c>
      <c r="AI140" t="s">
        <v>23</v>
      </c>
      <c r="AJ140">
        <v>4</v>
      </c>
      <c r="AK140">
        <v>61</v>
      </c>
      <c r="AL140" t="s">
        <v>3483</v>
      </c>
      <c r="AM140" t="s">
        <v>0</v>
      </c>
      <c r="AN140">
        <v>0</v>
      </c>
      <c r="AO140">
        <v>0</v>
      </c>
      <c r="AP140">
        <v>0</v>
      </c>
      <c r="AQ140">
        <v>0</v>
      </c>
    </row>
    <row r="141" spans="1:43" x14ac:dyDescent="0.25">
      <c r="A141" t="s">
        <v>3482</v>
      </c>
      <c r="B141" t="s">
        <v>3481</v>
      </c>
      <c r="C141" t="s">
        <v>3480</v>
      </c>
      <c r="D141" s="1">
        <v>45945</v>
      </c>
      <c r="E141" t="s">
        <v>19</v>
      </c>
      <c r="F141" t="s">
        <v>18</v>
      </c>
      <c r="G141" t="s">
        <v>17</v>
      </c>
      <c r="H141" t="s">
        <v>77</v>
      </c>
      <c r="I141" t="s">
        <v>15</v>
      </c>
      <c r="J141" t="s">
        <v>55</v>
      </c>
      <c r="K141" t="s">
        <v>54</v>
      </c>
      <c r="L141" t="s">
        <v>64</v>
      </c>
      <c r="M141" t="s">
        <v>27</v>
      </c>
      <c r="N141" t="s">
        <v>52</v>
      </c>
      <c r="O141" t="s">
        <v>26</v>
      </c>
      <c r="P141" t="s">
        <v>39</v>
      </c>
      <c r="Q141" t="s">
        <v>50</v>
      </c>
      <c r="R141" t="s">
        <v>38</v>
      </c>
      <c r="S141">
        <v>4</v>
      </c>
      <c r="T141" t="s">
        <v>99</v>
      </c>
      <c r="U141">
        <v>119</v>
      </c>
      <c r="V141" t="s">
        <v>0</v>
      </c>
      <c r="W141" t="s">
        <v>5</v>
      </c>
      <c r="X141" t="s">
        <v>0</v>
      </c>
      <c r="Y141" t="s">
        <v>4</v>
      </c>
      <c r="Z141" t="s">
        <v>5</v>
      </c>
      <c r="AA141">
        <v>160</v>
      </c>
      <c r="AB141">
        <v>0.22</v>
      </c>
      <c r="AC141">
        <v>0.37</v>
      </c>
      <c r="AD141" t="s">
        <v>227</v>
      </c>
      <c r="AE141" t="s">
        <v>5</v>
      </c>
      <c r="AF141" t="s">
        <v>227</v>
      </c>
      <c r="AG141" t="s">
        <v>139</v>
      </c>
      <c r="AH141">
        <v>17</v>
      </c>
      <c r="AI141" t="s">
        <v>23</v>
      </c>
      <c r="AJ141">
        <v>4</v>
      </c>
      <c r="AK141">
        <v>68</v>
      </c>
      <c r="AL141">
        <v>28</v>
      </c>
      <c r="AM141" t="s">
        <v>5</v>
      </c>
      <c r="AN141">
        <v>1</v>
      </c>
      <c r="AO141">
        <v>1</v>
      </c>
      <c r="AP141">
        <v>0</v>
      </c>
      <c r="AQ141">
        <v>1</v>
      </c>
    </row>
    <row r="142" spans="1:43" x14ac:dyDescent="0.25">
      <c r="A142" t="s">
        <v>3479</v>
      </c>
      <c r="B142" t="s">
        <v>829</v>
      </c>
      <c r="C142" t="s">
        <v>3478</v>
      </c>
      <c r="D142" s="1">
        <v>46134</v>
      </c>
      <c r="E142" t="s">
        <v>68</v>
      </c>
      <c r="F142" t="s">
        <v>243</v>
      </c>
      <c r="G142" t="s">
        <v>17</v>
      </c>
      <c r="H142" t="s">
        <v>16</v>
      </c>
      <c r="I142" t="s">
        <v>28</v>
      </c>
      <c r="J142" t="s">
        <v>55</v>
      </c>
      <c r="K142" t="s">
        <v>54</v>
      </c>
      <c r="L142" t="s">
        <v>42</v>
      </c>
      <c r="M142" t="s">
        <v>11</v>
      </c>
      <c r="N142" t="s">
        <v>75</v>
      </c>
      <c r="O142" t="s">
        <v>51</v>
      </c>
      <c r="P142" t="s">
        <v>39</v>
      </c>
      <c r="Q142" t="s">
        <v>7</v>
      </c>
      <c r="R142" t="s">
        <v>6</v>
      </c>
      <c r="S142">
        <v>6</v>
      </c>
      <c r="T142" t="s">
        <v>205</v>
      </c>
      <c r="U142">
        <v>234</v>
      </c>
      <c r="V142" t="s">
        <v>0</v>
      </c>
      <c r="W142" t="s">
        <v>0</v>
      </c>
      <c r="X142" t="s">
        <v>5</v>
      </c>
      <c r="Y142" t="s">
        <v>634</v>
      </c>
      <c r="Z142" t="s">
        <v>5</v>
      </c>
      <c r="AA142">
        <v>50.4</v>
      </c>
      <c r="AB142">
        <v>0.09</v>
      </c>
      <c r="AC142">
        <v>0</v>
      </c>
      <c r="AD142" t="s">
        <v>3</v>
      </c>
      <c r="AE142" t="s">
        <v>0</v>
      </c>
      <c r="AF142" t="s">
        <v>3</v>
      </c>
      <c r="AG142" t="s">
        <v>2</v>
      </c>
      <c r="AI142" t="s">
        <v>122</v>
      </c>
      <c r="AJ142">
        <v>2</v>
      </c>
      <c r="AK142">
        <v>-34</v>
      </c>
      <c r="AL142">
        <v>38</v>
      </c>
      <c r="AM142" t="s">
        <v>0</v>
      </c>
      <c r="AN142">
        <v>0</v>
      </c>
      <c r="AO142">
        <v>1</v>
      </c>
      <c r="AP142">
        <v>1</v>
      </c>
      <c r="AQ142">
        <v>0</v>
      </c>
    </row>
    <row r="143" spans="1:43" x14ac:dyDescent="0.25">
      <c r="A143" t="s">
        <v>3477</v>
      </c>
      <c r="B143" t="s">
        <v>1705</v>
      </c>
      <c r="C143" t="s">
        <v>3476</v>
      </c>
      <c r="D143" s="1">
        <v>45780</v>
      </c>
      <c r="E143" t="s">
        <v>168</v>
      </c>
      <c r="F143" t="s">
        <v>233</v>
      </c>
      <c r="G143" t="s">
        <v>83</v>
      </c>
      <c r="H143" t="s">
        <v>77</v>
      </c>
      <c r="I143" t="s">
        <v>28</v>
      </c>
      <c r="J143" t="s">
        <v>55</v>
      </c>
      <c r="K143" t="s">
        <v>54</v>
      </c>
      <c r="L143" t="s">
        <v>88</v>
      </c>
      <c r="M143" t="s">
        <v>27</v>
      </c>
      <c r="N143" t="s">
        <v>93</v>
      </c>
      <c r="O143" t="s">
        <v>26</v>
      </c>
      <c r="P143" t="s">
        <v>39</v>
      </c>
      <c r="Q143" t="s">
        <v>7</v>
      </c>
      <c r="R143" t="s">
        <v>6</v>
      </c>
      <c r="S143">
        <v>4</v>
      </c>
      <c r="T143">
        <v>4</v>
      </c>
      <c r="U143">
        <v>99</v>
      </c>
      <c r="V143" t="s">
        <v>0</v>
      </c>
      <c r="W143" t="s">
        <v>0</v>
      </c>
      <c r="X143" t="s">
        <v>0</v>
      </c>
      <c r="Y143" t="s">
        <v>4</v>
      </c>
      <c r="Z143" t="s">
        <v>5</v>
      </c>
      <c r="AA143">
        <v>49.49</v>
      </c>
      <c r="AB143">
        <v>0.18</v>
      </c>
      <c r="AC143">
        <v>0.37</v>
      </c>
      <c r="AD143" t="s">
        <v>61</v>
      </c>
      <c r="AE143" t="s">
        <v>5</v>
      </c>
      <c r="AF143" t="s">
        <v>61</v>
      </c>
      <c r="AG143" t="s">
        <v>139</v>
      </c>
      <c r="AH143">
        <v>17</v>
      </c>
      <c r="AI143" t="s">
        <v>23</v>
      </c>
      <c r="AJ143">
        <v>4</v>
      </c>
      <c r="AK143">
        <v>61</v>
      </c>
      <c r="AL143">
        <v>39</v>
      </c>
      <c r="AM143" t="s">
        <v>5</v>
      </c>
      <c r="AN143">
        <v>0</v>
      </c>
      <c r="AO143">
        <v>1</v>
      </c>
      <c r="AP143">
        <v>0</v>
      </c>
      <c r="AQ143">
        <v>1</v>
      </c>
    </row>
    <row r="144" spans="1:43" x14ac:dyDescent="0.25">
      <c r="A144" t="s">
        <v>3475</v>
      </c>
      <c r="B144" t="s">
        <v>2019</v>
      </c>
      <c r="C144" t="s">
        <v>3474</v>
      </c>
      <c r="D144" s="1">
        <v>46039</v>
      </c>
      <c r="E144" t="s">
        <v>125</v>
      </c>
      <c r="F144" t="s">
        <v>140</v>
      </c>
      <c r="G144" t="s">
        <v>17</v>
      </c>
      <c r="H144" t="s">
        <v>29</v>
      </c>
      <c r="I144" t="s">
        <v>15</v>
      </c>
      <c r="J144" t="s">
        <v>55</v>
      </c>
      <c r="K144" t="s">
        <v>54</v>
      </c>
      <c r="L144" t="s">
        <v>64</v>
      </c>
      <c r="M144" t="s">
        <v>11</v>
      </c>
      <c r="N144" t="s">
        <v>75</v>
      </c>
      <c r="O144" t="s">
        <v>199</v>
      </c>
      <c r="P144" t="s">
        <v>63</v>
      </c>
      <c r="Q144" t="s">
        <v>198</v>
      </c>
      <c r="R144" t="s">
        <v>38</v>
      </c>
      <c r="S144">
        <v>5</v>
      </c>
      <c r="T144">
        <v>5</v>
      </c>
      <c r="U144">
        <v>132</v>
      </c>
      <c r="V144" t="s">
        <v>0</v>
      </c>
      <c r="W144" t="s">
        <v>5</v>
      </c>
      <c r="X144" t="s">
        <v>135</v>
      </c>
      <c r="Y144" t="s">
        <v>4</v>
      </c>
      <c r="Z144" t="s">
        <v>5</v>
      </c>
      <c r="AA144">
        <v>52.21</v>
      </c>
      <c r="AB144">
        <v>0</v>
      </c>
      <c r="AC144">
        <v>0</v>
      </c>
      <c r="AD144" t="s">
        <v>3</v>
      </c>
      <c r="AE144" t="s">
        <v>0</v>
      </c>
      <c r="AF144" t="s">
        <v>3</v>
      </c>
      <c r="AG144" t="s">
        <v>2</v>
      </c>
      <c r="AI144" t="s">
        <v>23</v>
      </c>
      <c r="AJ144">
        <v>3</v>
      </c>
      <c r="AK144">
        <v>47</v>
      </c>
      <c r="AL144" t="s">
        <v>347</v>
      </c>
      <c r="AM144" t="s">
        <v>5</v>
      </c>
      <c r="AN144">
        <v>1</v>
      </c>
      <c r="AO144">
        <v>1</v>
      </c>
      <c r="AP144">
        <v>0</v>
      </c>
      <c r="AQ144">
        <v>1</v>
      </c>
    </row>
    <row r="145" spans="1:43" x14ac:dyDescent="0.25">
      <c r="A145" t="s">
        <v>3473</v>
      </c>
      <c r="B145" t="s">
        <v>2012</v>
      </c>
      <c r="C145" t="s">
        <v>3472</v>
      </c>
      <c r="D145" s="1">
        <v>45769</v>
      </c>
      <c r="E145" t="s">
        <v>45</v>
      </c>
      <c r="F145" t="s">
        <v>57</v>
      </c>
      <c r="G145" t="s">
        <v>83</v>
      </c>
      <c r="H145" t="s">
        <v>16</v>
      </c>
      <c r="I145" t="s">
        <v>28</v>
      </c>
      <c r="J145" t="s">
        <v>55</v>
      </c>
      <c r="K145" t="s">
        <v>54</v>
      </c>
      <c r="L145" t="s">
        <v>42</v>
      </c>
      <c r="M145" t="s">
        <v>53</v>
      </c>
      <c r="N145" t="s">
        <v>10</v>
      </c>
      <c r="O145" t="s">
        <v>26</v>
      </c>
      <c r="P145" t="s">
        <v>39</v>
      </c>
      <c r="Q145" t="s">
        <v>50</v>
      </c>
      <c r="R145" t="s">
        <v>6</v>
      </c>
      <c r="S145">
        <v>4</v>
      </c>
      <c r="T145" t="s">
        <v>99</v>
      </c>
      <c r="U145">
        <v>125</v>
      </c>
      <c r="V145" t="s">
        <v>0</v>
      </c>
      <c r="W145" t="s">
        <v>5</v>
      </c>
      <c r="X145" t="s">
        <v>0</v>
      </c>
      <c r="Y145" t="s">
        <v>4</v>
      </c>
      <c r="Z145" t="s">
        <v>5</v>
      </c>
      <c r="AA145">
        <v>106.83</v>
      </c>
      <c r="AB145">
        <v>0.2</v>
      </c>
      <c r="AC145">
        <v>0.17</v>
      </c>
      <c r="AD145" t="s">
        <v>3</v>
      </c>
      <c r="AE145" t="s">
        <v>0</v>
      </c>
      <c r="AF145" t="s">
        <v>3</v>
      </c>
      <c r="AG145" t="s">
        <v>2</v>
      </c>
      <c r="AI145" t="s">
        <v>23</v>
      </c>
      <c r="AJ145">
        <v>4</v>
      </c>
      <c r="AK145">
        <v>38</v>
      </c>
      <c r="AL145">
        <v>65</v>
      </c>
      <c r="AM145" t="s">
        <v>5</v>
      </c>
      <c r="AN145">
        <v>1</v>
      </c>
      <c r="AO145">
        <v>1</v>
      </c>
      <c r="AP145">
        <v>0</v>
      </c>
      <c r="AQ145">
        <v>1</v>
      </c>
    </row>
    <row r="146" spans="1:43" x14ac:dyDescent="0.25">
      <c r="A146" t="s">
        <v>3471</v>
      </c>
      <c r="B146" t="s">
        <v>3470</v>
      </c>
      <c r="C146" t="s">
        <v>3469</v>
      </c>
      <c r="D146" s="1">
        <v>45886</v>
      </c>
      <c r="E146" t="s">
        <v>168</v>
      </c>
      <c r="F146" t="s">
        <v>283</v>
      </c>
      <c r="G146" t="s">
        <v>17</v>
      </c>
      <c r="H146" t="s">
        <v>29</v>
      </c>
      <c r="I146" t="s">
        <v>28</v>
      </c>
      <c r="J146" t="s">
        <v>55</v>
      </c>
      <c r="K146" t="s">
        <v>54</v>
      </c>
      <c r="L146" t="s">
        <v>42</v>
      </c>
      <c r="M146" t="s">
        <v>11</v>
      </c>
      <c r="N146" t="s">
        <v>154</v>
      </c>
      <c r="O146" t="s">
        <v>130</v>
      </c>
      <c r="P146" t="s">
        <v>39</v>
      </c>
      <c r="Q146" t="s">
        <v>100</v>
      </c>
      <c r="R146" t="s">
        <v>6</v>
      </c>
      <c r="S146">
        <v>5</v>
      </c>
      <c r="T146">
        <v>4</v>
      </c>
      <c r="U146">
        <v>193</v>
      </c>
      <c r="V146" t="s">
        <v>5</v>
      </c>
      <c r="W146" t="s">
        <v>287</v>
      </c>
      <c r="X146" t="s">
        <v>0</v>
      </c>
      <c r="Y146" t="s">
        <v>4</v>
      </c>
      <c r="Z146" t="s">
        <v>5</v>
      </c>
      <c r="AA146">
        <v>95.31</v>
      </c>
      <c r="AB146">
        <v>0</v>
      </c>
      <c r="AC146">
        <v>0</v>
      </c>
      <c r="AD146" t="s">
        <v>436</v>
      </c>
      <c r="AE146" t="s">
        <v>5</v>
      </c>
      <c r="AF146" t="s">
        <v>436</v>
      </c>
      <c r="AG146" t="s">
        <v>36</v>
      </c>
      <c r="AH146">
        <v>41</v>
      </c>
      <c r="AI146" t="s">
        <v>23</v>
      </c>
      <c r="AJ146">
        <v>4</v>
      </c>
      <c r="AK146">
        <v>33</v>
      </c>
      <c r="AL146" t="s">
        <v>1100</v>
      </c>
      <c r="AM146" t="s">
        <v>5</v>
      </c>
      <c r="AN146">
        <v>1</v>
      </c>
      <c r="AO146">
        <v>1</v>
      </c>
      <c r="AP146">
        <v>0</v>
      </c>
      <c r="AQ146">
        <v>1</v>
      </c>
    </row>
    <row r="147" spans="1:43" x14ac:dyDescent="0.25">
      <c r="A147" t="s">
        <v>3468</v>
      </c>
      <c r="B147" t="s">
        <v>1890</v>
      </c>
      <c r="C147" t="s">
        <v>3467</v>
      </c>
      <c r="D147" s="1">
        <v>45969</v>
      </c>
      <c r="E147" t="s">
        <v>162</v>
      </c>
      <c r="F147" t="s">
        <v>310</v>
      </c>
      <c r="G147" t="s">
        <v>17</v>
      </c>
      <c r="H147" t="s">
        <v>77</v>
      </c>
      <c r="I147" t="s">
        <v>15</v>
      </c>
      <c r="J147" t="s">
        <v>55</v>
      </c>
      <c r="K147" t="s">
        <v>54</v>
      </c>
      <c r="L147" t="s">
        <v>12</v>
      </c>
      <c r="M147" t="s">
        <v>27</v>
      </c>
      <c r="N147" t="s">
        <v>41</v>
      </c>
      <c r="O147" t="s">
        <v>9</v>
      </c>
      <c r="P147" t="s">
        <v>39</v>
      </c>
      <c r="Q147" t="s">
        <v>24</v>
      </c>
      <c r="R147" t="s">
        <v>38</v>
      </c>
      <c r="S147">
        <v>7</v>
      </c>
      <c r="T147">
        <v>7</v>
      </c>
      <c r="U147">
        <v>167</v>
      </c>
      <c r="V147" t="s">
        <v>0</v>
      </c>
      <c r="W147" t="s">
        <v>5</v>
      </c>
      <c r="X147" t="s">
        <v>0</v>
      </c>
      <c r="Y147" t="s">
        <v>4</v>
      </c>
      <c r="Z147" t="s">
        <v>0</v>
      </c>
      <c r="AA147">
        <v>0</v>
      </c>
      <c r="AB147">
        <v>0</v>
      </c>
      <c r="AC147">
        <v>0</v>
      </c>
      <c r="AD147" t="s">
        <v>3</v>
      </c>
      <c r="AE147" t="s">
        <v>0</v>
      </c>
      <c r="AF147" t="s">
        <v>3</v>
      </c>
      <c r="AG147" t="s">
        <v>2</v>
      </c>
      <c r="AI147" t="s">
        <v>23</v>
      </c>
      <c r="AJ147">
        <v>4</v>
      </c>
      <c r="AK147">
        <v>38</v>
      </c>
      <c r="AL147">
        <v>9</v>
      </c>
      <c r="AM147" t="s">
        <v>0</v>
      </c>
      <c r="AN147">
        <v>1</v>
      </c>
      <c r="AO147">
        <v>0</v>
      </c>
      <c r="AP147">
        <v>0</v>
      </c>
      <c r="AQ147">
        <v>0</v>
      </c>
    </row>
    <row r="148" spans="1:43" x14ac:dyDescent="0.25">
      <c r="A148" t="s">
        <v>3466</v>
      </c>
      <c r="B148" t="s">
        <v>911</v>
      </c>
      <c r="C148" t="s">
        <v>3465</v>
      </c>
      <c r="D148" s="1">
        <v>45921</v>
      </c>
      <c r="E148" t="s">
        <v>68</v>
      </c>
      <c r="F148" t="s">
        <v>278</v>
      </c>
      <c r="G148" t="s">
        <v>110</v>
      </c>
      <c r="H148" t="s">
        <v>77</v>
      </c>
      <c r="I148" t="s">
        <v>15</v>
      </c>
      <c r="J148" t="s">
        <v>14</v>
      </c>
      <c r="K148" t="s">
        <v>13</v>
      </c>
      <c r="L148" t="s">
        <v>64</v>
      </c>
      <c r="M148" t="s">
        <v>11</v>
      </c>
      <c r="N148" t="s">
        <v>154</v>
      </c>
      <c r="O148" t="s">
        <v>193</v>
      </c>
      <c r="P148" t="s">
        <v>39</v>
      </c>
      <c r="Q148" t="s">
        <v>7</v>
      </c>
      <c r="R148" t="s">
        <v>6</v>
      </c>
      <c r="S148">
        <v>9</v>
      </c>
      <c r="T148">
        <v>9</v>
      </c>
      <c r="U148">
        <v>223</v>
      </c>
      <c r="V148" t="s">
        <v>0</v>
      </c>
      <c r="W148" t="s">
        <v>5</v>
      </c>
      <c r="X148" t="s">
        <v>5</v>
      </c>
      <c r="Y148" t="s">
        <v>475</v>
      </c>
      <c r="Z148" t="s">
        <v>0</v>
      </c>
      <c r="AA148">
        <v>0</v>
      </c>
      <c r="AB148">
        <v>0</v>
      </c>
      <c r="AC148">
        <v>0</v>
      </c>
      <c r="AD148" t="s">
        <v>3</v>
      </c>
      <c r="AE148" t="s">
        <v>0</v>
      </c>
      <c r="AF148" t="s">
        <v>3</v>
      </c>
      <c r="AG148" t="s">
        <v>2</v>
      </c>
      <c r="AI148" t="s">
        <v>23</v>
      </c>
      <c r="AJ148">
        <v>2</v>
      </c>
      <c r="AK148">
        <v>-24</v>
      </c>
      <c r="AL148">
        <v>12</v>
      </c>
      <c r="AM148" t="s">
        <v>0</v>
      </c>
      <c r="AN148">
        <v>1</v>
      </c>
      <c r="AO148">
        <v>0</v>
      </c>
      <c r="AP148">
        <v>1</v>
      </c>
      <c r="AQ148">
        <v>0</v>
      </c>
    </row>
    <row r="149" spans="1:43" x14ac:dyDescent="0.25">
      <c r="A149" t="s">
        <v>3464</v>
      </c>
      <c r="B149" t="s">
        <v>3194</v>
      </c>
      <c r="C149" t="s">
        <v>3463</v>
      </c>
      <c r="D149" s="1">
        <v>46146</v>
      </c>
      <c r="E149" t="s">
        <v>45</v>
      </c>
      <c r="F149" t="s">
        <v>670</v>
      </c>
      <c r="G149" t="s">
        <v>30</v>
      </c>
      <c r="H149" t="s">
        <v>16</v>
      </c>
      <c r="I149" t="s">
        <v>28</v>
      </c>
      <c r="J149" t="s">
        <v>55</v>
      </c>
      <c r="K149" t="s">
        <v>54</v>
      </c>
      <c r="L149" t="s">
        <v>88</v>
      </c>
      <c r="M149" t="s">
        <v>53</v>
      </c>
      <c r="N149" t="s">
        <v>52</v>
      </c>
      <c r="O149" t="s">
        <v>199</v>
      </c>
      <c r="P149" t="s">
        <v>25</v>
      </c>
      <c r="Q149" t="s">
        <v>24</v>
      </c>
      <c r="R149" t="s">
        <v>38</v>
      </c>
      <c r="S149">
        <v>5</v>
      </c>
      <c r="T149">
        <v>4</v>
      </c>
      <c r="U149">
        <v>182</v>
      </c>
      <c r="V149" t="s">
        <v>5</v>
      </c>
      <c r="W149" t="s">
        <v>5</v>
      </c>
      <c r="X149" t="s">
        <v>0</v>
      </c>
      <c r="Y149" t="s">
        <v>4</v>
      </c>
      <c r="Z149" t="s">
        <v>247</v>
      </c>
      <c r="AA149">
        <v>126.89</v>
      </c>
      <c r="AB149">
        <v>0</v>
      </c>
      <c r="AC149">
        <v>0.17</v>
      </c>
      <c r="AD149" t="s">
        <v>3</v>
      </c>
      <c r="AE149" t="s">
        <v>247</v>
      </c>
      <c r="AF149" t="s">
        <v>3</v>
      </c>
      <c r="AG149" t="s">
        <v>2</v>
      </c>
      <c r="AI149" t="s">
        <v>23</v>
      </c>
      <c r="AJ149">
        <v>4</v>
      </c>
      <c r="AK149">
        <v>22</v>
      </c>
      <c r="AL149">
        <v>43</v>
      </c>
      <c r="AM149" t="s">
        <v>0</v>
      </c>
      <c r="AN149">
        <v>1</v>
      </c>
      <c r="AO149">
        <v>0</v>
      </c>
      <c r="AP149">
        <v>0</v>
      </c>
      <c r="AQ149">
        <v>0</v>
      </c>
    </row>
    <row r="150" spans="1:43" x14ac:dyDescent="0.25">
      <c r="A150" t="s">
        <v>3462</v>
      </c>
      <c r="B150" t="s">
        <v>2120</v>
      </c>
      <c r="C150" t="s">
        <v>3461</v>
      </c>
      <c r="D150" s="1">
        <v>45906</v>
      </c>
      <c r="E150" t="s">
        <v>125</v>
      </c>
      <c r="F150" t="s">
        <v>124</v>
      </c>
      <c r="G150" t="s">
        <v>17</v>
      </c>
      <c r="H150" t="s">
        <v>77</v>
      </c>
      <c r="I150" t="s">
        <v>15</v>
      </c>
      <c r="J150" t="s">
        <v>55</v>
      </c>
      <c r="K150" t="s">
        <v>54</v>
      </c>
      <c r="L150" t="s">
        <v>64</v>
      </c>
      <c r="M150" t="s">
        <v>11</v>
      </c>
      <c r="N150" t="s">
        <v>269</v>
      </c>
      <c r="O150" t="s">
        <v>101</v>
      </c>
      <c r="P150" t="s">
        <v>39</v>
      </c>
      <c r="Q150" t="s">
        <v>7</v>
      </c>
      <c r="R150" t="s">
        <v>6</v>
      </c>
      <c r="S150">
        <v>4</v>
      </c>
      <c r="T150">
        <v>4</v>
      </c>
      <c r="U150">
        <v>126</v>
      </c>
      <c r="V150" t="s">
        <v>0</v>
      </c>
      <c r="W150" t="s">
        <v>5</v>
      </c>
      <c r="X150" t="s">
        <v>0</v>
      </c>
      <c r="Y150" t="s">
        <v>4</v>
      </c>
      <c r="Z150" t="s">
        <v>5</v>
      </c>
      <c r="AA150">
        <v>68.62</v>
      </c>
      <c r="AB150">
        <v>0.46</v>
      </c>
      <c r="AC150">
        <v>0</v>
      </c>
      <c r="AD150" t="s">
        <v>3</v>
      </c>
      <c r="AE150" t="s">
        <v>0</v>
      </c>
      <c r="AF150" t="s">
        <v>3</v>
      </c>
      <c r="AG150" t="s">
        <v>2</v>
      </c>
      <c r="AI150" t="s">
        <v>23</v>
      </c>
      <c r="AJ150">
        <v>3</v>
      </c>
      <c r="AK150">
        <v>-16</v>
      </c>
      <c r="AL150">
        <v>34</v>
      </c>
      <c r="AM150" t="s">
        <v>5</v>
      </c>
      <c r="AN150">
        <v>1</v>
      </c>
      <c r="AO150">
        <v>1</v>
      </c>
      <c r="AP150">
        <v>0</v>
      </c>
      <c r="AQ150">
        <v>1</v>
      </c>
    </row>
    <row r="151" spans="1:43" x14ac:dyDescent="0.25">
      <c r="A151" t="s">
        <v>3460</v>
      </c>
      <c r="B151" t="s">
        <v>3459</v>
      </c>
      <c r="C151" t="s">
        <v>3458</v>
      </c>
      <c r="D151" s="1">
        <v>45818</v>
      </c>
      <c r="E151" t="s">
        <v>149</v>
      </c>
      <c r="F151" t="s">
        <v>183</v>
      </c>
      <c r="G151" t="s">
        <v>56</v>
      </c>
      <c r="H151" t="s">
        <v>29</v>
      </c>
      <c r="I151" t="s">
        <v>15</v>
      </c>
      <c r="J151" t="s">
        <v>14</v>
      </c>
      <c r="K151" t="s">
        <v>13</v>
      </c>
      <c r="L151" t="s">
        <v>117</v>
      </c>
      <c r="M151" t="s">
        <v>11</v>
      </c>
      <c r="N151" t="s">
        <v>116</v>
      </c>
      <c r="O151" t="s">
        <v>74</v>
      </c>
      <c r="P151" t="s">
        <v>39</v>
      </c>
      <c r="Q151" t="s">
        <v>50</v>
      </c>
      <c r="R151" t="s">
        <v>38</v>
      </c>
      <c r="S151">
        <v>6</v>
      </c>
      <c r="T151">
        <v>6</v>
      </c>
      <c r="U151">
        <v>132</v>
      </c>
      <c r="V151" t="s">
        <v>0</v>
      </c>
      <c r="W151" t="s">
        <v>287</v>
      </c>
      <c r="X151" t="s">
        <v>0</v>
      </c>
      <c r="Y151" t="s">
        <v>4</v>
      </c>
      <c r="Z151" t="s">
        <v>5</v>
      </c>
      <c r="AA151">
        <v>3.98</v>
      </c>
      <c r="AB151">
        <v>0</v>
      </c>
      <c r="AC151">
        <v>0</v>
      </c>
      <c r="AD151" t="s">
        <v>3</v>
      </c>
      <c r="AE151" t="s">
        <v>0</v>
      </c>
      <c r="AF151" t="s">
        <v>3</v>
      </c>
      <c r="AG151" t="s">
        <v>2</v>
      </c>
      <c r="AI151" t="s">
        <v>23</v>
      </c>
      <c r="AJ151">
        <v>3</v>
      </c>
      <c r="AK151">
        <v>12</v>
      </c>
      <c r="AL151">
        <v>1</v>
      </c>
      <c r="AM151" t="s">
        <v>0</v>
      </c>
      <c r="AN151">
        <v>1</v>
      </c>
      <c r="AO151">
        <v>1</v>
      </c>
      <c r="AP151">
        <v>0</v>
      </c>
      <c r="AQ151">
        <v>0</v>
      </c>
    </row>
    <row r="152" spans="1:43" x14ac:dyDescent="0.25">
      <c r="A152" t="s">
        <v>3457</v>
      </c>
      <c r="B152" t="s">
        <v>3456</v>
      </c>
      <c r="C152" t="s">
        <v>3455</v>
      </c>
      <c r="D152" s="1">
        <v>45983</v>
      </c>
      <c r="E152" t="s">
        <v>45</v>
      </c>
      <c r="F152" t="s">
        <v>44</v>
      </c>
      <c r="G152" t="s">
        <v>30</v>
      </c>
      <c r="H152" t="s">
        <v>77</v>
      </c>
      <c r="I152" t="s">
        <v>15</v>
      </c>
      <c r="J152" t="s">
        <v>14</v>
      </c>
      <c r="K152" t="s">
        <v>13</v>
      </c>
      <c r="L152" t="s">
        <v>64</v>
      </c>
      <c r="M152" t="s">
        <v>11</v>
      </c>
      <c r="N152" t="s">
        <v>52</v>
      </c>
      <c r="O152" t="s">
        <v>130</v>
      </c>
      <c r="P152" t="s">
        <v>39</v>
      </c>
      <c r="Q152" t="s">
        <v>100</v>
      </c>
      <c r="R152" t="s">
        <v>6</v>
      </c>
      <c r="S152">
        <v>5</v>
      </c>
      <c r="T152" t="s">
        <v>277</v>
      </c>
      <c r="U152">
        <v>110</v>
      </c>
      <c r="V152" t="s">
        <v>0</v>
      </c>
      <c r="W152" t="s">
        <v>5</v>
      </c>
      <c r="X152" t="s">
        <v>0</v>
      </c>
      <c r="Y152" t="s">
        <v>4</v>
      </c>
      <c r="Z152" t="s">
        <v>5</v>
      </c>
      <c r="AA152">
        <v>0</v>
      </c>
      <c r="AB152">
        <v>0</v>
      </c>
      <c r="AC152">
        <v>0</v>
      </c>
      <c r="AD152" t="s">
        <v>3</v>
      </c>
      <c r="AE152" t="s">
        <v>0</v>
      </c>
      <c r="AF152" t="s">
        <v>3</v>
      </c>
      <c r="AG152" t="s">
        <v>2</v>
      </c>
      <c r="AI152" t="s">
        <v>23</v>
      </c>
      <c r="AJ152">
        <v>4</v>
      </c>
      <c r="AK152">
        <v>54</v>
      </c>
      <c r="AL152">
        <v>28</v>
      </c>
      <c r="AM152" t="s">
        <v>5</v>
      </c>
      <c r="AN152">
        <v>1</v>
      </c>
      <c r="AO152">
        <v>1</v>
      </c>
      <c r="AP152">
        <v>0</v>
      </c>
      <c r="AQ152">
        <v>1</v>
      </c>
    </row>
    <row r="153" spans="1:43" x14ac:dyDescent="0.25">
      <c r="A153" t="s">
        <v>3454</v>
      </c>
      <c r="B153" t="s">
        <v>350</v>
      </c>
      <c r="C153" t="s">
        <v>3453</v>
      </c>
      <c r="D153" s="1">
        <v>45860</v>
      </c>
      <c r="E153" t="s">
        <v>162</v>
      </c>
      <c r="F153" t="s">
        <v>161</v>
      </c>
      <c r="G153" t="s">
        <v>83</v>
      </c>
      <c r="H153" t="s">
        <v>29</v>
      </c>
      <c r="I153" t="s">
        <v>15</v>
      </c>
      <c r="J153" t="s">
        <v>14</v>
      </c>
      <c r="K153" t="s">
        <v>13</v>
      </c>
      <c r="L153" t="s">
        <v>64</v>
      </c>
      <c r="M153" t="s">
        <v>53</v>
      </c>
      <c r="N153" t="s">
        <v>41</v>
      </c>
      <c r="O153" t="s">
        <v>199</v>
      </c>
      <c r="P153" t="s">
        <v>39</v>
      </c>
      <c r="Q153" t="s">
        <v>7</v>
      </c>
      <c r="R153" t="s">
        <v>6</v>
      </c>
      <c r="S153">
        <v>5</v>
      </c>
      <c r="T153">
        <v>5</v>
      </c>
      <c r="U153">
        <v>133</v>
      </c>
      <c r="V153" t="s">
        <v>0</v>
      </c>
      <c r="W153" t="s">
        <v>5</v>
      </c>
      <c r="X153" t="s">
        <v>0</v>
      </c>
      <c r="Y153" t="s">
        <v>4</v>
      </c>
      <c r="Z153" t="s">
        <v>5</v>
      </c>
      <c r="AA153">
        <v>72.180000000000007</v>
      </c>
      <c r="AB153">
        <v>0</v>
      </c>
      <c r="AC153">
        <v>0.17</v>
      </c>
      <c r="AD153" t="s">
        <v>3</v>
      </c>
      <c r="AE153" t="s">
        <v>0</v>
      </c>
      <c r="AF153" t="s">
        <v>3</v>
      </c>
      <c r="AG153" t="s">
        <v>2</v>
      </c>
      <c r="AI153" t="s">
        <v>23</v>
      </c>
      <c r="AJ153">
        <v>5</v>
      </c>
      <c r="AK153">
        <v>30</v>
      </c>
      <c r="AL153">
        <v>35</v>
      </c>
      <c r="AM153" t="s">
        <v>5</v>
      </c>
      <c r="AN153">
        <v>1</v>
      </c>
      <c r="AO153">
        <v>1</v>
      </c>
      <c r="AP153">
        <v>0</v>
      </c>
      <c r="AQ153">
        <v>1</v>
      </c>
    </row>
    <row r="154" spans="1:43" x14ac:dyDescent="0.25">
      <c r="A154" t="s">
        <v>3452</v>
      </c>
      <c r="B154" t="s">
        <v>529</v>
      </c>
      <c r="C154" t="s">
        <v>3451</v>
      </c>
      <c r="D154" s="1">
        <v>45830</v>
      </c>
      <c r="E154" t="s">
        <v>168</v>
      </c>
      <c r="F154" t="s">
        <v>283</v>
      </c>
      <c r="G154" t="s">
        <v>83</v>
      </c>
      <c r="H154" t="s">
        <v>77</v>
      </c>
      <c r="I154" t="s">
        <v>28</v>
      </c>
      <c r="J154" t="s">
        <v>14</v>
      </c>
      <c r="K154" t="s">
        <v>13</v>
      </c>
      <c r="L154" t="s">
        <v>42</v>
      </c>
      <c r="M154" t="s">
        <v>11</v>
      </c>
      <c r="N154" t="s">
        <v>41</v>
      </c>
      <c r="O154" t="s">
        <v>9</v>
      </c>
      <c r="P154" t="s">
        <v>39</v>
      </c>
      <c r="Q154" t="s">
        <v>100</v>
      </c>
      <c r="R154" t="s">
        <v>38</v>
      </c>
      <c r="S154">
        <v>7</v>
      </c>
      <c r="T154">
        <v>7</v>
      </c>
      <c r="U154">
        <v>306</v>
      </c>
      <c r="V154" t="s">
        <v>0</v>
      </c>
      <c r="W154" t="s">
        <v>0</v>
      </c>
      <c r="X154" t="s">
        <v>5</v>
      </c>
      <c r="Y154" t="s">
        <v>450</v>
      </c>
      <c r="Z154" t="s">
        <v>0</v>
      </c>
      <c r="AA154">
        <v>0</v>
      </c>
      <c r="AB154">
        <v>0</v>
      </c>
      <c r="AC154">
        <v>0</v>
      </c>
      <c r="AD154" t="s">
        <v>3</v>
      </c>
      <c r="AE154" t="s">
        <v>0</v>
      </c>
      <c r="AF154" t="s">
        <v>3</v>
      </c>
      <c r="AG154" t="s">
        <v>2</v>
      </c>
      <c r="AI154" t="s">
        <v>122</v>
      </c>
      <c r="AJ154">
        <v>4</v>
      </c>
      <c r="AK154">
        <v>-13</v>
      </c>
      <c r="AL154">
        <v>27</v>
      </c>
      <c r="AM154" t="s">
        <v>0</v>
      </c>
      <c r="AN154">
        <v>0</v>
      </c>
      <c r="AO154">
        <v>0</v>
      </c>
      <c r="AP154">
        <v>1</v>
      </c>
      <c r="AQ154">
        <v>0</v>
      </c>
    </row>
    <row r="155" spans="1:43" x14ac:dyDescent="0.25">
      <c r="A155" t="s">
        <v>3450</v>
      </c>
      <c r="B155" t="s">
        <v>2034</v>
      </c>
      <c r="C155" t="s">
        <v>3449</v>
      </c>
      <c r="D155" s="1">
        <v>45896</v>
      </c>
      <c r="E155" t="s">
        <v>112</v>
      </c>
      <c r="F155" t="s">
        <v>111</v>
      </c>
      <c r="G155" t="s">
        <v>17</v>
      </c>
      <c r="H155" t="s">
        <v>77</v>
      </c>
      <c r="I155" t="s">
        <v>28</v>
      </c>
      <c r="J155" t="s">
        <v>55</v>
      </c>
      <c r="K155" t="s">
        <v>54</v>
      </c>
      <c r="L155" t="s">
        <v>42</v>
      </c>
      <c r="M155" t="s">
        <v>11</v>
      </c>
      <c r="N155" t="s">
        <v>75</v>
      </c>
      <c r="O155" t="s">
        <v>199</v>
      </c>
      <c r="P155" t="s">
        <v>39</v>
      </c>
      <c r="Q155" t="s">
        <v>50</v>
      </c>
      <c r="R155" t="s">
        <v>6</v>
      </c>
      <c r="S155">
        <v>5</v>
      </c>
      <c r="T155">
        <v>5</v>
      </c>
      <c r="U155">
        <v>119</v>
      </c>
      <c r="V155" t="s">
        <v>0</v>
      </c>
      <c r="W155" t="s">
        <v>5</v>
      </c>
      <c r="X155" t="s">
        <v>0</v>
      </c>
      <c r="Y155" t="s">
        <v>4</v>
      </c>
      <c r="Z155" t="s">
        <v>5</v>
      </c>
      <c r="AA155">
        <v>75.56</v>
      </c>
      <c r="AB155">
        <v>0</v>
      </c>
      <c r="AC155">
        <v>0</v>
      </c>
      <c r="AD155" t="s">
        <v>3</v>
      </c>
      <c r="AE155" t="s">
        <v>0</v>
      </c>
      <c r="AF155" t="s">
        <v>3</v>
      </c>
      <c r="AG155" t="s">
        <v>2</v>
      </c>
      <c r="AI155" t="s">
        <v>23</v>
      </c>
      <c r="AJ155">
        <v>4</v>
      </c>
      <c r="AK155">
        <v>22</v>
      </c>
      <c r="AL155">
        <v>33</v>
      </c>
      <c r="AM155" t="s">
        <v>5</v>
      </c>
      <c r="AN155">
        <v>1</v>
      </c>
      <c r="AO155">
        <v>1</v>
      </c>
      <c r="AP155">
        <v>0</v>
      </c>
      <c r="AQ155">
        <v>1</v>
      </c>
    </row>
    <row r="156" spans="1:43" x14ac:dyDescent="0.25">
      <c r="A156" t="s">
        <v>3448</v>
      </c>
      <c r="B156" t="s">
        <v>740</v>
      </c>
      <c r="C156" t="s">
        <v>3447</v>
      </c>
      <c r="D156" s="1">
        <v>45829</v>
      </c>
      <c r="E156" t="s">
        <v>79</v>
      </c>
      <c r="F156" t="s">
        <v>102</v>
      </c>
      <c r="G156" t="s">
        <v>83</v>
      </c>
      <c r="H156" t="s">
        <v>77</v>
      </c>
      <c r="I156" t="s">
        <v>15</v>
      </c>
      <c r="J156" t="s">
        <v>14</v>
      </c>
      <c r="K156" t="s">
        <v>13</v>
      </c>
      <c r="L156" t="s">
        <v>117</v>
      </c>
      <c r="M156" t="s">
        <v>27</v>
      </c>
      <c r="N156" t="s">
        <v>75</v>
      </c>
      <c r="O156" t="s">
        <v>26</v>
      </c>
      <c r="P156" t="s">
        <v>63</v>
      </c>
      <c r="Q156" t="s">
        <v>7</v>
      </c>
      <c r="R156" t="s">
        <v>6</v>
      </c>
      <c r="S156">
        <v>4</v>
      </c>
      <c r="T156">
        <v>4</v>
      </c>
      <c r="U156">
        <v>80</v>
      </c>
      <c r="V156" t="s">
        <v>0</v>
      </c>
      <c r="W156" t="s">
        <v>5</v>
      </c>
      <c r="X156" t="s">
        <v>0</v>
      </c>
      <c r="Y156" t="s">
        <v>4</v>
      </c>
      <c r="Z156" t="s">
        <v>5</v>
      </c>
      <c r="AA156">
        <v>69.11</v>
      </c>
      <c r="AB156">
        <v>0.18</v>
      </c>
      <c r="AC156">
        <v>0.37</v>
      </c>
      <c r="AD156" t="s">
        <v>3</v>
      </c>
      <c r="AE156" t="s">
        <v>0</v>
      </c>
      <c r="AF156" t="s">
        <v>3</v>
      </c>
      <c r="AG156" t="s">
        <v>2</v>
      </c>
      <c r="AI156" t="s">
        <v>23</v>
      </c>
      <c r="AJ156">
        <v>5</v>
      </c>
      <c r="AK156">
        <v>19</v>
      </c>
      <c r="AL156">
        <v>0</v>
      </c>
      <c r="AM156" t="s">
        <v>5</v>
      </c>
      <c r="AN156">
        <v>1</v>
      </c>
      <c r="AO156">
        <v>1</v>
      </c>
      <c r="AP156">
        <v>0</v>
      </c>
      <c r="AQ156">
        <v>1</v>
      </c>
    </row>
    <row r="157" spans="1:43" x14ac:dyDescent="0.25">
      <c r="A157" t="s">
        <v>3446</v>
      </c>
      <c r="B157" t="s">
        <v>1867</v>
      </c>
      <c r="C157" t="s">
        <v>3445</v>
      </c>
      <c r="D157" s="1">
        <v>45795</v>
      </c>
      <c r="E157" t="s">
        <v>168</v>
      </c>
      <c r="F157" t="s">
        <v>167</v>
      </c>
      <c r="G157" t="s">
        <v>17</v>
      </c>
      <c r="H157" t="s">
        <v>43</v>
      </c>
      <c r="I157" t="s">
        <v>28</v>
      </c>
      <c r="J157" t="s">
        <v>14</v>
      </c>
      <c r="K157" t="s">
        <v>13</v>
      </c>
      <c r="L157" t="s">
        <v>88</v>
      </c>
      <c r="M157" t="s">
        <v>11</v>
      </c>
      <c r="N157" t="s">
        <v>75</v>
      </c>
      <c r="O157" t="s">
        <v>51</v>
      </c>
      <c r="P157" t="s">
        <v>39</v>
      </c>
      <c r="Q157" t="s">
        <v>7</v>
      </c>
      <c r="R157" t="s">
        <v>6</v>
      </c>
      <c r="S157">
        <v>6</v>
      </c>
      <c r="T157">
        <v>6</v>
      </c>
      <c r="U157">
        <v>130</v>
      </c>
      <c r="V157" t="s">
        <v>0</v>
      </c>
      <c r="W157" t="s">
        <v>5</v>
      </c>
      <c r="X157" t="s">
        <v>0</v>
      </c>
      <c r="Y157" t="s">
        <v>4</v>
      </c>
      <c r="Z157" t="s">
        <v>5</v>
      </c>
      <c r="AA157">
        <v>0</v>
      </c>
      <c r="AB157">
        <v>0.11</v>
      </c>
      <c r="AC157">
        <v>0</v>
      </c>
      <c r="AD157" t="s">
        <v>3</v>
      </c>
      <c r="AE157" t="s">
        <v>0</v>
      </c>
      <c r="AF157" t="s">
        <v>3</v>
      </c>
      <c r="AG157" t="s">
        <v>2</v>
      </c>
      <c r="AI157" t="s">
        <v>23</v>
      </c>
      <c r="AJ157">
        <v>4</v>
      </c>
      <c r="AK157">
        <v>3</v>
      </c>
      <c r="AL157">
        <v>24</v>
      </c>
      <c r="AM157" t="s">
        <v>5</v>
      </c>
      <c r="AN157">
        <v>1</v>
      </c>
      <c r="AO157">
        <v>1</v>
      </c>
      <c r="AP157">
        <v>0</v>
      </c>
      <c r="AQ157">
        <v>1</v>
      </c>
    </row>
    <row r="158" spans="1:43" x14ac:dyDescent="0.25">
      <c r="A158" t="s">
        <v>3444</v>
      </c>
      <c r="B158" t="s">
        <v>596</v>
      </c>
      <c r="C158" t="s">
        <v>3443</v>
      </c>
      <c r="D158" s="1">
        <v>45772</v>
      </c>
      <c r="E158" t="s">
        <v>68</v>
      </c>
      <c r="F158" t="s">
        <v>243</v>
      </c>
      <c r="G158" t="s">
        <v>56</v>
      </c>
      <c r="H158" t="s">
        <v>77</v>
      </c>
      <c r="I158" t="s">
        <v>28</v>
      </c>
      <c r="J158" t="s">
        <v>146</v>
      </c>
      <c r="K158" t="s">
        <v>145</v>
      </c>
      <c r="L158" t="s">
        <v>117</v>
      </c>
      <c r="M158" t="s">
        <v>11</v>
      </c>
      <c r="N158" t="s">
        <v>52</v>
      </c>
      <c r="O158" t="s">
        <v>101</v>
      </c>
      <c r="P158" t="s">
        <v>39</v>
      </c>
      <c r="Q158" t="s">
        <v>100</v>
      </c>
      <c r="R158" t="s">
        <v>6</v>
      </c>
      <c r="S158">
        <v>4</v>
      </c>
      <c r="T158">
        <v>4</v>
      </c>
      <c r="U158">
        <v>96</v>
      </c>
      <c r="V158" t="s">
        <v>247</v>
      </c>
      <c r="W158" t="s">
        <v>5</v>
      </c>
      <c r="X158" t="s">
        <v>0</v>
      </c>
      <c r="Y158" t="s">
        <v>4</v>
      </c>
      <c r="Z158" t="s">
        <v>5</v>
      </c>
      <c r="AA158">
        <v>144.30000000000001</v>
      </c>
      <c r="AB158">
        <v>0.44</v>
      </c>
      <c r="AC158">
        <v>0</v>
      </c>
      <c r="AD158" t="s">
        <v>61</v>
      </c>
      <c r="AE158" t="s">
        <v>5</v>
      </c>
      <c r="AF158" t="s">
        <v>61</v>
      </c>
      <c r="AG158" t="s">
        <v>36</v>
      </c>
      <c r="AI158" t="s">
        <v>23</v>
      </c>
      <c r="AJ158">
        <v>5</v>
      </c>
      <c r="AK158">
        <v>23</v>
      </c>
      <c r="AL158">
        <v>1</v>
      </c>
      <c r="AM158" t="s">
        <v>5</v>
      </c>
      <c r="AN158">
        <v>1</v>
      </c>
      <c r="AO158">
        <v>1</v>
      </c>
      <c r="AP158">
        <v>0</v>
      </c>
      <c r="AQ158">
        <v>1</v>
      </c>
    </row>
    <row r="159" spans="1:43" x14ac:dyDescent="0.25">
      <c r="A159" t="s">
        <v>3442</v>
      </c>
      <c r="B159" t="s">
        <v>3441</v>
      </c>
      <c r="C159" t="s">
        <v>3440</v>
      </c>
      <c r="D159" s="1">
        <v>46020</v>
      </c>
      <c r="E159" t="s">
        <v>125</v>
      </c>
      <c r="F159" t="s">
        <v>140</v>
      </c>
      <c r="G159" t="s">
        <v>17</v>
      </c>
      <c r="H159" t="s">
        <v>43</v>
      </c>
      <c r="I159" t="s">
        <v>15</v>
      </c>
      <c r="J159" t="s">
        <v>55</v>
      </c>
      <c r="K159" t="s">
        <v>54</v>
      </c>
      <c r="L159" t="s">
        <v>117</v>
      </c>
      <c r="M159" t="s">
        <v>11</v>
      </c>
      <c r="N159" t="s">
        <v>75</v>
      </c>
      <c r="O159" t="s">
        <v>9</v>
      </c>
      <c r="P159" t="s">
        <v>25</v>
      </c>
      <c r="Q159" t="s">
        <v>7</v>
      </c>
      <c r="R159" t="s">
        <v>6</v>
      </c>
      <c r="S159">
        <v>7</v>
      </c>
      <c r="T159">
        <v>7</v>
      </c>
      <c r="U159">
        <v>162</v>
      </c>
      <c r="V159" t="s">
        <v>0</v>
      </c>
      <c r="W159" t="s">
        <v>0</v>
      </c>
      <c r="X159" t="s">
        <v>0</v>
      </c>
      <c r="Y159" t="s">
        <v>4</v>
      </c>
      <c r="Z159" t="s">
        <v>0</v>
      </c>
      <c r="AA159">
        <v>0</v>
      </c>
      <c r="AB159">
        <v>0</v>
      </c>
      <c r="AC159">
        <v>0</v>
      </c>
      <c r="AD159" t="s">
        <v>3</v>
      </c>
      <c r="AE159" t="s">
        <v>0</v>
      </c>
      <c r="AF159" t="s">
        <v>3</v>
      </c>
      <c r="AG159" t="s">
        <v>2</v>
      </c>
      <c r="AI159" t="s">
        <v>23</v>
      </c>
      <c r="AJ159">
        <v>3</v>
      </c>
      <c r="AK159">
        <v>-17</v>
      </c>
      <c r="AL159" t="s">
        <v>638</v>
      </c>
      <c r="AM159" t="s">
        <v>0</v>
      </c>
      <c r="AN159">
        <v>0</v>
      </c>
      <c r="AO159">
        <v>0</v>
      </c>
      <c r="AP159">
        <v>0</v>
      </c>
      <c r="AQ159">
        <v>0</v>
      </c>
    </row>
    <row r="160" spans="1:43" x14ac:dyDescent="0.25">
      <c r="A160" t="s">
        <v>3439</v>
      </c>
      <c r="B160" t="s">
        <v>1055</v>
      </c>
      <c r="C160" t="s">
        <v>3438</v>
      </c>
      <c r="D160" s="1">
        <v>45768</v>
      </c>
      <c r="E160" t="s">
        <v>149</v>
      </c>
      <c r="F160" t="s">
        <v>471</v>
      </c>
      <c r="G160" t="s">
        <v>30</v>
      </c>
      <c r="H160" t="s">
        <v>16</v>
      </c>
      <c r="I160" t="s">
        <v>15</v>
      </c>
      <c r="J160" t="s">
        <v>55</v>
      </c>
      <c r="K160" t="s">
        <v>54</v>
      </c>
      <c r="L160" t="s">
        <v>12</v>
      </c>
      <c r="M160" t="s">
        <v>11</v>
      </c>
      <c r="N160" t="s">
        <v>269</v>
      </c>
      <c r="O160" t="s">
        <v>74</v>
      </c>
      <c r="P160" t="s">
        <v>39</v>
      </c>
      <c r="Q160" t="s">
        <v>24</v>
      </c>
      <c r="R160" t="s">
        <v>6</v>
      </c>
      <c r="S160">
        <v>6</v>
      </c>
      <c r="T160">
        <v>4</v>
      </c>
      <c r="U160">
        <v>188</v>
      </c>
      <c r="V160" t="s">
        <v>5</v>
      </c>
      <c r="W160" t="s">
        <v>5</v>
      </c>
      <c r="X160" t="s">
        <v>0</v>
      </c>
      <c r="Y160" t="s">
        <v>4</v>
      </c>
      <c r="Z160" t="s">
        <v>5</v>
      </c>
      <c r="AA160">
        <v>80.17</v>
      </c>
      <c r="AB160">
        <v>0</v>
      </c>
      <c r="AC160">
        <v>0</v>
      </c>
      <c r="AD160" t="s">
        <v>3</v>
      </c>
      <c r="AE160" t="s">
        <v>0</v>
      </c>
      <c r="AF160" t="s">
        <v>3</v>
      </c>
      <c r="AG160" t="s">
        <v>2</v>
      </c>
      <c r="AI160" t="s">
        <v>23</v>
      </c>
      <c r="AJ160">
        <v>1</v>
      </c>
      <c r="AK160">
        <v>-10</v>
      </c>
      <c r="AL160">
        <v>31</v>
      </c>
      <c r="AM160" t="s">
        <v>0</v>
      </c>
      <c r="AN160">
        <v>1</v>
      </c>
      <c r="AO160">
        <v>1</v>
      </c>
      <c r="AP160">
        <v>0</v>
      </c>
      <c r="AQ160">
        <v>0</v>
      </c>
    </row>
    <row r="161" spans="1:43" x14ac:dyDescent="0.25">
      <c r="A161" t="s">
        <v>3437</v>
      </c>
      <c r="B161" t="s">
        <v>3436</v>
      </c>
      <c r="C161" t="s">
        <v>3435</v>
      </c>
      <c r="D161" s="1">
        <v>45892</v>
      </c>
      <c r="E161" t="s">
        <v>162</v>
      </c>
      <c r="F161" t="s">
        <v>310</v>
      </c>
      <c r="G161" t="s">
        <v>110</v>
      </c>
      <c r="H161" t="s">
        <v>77</v>
      </c>
      <c r="I161" t="s">
        <v>15</v>
      </c>
      <c r="J161" t="s">
        <v>55</v>
      </c>
      <c r="K161" t="s">
        <v>54</v>
      </c>
      <c r="L161" t="s">
        <v>117</v>
      </c>
      <c r="M161" t="s">
        <v>53</v>
      </c>
      <c r="N161" t="s">
        <v>10</v>
      </c>
      <c r="O161" t="s">
        <v>9</v>
      </c>
      <c r="P161" t="s">
        <v>39</v>
      </c>
      <c r="Q161" t="s">
        <v>7</v>
      </c>
      <c r="R161" t="s">
        <v>6</v>
      </c>
      <c r="S161">
        <v>7</v>
      </c>
      <c r="T161">
        <v>7</v>
      </c>
      <c r="U161">
        <v>128</v>
      </c>
      <c r="V161" t="s">
        <v>0</v>
      </c>
      <c r="W161" t="s">
        <v>0</v>
      </c>
      <c r="X161" t="s">
        <v>0</v>
      </c>
      <c r="Y161" t="s">
        <v>4</v>
      </c>
      <c r="Z161" t="s">
        <v>0</v>
      </c>
      <c r="AA161">
        <v>0</v>
      </c>
      <c r="AB161">
        <v>0</v>
      </c>
      <c r="AC161">
        <v>0</v>
      </c>
      <c r="AD161" t="s">
        <v>3</v>
      </c>
      <c r="AE161" t="s">
        <v>0</v>
      </c>
      <c r="AF161" t="s">
        <v>3</v>
      </c>
      <c r="AG161" t="s">
        <v>2</v>
      </c>
      <c r="AI161" t="s">
        <v>1</v>
      </c>
      <c r="AJ161">
        <v>3</v>
      </c>
      <c r="AK161">
        <v>23</v>
      </c>
      <c r="AL161">
        <v>64</v>
      </c>
      <c r="AM161" t="s">
        <v>0</v>
      </c>
      <c r="AN161">
        <v>0</v>
      </c>
      <c r="AO161">
        <v>0</v>
      </c>
      <c r="AP161">
        <v>0</v>
      </c>
      <c r="AQ161">
        <v>0</v>
      </c>
    </row>
    <row r="162" spans="1:43" x14ac:dyDescent="0.25">
      <c r="A162" t="s">
        <v>3434</v>
      </c>
      <c r="B162" t="s">
        <v>1062</v>
      </c>
      <c r="C162" t="s">
        <v>3433</v>
      </c>
      <c r="D162" s="1">
        <v>46070</v>
      </c>
      <c r="E162" t="s">
        <v>32</v>
      </c>
      <c r="F162" t="s">
        <v>382</v>
      </c>
      <c r="G162" t="s">
        <v>110</v>
      </c>
      <c r="H162" t="s">
        <v>16</v>
      </c>
      <c r="I162" t="s">
        <v>28</v>
      </c>
      <c r="J162" t="s">
        <v>55</v>
      </c>
      <c r="K162" t="s">
        <v>54</v>
      </c>
      <c r="L162" t="s">
        <v>117</v>
      </c>
      <c r="M162" t="s">
        <v>11</v>
      </c>
      <c r="N162" t="s">
        <v>93</v>
      </c>
      <c r="O162" t="s">
        <v>74</v>
      </c>
      <c r="P162" t="s">
        <v>39</v>
      </c>
      <c r="Q162" t="s">
        <v>7</v>
      </c>
      <c r="R162" t="s">
        <v>6</v>
      </c>
      <c r="S162">
        <v>99</v>
      </c>
      <c r="T162" t="s">
        <v>205</v>
      </c>
      <c r="U162">
        <v>9999</v>
      </c>
      <c r="V162" t="s">
        <v>0</v>
      </c>
      <c r="W162" t="s">
        <v>5</v>
      </c>
      <c r="X162" t="s">
        <v>0</v>
      </c>
      <c r="Y162" t="s">
        <v>4</v>
      </c>
      <c r="Z162" t="s">
        <v>5</v>
      </c>
      <c r="AA162">
        <v>42.04</v>
      </c>
      <c r="AB162">
        <v>0</v>
      </c>
      <c r="AC162">
        <v>0</v>
      </c>
      <c r="AD162" t="s">
        <v>3</v>
      </c>
      <c r="AE162" t="s">
        <v>0</v>
      </c>
      <c r="AF162" t="s">
        <v>3</v>
      </c>
      <c r="AG162" t="s">
        <v>2</v>
      </c>
      <c r="AI162" t="s">
        <v>23</v>
      </c>
      <c r="AJ162">
        <v>4</v>
      </c>
      <c r="AK162">
        <v>-21</v>
      </c>
      <c r="AL162">
        <v>29</v>
      </c>
      <c r="AM162" t="s">
        <v>5</v>
      </c>
      <c r="AN162">
        <v>1</v>
      </c>
      <c r="AO162">
        <v>1</v>
      </c>
      <c r="AP162">
        <v>0</v>
      </c>
      <c r="AQ162">
        <v>1</v>
      </c>
    </row>
    <row r="163" spans="1:43" x14ac:dyDescent="0.25">
      <c r="A163" t="s">
        <v>3432</v>
      </c>
      <c r="B163" t="s">
        <v>789</v>
      </c>
      <c r="C163" t="s">
        <v>3431</v>
      </c>
      <c r="D163" s="1">
        <v>46085</v>
      </c>
      <c r="E163" t="s">
        <v>112</v>
      </c>
      <c r="F163" t="s">
        <v>461</v>
      </c>
      <c r="G163" t="s">
        <v>131</v>
      </c>
      <c r="H163" t="s">
        <v>29</v>
      </c>
      <c r="I163" t="s">
        <v>28</v>
      </c>
      <c r="J163" t="s">
        <v>55</v>
      </c>
      <c r="K163" t="s">
        <v>54</v>
      </c>
      <c r="L163" t="s">
        <v>42</v>
      </c>
      <c r="M163" t="s">
        <v>11</v>
      </c>
      <c r="N163" t="s">
        <v>269</v>
      </c>
      <c r="O163" t="s">
        <v>9</v>
      </c>
      <c r="P163" t="s">
        <v>39</v>
      </c>
      <c r="Q163" t="s">
        <v>198</v>
      </c>
      <c r="R163" t="s">
        <v>38</v>
      </c>
      <c r="S163">
        <v>7</v>
      </c>
      <c r="T163">
        <v>7</v>
      </c>
      <c r="U163">
        <v>221</v>
      </c>
      <c r="V163" t="s">
        <v>0</v>
      </c>
      <c r="W163" t="s">
        <v>5</v>
      </c>
      <c r="X163" t="s">
        <v>0</v>
      </c>
      <c r="Y163" t="s">
        <v>4</v>
      </c>
      <c r="Z163" t="s">
        <v>0</v>
      </c>
      <c r="AA163">
        <v>0</v>
      </c>
      <c r="AB163">
        <v>0</v>
      </c>
      <c r="AC163">
        <v>0</v>
      </c>
      <c r="AD163" t="s">
        <v>3</v>
      </c>
      <c r="AE163" t="s">
        <v>0</v>
      </c>
      <c r="AF163" t="s">
        <v>3</v>
      </c>
      <c r="AG163" t="s">
        <v>2</v>
      </c>
      <c r="AI163" t="s">
        <v>23</v>
      </c>
      <c r="AJ163">
        <v>4</v>
      </c>
      <c r="AK163">
        <v>9</v>
      </c>
      <c r="AL163">
        <v>73</v>
      </c>
      <c r="AM163" t="s">
        <v>5</v>
      </c>
      <c r="AN163">
        <v>1</v>
      </c>
      <c r="AO163">
        <v>0</v>
      </c>
      <c r="AP163">
        <v>0</v>
      </c>
      <c r="AQ163">
        <v>1</v>
      </c>
    </row>
    <row r="164" spans="1:43" x14ac:dyDescent="0.25">
      <c r="A164" t="s">
        <v>3430</v>
      </c>
      <c r="B164" t="s">
        <v>1751</v>
      </c>
      <c r="C164" t="s">
        <v>3429</v>
      </c>
      <c r="D164" s="1">
        <v>45776</v>
      </c>
      <c r="E164" t="s">
        <v>168</v>
      </c>
      <c r="F164" t="s">
        <v>233</v>
      </c>
      <c r="G164" t="s">
        <v>30</v>
      </c>
      <c r="H164" t="s">
        <v>16</v>
      </c>
      <c r="I164" t="s">
        <v>28</v>
      </c>
      <c r="J164" t="s">
        <v>146</v>
      </c>
      <c r="K164" t="s">
        <v>176</v>
      </c>
      <c r="L164" t="s">
        <v>42</v>
      </c>
      <c r="M164" t="s">
        <v>299</v>
      </c>
      <c r="N164" t="s">
        <v>41</v>
      </c>
      <c r="O164" t="s">
        <v>87</v>
      </c>
      <c r="P164" t="s">
        <v>63</v>
      </c>
      <c r="Q164" t="s">
        <v>172</v>
      </c>
      <c r="R164" t="s">
        <v>38</v>
      </c>
      <c r="S164">
        <v>5</v>
      </c>
      <c r="T164">
        <v>4</v>
      </c>
      <c r="U164">
        <v>122</v>
      </c>
      <c r="V164" t="s">
        <v>5</v>
      </c>
      <c r="W164" t="s">
        <v>5</v>
      </c>
      <c r="X164" t="s">
        <v>0</v>
      </c>
      <c r="Y164" t="s">
        <v>4</v>
      </c>
      <c r="Z164" t="s">
        <v>5</v>
      </c>
      <c r="AA164">
        <v>96.81</v>
      </c>
      <c r="AB164">
        <v>0</v>
      </c>
      <c r="AC164">
        <v>0</v>
      </c>
      <c r="AD164" t="s">
        <v>3</v>
      </c>
      <c r="AE164" t="s">
        <v>0</v>
      </c>
      <c r="AF164" t="s">
        <v>3</v>
      </c>
      <c r="AG164" t="s">
        <v>2</v>
      </c>
      <c r="AI164" t="s">
        <v>23</v>
      </c>
      <c r="AJ164">
        <v>5</v>
      </c>
      <c r="AK164">
        <v>18</v>
      </c>
      <c r="AL164">
        <v>0</v>
      </c>
      <c r="AM164" t="s">
        <v>5</v>
      </c>
      <c r="AN164">
        <v>1</v>
      </c>
      <c r="AO164">
        <v>1</v>
      </c>
      <c r="AP164">
        <v>0</v>
      </c>
      <c r="AQ164">
        <v>1</v>
      </c>
    </row>
    <row r="165" spans="1:43" x14ac:dyDescent="0.25">
      <c r="A165" t="s">
        <v>3428</v>
      </c>
      <c r="B165" t="s">
        <v>2043</v>
      </c>
      <c r="C165" t="s">
        <v>3427</v>
      </c>
      <c r="D165" s="1">
        <v>46015</v>
      </c>
      <c r="E165" t="s">
        <v>162</v>
      </c>
      <c r="F165" t="s">
        <v>540</v>
      </c>
      <c r="G165" t="s">
        <v>110</v>
      </c>
      <c r="H165" t="s">
        <v>43</v>
      </c>
      <c r="I165" t="s">
        <v>15</v>
      </c>
      <c r="J165" t="s">
        <v>55</v>
      </c>
      <c r="K165" t="s">
        <v>54</v>
      </c>
      <c r="L165" t="s">
        <v>117</v>
      </c>
      <c r="M165" t="s">
        <v>11</v>
      </c>
      <c r="N165" t="s">
        <v>269</v>
      </c>
      <c r="O165" t="s">
        <v>199</v>
      </c>
      <c r="P165" t="s">
        <v>39</v>
      </c>
      <c r="Q165" t="s">
        <v>7</v>
      </c>
      <c r="R165" t="s">
        <v>6</v>
      </c>
      <c r="S165">
        <v>5</v>
      </c>
      <c r="T165" t="s">
        <v>99</v>
      </c>
      <c r="U165">
        <v>200</v>
      </c>
      <c r="V165" t="s">
        <v>5</v>
      </c>
      <c r="W165" t="s">
        <v>5</v>
      </c>
      <c r="X165" t="s">
        <v>5</v>
      </c>
      <c r="Y165" t="s">
        <v>410</v>
      </c>
      <c r="Z165" t="s">
        <v>5</v>
      </c>
      <c r="AA165">
        <v>85.96</v>
      </c>
      <c r="AB165">
        <v>0</v>
      </c>
      <c r="AC165">
        <v>0</v>
      </c>
      <c r="AD165" t="s">
        <v>3</v>
      </c>
      <c r="AE165" t="s">
        <v>0</v>
      </c>
      <c r="AF165" t="s">
        <v>3</v>
      </c>
      <c r="AG165" t="s">
        <v>2</v>
      </c>
      <c r="AI165" t="s">
        <v>23</v>
      </c>
      <c r="AJ165">
        <v>4</v>
      </c>
      <c r="AK165">
        <v>-47</v>
      </c>
      <c r="AL165">
        <v>55</v>
      </c>
      <c r="AM165" t="s">
        <v>5</v>
      </c>
      <c r="AN165">
        <v>1</v>
      </c>
      <c r="AO165">
        <v>1</v>
      </c>
      <c r="AP165">
        <v>1</v>
      </c>
      <c r="AQ165">
        <v>1</v>
      </c>
    </row>
    <row r="166" spans="1:43" x14ac:dyDescent="0.25">
      <c r="A166" t="s">
        <v>3426</v>
      </c>
      <c r="B166" t="s">
        <v>1113</v>
      </c>
      <c r="C166" t="s">
        <v>3425</v>
      </c>
      <c r="D166" s="1">
        <v>45838</v>
      </c>
      <c r="E166" t="s">
        <v>112</v>
      </c>
      <c r="F166" t="s">
        <v>111</v>
      </c>
      <c r="G166" t="s">
        <v>110</v>
      </c>
      <c r="H166" t="s">
        <v>16</v>
      </c>
      <c r="I166" t="s">
        <v>15</v>
      </c>
      <c r="J166" t="s">
        <v>14</v>
      </c>
      <c r="K166" t="s">
        <v>13</v>
      </c>
      <c r="L166" t="s">
        <v>42</v>
      </c>
      <c r="M166" t="s">
        <v>27</v>
      </c>
      <c r="N166" t="s">
        <v>10</v>
      </c>
      <c r="O166" t="s">
        <v>26</v>
      </c>
      <c r="P166" t="s">
        <v>63</v>
      </c>
      <c r="Q166" t="s">
        <v>24</v>
      </c>
      <c r="R166" t="s">
        <v>6</v>
      </c>
      <c r="S166">
        <v>4</v>
      </c>
      <c r="T166">
        <v>4</v>
      </c>
      <c r="U166">
        <v>87</v>
      </c>
      <c r="V166" t="s">
        <v>0</v>
      </c>
      <c r="W166" t="s">
        <v>5</v>
      </c>
      <c r="X166" t="s">
        <v>0</v>
      </c>
      <c r="Y166" t="s">
        <v>4</v>
      </c>
      <c r="Z166" t="s">
        <v>0</v>
      </c>
      <c r="AA166">
        <v>0</v>
      </c>
      <c r="AB166">
        <v>0</v>
      </c>
      <c r="AC166">
        <v>0</v>
      </c>
      <c r="AD166" t="s">
        <v>3</v>
      </c>
      <c r="AE166" t="s">
        <v>0</v>
      </c>
      <c r="AF166" t="s">
        <v>3</v>
      </c>
      <c r="AG166" t="s">
        <v>2</v>
      </c>
      <c r="AI166" t="s">
        <v>23</v>
      </c>
      <c r="AJ166">
        <v>5</v>
      </c>
      <c r="AK166">
        <v>45</v>
      </c>
      <c r="AL166">
        <v>0</v>
      </c>
      <c r="AM166" t="s">
        <v>5</v>
      </c>
      <c r="AN166">
        <v>1</v>
      </c>
      <c r="AO166">
        <v>0</v>
      </c>
      <c r="AP166">
        <v>0</v>
      </c>
      <c r="AQ166">
        <v>1</v>
      </c>
    </row>
    <row r="167" spans="1:43" x14ac:dyDescent="0.25">
      <c r="A167" t="s">
        <v>3424</v>
      </c>
      <c r="B167" t="s">
        <v>3084</v>
      </c>
      <c r="C167" t="s">
        <v>3423</v>
      </c>
      <c r="D167" s="1">
        <v>45806</v>
      </c>
      <c r="E167" t="s">
        <v>125</v>
      </c>
      <c r="F167" t="s">
        <v>124</v>
      </c>
      <c r="G167" t="s">
        <v>30</v>
      </c>
      <c r="H167" t="s">
        <v>29</v>
      </c>
      <c r="I167" t="s">
        <v>15</v>
      </c>
      <c r="J167" t="s">
        <v>146</v>
      </c>
      <c r="K167" t="s">
        <v>176</v>
      </c>
      <c r="L167" t="s">
        <v>12</v>
      </c>
      <c r="M167" t="s">
        <v>11</v>
      </c>
      <c r="N167" t="s">
        <v>41</v>
      </c>
      <c r="O167" t="s">
        <v>26</v>
      </c>
      <c r="P167" t="s">
        <v>39</v>
      </c>
      <c r="Q167" t="s">
        <v>172</v>
      </c>
      <c r="R167" t="s">
        <v>38</v>
      </c>
      <c r="S167">
        <v>4</v>
      </c>
      <c r="T167">
        <v>4</v>
      </c>
      <c r="U167">
        <v>111</v>
      </c>
      <c r="V167" t="s">
        <v>0</v>
      </c>
      <c r="W167" t="s">
        <v>5</v>
      </c>
      <c r="X167" t="s">
        <v>0</v>
      </c>
      <c r="Y167" t="s">
        <v>4</v>
      </c>
      <c r="Z167" t="s">
        <v>5</v>
      </c>
      <c r="AA167">
        <v>157.56</v>
      </c>
      <c r="AB167">
        <v>0.18</v>
      </c>
      <c r="AC167">
        <v>0</v>
      </c>
      <c r="AD167" t="s">
        <v>3</v>
      </c>
      <c r="AE167" t="s">
        <v>0</v>
      </c>
      <c r="AF167" t="s">
        <v>3</v>
      </c>
      <c r="AG167" t="s">
        <v>2</v>
      </c>
      <c r="AI167" t="s">
        <v>23</v>
      </c>
      <c r="AJ167">
        <v>3</v>
      </c>
      <c r="AK167">
        <v>29</v>
      </c>
      <c r="AL167">
        <v>40</v>
      </c>
      <c r="AM167" t="s">
        <v>5</v>
      </c>
      <c r="AN167">
        <v>1</v>
      </c>
      <c r="AO167">
        <v>1</v>
      </c>
      <c r="AP167">
        <v>0</v>
      </c>
      <c r="AQ167">
        <v>1</v>
      </c>
    </row>
    <row r="168" spans="1:43" x14ac:dyDescent="0.25">
      <c r="A168" t="s">
        <v>3422</v>
      </c>
      <c r="B168" t="s">
        <v>3421</v>
      </c>
      <c r="C168" t="s">
        <v>3420</v>
      </c>
      <c r="D168" s="1">
        <v>45812</v>
      </c>
      <c r="E168" t="s">
        <v>68</v>
      </c>
      <c r="F168" t="s">
        <v>216</v>
      </c>
      <c r="G168" t="s">
        <v>56</v>
      </c>
      <c r="H168" t="s">
        <v>77</v>
      </c>
      <c r="I168" t="s">
        <v>15</v>
      </c>
      <c r="J168" t="s">
        <v>14</v>
      </c>
      <c r="K168" t="s">
        <v>13</v>
      </c>
      <c r="L168" t="s">
        <v>12</v>
      </c>
      <c r="M168" t="s">
        <v>11</v>
      </c>
      <c r="N168" t="s">
        <v>41</v>
      </c>
      <c r="O168" t="s">
        <v>26</v>
      </c>
      <c r="P168" t="s">
        <v>39</v>
      </c>
      <c r="Q168" t="s">
        <v>50</v>
      </c>
      <c r="R168" t="s">
        <v>38</v>
      </c>
      <c r="S168">
        <v>4</v>
      </c>
      <c r="T168">
        <v>2</v>
      </c>
      <c r="U168">
        <v>322</v>
      </c>
      <c r="V168" t="s">
        <v>5</v>
      </c>
      <c r="W168" t="s">
        <v>5</v>
      </c>
      <c r="X168" t="s">
        <v>182</v>
      </c>
      <c r="Y168" t="s">
        <v>144</v>
      </c>
      <c r="Z168" t="s">
        <v>5</v>
      </c>
      <c r="AA168">
        <v>147.96</v>
      </c>
      <c r="AB168">
        <v>0.19</v>
      </c>
      <c r="AC168">
        <v>0</v>
      </c>
      <c r="AD168" t="s">
        <v>436</v>
      </c>
      <c r="AE168" t="s">
        <v>5</v>
      </c>
      <c r="AF168" t="s">
        <v>436</v>
      </c>
      <c r="AG168" t="s">
        <v>36</v>
      </c>
      <c r="AH168">
        <v>25</v>
      </c>
      <c r="AI168" t="s">
        <v>23</v>
      </c>
      <c r="AJ168">
        <v>4</v>
      </c>
      <c r="AK168">
        <v>4</v>
      </c>
      <c r="AL168">
        <v>66</v>
      </c>
      <c r="AM168" t="s">
        <v>5</v>
      </c>
      <c r="AN168">
        <v>1</v>
      </c>
      <c r="AO168">
        <v>1</v>
      </c>
      <c r="AP168">
        <v>1</v>
      </c>
      <c r="AQ168">
        <v>1</v>
      </c>
    </row>
    <row r="169" spans="1:43" x14ac:dyDescent="0.25">
      <c r="A169" t="s">
        <v>3419</v>
      </c>
      <c r="B169" t="s">
        <v>3418</v>
      </c>
      <c r="C169" t="s">
        <v>3417</v>
      </c>
      <c r="D169" s="1">
        <v>45732</v>
      </c>
      <c r="E169" t="s">
        <v>112</v>
      </c>
      <c r="F169" t="s">
        <v>111</v>
      </c>
      <c r="G169" t="s">
        <v>17</v>
      </c>
      <c r="H169" t="s">
        <v>43</v>
      </c>
      <c r="I169" t="s">
        <v>15</v>
      </c>
      <c r="J169" t="s">
        <v>14</v>
      </c>
      <c r="K169" t="s">
        <v>13</v>
      </c>
      <c r="L169" t="s">
        <v>88</v>
      </c>
      <c r="M169" t="s">
        <v>11</v>
      </c>
      <c r="N169" t="s">
        <v>93</v>
      </c>
      <c r="O169" t="s">
        <v>101</v>
      </c>
      <c r="P169" t="s">
        <v>39</v>
      </c>
      <c r="Q169" t="s">
        <v>172</v>
      </c>
      <c r="R169" t="s">
        <v>38</v>
      </c>
      <c r="S169">
        <v>4</v>
      </c>
      <c r="T169">
        <v>4</v>
      </c>
      <c r="U169">
        <v>101</v>
      </c>
      <c r="V169" t="s">
        <v>0</v>
      </c>
      <c r="W169" t="s">
        <v>5</v>
      </c>
      <c r="X169" t="s">
        <v>0</v>
      </c>
      <c r="Y169" t="s">
        <v>4</v>
      </c>
      <c r="Z169" t="s">
        <v>5</v>
      </c>
      <c r="AA169">
        <v>113.81</v>
      </c>
      <c r="AB169">
        <v>0.51</v>
      </c>
      <c r="AC169">
        <v>0</v>
      </c>
      <c r="AD169" t="s">
        <v>3</v>
      </c>
      <c r="AE169" t="s">
        <v>0</v>
      </c>
      <c r="AF169" t="s">
        <v>3</v>
      </c>
      <c r="AG169" t="s">
        <v>2</v>
      </c>
      <c r="AI169" t="s">
        <v>23</v>
      </c>
      <c r="AJ169">
        <v>4</v>
      </c>
      <c r="AK169">
        <v>45</v>
      </c>
      <c r="AL169">
        <v>17</v>
      </c>
      <c r="AM169" t="s">
        <v>0</v>
      </c>
      <c r="AN169">
        <v>1</v>
      </c>
      <c r="AO169">
        <v>1</v>
      </c>
      <c r="AP169">
        <v>0</v>
      </c>
      <c r="AQ169">
        <v>0</v>
      </c>
    </row>
    <row r="170" spans="1:43" x14ac:dyDescent="0.25">
      <c r="A170" t="s">
        <v>3416</v>
      </c>
      <c r="B170" t="s">
        <v>1322</v>
      </c>
      <c r="C170" t="s">
        <v>3415</v>
      </c>
      <c r="D170" s="1">
        <v>46107</v>
      </c>
      <c r="E170" t="s">
        <v>45</v>
      </c>
      <c r="F170" t="s">
        <v>670</v>
      </c>
      <c r="G170" t="s">
        <v>123</v>
      </c>
      <c r="H170" t="s">
        <v>77</v>
      </c>
      <c r="I170" t="s">
        <v>28</v>
      </c>
      <c r="J170" t="s">
        <v>14</v>
      </c>
      <c r="K170" t="s">
        <v>13</v>
      </c>
      <c r="L170" t="s">
        <v>42</v>
      </c>
      <c r="M170" t="s">
        <v>11</v>
      </c>
      <c r="N170" t="s">
        <v>10</v>
      </c>
      <c r="O170" t="s">
        <v>51</v>
      </c>
      <c r="P170" t="s">
        <v>39</v>
      </c>
      <c r="Q170" t="s">
        <v>7</v>
      </c>
      <c r="R170" t="s">
        <v>6</v>
      </c>
      <c r="S170">
        <v>6</v>
      </c>
      <c r="T170">
        <v>3</v>
      </c>
      <c r="U170">
        <v>410</v>
      </c>
      <c r="V170" t="s">
        <v>5</v>
      </c>
      <c r="W170" t="s">
        <v>5</v>
      </c>
      <c r="X170" t="s">
        <v>5</v>
      </c>
      <c r="Y170" t="s">
        <v>153</v>
      </c>
      <c r="Z170" t="s">
        <v>247</v>
      </c>
      <c r="AA170">
        <v>0</v>
      </c>
      <c r="AB170">
        <v>0</v>
      </c>
      <c r="AC170">
        <v>0</v>
      </c>
      <c r="AD170" t="s">
        <v>3</v>
      </c>
      <c r="AE170" t="s">
        <v>0</v>
      </c>
      <c r="AF170" t="s">
        <v>3</v>
      </c>
      <c r="AG170" t="s">
        <v>2</v>
      </c>
      <c r="AI170" t="s">
        <v>23</v>
      </c>
      <c r="AJ170">
        <v>2</v>
      </c>
      <c r="AK170">
        <v>-64</v>
      </c>
      <c r="AL170">
        <v>38</v>
      </c>
      <c r="AM170" t="s">
        <v>247</v>
      </c>
      <c r="AN170">
        <v>1</v>
      </c>
      <c r="AO170">
        <v>0</v>
      </c>
      <c r="AP170">
        <v>1</v>
      </c>
      <c r="AQ170">
        <v>0</v>
      </c>
    </row>
    <row r="171" spans="1:43" x14ac:dyDescent="0.25">
      <c r="A171" t="s">
        <v>3414</v>
      </c>
      <c r="B171" t="s">
        <v>802</v>
      </c>
      <c r="C171" t="s">
        <v>3413</v>
      </c>
      <c r="D171" s="1">
        <v>45790</v>
      </c>
      <c r="E171" t="s">
        <v>112</v>
      </c>
      <c r="F171" t="s">
        <v>360</v>
      </c>
      <c r="G171" t="s">
        <v>110</v>
      </c>
      <c r="H171" t="s">
        <v>29</v>
      </c>
      <c r="I171" t="s">
        <v>15</v>
      </c>
      <c r="J171" t="s">
        <v>14</v>
      </c>
      <c r="K171" t="s">
        <v>13</v>
      </c>
      <c r="L171" t="s">
        <v>117</v>
      </c>
      <c r="M171" t="s">
        <v>53</v>
      </c>
      <c r="N171" t="s">
        <v>52</v>
      </c>
      <c r="O171" t="s">
        <v>130</v>
      </c>
      <c r="P171" t="s">
        <v>25</v>
      </c>
      <c r="Q171" t="s">
        <v>198</v>
      </c>
      <c r="R171" t="s">
        <v>38</v>
      </c>
      <c r="S171">
        <v>5</v>
      </c>
      <c r="T171">
        <v>5</v>
      </c>
      <c r="U171">
        <v>187</v>
      </c>
      <c r="V171" t="s">
        <v>0</v>
      </c>
      <c r="W171" t="s">
        <v>0</v>
      </c>
      <c r="X171" t="s">
        <v>5</v>
      </c>
      <c r="Y171" t="s">
        <v>166</v>
      </c>
      <c r="Z171" t="s">
        <v>0</v>
      </c>
      <c r="AA171">
        <v>0</v>
      </c>
      <c r="AB171">
        <v>0</v>
      </c>
      <c r="AC171">
        <v>0</v>
      </c>
      <c r="AD171" t="s">
        <v>3</v>
      </c>
      <c r="AE171" t="s">
        <v>0</v>
      </c>
      <c r="AF171" t="s">
        <v>3</v>
      </c>
      <c r="AG171" t="s">
        <v>2</v>
      </c>
      <c r="AI171" t="s">
        <v>122</v>
      </c>
      <c r="AJ171">
        <v>3</v>
      </c>
      <c r="AK171">
        <v>-18</v>
      </c>
      <c r="AL171">
        <v>33</v>
      </c>
      <c r="AM171" t="s">
        <v>0</v>
      </c>
      <c r="AN171">
        <v>0</v>
      </c>
      <c r="AO171">
        <v>0</v>
      </c>
      <c r="AP171">
        <v>1</v>
      </c>
      <c r="AQ171">
        <v>0</v>
      </c>
    </row>
    <row r="172" spans="1:43" x14ac:dyDescent="0.25">
      <c r="A172" t="s">
        <v>3412</v>
      </c>
      <c r="B172" t="s">
        <v>817</v>
      </c>
      <c r="C172" t="s">
        <v>3411</v>
      </c>
      <c r="D172" s="1">
        <v>45918</v>
      </c>
      <c r="E172" t="s">
        <v>95</v>
      </c>
      <c r="F172" t="s">
        <v>94</v>
      </c>
      <c r="G172" t="s">
        <v>83</v>
      </c>
      <c r="H172" t="s">
        <v>43</v>
      </c>
      <c r="I172" t="s">
        <v>28</v>
      </c>
      <c r="J172" t="s">
        <v>146</v>
      </c>
      <c r="K172" t="s">
        <v>145</v>
      </c>
      <c r="L172" t="s">
        <v>42</v>
      </c>
      <c r="M172" t="s">
        <v>53</v>
      </c>
      <c r="N172" t="s">
        <v>269</v>
      </c>
      <c r="O172" t="s">
        <v>87</v>
      </c>
      <c r="P172" t="s">
        <v>39</v>
      </c>
      <c r="Q172" t="s">
        <v>24</v>
      </c>
      <c r="R172" t="s">
        <v>38</v>
      </c>
      <c r="S172">
        <v>5</v>
      </c>
      <c r="T172">
        <v>5</v>
      </c>
      <c r="U172">
        <v>114</v>
      </c>
      <c r="V172" t="s">
        <v>0</v>
      </c>
      <c r="W172" t="s">
        <v>0</v>
      </c>
      <c r="X172" t="s">
        <v>0</v>
      </c>
      <c r="Y172" t="s">
        <v>4</v>
      </c>
      <c r="Z172" t="s">
        <v>5</v>
      </c>
      <c r="AA172">
        <v>58.27</v>
      </c>
      <c r="AB172">
        <v>0</v>
      </c>
      <c r="AC172">
        <v>0.17</v>
      </c>
      <c r="AD172" t="s">
        <v>187</v>
      </c>
      <c r="AE172" t="s">
        <v>5</v>
      </c>
      <c r="AF172" t="s">
        <v>187</v>
      </c>
      <c r="AG172" t="s">
        <v>139</v>
      </c>
      <c r="AH172">
        <v>21</v>
      </c>
      <c r="AI172" t="s">
        <v>23</v>
      </c>
      <c r="AJ172">
        <v>3</v>
      </c>
      <c r="AK172">
        <v>33</v>
      </c>
      <c r="AL172">
        <v>42</v>
      </c>
      <c r="AM172" t="s">
        <v>0</v>
      </c>
      <c r="AN172">
        <v>0</v>
      </c>
      <c r="AO172">
        <v>1</v>
      </c>
      <c r="AP172">
        <v>0</v>
      </c>
      <c r="AQ172">
        <v>0</v>
      </c>
    </row>
    <row r="173" spans="1:43" x14ac:dyDescent="0.25">
      <c r="A173" t="s">
        <v>3410</v>
      </c>
      <c r="B173" t="s">
        <v>225</v>
      </c>
      <c r="C173" t="s">
        <v>3409</v>
      </c>
      <c r="D173" s="1">
        <v>46123</v>
      </c>
      <c r="E173" t="s">
        <v>156</v>
      </c>
      <c r="F173" t="s">
        <v>325</v>
      </c>
      <c r="G173" t="s">
        <v>83</v>
      </c>
      <c r="H173" t="s">
        <v>66</v>
      </c>
      <c r="I173" t="s">
        <v>15</v>
      </c>
      <c r="J173" t="s">
        <v>55</v>
      </c>
      <c r="K173" t="s">
        <v>54</v>
      </c>
      <c r="L173" t="s">
        <v>88</v>
      </c>
      <c r="M173" t="s">
        <v>11</v>
      </c>
      <c r="N173" t="s">
        <v>10</v>
      </c>
      <c r="O173" t="s">
        <v>40</v>
      </c>
      <c r="P173" t="s">
        <v>25</v>
      </c>
      <c r="Q173" t="s">
        <v>7</v>
      </c>
      <c r="R173" t="s">
        <v>6</v>
      </c>
      <c r="S173">
        <v>8</v>
      </c>
      <c r="T173">
        <v>8</v>
      </c>
      <c r="U173">
        <v>308</v>
      </c>
      <c r="V173" t="s">
        <v>0</v>
      </c>
      <c r="W173" t="s">
        <v>0</v>
      </c>
      <c r="X173" t="s">
        <v>5</v>
      </c>
      <c r="Y173" t="s">
        <v>160</v>
      </c>
      <c r="Z173" t="s">
        <v>0</v>
      </c>
      <c r="AA173">
        <v>0</v>
      </c>
      <c r="AB173">
        <v>0</v>
      </c>
      <c r="AC173">
        <v>0</v>
      </c>
      <c r="AD173" t="s">
        <v>61</v>
      </c>
      <c r="AE173" t="s">
        <v>5</v>
      </c>
      <c r="AF173" t="s">
        <v>61</v>
      </c>
      <c r="AG173" t="s">
        <v>36</v>
      </c>
      <c r="AH173">
        <v>33</v>
      </c>
      <c r="AI173" t="s">
        <v>122</v>
      </c>
      <c r="AJ173">
        <v>3</v>
      </c>
      <c r="AK173">
        <v>-62</v>
      </c>
      <c r="AL173">
        <v>68</v>
      </c>
      <c r="AM173" t="s">
        <v>0</v>
      </c>
      <c r="AN173">
        <v>0</v>
      </c>
      <c r="AO173">
        <v>0</v>
      </c>
      <c r="AP173">
        <v>1</v>
      </c>
      <c r="AQ173">
        <v>0</v>
      </c>
    </row>
    <row r="174" spans="1:43" x14ac:dyDescent="0.25">
      <c r="A174" t="s">
        <v>3408</v>
      </c>
      <c r="B174" t="s">
        <v>1739</v>
      </c>
      <c r="C174" t="s">
        <v>3407</v>
      </c>
      <c r="D174" s="1">
        <v>45953</v>
      </c>
      <c r="E174" t="s">
        <v>168</v>
      </c>
      <c r="F174" t="s">
        <v>167</v>
      </c>
      <c r="G174" t="s">
        <v>110</v>
      </c>
      <c r="H174" t="s">
        <v>77</v>
      </c>
      <c r="I174" t="s">
        <v>28</v>
      </c>
      <c r="J174" t="s">
        <v>14</v>
      </c>
      <c r="K174" t="s">
        <v>13</v>
      </c>
      <c r="L174" t="s">
        <v>117</v>
      </c>
      <c r="M174" t="s">
        <v>11</v>
      </c>
      <c r="N174" t="s">
        <v>269</v>
      </c>
      <c r="O174" t="s">
        <v>40</v>
      </c>
      <c r="P174" t="s">
        <v>63</v>
      </c>
      <c r="Q174" t="s">
        <v>198</v>
      </c>
      <c r="R174" t="s">
        <v>38</v>
      </c>
      <c r="S174">
        <v>8</v>
      </c>
      <c r="T174" t="s">
        <v>106</v>
      </c>
      <c r="U174">
        <v>233</v>
      </c>
      <c r="V174" t="s">
        <v>0</v>
      </c>
      <c r="W174" t="s">
        <v>5</v>
      </c>
      <c r="X174" t="s">
        <v>0</v>
      </c>
      <c r="Y174" t="s">
        <v>4</v>
      </c>
      <c r="Z174" t="s">
        <v>5</v>
      </c>
      <c r="AA174">
        <v>467.16</v>
      </c>
      <c r="AB174">
        <v>2.84</v>
      </c>
      <c r="AC174">
        <v>0</v>
      </c>
      <c r="AD174" t="s">
        <v>187</v>
      </c>
      <c r="AE174" t="s">
        <v>5</v>
      </c>
      <c r="AF174" t="s">
        <v>187</v>
      </c>
      <c r="AG174" t="s">
        <v>36</v>
      </c>
      <c r="AH174">
        <v>22</v>
      </c>
      <c r="AI174" t="s">
        <v>23</v>
      </c>
      <c r="AJ174">
        <v>3</v>
      </c>
      <c r="AK174">
        <v>20</v>
      </c>
      <c r="AL174">
        <v>0</v>
      </c>
      <c r="AM174" t="s">
        <v>5</v>
      </c>
      <c r="AN174">
        <v>1</v>
      </c>
      <c r="AO174">
        <v>1</v>
      </c>
      <c r="AP174">
        <v>0</v>
      </c>
      <c r="AQ174">
        <v>1</v>
      </c>
    </row>
    <row r="175" spans="1:43" x14ac:dyDescent="0.25">
      <c r="A175" t="s">
        <v>3406</v>
      </c>
      <c r="B175" t="s">
        <v>1873</v>
      </c>
      <c r="C175" t="s">
        <v>3405</v>
      </c>
      <c r="D175" s="1">
        <v>45697</v>
      </c>
      <c r="E175" t="s">
        <v>95</v>
      </c>
      <c r="F175" t="s">
        <v>118</v>
      </c>
      <c r="G175" t="s">
        <v>83</v>
      </c>
      <c r="H175" t="s">
        <v>43</v>
      </c>
      <c r="I175" t="s">
        <v>15</v>
      </c>
      <c r="J175" t="s">
        <v>14</v>
      </c>
      <c r="K175" t="s">
        <v>13</v>
      </c>
      <c r="L175" t="s">
        <v>88</v>
      </c>
      <c r="M175" t="s">
        <v>11</v>
      </c>
      <c r="N175" t="s">
        <v>75</v>
      </c>
      <c r="O175" t="s">
        <v>40</v>
      </c>
      <c r="P175" t="s">
        <v>25</v>
      </c>
      <c r="Q175" t="s">
        <v>172</v>
      </c>
      <c r="R175" t="s">
        <v>6</v>
      </c>
      <c r="S175">
        <v>8</v>
      </c>
      <c r="T175">
        <v>8</v>
      </c>
      <c r="U175">
        <v>166</v>
      </c>
      <c r="V175" t="s">
        <v>0</v>
      </c>
      <c r="W175" t="s">
        <v>0</v>
      </c>
      <c r="X175" t="s">
        <v>0</v>
      </c>
      <c r="Y175" t="s">
        <v>4</v>
      </c>
      <c r="Z175" t="s">
        <v>5</v>
      </c>
      <c r="AA175">
        <v>382.11</v>
      </c>
      <c r="AB175">
        <v>2.5499999999999998</v>
      </c>
      <c r="AC175">
        <v>0</v>
      </c>
      <c r="AD175" t="s">
        <v>187</v>
      </c>
      <c r="AE175" t="s">
        <v>5</v>
      </c>
      <c r="AF175" t="s">
        <v>187</v>
      </c>
      <c r="AG175" t="s">
        <v>36</v>
      </c>
      <c r="AH175">
        <v>23</v>
      </c>
      <c r="AI175" t="s">
        <v>1001</v>
      </c>
      <c r="AJ175">
        <v>5</v>
      </c>
      <c r="AK175">
        <v>22</v>
      </c>
      <c r="AL175">
        <v>1</v>
      </c>
      <c r="AM175" t="s">
        <v>0</v>
      </c>
      <c r="AN175">
        <v>0</v>
      </c>
      <c r="AO175">
        <v>1</v>
      </c>
      <c r="AP175">
        <v>0</v>
      </c>
      <c r="AQ175">
        <v>0</v>
      </c>
    </row>
    <row r="176" spans="1:43" x14ac:dyDescent="0.25">
      <c r="A176" t="s">
        <v>3404</v>
      </c>
      <c r="B176" t="s">
        <v>796</v>
      </c>
      <c r="C176" t="s">
        <v>3403</v>
      </c>
      <c r="D176" s="1">
        <v>45896</v>
      </c>
      <c r="E176" t="s">
        <v>149</v>
      </c>
      <c r="F176" t="s">
        <v>248</v>
      </c>
      <c r="G176" t="s">
        <v>110</v>
      </c>
      <c r="H176" t="s">
        <v>29</v>
      </c>
      <c r="I176" t="s">
        <v>28</v>
      </c>
      <c r="J176" t="s">
        <v>14</v>
      </c>
      <c r="K176" t="s">
        <v>13</v>
      </c>
      <c r="L176" t="s">
        <v>64</v>
      </c>
      <c r="M176" t="s">
        <v>11</v>
      </c>
      <c r="N176" t="s">
        <v>52</v>
      </c>
      <c r="O176" t="s">
        <v>26</v>
      </c>
      <c r="P176" t="s">
        <v>8</v>
      </c>
      <c r="Q176" t="s">
        <v>7</v>
      </c>
      <c r="R176" t="s">
        <v>6</v>
      </c>
      <c r="S176">
        <v>4</v>
      </c>
      <c r="T176">
        <v>4</v>
      </c>
      <c r="U176">
        <v>100</v>
      </c>
      <c r="V176" t="s">
        <v>0</v>
      </c>
      <c r="W176" t="s">
        <v>5</v>
      </c>
      <c r="X176" t="s">
        <v>0</v>
      </c>
      <c r="Y176" t="s">
        <v>4</v>
      </c>
      <c r="Z176" t="s">
        <v>0</v>
      </c>
      <c r="AA176">
        <v>0</v>
      </c>
      <c r="AB176">
        <v>0</v>
      </c>
      <c r="AC176">
        <v>0</v>
      </c>
      <c r="AD176" t="s">
        <v>3</v>
      </c>
      <c r="AE176" t="s">
        <v>0</v>
      </c>
      <c r="AF176" t="s">
        <v>3</v>
      </c>
      <c r="AG176" t="s">
        <v>2</v>
      </c>
      <c r="AI176" t="s">
        <v>23</v>
      </c>
      <c r="AJ176">
        <v>4</v>
      </c>
      <c r="AK176">
        <v>55</v>
      </c>
      <c r="AL176">
        <v>38</v>
      </c>
      <c r="AM176" t="s">
        <v>0</v>
      </c>
      <c r="AN176">
        <v>1</v>
      </c>
      <c r="AO176">
        <v>0</v>
      </c>
      <c r="AP176">
        <v>0</v>
      </c>
      <c r="AQ176">
        <v>0</v>
      </c>
    </row>
    <row r="177" spans="1:43" x14ac:dyDescent="0.25">
      <c r="A177" t="s">
        <v>3402</v>
      </c>
      <c r="B177" t="s">
        <v>1481</v>
      </c>
      <c r="C177" t="s">
        <v>3401</v>
      </c>
      <c r="D177" s="1">
        <v>45921</v>
      </c>
      <c r="E177" t="s">
        <v>162</v>
      </c>
      <c r="F177" t="s">
        <v>540</v>
      </c>
      <c r="G177" t="s">
        <v>30</v>
      </c>
      <c r="H177" t="s">
        <v>43</v>
      </c>
      <c r="I177" t="s">
        <v>15</v>
      </c>
      <c r="J177" t="s">
        <v>146</v>
      </c>
      <c r="K177" t="s">
        <v>145</v>
      </c>
      <c r="L177" t="s">
        <v>64</v>
      </c>
      <c r="M177" t="s">
        <v>11</v>
      </c>
      <c r="N177" t="s">
        <v>10</v>
      </c>
      <c r="O177" t="s">
        <v>51</v>
      </c>
      <c r="P177" t="s">
        <v>39</v>
      </c>
      <c r="Q177" t="s">
        <v>7</v>
      </c>
      <c r="R177" t="s">
        <v>6</v>
      </c>
      <c r="S177">
        <v>6</v>
      </c>
      <c r="T177">
        <v>6</v>
      </c>
      <c r="U177">
        <v>161</v>
      </c>
      <c r="V177" t="s">
        <v>0</v>
      </c>
      <c r="W177" t="s">
        <v>0</v>
      </c>
      <c r="X177" t="s">
        <v>0</v>
      </c>
      <c r="Y177" t="s">
        <v>4</v>
      </c>
      <c r="Z177" t="s">
        <v>5</v>
      </c>
      <c r="AA177">
        <v>24.32</v>
      </c>
      <c r="AB177">
        <v>0.11</v>
      </c>
      <c r="AC177">
        <v>0</v>
      </c>
      <c r="AD177" t="s">
        <v>3</v>
      </c>
      <c r="AE177" t="s">
        <v>0</v>
      </c>
      <c r="AF177" t="s">
        <v>3</v>
      </c>
      <c r="AG177" t="s">
        <v>2</v>
      </c>
      <c r="AI177" t="s">
        <v>23</v>
      </c>
      <c r="AJ177">
        <v>3</v>
      </c>
      <c r="AK177">
        <v>22</v>
      </c>
      <c r="AL177">
        <v>24</v>
      </c>
      <c r="AM177" t="s">
        <v>0</v>
      </c>
      <c r="AN177">
        <v>0</v>
      </c>
      <c r="AO177">
        <v>1</v>
      </c>
      <c r="AP177">
        <v>0</v>
      </c>
      <c r="AQ177">
        <v>0</v>
      </c>
    </row>
    <row r="178" spans="1:43" x14ac:dyDescent="0.25">
      <c r="A178" t="s">
        <v>3400</v>
      </c>
      <c r="B178" t="s">
        <v>319</v>
      </c>
      <c r="C178" t="s">
        <v>3399</v>
      </c>
      <c r="D178" s="1">
        <v>45919</v>
      </c>
      <c r="E178" t="s">
        <v>79</v>
      </c>
      <c r="F178" t="s">
        <v>78</v>
      </c>
      <c r="G178" t="s">
        <v>56</v>
      </c>
      <c r="H178" t="s">
        <v>16</v>
      </c>
      <c r="I178" t="s">
        <v>28</v>
      </c>
      <c r="J178" t="s">
        <v>14</v>
      </c>
      <c r="K178" t="s">
        <v>13</v>
      </c>
      <c r="L178" t="s">
        <v>64</v>
      </c>
      <c r="M178" t="s">
        <v>299</v>
      </c>
      <c r="N178" t="s">
        <v>93</v>
      </c>
      <c r="O178" t="s">
        <v>193</v>
      </c>
      <c r="P178" t="s">
        <v>39</v>
      </c>
      <c r="Q178" t="s">
        <v>24</v>
      </c>
      <c r="R178" t="s">
        <v>38</v>
      </c>
      <c r="S178">
        <v>9</v>
      </c>
      <c r="T178" t="s">
        <v>232</v>
      </c>
      <c r="U178">
        <v>371</v>
      </c>
      <c r="V178" t="s">
        <v>0</v>
      </c>
      <c r="W178" t="s">
        <v>0</v>
      </c>
      <c r="X178" t="s">
        <v>5</v>
      </c>
      <c r="Y178" t="s">
        <v>192</v>
      </c>
      <c r="Z178" t="s">
        <v>0</v>
      </c>
      <c r="AA178">
        <v>0</v>
      </c>
      <c r="AB178">
        <v>0</v>
      </c>
      <c r="AC178">
        <v>0</v>
      </c>
      <c r="AD178" t="s">
        <v>3</v>
      </c>
      <c r="AE178" t="s">
        <v>0</v>
      </c>
      <c r="AF178" t="s">
        <v>3</v>
      </c>
      <c r="AG178" t="s">
        <v>2</v>
      </c>
      <c r="AI178" t="s">
        <v>191</v>
      </c>
      <c r="AJ178">
        <v>2</v>
      </c>
      <c r="AK178">
        <v>-40</v>
      </c>
      <c r="AL178">
        <v>2</v>
      </c>
      <c r="AM178" t="s">
        <v>5</v>
      </c>
      <c r="AN178">
        <v>0</v>
      </c>
      <c r="AO178">
        <v>0</v>
      </c>
      <c r="AP178">
        <v>1</v>
      </c>
      <c r="AQ178">
        <v>1</v>
      </c>
    </row>
    <row r="179" spans="1:43" x14ac:dyDescent="0.25">
      <c r="A179" t="s">
        <v>3398</v>
      </c>
      <c r="B179" t="s">
        <v>1625</v>
      </c>
      <c r="C179" t="s">
        <v>3397</v>
      </c>
      <c r="D179" s="1">
        <v>46112</v>
      </c>
      <c r="E179" t="s">
        <v>68</v>
      </c>
      <c r="F179" t="s">
        <v>243</v>
      </c>
      <c r="G179" t="s">
        <v>131</v>
      </c>
      <c r="H179" t="s">
        <v>29</v>
      </c>
      <c r="I179" t="s">
        <v>15</v>
      </c>
      <c r="J179" t="s">
        <v>55</v>
      </c>
      <c r="K179" t="s">
        <v>54</v>
      </c>
      <c r="L179" t="s">
        <v>64</v>
      </c>
      <c r="M179" t="s">
        <v>11</v>
      </c>
      <c r="N179" t="s">
        <v>52</v>
      </c>
      <c r="O179" t="s">
        <v>74</v>
      </c>
      <c r="P179" t="s">
        <v>8</v>
      </c>
      <c r="Q179" t="s">
        <v>7</v>
      </c>
      <c r="R179" t="s">
        <v>6</v>
      </c>
      <c r="S179">
        <v>6</v>
      </c>
      <c r="T179" t="s">
        <v>205</v>
      </c>
      <c r="U179">
        <v>113</v>
      </c>
      <c r="V179" t="s">
        <v>0</v>
      </c>
      <c r="W179" t="s">
        <v>0</v>
      </c>
      <c r="X179" t="s">
        <v>0</v>
      </c>
      <c r="Y179" t="s">
        <v>4</v>
      </c>
      <c r="Z179" t="s">
        <v>0</v>
      </c>
      <c r="AA179">
        <v>0</v>
      </c>
      <c r="AB179">
        <v>0</v>
      </c>
      <c r="AC179">
        <v>0</v>
      </c>
      <c r="AD179" t="s">
        <v>3</v>
      </c>
      <c r="AE179" t="s">
        <v>0</v>
      </c>
      <c r="AF179" t="s">
        <v>3</v>
      </c>
      <c r="AG179" t="s">
        <v>2</v>
      </c>
      <c r="AI179" t="s">
        <v>23</v>
      </c>
      <c r="AJ179">
        <v>4</v>
      </c>
      <c r="AK179">
        <v>-27</v>
      </c>
      <c r="AL179">
        <v>50</v>
      </c>
      <c r="AM179" t="s">
        <v>0</v>
      </c>
      <c r="AN179">
        <v>0</v>
      </c>
      <c r="AO179">
        <v>0</v>
      </c>
      <c r="AP179">
        <v>0</v>
      </c>
      <c r="AQ179">
        <v>0</v>
      </c>
    </row>
    <row r="180" spans="1:43" x14ac:dyDescent="0.25">
      <c r="A180" t="s">
        <v>3396</v>
      </c>
      <c r="B180" t="s">
        <v>3395</v>
      </c>
      <c r="C180" t="s">
        <v>3394</v>
      </c>
      <c r="D180" s="1">
        <v>45951</v>
      </c>
      <c r="E180" t="s">
        <v>19</v>
      </c>
      <c r="F180" t="s">
        <v>18</v>
      </c>
      <c r="G180" t="s">
        <v>83</v>
      </c>
      <c r="H180" t="s">
        <v>29</v>
      </c>
      <c r="I180" t="s">
        <v>28</v>
      </c>
      <c r="J180" t="s">
        <v>55</v>
      </c>
      <c r="K180" t="s">
        <v>54</v>
      </c>
      <c r="L180" t="s">
        <v>12</v>
      </c>
      <c r="M180" t="s">
        <v>11</v>
      </c>
      <c r="N180" t="s">
        <v>52</v>
      </c>
      <c r="O180" t="s">
        <v>101</v>
      </c>
      <c r="P180" t="s">
        <v>39</v>
      </c>
      <c r="Q180" t="s">
        <v>7</v>
      </c>
      <c r="R180" t="s">
        <v>6</v>
      </c>
      <c r="S180">
        <v>4</v>
      </c>
      <c r="T180">
        <v>4</v>
      </c>
      <c r="U180">
        <v>94</v>
      </c>
      <c r="V180" t="s">
        <v>0</v>
      </c>
      <c r="W180" t="s">
        <v>5</v>
      </c>
      <c r="X180" t="s">
        <v>0</v>
      </c>
      <c r="Y180" t="s">
        <v>4</v>
      </c>
      <c r="Z180" t="s">
        <v>5</v>
      </c>
      <c r="AA180">
        <v>74.25</v>
      </c>
      <c r="AB180">
        <v>0.5</v>
      </c>
      <c r="AC180">
        <v>0</v>
      </c>
      <c r="AD180" t="s">
        <v>3</v>
      </c>
      <c r="AE180" t="s">
        <v>0</v>
      </c>
      <c r="AF180" t="s">
        <v>3</v>
      </c>
      <c r="AG180" t="s">
        <v>2</v>
      </c>
      <c r="AI180" t="s">
        <v>23</v>
      </c>
      <c r="AJ180">
        <v>5</v>
      </c>
      <c r="AK180">
        <v>37</v>
      </c>
      <c r="AL180">
        <v>61</v>
      </c>
      <c r="AM180" t="s">
        <v>5</v>
      </c>
      <c r="AN180">
        <v>1</v>
      </c>
      <c r="AO180">
        <v>1</v>
      </c>
      <c r="AP180">
        <v>0</v>
      </c>
      <c r="AQ180">
        <v>1</v>
      </c>
    </row>
    <row r="181" spans="1:43" x14ac:dyDescent="0.25">
      <c r="A181" t="s">
        <v>3393</v>
      </c>
      <c r="B181" t="s">
        <v>448</v>
      </c>
      <c r="C181" t="s">
        <v>3392</v>
      </c>
      <c r="D181" s="1">
        <v>45692</v>
      </c>
      <c r="E181" t="s">
        <v>125</v>
      </c>
      <c r="F181" t="s">
        <v>265</v>
      </c>
      <c r="G181" t="s">
        <v>17</v>
      </c>
      <c r="H181" t="s">
        <v>29</v>
      </c>
      <c r="I181" t="s">
        <v>15</v>
      </c>
      <c r="J181" t="s">
        <v>146</v>
      </c>
      <c r="K181" t="s">
        <v>145</v>
      </c>
      <c r="L181" t="s">
        <v>88</v>
      </c>
      <c r="M181" t="s">
        <v>299</v>
      </c>
      <c r="N181" t="s">
        <v>52</v>
      </c>
      <c r="O181" t="s">
        <v>193</v>
      </c>
      <c r="P181" t="s">
        <v>25</v>
      </c>
      <c r="Q181" t="s">
        <v>7</v>
      </c>
      <c r="R181" t="s">
        <v>6</v>
      </c>
      <c r="S181">
        <v>9</v>
      </c>
      <c r="T181">
        <v>9</v>
      </c>
      <c r="U181">
        <v>235</v>
      </c>
      <c r="V181" t="s">
        <v>0</v>
      </c>
      <c r="W181" t="s">
        <v>0</v>
      </c>
      <c r="X181" t="s">
        <v>5</v>
      </c>
      <c r="Y181" t="s">
        <v>192</v>
      </c>
      <c r="Z181" t="s">
        <v>0</v>
      </c>
      <c r="AA181">
        <v>0</v>
      </c>
      <c r="AB181">
        <v>0</v>
      </c>
      <c r="AC181">
        <v>0</v>
      </c>
      <c r="AD181" t="s">
        <v>3</v>
      </c>
      <c r="AE181" t="s">
        <v>0</v>
      </c>
      <c r="AF181" t="s">
        <v>3</v>
      </c>
      <c r="AG181" t="s">
        <v>2</v>
      </c>
      <c r="AI181" t="s">
        <v>122</v>
      </c>
      <c r="AJ181">
        <v>2</v>
      </c>
      <c r="AK181">
        <v>2</v>
      </c>
      <c r="AL181">
        <v>1</v>
      </c>
      <c r="AM181" t="s">
        <v>0</v>
      </c>
      <c r="AN181">
        <v>0</v>
      </c>
      <c r="AO181">
        <v>0</v>
      </c>
      <c r="AP181">
        <v>1</v>
      </c>
      <c r="AQ181">
        <v>0</v>
      </c>
    </row>
    <row r="182" spans="1:43" x14ac:dyDescent="0.25">
      <c r="A182" t="s">
        <v>3391</v>
      </c>
      <c r="B182" t="s">
        <v>350</v>
      </c>
      <c r="C182" t="s">
        <v>3390</v>
      </c>
      <c r="D182" s="1">
        <v>46075</v>
      </c>
      <c r="E182" t="s">
        <v>156</v>
      </c>
      <c r="F182" t="s">
        <v>238</v>
      </c>
      <c r="G182" t="s">
        <v>17</v>
      </c>
      <c r="H182" t="s">
        <v>29</v>
      </c>
      <c r="I182" t="s">
        <v>15</v>
      </c>
      <c r="J182" t="s">
        <v>55</v>
      </c>
      <c r="K182" t="s">
        <v>54</v>
      </c>
      <c r="L182" t="s">
        <v>88</v>
      </c>
      <c r="M182" t="s">
        <v>11</v>
      </c>
      <c r="N182" t="s">
        <v>52</v>
      </c>
      <c r="O182" t="s">
        <v>9</v>
      </c>
      <c r="P182" t="s">
        <v>39</v>
      </c>
      <c r="Q182" t="s">
        <v>100</v>
      </c>
      <c r="R182" t="s">
        <v>38</v>
      </c>
      <c r="S182">
        <v>7</v>
      </c>
      <c r="T182">
        <v>7</v>
      </c>
      <c r="U182">
        <v>147</v>
      </c>
      <c r="V182" t="s">
        <v>0</v>
      </c>
      <c r="W182" t="s">
        <v>0</v>
      </c>
      <c r="X182" t="s">
        <v>0</v>
      </c>
      <c r="Y182" t="s">
        <v>4</v>
      </c>
      <c r="Z182" t="s">
        <v>5</v>
      </c>
      <c r="AA182">
        <v>49.62</v>
      </c>
      <c r="AB182">
        <v>0</v>
      </c>
      <c r="AC182">
        <v>0</v>
      </c>
      <c r="AD182" t="s">
        <v>61</v>
      </c>
      <c r="AE182" t="s">
        <v>5</v>
      </c>
      <c r="AF182" t="s">
        <v>61</v>
      </c>
      <c r="AG182" t="s">
        <v>36</v>
      </c>
      <c r="AH182">
        <v>37</v>
      </c>
      <c r="AI182" t="s">
        <v>23</v>
      </c>
      <c r="AJ182">
        <v>3</v>
      </c>
      <c r="AK182">
        <v>9</v>
      </c>
      <c r="AL182">
        <v>30</v>
      </c>
      <c r="AM182" t="s">
        <v>5</v>
      </c>
      <c r="AN182">
        <v>0</v>
      </c>
      <c r="AO182">
        <v>1</v>
      </c>
      <c r="AP182">
        <v>0</v>
      </c>
      <c r="AQ182">
        <v>1</v>
      </c>
    </row>
    <row r="183" spans="1:43" x14ac:dyDescent="0.25">
      <c r="A183" t="s">
        <v>3389</v>
      </c>
      <c r="B183" t="s">
        <v>3280</v>
      </c>
      <c r="C183" t="s">
        <v>3388</v>
      </c>
      <c r="D183" s="1">
        <v>45755</v>
      </c>
      <c r="E183" t="s">
        <v>168</v>
      </c>
      <c r="F183" t="s">
        <v>283</v>
      </c>
      <c r="G183" t="s">
        <v>30</v>
      </c>
      <c r="H183" t="s">
        <v>43</v>
      </c>
      <c r="I183" t="s">
        <v>28</v>
      </c>
      <c r="J183" t="s">
        <v>55</v>
      </c>
      <c r="K183" t="s">
        <v>65</v>
      </c>
      <c r="L183" t="s">
        <v>88</v>
      </c>
      <c r="M183" t="s">
        <v>27</v>
      </c>
      <c r="N183" t="s">
        <v>269</v>
      </c>
      <c r="O183" t="s">
        <v>87</v>
      </c>
      <c r="P183" t="s">
        <v>39</v>
      </c>
      <c r="Q183" t="s">
        <v>7</v>
      </c>
      <c r="R183" t="s">
        <v>6</v>
      </c>
      <c r="S183">
        <v>5</v>
      </c>
      <c r="T183">
        <v>5</v>
      </c>
      <c r="U183">
        <v>102</v>
      </c>
      <c r="V183" t="s">
        <v>0</v>
      </c>
      <c r="W183" t="s">
        <v>5</v>
      </c>
      <c r="X183" t="s">
        <v>0</v>
      </c>
      <c r="Y183" t="s">
        <v>4</v>
      </c>
      <c r="Z183" t="s">
        <v>5</v>
      </c>
      <c r="AA183">
        <v>85.72</v>
      </c>
      <c r="AB183">
        <v>0</v>
      </c>
      <c r="AC183">
        <v>0.37</v>
      </c>
      <c r="AD183" t="s">
        <v>187</v>
      </c>
      <c r="AE183" t="s">
        <v>5</v>
      </c>
      <c r="AF183" t="s">
        <v>187</v>
      </c>
      <c r="AG183" t="s">
        <v>139</v>
      </c>
      <c r="AH183">
        <v>7</v>
      </c>
      <c r="AI183" t="s">
        <v>23</v>
      </c>
      <c r="AJ183">
        <v>3</v>
      </c>
      <c r="AK183">
        <v>42</v>
      </c>
      <c r="AL183">
        <v>23</v>
      </c>
      <c r="AM183" t="s">
        <v>5</v>
      </c>
      <c r="AN183">
        <v>1</v>
      </c>
      <c r="AO183">
        <v>1</v>
      </c>
      <c r="AP183">
        <v>0</v>
      </c>
      <c r="AQ183">
        <v>1</v>
      </c>
    </row>
    <row r="184" spans="1:43" x14ac:dyDescent="0.25">
      <c r="A184" t="s">
        <v>3387</v>
      </c>
      <c r="B184" t="s">
        <v>1687</v>
      </c>
      <c r="C184" t="s">
        <v>3386</v>
      </c>
      <c r="D184" s="1">
        <v>45668</v>
      </c>
      <c r="E184" t="s">
        <v>125</v>
      </c>
      <c r="F184" t="s">
        <v>124</v>
      </c>
      <c r="G184" t="s">
        <v>110</v>
      </c>
      <c r="H184" t="s">
        <v>16</v>
      </c>
      <c r="I184" t="s">
        <v>28</v>
      </c>
      <c r="J184" t="s">
        <v>146</v>
      </c>
      <c r="K184" t="s">
        <v>145</v>
      </c>
      <c r="L184" t="s">
        <v>64</v>
      </c>
      <c r="M184" t="s">
        <v>11</v>
      </c>
      <c r="N184" t="s">
        <v>154</v>
      </c>
      <c r="O184" t="s">
        <v>26</v>
      </c>
      <c r="P184" t="s">
        <v>25</v>
      </c>
      <c r="Q184" t="s">
        <v>7</v>
      </c>
      <c r="R184" t="s">
        <v>6</v>
      </c>
      <c r="S184">
        <v>4</v>
      </c>
      <c r="T184">
        <v>4</v>
      </c>
      <c r="U184">
        <v>90</v>
      </c>
      <c r="V184" t="s">
        <v>0</v>
      </c>
      <c r="W184" t="s">
        <v>5</v>
      </c>
      <c r="X184" t="s">
        <v>181</v>
      </c>
      <c r="Y184" t="s">
        <v>4</v>
      </c>
      <c r="Z184" t="s">
        <v>0</v>
      </c>
      <c r="AA184">
        <v>0</v>
      </c>
      <c r="AB184">
        <v>0</v>
      </c>
      <c r="AC184">
        <v>0</v>
      </c>
      <c r="AD184" t="s">
        <v>3</v>
      </c>
      <c r="AE184" t="s">
        <v>0</v>
      </c>
      <c r="AF184" t="s">
        <v>3</v>
      </c>
      <c r="AG184" t="s">
        <v>2</v>
      </c>
      <c r="AI184" t="s">
        <v>23</v>
      </c>
      <c r="AJ184">
        <v>4</v>
      </c>
      <c r="AK184">
        <v>89</v>
      </c>
      <c r="AL184">
        <v>43</v>
      </c>
      <c r="AM184" t="s">
        <v>5</v>
      </c>
      <c r="AN184">
        <v>1</v>
      </c>
      <c r="AO184">
        <v>0</v>
      </c>
      <c r="AP184">
        <v>0</v>
      </c>
      <c r="AQ184">
        <v>1</v>
      </c>
    </row>
    <row r="185" spans="1:43" x14ac:dyDescent="0.25">
      <c r="A185" t="s">
        <v>3385</v>
      </c>
      <c r="B185" t="s">
        <v>885</v>
      </c>
      <c r="C185" t="s">
        <v>3384</v>
      </c>
      <c r="D185" s="1">
        <v>45734</v>
      </c>
      <c r="E185" t="s">
        <v>19</v>
      </c>
      <c r="F185" t="s">
        <v>89</v>
      </c>
      <c r="G185" t="s">
        <v>83</v>
      </c>
      <c r="H185" t="s">
        <v>16</v>
      </c>
      <c r="I185" t="s">
        <v>15</v>
      </c>
      <c r="J185" t="s">
        <v>14</v>
      </c>
      <c r="K185" t="s">
        <v>13</v>
      </c>
      <c r="L185" t="s">
        <v>88</v>
      </c>
      <c r="M185" t="s">
        <v>11</v>
      </c>
      <c r="N185" t="s">
        <v>93</v>
      </c>
      <c r="O185" t="s">
        <v>9</v>
      </c>
      <c r="P185" t="s">
        <v>63</v>
      </c>
      <c r="Q185" t="s">
        <v>7</v>
      </c>
      <c r="R185" t="s">
        <v>6</v>
      </c>
      <c r="S185">
        <v>7</v>
      </c>
      <c r="T185">
        <v>4</v>
      </c>
      <c r="U185">
        <v>272</v>
      </c>
      <c r="V185" t="s">
        <v>5</v>
      </c>
      <c r="W185" t="s">
        <v>5</v>
      </c>
      <c r="X185" t="s">
        <v>0</v>
      </c>
      <c r="Y185" t="s">
        <v>4</v>
      </c>
      <c r="Z185" t="s">
        <v>5</v>
      </c>
      <c r="AA185">
        <v>80.099999999999994</v>
      </c>
      <c r="AB185">
        <v>0</v>
      </c>
      <c r="AC185">
        <v>0</v>
      </c>
      <c r="AD185" t="s">
        <v>436</v>
      </c>
      <c r="AE185" t="s">
        <v>5</v>
      </c>
      <c r="AF185" t="s">
        <v>436</v>
      </c>
      <c r="AG185" t="s">
        <v>36</v>
      </c>
      <c r="AH185">
        <v>17</v>
      </c>
      <c r="AI185" t="s">
        <v>23</v>
      </c>
      <c r="AJ185">
        <v>3</v>
      </c>
      <c r="AK185">
        <v>-40</v>
      </c>
      <c r="AL185">
        <v>0</v>
      </c>
      <c r="AM185" t="s">
        <v>0</v>
      </c>
      <c r="AN185">
        <v>1</v>
      </c>
      <c r="AO185">
        <v>1</v>
      </c>
      <c r="AP185">
        <v>0</v>
      </c>
      <c r="AQ185">
        <v>0</v>
      </c>
    </row>
    <row r="186" spans="1:43" x14ac:dyDescent="0.25">
      <c r="A186" t="s">
        <v>3383</v>
      </c>
      <c r="B186" t="s">
        <v>3382</v>
      </c>
      <c r="C186" t="s">
        <v>3381</v>
      </c>
      <c r="D186" s="1">
        <v>46036</v>
      </c>
      <c r="E186" t="s">
        <v>149</v>
      </c>
      <c r="F186" t="s">
        <v>148</v>
      </c>
      <c r="G186" t="s">
        <v>30</v>
      </c>
      <c r="H186" t="s">
        <v>77</v>
      </c>
      <c r="I186" t="s">
        <v>28</v>
      </c>
      <c r="J186" t="s">
        <v>55</v>
      </c>
      <c r="K186" t="s">
        <v>54</v>
      </c>
      <c r="L186" t="s">
        <v>64</v>
      </c>
      <c r="M186" t="s">
        <v>11</v>
      </c>
      <c r="N186" t="s">
        <v>93</v>
      </c>
      <c r="O186" t="s">
        <v>193</v>
      </c>
      <c r="P186" t="s">
        <v>8</v>
      </c>
      <c r="Q186" t="s">
        <v>172</v>
      </c>
      <c r="R186" t="s">
        <v>6</v>
      </c>
      <c r="S186">
        <v>9</v>
      </c>
      <c r="T186">
        <v>5</v>
      </c>
      <c r="U186">
        <v>384</v>
      </c>
      <c r="V186" t="s">
        <v>5</v>
      </c>
      <c r="W186" t="s">
        <v>0</v>
      </c>
      <c r="X186" t="s">
        <v>0</v>
      </c>
      <c r="Y186" t="s">
        <v>4</v>
      </c>
      <c r="Z186" t="s">
        <v>0</v>
      </c>
      <c r="AA186">
        <v>0</v>
      </c>
      <c r="AB186">
        <v>0</v>
      </c>
      <c r="AC186">
        <v>0</v>
      </c>
      <c r="AD186" t="s">
        <v>3</v>
      </c>
      <c r="AE186" t="s">
        <v>0</v>
      </c>
      <c r="AF186" t="s">
        <v>3</v>
      </c>
      <c r="AG186" t="s">
        <v>2</v>
      </c>
      <c r="AI186" t="s">
        <v>1</v>
      </c>
      <c r="AJ186">
        <v>2</v>
      </c>
      <c r="AK186">
        <v>-13</v>
      </c>
      <c r="AL186">
        <v>43</v>
      </c>
      <c r="AM186" t="s">
        <v>0</v>
      </c>
      <c r="AN186">
        <v>0</v>
      </c>
      <c r="AO186">
        <v>0</v>
      </c>
      <c r="AP186">
        <v>0</v>
      </c>
      <c r="AQ186">
        <v>0</v>
      </c>
    </row>
    <row r="187" spans="1:43" x14ac:dyDescent="0.25">
      <c r="A187" t="s">
        <v>3380</v>
      </c>
      <c r="B187" t="s">
        <v>1833</v>
      </c>
      <c r="C187" t="s">
        <v>2828</v>
      </c>
      <c r="D187" s="1">
        <v>46034</v>
      </c>
      <c r="E187" t="s">
        <v>162</v>
      </c>
      <c r="F187" t="s">
        <v>200</v>
      </c>
      <c r="G187" t="s">
        <v>56</v>
      </c>
      <c r="H187" t="s">
        <v>43</v>
      </c>
      <c r="I187" t="s">
        <v>28</v>
      </c>
      <c r="J187" t="s">
        <v>14</v>
      </c>
      <c r="K187" t="s">
        <v>13</v>
      </c>
      <c r="L187" t="s">
        <v>117</v>
      </c>
      <c r="M187" t="s">
        <v>11</v>
      </c>
      <c r="N187" t="s">
        <v>93</v>
      </c>
      <c r="O187" t="s">
        <v>9</v>
      </c>
      <c r="P187" t="s">
        <v>63</v>
      </c>
      <c r="Q187" t="s">
        <v>198</v>
      </c>
      <c r="R187" t="s">
        <v>6</v>
      </c>
      <c r="S187" t="s">
        <v>242</v>
      </c>
      <c r="T187" t="s">
        <v>242</v>
      </c>
      <c r="U187">
        <v>168</v>
      </c>
      <c r="V187" t="s">
        <v>0</v>
      </c>
      <c r="W187" t="s">
        <v>0</v>
      </c>
      <c r="X187" t="s">
        <v>0</v>
      </c>
      <c r="Y187" t="s">
        <v>4</v>
      </c>
      <c r="Z187" t="s">
        <v>0</v>
      </c>
      <c r="AA187">
        <v>0</v>
      </c>
      <c r="AB187">
        <v>0</v>
      </c>
      <c r="AC187">
        <v>0</v>
      </c>
      <c r="AD187" t="s">
        <v>3</v>
      </c>
      <c r="AE187" t="s">
        <v>0</v>
      </c>
      <c r="AF187" t="s">
        <v>3</v>
      </c>
      <c r="AG187" t="s">
        <v>2</v>
      </c>
      <c r="AI187" t="s">
        <v>1</v>
      </c>
      <c r="AJ187">
        <v>3</v>
      </c>
      <c r="AK187">
        <v>22</v>
      </c>
      <c r="AL187">
        <v>0</v>
      </c>
      <c r="AM187" t="s">
        <v>0</v>
      </c>
      <c r="AN187">
        <v>0</v>
      </c>
      <c r="AO187">
        <v>0</v>
      </c>
      <c r="AP187">
        <v>0</v>
      </c>
      <c r="AQ187">
        <v>0</v>
      </c>
    </row>
    <row r="188" spans="1:43" x14ac:dyDescent="0.25">
      <c r="A188" t="s">
        <v>3379</v>
      </c>
      <c r="B188" t="s">
        <v>2674</v>
      </c>
      <c r="C188" t="s">
        <v>3378</v>
      </c>
      <c r="D188" s="1">
        <v>45964</v>
      </c>
      <c r="E188" t="s">
        <v>32</v>
      </c>
      <c r="F188" t="s">
        <v>107</v>
      </c>
      <c r="G188" t="s">
        <v>83</v>
      </c>
      <c r="H188" t="s">
        <v>29</v>
      </c>
      <c r="I188" t="s">
        <v>28</v>
      </c>
      <c r="J188" t="s">
        <v>146</v>
      </c>
      <c r="K188" t="s">
        <v>145</v>
      </c>
      <c r="L188" t="s">
        <v>88</v>
      </c>
      <c r="M188" t="s">
        <v>11</v>
      </c>
      <c r="N188" t="s">
        <v>269</v>
      </c>
      <c r="O188" t="s">
        <v>40</v>
      </c>
      <c r="P188" t="s">
        <v>25</v>
      </c>
      <c r="Q188" t="s">
        <v>100</v>
      </c>
      <c r="R188" t="s">
        <v>6</v>
      </c>
      <c r="S188">
        <v>99</v>
      </c>
      <c r="T188">
        <v>7</v>
      </c>
      <c r="U188">
        <v>224</v>
      </c>
      <c r="V188" t="s">
        <v>5</v>
      </c>
      <c r="W188" t="s">
        <v>0</v>
      </c>
      <c r="X188" t="s">
        <v>0</v>
      </c>
      <c r="Y188" t="s">
        <v>4</v>
      </c>
      <c r="Z188" t="s">
        <v>0</v>
      </c>
      <c r="AA188">
        <v>0</v>
      </c>
      <c r="AB188">
        <v>0</v>
      </c>
      <c r="AC188">
        <v>0</v>
      </c>
      <c r="AD188" t="s">
        <v>3</v>
      </c>
      <c r="AE188" t="s">
        <v>0</v>
      </c>
      <c r="AF188" t="s">
        <v>3</v>
      </c>
      <c r="AG188" t="s">
        <v>2</v>
      </c>
      <c r="AI188" t="s">
        <v>1</v>
      </c>
      <c r="AJ188">
        <v>3</v>
      </c>
      <c r="AK188">
        <v>-3</v>
      </c>
      <c r="AL188">
        <v>43</v>
      </c>
      <c r="AM188" t="s">
        <v>5</v>
      </c>
      <c r="AN188">
        <v>0</v>
      </c>
      <c r="AO188">
        <v>0</v>
      </c>
      <c r="AP188">
        <v>0</v>
      </c>
      <c r="AQ188">
        <v>1</v>
      </c>
    </row>
    <row r="189" spans="1:43" x14ac:dyDescent="0.25">
      <c r="A189" t="s">
        <v>3377</v>
      </c>
      <c r="B189" t="s">
        <v>1251</v>
      </c>
      <c r="C189" t="s">
        <v>3376</v>
      </c>
      <c r="D189" s="1">
        <v>46037</v>
      </c>
      <c r="E189" t="s">
        <v>149</v>
      </c>
      <c r="F189" t="s">
        <v>148</v>
      </c>
      <c r="G189" t="s">
        <v>110</v>
      </c>
      <c r="H189" t="s">
        <v>77</v>
      </c>
      <c r="I189" t="s">
        <v>28</v>
      </c>
      <c r="J189" t="s">
        <v>14</v>
      </c>
      <c r="K189" t="s">
        <v>76</v>
      </c>
      <c r="L189" t="s">
        <v>88</v>
      </c>
      <c r="M189" t="s">
        <v>11</v>
      </c>
      <c r="N189" t="s">
        <v>41</v>
      </c>
      <c r="O189" t="s">
        <v>74</v>
      </c>
      <c r="P189" t="s">
        <v>39</v>
      </c>
      <c r="Q189" t="s">
        <v>198</v>
      </c>
      <c r="R189" t="s">
        <v>6</v>
      </c>
      <c r="S189">
        <v>6</v>
      </c>
      <c r="T189">
        <v>6</v>
      </c>
      <c r="U189">
        <v>114</v>
      </c>
      <c r="V189" t="s">
        <v>0</v>
      </c>
      <c r="W189" t="s">
        <v>5</v>
      </c>
      <c r="X189" t="s">
        <v>0</v>
      </c>
      <c r="Y189" t="s">
        <v>4</v>
      </c>
      <c r="Z189" t="s">
        <v>5</v>
      </c>
      <c r="AA189">
        <v>44.09</v>
      </c>
      <c r="AB189">
        <v>0</v>
      </c>
      <c r="AC189">
        <v>0</v>
      </c>
      <c r="AD189" t="s">
        <v>3</v>
      </c>
      <c r="AE189" t="s">
        <v>0</v>
      </c>
      <c r="AF189" t="s">
        <v>3</v>
      </c>
      <c r="AG189" t="s">
        <v>2</v>
      </c>
      <c r="AI189" t="s">
        <v>23</v>
      </c>
      <c r="AJ189">
        <v>4</v>
      </c>
      <c r="AK189">
        <v>13</v>
      </c>
      <c r="AL189">
        <v>50</v>
      </c>
      <c r="AM189" t="s">
        <v>5</v>
      </c>
      <c r="AN189">
        <v>1</v>
      </c>
      <c r="AO189">
        <v>1</v>
      </c>
      <c r="AP189">
        <v>0</v>
      </c>
      <c r="AQ189">
        <v>1</v>
      </c>
    </row>
    <row r="190" spans="1:43" x14ac:dyDescent="0.25">
      <c r="A190" t="s">
        <v>3375</v>
      </c>
      <c r="B190" t="s">
        <v>997</v>
      </c>
      <c r="C190" t="s">
        <v>3374</v>
      </c>
      <c r="D190" s="1">
        <v>46031</v>
      </c>
      <c r="E190" t="s">
        <v>112</v>
      </c>
      <c r="F190" t="s">
        <v>307</v>
      </c>
      <c r="G190" t="s">
        <v>17</v>
      </c>
      <c r="H190" t="s">
        <v>43</v>
      </c>
      <c r="I190" t="s">
        <v>147</v>
      </c>
      <c r="J190" t="s">
        <v>14</v>
      </c>
      <c r="K190" t="s">
        <v>13</v>
      </c>
      <c r="L190" t="s">
        <v>88</v>
      </c>
      <c r="M190" t="s">
        <v>11</v>
      </c>
      <c r="N190" t="s">
        <v>93</v>
      </c>
      <c r="O190" t="s">
        <v>87</v>
      </c>
      <c r="P190" t="s">
        <v>63</v>
      </c>
      <c r="Q190" t="s">
        <v>50</v>
      </c>
      <c r="R190" t="s">
        <v>6</v>
      </c>
      <c r="S190">
        <v>5</v>
      </c>
      <c r="T190">
        <v>5</v>
      </c>
      <c r="U190">
        <v>115</v>
      </c>
      <c r="V190" t="s">
        <v>0</v>
      </c>
      <c r="W190" t="s">
        <v>0</v>
      </c>
      <c r="X190" t="s">
        <v>0</v>
      </c>
      <c r="Y190" t="s">
        <v>4</v>
      </c>
      <c r="Z190" t="s">
        <v>5</v>
      </c>
      <c r="AA190">
        <v>0</v>
      </c>
      <c r="AB190">
        <v>0</v>
      </c>
      <c r="AC190">
        <v>0</v>
      </c>
      <c r="AD190" t="s">
        <v>3</v>
      </c>
      <c r="AE190" t="s">
        <v>0</v>
      </c>
      <c r="AF190" t="s">
        <v>3</v>
      </c>
      <c r="AG190" t="s">
        <v>2</v>
      </c>
      <c r="AI190" t="s">
        <v>332</v>
      </c>
      <c r="AJ190">
        <v>4</v>
      </c>
      <c r="AK190">
        <v>67</v>
      </c>
      <c r="AL190">
        <v>0</v>
      </c>
      <c r="AM190" t="s">
        <v>0</v>
      </c>
      <c r="AN190">
        <v>0</v>
      </c>
      <c r="AO190">
        <v>1</v>
      </c>
      <c r="AP190">
        <v>0</v>
      </c>
      <c r="AQ190">
        <v>0</v>
      </c>
    </row>
    <row r="191" spans="1:43" x14ac:dyDescent="0.25">
      <c r="A191" t="s">
        <v>3373</v>
      </c>
      <c r="B191" t="s">
        <v>2472</v>
      </c>
      <c r="C191" t="s">
        <v>3372</v>
      </c>
      <c r="D191" s="1">
        <v>46105</v>
      </c>
      <c r="E191" t="s">
        <v>112</v>
      </c>
      <c r="F191" t="s">
        <v>360</v>
      </c>
      <c r="G191" t="s">
        <v>17</v>
      </c>
      <c r="H191" t="s">
        <v>29</v>
      </c>
      <c r="I191" t="s">
        <v>28</v>
      </c>
      <c r="J191" t="s">
        <v>55</v>
      </c>
      <c r="K191" t="s">
        <v>54</v>
      </c>
      <c r="L191" t="s">
        <v>42</v>
      </c>
      <c r="M191" t="s">
        <v>53</v>
      </c>
      <c r="N191" t="s">
        <v>52</v>
      </c>
      <c r="O191" t="s">
        <v>193</v>
      </c>
      <c r="P191" t="s">
        <v>39</v>
      </c>
      <c r="Q191" t="s">
        <v>7</v>
      </c>
      <c r="R191" t="s">
        <v>6</v>
      </c>
      <c r="S191">
        <v>9</v>
      </c>
      <c r="T191">
        <v>9</v>
      </c>
      <c r="U191">
        <v>223</v>
      </c>
      <c r="V191" t="s">
        <v>247</v>
      </c>
      <c r="W191" t="s">
        <v>5</v>
      </c>
      <c r="X191" t="s">
        <v>182</v>
      </c>
      <c r="Y191" t="s">
        <v>192</v>
      </c>
      <c r="Z191" t="s">
        <v>5</v>
      </c>
      <c r="AA191">
        <v>213.73</v>
      </c>
      <c r="AB191">
        <v>3.37</v>
      </c>
      <c r="AC191">
        <v>0.17</v>
      </c>
      <c r="AD191" t="s">
        <v>3</v>
      </c>
      <c r="AE191" t="s">
        <v>0</v>
      </c>
      <c r="AF191" t="s">
        <v>3</v>
      </c>
      <c r="AG191" t="s">
        <v>2</v>
      </c>
      <c r="AI191" t="s">
        <v>23</v>
      </c>
      <c r="AJ191">
        <v>2</v>
      </c>
      <c r="AK191">
        <v>-63</v>
      </c>
      <c r="AL191">
        <v>17</v>
      </c>
      <c r="AM191" t="s">
        <v>5</v>
      </c>
      <c r="AN191">
        <v>1</v>
      </c>
      <c r="AO191">
        <v>1</v>
      </c>
      <c r="AP191">
        <v>1</v>
      </c>
      <c r="AQ191">
        <v>1</v>
      </c>
    </row>
    <row r="192" spans="1:43" x14ac:dyDescent="0.25">
      <c r="A192" t="s">
        <v>3371</v>
      </c>
      <c r="B192" t="s">
        <v>1419</v>
      </c>
      <c r="C192" t="s">
        <v>3370</v>
      </c>
      <c r="D192" s="1">
        <v>46047</v>
      </c>
      <c r="E192" t="s">
        <v>45</v>
      </c>
      <c r="F192" t="s">
        <v>348</v>
      </c>
      <c r="G192" t="s">
        <v>17</v>
      </c>
      <c r="H192" t="s">
        <v>29</v>
      </c>
      <c r="I192" t="s">
        <v>28</v>
      </c>
      <c r="J192" t="s">
        <v>14</v>
      </c>
      <c r="K192" t="s">
        <v>13</v>
      </c>
      <c r="L192" t="s">
        <v>64</v>
      </c>
      <c r="M192" t="s">
        <v>11</v>
      </c>
      <c r="N192" t="s">
        <v>41</v>
      </c>
      <c r="O192" t="s">
        <v>9</v>
      </c>
      <c r="P192" t="s">
        <v>39</v>
      </c>
      <c r="Q192" t="s">
        <v>100</v>
      </c>
      <c r="R192" t="s">
        <v>38</v>
      </c>
      <c r="S192">
        <v>7</v>
      </c>
      <c r="T192">
        <v>7</v>
      </c>
      <c r="U192">
        <v>153</v>
      </c>
      <c r="V192" t="s">
        <v>0</v>
      </c>
      <c r="W192" t="s">
        <v>5</v>
      </c>
      <c r="X192" t="s">
        <v>0</v>
      </c>
      <c r="Y192" t="s">
        <v>4</v>
      </c>
      <c r="Z192" t="s">
        <v>5</v>
      </c>
      <c r="AA192">
        <v>0</v>
      </c>
      <c r="AB192">
        <v>0</v>
      </c>
      <c r="AC192">
        <v>0</v>
      </c>
      <c r="AD192" t="s">
        <v>3</v>
      </c>
      <c r="AE192" t="s">
        <v>0</v>
      </c>
      <c r="AF192" t="s">
        <v>3</v>
      </c>
      <c r="AG192" t="s">
        <v>2</v>
      </c>
      <c r="AI192" t="s">
        <v>23</v>
      </c>
      <c r="AJ192">
        <v>3</v>
      </c>
      <c r="AK192">
        <v>28</v>
      </c>
      <c r="AL192">
        <v>29</v>
      </c>
      <c r="AM192" t="s">
        <v>5</v>
      </c>
      <c r="AN192">
        <v>1</v>
      </c>
      <c r="AO192">
        <v>1</v>
      </c>
      <c r="AP192">
        <v>0</v>
      </c>
      <c r="AQ192">
        <v>1</v>
      </c>
    </row>
    <row r="193" spans="1:43" x14ac:dyDescent="0.25">
      <c r="A193" t="s">
        <v>3369</v>
      </c>
      <c r="B193" t="s">
        <v>891</v>
      </c>
      <c r="C193" t="s">
        <v>3368</v>
      </c>
      <c r="D193" s="1">
        <v>46059</v>
      </c>
      <c r="E193" t="s">
        <v>168</v>
      </c>
      <c r="F193" t="s">
        <v>177</v>
      </c>
      <c r="G193" t="s">
        <v>56</v>
      </c>
      <c r="H193" t="s">
        <v>43</v>
      </c>
      <c r="I193" t="s">
        <v>28</v>
      </c>
      <c r="J193" t="s">
        <v>146</v>
      </c>
      <c r="K193" t="s">
        <v>176</v>
      </c>
      <c r="L193" t="s">
        <v>88</v>
      </c>
      <c r="M193" t="s">
        <v>11</v>
      </c>
      <c r="N193" t="s">
        <v>52</v>
      </c>
      <c r="O193" t="s">
        <v>87</v>
      </c>
      <c r="P193" t="s">
        <v>8</v>
      </c>
      <c r="Q193" t="s">
        <v>7</v>
      </c>
      <c r="R193" t="s">
        <v>6</v>
      </c>
      <c r="S193">
        <v>5</v>
      </c>
      <c r="T193" t="s">
        <v>277</v>
      </c>
      <c r="U193">
        <v>99</v>
      </c>
      <c r="V193" t="s">
        <v>0</v>
      </c>
      <c r="W193" t="s">
        <v>5</v>
      </c>
      <c r="X193" t="s">
        <v>0</v>
      </c>
      <c r="Y193" t="s">
        <v>4</v>
      </c>
      <c r="Z193" t="s">
        <v>0</v>
      </c>
      <c r="AA193">
        <v>0</v>
      </c>
      <c r="AB193">
        <v>0</v>
      </c>
      <c r="AC193">
        <v>0</v>
      </c>
      <c r="AD193" t="s">
        <v>3</v>
      </c>
      <c r="AE193" t="s">
        <v>0</v>
      </c>
      <c r="AF193" t="s">
        <v>3</v>
      </c>
      <c r="AG193" t="s">
        <v>2</v>
      </c>
      <c r="AI193" t="s">
        <v>23</v>
      </c>
      <c r="AJ193">
        <v>5</v>
      </c>
      <c r="AK193">
        <v>21</v>
      </c>
      <c r="AL193">
        <v>45</v>
      </c>
      <c r="AM193" t="s">
        <v>0</v>
      </c>
      <c r="AN193">
        <v>1</v>
      </c>
      <c r="AO193">
        <v>0</v>
      </c>
      <c r="AP193">
        <v>0</v>
      </c>
      <c r="AQ193">
        <v>0</v>
      </c>
    </row>
    <row r="194" spans="1:43" x14ac:dyDescent="0.25">
      <c r="A194" t="s">
        <v>3367</v>
      </c>
      <c r="B194" t="s">
        <v>542</v>
      </c>
      <c r="C194" t="s">
        <v>3366</v>
      </c>
      <c r="D194" s="1">
        <v>45677</v>
      </c>
      <c r="E194" t="s">
        <v>95</v>
      </c>
      <c r="F194" t="s">
        <v>118</v>
      </c>
      <c r="G194" t="s">
        <v>17</v>
      </c>
      <c r="H194" t="s">
        <v>16</v>
      </c>
      <c r="I194" t="s">
        <v>963</v>
      </c>
      <c r="J194" t="s">
        <v>55</v>
      </c>
      <c r="K194" t="s">
        <v>54</v>
      </c>
      <c r="L194" t="s">
        <v>88</v>
      </c>
      <c r="M194" t="s">
        <v>53</v>
      </c>
      <c r="N194" t="s">
        <v>93</v>
      </c>
      <c r="O194" t="s">
        <v>101</v>
      </c>
      <c r="P194" t="s">
        <v>39</v>
      </c>
      <c r="Q194" t="s">
        <v>198</v>
      </c>
      <c r="R194" t="s">
        <v>38</v>
      </c>
      <c r="S194">
        <v>4</v>
      </c>
      <c r="T194">
        <v>4</v>
      </c>
      <c r="U194">
        <v>111</v>
      </c>
      <c r="V194" t="s">
        <v>0</v>
      </c>
      <c r="W194" t="s">
        <v>5</v>
      </c>
      <c r="X194" t="s">
        <v>0</v>
      </c>
      <c r="Y194" t="s">
        <v>4</v>
      </c>
      <c r="Z194" t="s">
        <v>5</v>
      </c>
      <c r="AA194">
        <v>67.849999999999994</v>
      </c>
      <c r="AB194">
        <v>0.48</v>
      </c>
      <c r="AC194">
        <v>0.17</v>
      </c>
      <c r="AD194" t="s">
        <v>3</v>
      </c>
      <c r="AE194" t="s">
        <v>0</v>
      </c>
      <c r="AF194" t="s">
        <v>3</v>
      </c>
      <c r="AG194" t="s">
        <v>2</v>
      </c>
      <c r="AI194" t="s">
        <v>23</v>
      </c>
      <c r="AJ194">
        <v>5</v>
      </c>
      <c r="AK194">
        <v>41</v>
      </c>
      <c r="AL194">
        <v>28</v>
      </c>
      <c r="AM194" t="s">
        <v>5</v>
      </c>
      <c r="AN194">
        <v>1</v>
      </c>
      <c r="AO194">
        <v>1</v>
      </c>
      <c r="AP194">
        <v>0</v>
      </c>
      <c r="AQ194">
        <v>1</v>
      </c>
    </row>
    <row r="195" spans="1:43" x14ac:dyDescent="0.25">
      <c r="A195" t="s">
        <v>3365</v>
      </c>
      <c r="B195" t="s">
        <v>1989</v>
      </c>
      <c r="C195" t="s">
        <v>3351</v>
      </c>
      <c r="D195" s="1">
        <v>46162</v>
      </c>
      <c r="E195" t="s">
        <v>32</v>
      </c>
      <c r="F195" t="s">
        <v>356</v>
      </c>
      <c r="G195" t="s">
        <v>110</v>
      </c>
      <c r="H195" t="s">
        <v>29</v>
      </c>
      <c r="I195" t="s">
        <v>15</v>
      </c>
      <c r="J195" t="s">
        <v>55</v>
      </c>
      <c r="K195" t="s">
        <v>54</v>
      </c>
      <c r="L195" t="s">
        <v>88</v>
      </c>
      <c r="M195" t="s">
        <v>11</v>
      </c>
      <c r="N195" t="s">
        <v>41</v>
      </c>
      <c r="O195" t="s">
        <v>199</v>
      </c>
      <c r="P195" t="s">
        <v>25</v>
      </c>
      <c r="Q195" t="s">
        <v>24</v>
      </c>
      <c r="R195" t="s">
        <v>38</v>
      </c>
      <c r="S195">
        <v>5</v>
      </c>
      <c r="T195">
        <v>5</v>
      </c>
      <c r="U195">
        <v>108</v>
      </c>
      <c r="V195" t="s">
        <v>0</v>
      </c>
      <c r="W195" t="s">
        <v>5</v>
      </c>
      <c r="X195" t="s">
        <v>0</v>
      </c>
      <c r="Y195" t="s">
        <v>4</v>
      </c>
      <c r="Z195" t="s">
        <v>5</v>
      </c>
      <c r="AA195">
        <v>34.96</v>
      </c>
      <c r="AB195">
        <v>0</v>
      </c>
      <c r="AC195">
        <v>0</v>
      </c>
      <c r="AD195" t="s">
        <v>3</v>
      </c>
      <c r="AE195" t="s">
        <v>0</v>
      </c>
      <c r="AF195" t="s">
        <v>3</v>
      </c>
      <c r="AG195" t="s">
        <v>2</v>
      </c>
      <c r="AI195" t="s">
        <v>23</v>
      </c>
      <c r="AJ195">
        <v>5</v>
      </c>
      <c r="AK195">
        <v>3</v>
      </c>
      <c r="AL195" t="s">
        <v>3364</v>
      </c>
      <c r="AM195" t="s">
        <v>5</v>
      </c>
      <c r="AN195">
        <v>1</v>
      </c>
      <c r="AO195">
        <v>1</v>
      </c>
      <c r="AP195">
        <v>0</v>
      </c>
      <c r="AQ195">
        <v>1</v>
      </c>
    </row>
    <row r="196" spans="1:43" x14ac:dyDescent="0.25">
      <c r="A196" t="s">
        <v>3363</v>
      </c>
      <c r="B196" t="s">
        <v>1085</v>
      </c>
      <c r="C196" t="s">
        <v>3362</v>
      </c>
      <c r="D196" s="1">
        <v>45806</v>
      </c>
      <c r="E196" t="s">
        <v>32</v>
      </c>
      <c r="F196" t="s">
        <v>356</v>
      </c>
      <c r="G196" t="s">
        <v>83</v>
      </c>
      <c r="H196" t="s">
        <v>77</v>
      </c>
      <c r="I196" t="s">
        <v>28</v>
      </c>
      <c r="J196" t="s">
        <v>14</v>
      </c>
      <c r="K196" t="s">
        <v>76</v>
      </c>
      <c r="L196" t="s">
        <v>42</v>
      </c>
      <c r="M196" t="s">
        <v>11</v>
      </c>
      <c r="N196" t="s">
        <v>75</v>
      </c>
      <c r="O196" t="s">
        <v>130</v>
      </c>
      <c r="P196" t="s">
        <v>63</v>
      </c>
      <c r="Q196" t="s">
        <v>7</v>
      </c>
      <c r="R196" t="s">
        <v>6</v>
      </c>
      <c r="S196" t="s">
        <v>277</v>
      </c>
      <c r="T196">
        <v>5</v>
      </c>
      <c r="U196">
        <v>97</v>
      </c>
      <c r="V196" t="s">
        <v>0</v>
      </c>
      <c r="W196" t="s">
        <v>5</v>
      </c>
      <c r="X196" t="s">
        <v>0</v>
      </c>
      <c r="Y196" t="s">
        <v>4</v>
      </c>
      <c r="Z196" t="s">
        <v>5</v>
      </c>
      <c r="AA196">
        <v>17.09</v>
      </c>
      <c r="AB196">
        <v>0</v>
      </c>
      <c r="AC196">
        <v>0</v>
      </c>
      <c r="AD196" t="s">
        <v>3</v>
      </c>
      <c r="AE196" t="s">
        <v>0</v>
      </c>
      <c r="AF196" t="s">
        <v>3</v>
      </c>
      <c r="AG196" t="s">
        <v>2</v>
      </c>
      <c r="AI196" t="s">
        <v>23</v>
      </c>
      <c r="AJ196">
        <v>5</v>
      </c>
      <c r="AK196">
        <v>28</v>
      </c>
      <c r="AL196">
        <v>0</v>
      </c>
      <c r="AM196" t="s">
        <v>5</v>
      </c>
      <c r="AN196">
        <v>1</v>
      </c>
      <c r="AO196">
        <v>1</v>
      </c>
      <c r="AP196">
        <v>0</v>
      </c>
      <c r="AQ196">
        <v>1</v>
      </c>
    </row>
    <row r="197" spans="1:43" x14ac:dyDescent="0.25">
      <c r="A197" t="s">
        <v>3361</v>
      </c>
      <c r="B197" t="s">
        <v>3360</v>
      </c>
      <c r="C197" t="s">
        <v>3359</v>
      </c>
      <c r="D197" s="1">
        <v>45838</v>
      </c>
      <c r="E197" t="s">
        <v>68</v>
      </c>
      <c r="F197" t="s">
        <v>243</v>
      </c>
      <c r="G197" t="s">
        <v>30</v>
      </c>
      <c r="H197" t="s">
        <v>16</v>
      </c>
      <c r="I197" t="s">
        <v>28</v>
      </c>
      <c r="J197" t="s">
        <v>55</v>
      </c>
      <c r="K197" t="s">
        <v>54</v>
      </c>
      <c r="L197" t="s">
        <v>12</v>
      </c>
      <c r="M197" t="s">
        <v>11</v>
      </c>
      <c r="N197" t="s">
        <v>52</v>
      </c>
      <c r="O197" t="s">
        <v>40</v>
      </c>
      <c r="P197" t="s">
        <v>63</v>
      </c>
      <c r="Q197" t="s">
        <v>7</v>
      </c>
      <c r="R197" t="s">
        <v>6</v>
      </c>
      <c r="S197">
        <v>8</v>
      </c>
      <c r="T197" t="s">
        <v>99</v>
      </c>
      <c r="U197">
        <v>262</v>
      </c>
      <c r="V197" t="s">
        <v>5</v>
      </c>
      <c r="W197" t="s">
        <v>5</v>
      </c>
      <c r="X197" t="s">
        <v>0</v>
      </c>
      <c r="Y197" t="s">
        <v>4</v>
      </c>
      <c r="Z197" t="s">
        <v>5</v>
      </c>
      <c r="AA197">
        <v>333.89</v>
      </c>
      <c r="AB197">
        <v>2.75</v>
      </c>
      <c r="AC197">
        <v>0</v>
      </c>
      <c r="AD197" t="s">
        <v>3</v>
      </c>
      <c r="AE197" t="s">
        <v>0</v>
      </c>
      <c r="AF197" t="s">
        <v>3</v>
      </c>
      <c r="AG197" t="s">
        <v>2</v>
      </c>
      <c r="AI197" t="s">
        <v>23</v>
      </c>
      <c r="AJ197">
        <v>3</v>
      </c>
      <c r="AK197">
        <v>-26</v>
      </c>
      <c r="AL197">
        <v>0</v>
      </c>
      <c r="AM197" t="s">
        <v>5</v>
      </c>
      <c r="AN197">
        <v>1</v>
      </c>
      <c r="AO197">
        <v>1</v>
      </c>
      <c r="AP197">
        <v>0</v>
      </c>
      <c r="AQ197">
        <v>1</v>
      </c>
    </row>
    <row r="198" spans="1:43" x14ac:dyDescent="0.25">
      <c r="A198" t="s">
        <v>3358</v>
      </c>
      <c r="B198" t="s">
        <v>3159</v>
      </c>
      <c r="C198" t="s">
        <v>3357</v>
      </c>
      <c r="D198" s="1">
        <v>45714</v>
      </c>
      <c r="E198" t="s">
        <v>168</v>
      </c>
      <c r="F198" t="s">
        <v>233</v>
      </c>
      <c r="G198" t="s">
        <v>17</v>
      </c>
      <c r="H198" t="s">
        <v>66</v>
      </c>
      <c r="I198" t="s">
        <v>15</v>
      </c>
      <c r="J198" t="s">
        <v>55</v>
      </c>
      <c r="K198" t="s">
        <v>54</v>
      </c>
      <c r="L198" t="s">
        <v>117</v>
      </c>
      <c r="M198" t="s">
        <v>53</v>
      </c>
      <c r="N198" t="s">
        <v>269</v>
      </c>
      <c r="O198" t="s">
        <v>9</v>
      </c>
      <c r="P198" t="s">
        <v>63</v>
      </c>
      <c r="Q198" t="s">
        <v>7</v>
      </c>
      <c r="R198" t="s">
        <v>6</v>
      </c>
      <c r="S198">
        <v>7</v>
      </c>
      <c r="T198">
        <v>4</v>
      </c>
      <c r="U198">
        <v>310</v>
      </c>
      <c r="V198" t="s">
        <v>5</v>
      </c>
      <c r="W198" t="s">
        <v>5</v>
      </c>
      <c r="X198" t="s">
        <v>0</v>
      </c>
      <c r="Y198" t="s">
        <v>4</v>
      </c>
      <c r="Z198" t="s">
        <v>5</v>
      </c>
      <c r="AA198">
        <v>0</v>
      </c>
      <c r="AB198">
        <v>0</v>
      </c>
      <c r="AC198">
        <v>0.17</v>
      </c>
      <c r="AD198" t="s">
        <v>3</v>
      </c>
      <c r="AE198" t="s">
        <v>0</v>
      </c>
      <c r="AF198" t="s">
        <v>3</v>
      </c>
      <c r="AG198" t="s">
        <v>2</v>
      </c>
      <c r="AI198" t="s">
        <v>23</v>
      </c>
      <c r="AJ198">
        <v>4</v>
      </c>
      <c r="AK198">
        <v>46</v>
      </c>
      <c r="AL198">
        <v>0</v>
      </c>
      <c r="AM198" t="s">
        <v>5</v>
      </c>
      <c r="AN198">
        <v>1</v>
      </c>
      <c r="AO198">
        <v>1</v>
      </c>
      <c r="AP198">
        <v>0</v>
      </c>
      <c r="AQ198">
        <v>1</v>
      </c>
    </row>
    <row r="199" spans="1:43" x14ac:dyDescent="0.25">
      <c r="A199" t="s">
        <v>3356</v>
      </c>
      <c r="B199" t="s">
        <v>1607</v>
      </c>
      <c r="C199" t="s">
        <v>3355</v>
      </c>
      <c r="D199" s="1">
        <v>46076</v>
      </c>
      <c r="E199" t="s">
        <v>45</v>
      </c>
      <c r="F199" t="s">
        <v>44</v>
      </c>
      <c r="G199" t="s">
        <v>110</v>
      </c>
      <c r="H199" t="s">
        <v>77</v>
      </c>
      <c r="I199" t="s">
        <v>28</v>
      </c>
      <c r="J199" t="s">
        <v>55</v>
      </c>
      <c r="K199" t="s">
        <v>54</v>
      </c>
      <c r="L199" t="s">
        <v>64</v>
      </c>
      <c r="M199" t="s">
        <v>11</v>
      </c>
      <c r="N199" t="s">
        <v>41</v>
      </c>
      <c r="O199" t="s">
        <v>87</v>
      </c>
      <c r="P199" t="s">
        <v>63</v>
      </c>
      <c r="Q199" t="s">
        <v>7</v>
      </c>
      <c r="R199" t="s">
        <v>6</v>
      </c>
      <c r="S199">
        <v>5</v>
      </c>
      <c r="T199" t="s">
        <v>277</v>
      </c>
      <c r="U199">
        <v>123</v>
      </c>
      <c r="V199" t="s">
        <v>0</v>
      </c>
      <c r="W199" t="s">
        <v>5</v>
      </c>
      <c r="X199" t="s">
        <v>0</v>
      </c>
      <c r="Y199" t="s">
        <v>4</v>
      </c>
      <c r="Z199" t="s">
        <v>5</v>
      </c>
      <c r="AA199">
        <v>110.07</v>
      </c>
      <c r="AB199">
        <v>0</v>
      </c>
      <c r="AC199">
        <v>0</v>
      </c>
      <c r="AD199" t="s">
        <v>37</v>
      </c>
      <c r="AE199" t="s">
        <v>5</v>
      </c>
      <c r="AF199" t="s">
        <v>37</v>
      </c>
      <c r="AG199" t="s">
        <v>139</v>
      </c>
      <c r="AH199">
        <v>23</v>
      </c>
      <c r="AI199" t="s">
        <v>23</v>
      </c>
      <c r="AJ199">
        <v>3</v>
      </c>
      <c r="AK199">
        <v>-21</v>
      </c>
      <c r="AL199">
        <v>0</v>
      </c>
      <c r="AM199" t="s">
        <v>0</v>
      </c>
      <c r="AN199">
        <v>1</v>
      </c>
      <c r="AO199">
        <v>1</v>
      </c>
      <c r="AP199">
        <v>0</v>
      </c>
      <c r="AQ199">
        <v>0</v>
      </c>
    </row>
    <row r="200" spans="1:43" x14ac:dyDescent="0.25">
      <c r="A200" t="s">
        <v>3354</v>
      </c>
      <c r="B200" t="s">
        <v>1847</v>
      </c>
      <c r="C200" t="s">
        <v>3353</v>
      </c>
      <c r="D200" s="1">
        <v>46015</v>
      </c>
      <c r="E200" t="s">
        <v>95</v>
      </c>
      <c r="F200" t="s">
        <v>94</v>
      </c>
      <c r="G200" t="s">
        <v>17</v>
      </c>
      <c r="H200" t="s">
        <v>77</v>
      </c>
      <c r="I200" t="s">
        <v>28</v>
      </c>
      <c r="J200" t="s">
        <v>14</v>
      </c>
      <c r="K200" t="s">
        <v>76</v>
      </c>
      <c r="L200" t="s">
        <v>88</v>
      </c>
      <c r="M200" t="s">
        <v>11</v>
      </c>
      <c r="N200" t="s">
        <v>52</v>
      </c>
      <c r="O200" t="s">
        <v>74</v>
      </c>
      <c r="P200" t="s">
        <v>63</v>
      </c>
      <c r="Q200" t="s">
        <v>24</v>
      </c>
      <c r="R200" t="s">
        <v>6</v>
      </c>
      <c r="S200" t="s">
        <v>205</v>
      </c>
      <c r="T200">
        <v>6</v>
      </c>
      <c r="U200">
        <v>149</v>
      </c>
      <c r="V200" t="s">
        <v>0</v>
      </c>
      <c r="W200" t="s">
        <v>0</v>
      </c>
      <c r="X200" t="s">
        <v>0</v>
      </c>
      <c r="Y200" t="s">
        <v>4</v>
      </c>
      <c r="Z200" t="s">
        <v>0</v>
      </c>
      <c r="AA200">
        <v>0</v>
      </c>
      <c r="AB200">
        <v>0</v>
      </c>
      <c r="AC200">
        <v>0</v>
      </c>
      <c r="AD200" t="s">
        <v>3</v>
      </c>
      <c r="AE200" t="s">
        <v>0</v>
      </c>
      <c r="AF200" t="s">
        <v>3</v>
      </c>
      <c r="AG200" t="s">
        <v>2</v>
      </c>
      <c r="AI200" t="s">
        <v>23</v>
      </c>
      <c r="AJ200">
        <v>3</v>
      </c>
      <c r="AK200">
        <v>29</v>
      </c>
      <c r="AL200">
        <v>0</v>
      </c>
      <c r="AM200" t="s">
        <v>0</v>
      </c>
      <c r="AN200">
        <v>0</v>
      </c>
      <c r="AO200">
        <v>0</v>
      </c>
      <c r="AP200">
        <v>0</v>
      </c>
      <c r="AQ200">
        <v>0</v>
      </c>
    </row>
    <row r="201" spans="1:43" x14ac:dyDescent="0.25">
      <c r="A201" t="s">
        <v>2330</v>
      </c>
      <c r="B201" t="s">
        <v>442</v>
      </c>
      <c r="C201" t="s">
        <v>2329</v>
      </c>
      <c r="D201" s="1">
        <v>45940</v>
      </c>
      <c r="E201" t="s">
        <v>68</v>
      </c>
      <c r="F201" t="s">
        <v>278</v>
      </c>
      <c r="G201" t="s">
        <v>30</v>
      </c>
      <c r="H201" t="s">
        <v>43</v>
      </c>
      <c r="I201" t="s">
        <v>15</v>
      </c>
      <c r="J201" t="s">
        <v>55</v>
      </c>
      <c r="K201" t="s">
        <v>54</v>
      </c>
      <c r="L201" t="s">
        <v>12</v>
      </c>
      <c r="M201" t="s">
        <v>11</v>
      </c>
      <c r="N201" t="s">
        <v>52</v>
      </c>
      <c r="O201" t="s">
        <v>87</v>
      </c>
      <c r="P201" t="s">
        <v>39</v>
      </c>
      <c r="Q201" t="s">
        <v>7</v>
      </c>
      <c r="R201" t="s">
        <v>6</v>
      </c>
      <c r="S201">
        <v>5</v>
      </c>
      <c r="T201">
        <v>5</v>
      </c>
      <c r="U201">
        <v>161</v>
      </c>
      <c r="V201" t="s">
        <v>0</v>
      </c>
      <c r="W201" t="s">
        <v>5</v>
      </c>
      <c r="X201" t="s">
        <v>5</v>
      </c>
      <c r="Y201" t="s">
        <v>1381</v>
      </c>
      <c r="Z201" t="s">
        <v>0</v>
      </c>
      <c r="AA201">
        <v>0</v>
      </c>
      <c r="AB201">
        <v>0</v>
      </c>
      <c r="AC201">
        <v>0</v>
      </c>
      <c r="AD201" t="s">
        <v>3</v>
      </c>
      <c r="AE201" t="s">
        <v>0</v>
      </c>
      <c r="AF201" t="s">
        <v>3</v>
      </c>
      <c r="AG201" t="s">
        <v>2</v>
      </c>
      <c r="AI201" t="s">
        <v>23</v>
      </c>
      <c r="AJ201">
        <v>5</v>
      </c>
      <c r="AK201">
        <v>-17</v>
      </c>
      <c r="AL201">
        <v>5</v>
      </c>
      <c r="AM201" t="s">
        <v>5</v>
      </c>
      <c r="AN201">
        <v>1</v>
      </c>
      <c r="AO201">
        <v>0</v>
      </c>
      <c r="AP201">
        <v>1</v>
      </c>
      <c r="AQ201">
        <v>1</v>
      </c>
    </row>
    <row r="202" spans="1:43" x14ac:dyDescent="0.25">
      <c r="A202" t="s">
        <v>3352</v>
      </c>
      <c r="B202" t="s">
        <v>2238</v>
      </c>
      <c r="C202" t="s">
        <v>3351</v>
      </c>
      <c r="D202" s="1">
        <v>46147</v>
      </c>
      <c r="E202" t="s">
        <v>168</v>
      </c>
      <c r="F202" t="s">
        <v>167</v>
      </c>
      <c r="G202" t="s">
        <v>56</v>
      </c>
      <c r="H202" t="s">
        <v>43</v>
      </c>
      <c r="I202" t="s">
        <v>28</v>
      </c>
      <c r="J202" t="s">
        <v>55</v>
      </c>
      <c r="K202" t="s">
        <v>54</v>
      </c>
      <c r="L202" t="s">
        <v>42</v>
      </c>
      <c r="M202" t="s">
        <v>53</v>
      </c>
      <c r="N202" t="s">
        <v>10</v>
      </c>
      <c r="O202" t="s">
        <v>40</v>
      </c>
      <c r="P202" t="s">
        <v>39</v>
      </c>
      <c r="Q202" t="s">
        <v>24</v>
      </c>
      <c r="R202" t="s">
        <v>38</v>
      </c>
      <c r="S202">
        <v>8</v>
      </c>
      <c r="T202">
        <v>8</v>
      </c>
      <c r="U202">
        <v>155</v>
      </c>
      <c r="V202" t="s">
        <v>0</v>
      </c>
      <c r="W202" t="s">
        <v>0</v>
      </c>
      <c r="X202" t="s">
        <v>0</v>
      </c>
      <c r="Y202" t="s">
        <v>4</v>
      </c>
      <c r="Z202" t="s">
        <v>0</v>
      </c>
      <c r="AA202">
        <v>0</v>
      </c>
      <c r="AB202">
        <v>0</v>
      </c>
      <c r="AC202">
        <v>0</v>
      </c>
      <c r="AD202" t="s">
        <v>3</v>
      </c>
      <c r="AE202" t="s">
        <v>0</v>
      </c>
      <c r="AF202" t="s">
        <v>3</v>
      </c>
      <c r="AG202" t="s">
        <v>2</v>
      </c>
      <c r="AI202" t="s">
        <v>23</v>
      </c>
      <c r="AJ202">
        <v>2</v>
      </c>
      <c r="AK202">
        <v>-19</v>
      </c>
      <c r="AL202">
        <v>40</v>
      </c>
      <c r="AM202" t="s">
        <v>0</v>
      </c>
      <c r="AN202">
        <v>0</v>
      </c>
      <c r="AO202">
        <v>0</v>
      </c>
      <c r="AP202">
        <v>0</v>
      </c>
      <c r="AQ202">
        <v>0</v>
      </c>
    </row>
    <row r="203" spans="1:43" x14ac:dyDescent="0.25">
      <c r="A203" t="s">
        <v>3350</v>
      </c>
      <c r="B203" t="s">
        <v>3349</v>
      </c>
      <c r="C203" t="s">
        <v>3348</v>
      </c>
      <c r="D203" s="1">
        <v>45783</v>
      </c>
      <c r="E203" t="s">
        <v>125</v>
      </c>
      <c r="F203" t="s">
        <v>265</v>
      </c>
      <c r="G203" t="s">
        <v>17</v>
      </c>
      <c r="H203" t="s">
        <v>29</v>
      </c>
      <c r="I203" t="s">
        <v>28</v>
      </c>
      <c r="J203" t="s">
        <v>14</v>
      </c>
      <c r="K203" t="s">
        <v>13</v>
      </c>
      <c r="L203" t="s">
        <v>42</v>
      </c>
      <c r="M203" t="s">
        <v>11</v>
      </c>
      <c r="N203" t="s">
        <v>10</v>
      </c>
      <c r="O203" t="s">
        <v>199</v>
      </c>
      <c r="P203" t="s">
        <v>39</v>
      </c>
      <c r="Q203" t="s">
        <v>7</v>
      </c>
      <c r="R203" t="s">
        <v>6</v>
      </c>
      <c r="S203">
        <v>5</v>
      </c>
      <c r="T203" t="s">
        <v>277</v>
      </c>
      <c r="U203">
        <v>123</v>
      </c>
      <c r="V203" t="s">
        <v>247</v>
      </c>
      <c r="W203" t="s">
        <v>5</v>
      </c>
      <c r="X203" t="s">
        <v>0</v>
      </c>
      <c r="Y203" t="s">
        <v>4</v>
      </c>
      <c r="Z203" t="s">
        <v>5</v>
      </c>
      <c r="AA203">
        <v>3.16</v>
      </c>
      <c r="AB203">
        <v>0</v>
      </c>
      <c r="AC203">
        <v>0</v>
      </c>
      <c r="AD203" t="s">
        <v>3</v>
      </c>
      <c r="AE203" t="s">
        <v>0</v>
      </c>
      <c r="AF203" t="s">
        <v>3</v>
      </c>
      <c r="AG203" t="s">
        <v>2</v>
      </c>
      <c r="AI203" t="s">
        <v>23</v>
      </c>
      <c r="AJ203">
        <v>5</v>
      </c>
      <c r="AK203">
        <v>24</v>
      </c>
      <c r="AL203">
        <v>11</v>
      </c>
      <c r="AM203" t="s">
        <v>5</v>
      </c>
      <c r="AN203">
        <v>1</v>
      </c>
      <c r="AO203">
        <v>1</v>
      </c>
      <c r="AP203">
        <v>0</v>
      </c>
      <c r="AQ203">
        <v>1</v>
      </c>
    </row>
    <row r="204" spans="1:43" x14ac:dyDescent="0.25">
      <c r="A204" t="s">
        <v>3347</v>
      </c>
      <c r="B204" t="s">
        <v>1710</v>
      </c>
      <c r="C204" t="s">
        <v>3346</v>
      </c>
      <c r="D204" s="1">
        <v>45730</v>
      </c>
      <c r="E204" t="s">
        <v>79</v>
      </c>
      <c r="F204" t="s">
        <v>102</v>
      </c>
      <c r="G204" t="s">
        <v>56</v>
      </c>
      <c r="H204" t="s">
        <v>77</v>
      </c>
      <c r="I204" t="s">
        <v>28</v>
      </c>
      <c r="J204" t="s">
        <v>55</v>
      </c>
      <c r="K204" t="s">
        <v>54</v>
      </c>
      <c r="L204" t="s">
        <v>64</v>
      </c>
      <c r="M204" t="s">
        <v>11</v>
      </c>
      <c r="N204" t="s">
        <v>154</v>
      </c>
      <c r="O204" t="s">
        <v>74</v>
      </c>
      <c r="P204" t="s">
        <v>63</v>
      </c>
      <c r="Q204" t="s">
        <v>50</v>
      </c>
      <c r="R204" t="s">
        <v>6</v>
      </c>
      <c r="S204">
        <v>6</v>
      </c>
      <c r="T204">
        <v>5</v>
      </c>
      <c r="U204">
        <v>242</v>
      </c>
      <c r="V204" t="s">
        <v>5</v>
      </c>
      <c r="W204" t="s">
        <v>5</v>
      </c>
      <c r="X204" t="s">
        <v>0</v>
      </c>
      <c r="Y204" t="s">
        <v>4</v>
      </c>
      <c r="Z204" t="s">
        <v>5</v>
      </c>
      <c r="AA204">
        <v>0</v>
      </c>
      <c r="AB204">
        <v>0</v>
      </c>
      <c r="AC204">
        <v>0</v>
      </c>
      <c r="AD204" t="s">
        <v>3</v>
      </c>
      <c r="AE204" t="s">
        <v>0</v>
      </c>
      <c r="AF204" t="s">
        <v>3</v>
      </c>
      <c r="AG204" t="s">
        <v>2</v>
      </c>
      <c r="AI204" t="s">
        <v>23</v>
      </c>
      <c r="AJ204">
        <v>3</v>
      </c>
      <c r="AK204">
        <v>-9</v>
      </c>
      <c r="AL204">
        <v>0</v>
      </c>
      <c r="AM204" t="s">
        <v>5</v>
      </c>
      <c r="AN204">
        <v>1</v>
      </c>
      <c r="AO204">
        <v>1</v>
      </c>
      <c r="AP204">
        <v>0</v>
      </c>
      <c r="AQ204">
        <v>1</v>
      </c>
    </row>
    <row r="205" spans="1:43" x14ac:dyDescent="0.25">
      <c r="A205" t="s">
        <v>3345</v>
      </c>
      <c r="B205" t="s">
        <v>1783</v>
      </c>
      <c r="C205" t="s">
        <v>3344</v>
      </c>
      <c r="D205" s="1">
        <v>46043</v>
      </c>
      <c r="E205" t="s">
        <v>162</v>
      </c>
      <c r="F205" t="s">
        <v>200</v>
      </c>
      <c r="G205" t="s">
        <v>123</v>
      </c>
      <c r="H205" t="s">
        <v>43</v>
      </c>
      <c r="I205" t="s">
        <v>15</v>
      </c>
      <c r="J205" t="s">
        <v>146</v>
      </c>
      <c r="K205" t="s">
        <v>145</v>
      </c>
      <c r="L205" t="s">
        <v>42</v>
      </c>
      <c r="M205" t="s">
        <v>299</v>
      </c>
      <c r="N205" t="s">
        <v>93</v>
      </c>
      <c r="O205" t="s">
        <v>199</v>
      </c>
      <c r="P205" t="s">
        <v>39</v>
      </c>
      <c r="Q205" t="s">
        <v>7</v>
      </c>
      <c r="R205" t="s">
        <v>6</v>
      </c>
      <c r="S205">
        <v>5</v>
      </c>
      <c r="T205">
        <v>4</v>
      </c>
      <c r="U205">
        <v>205</v>
      </c>
      <c r="V205" t="s">
        <v>5</v>
      </c>
      <c r="W205" t="s">
        <v>5</v>
      </c>
      <c r="X205" t="s">
        <v>135</v>
      </c>
      <c r="Y205" t="s">
        <v>4</v>
      </c>
      <c r="Z205" t="s">
        <v>5</v>
      </c>
      <c r="AA205">
        <v>78.02</v>
      </c>
      <c r="AB205">
        <v>0</v>
      </c>
      <c r="AC205">
        <v>0</v>
      </c>
      <c r="AD205" t="s">
        <v>37</v>
      </c>
      <c r="AE205" t="s">
        <v>5</v>
      </c>
      <c r="AF205" t="s">
        <v>37</v>
      </c>
      <c r="AG205" t="s">
        <v>36</v>
      </c>
      <c r="AH205">
        <v>40</v>
      </c>
      <c r="AI205" t="s">
        <v>23</v>
      </c>
      <c r="AJ205">
        <v>4</v>
      </c>
      <c r="AK205">
        <v>9</v>
      </c>
      <c r="AL205">
        <v>40</v>
      </c>
      <c r="AM205" t="s">
        <v>0</v>
      </c>
      <c r="AN205">
        <v>1</v>
      </c>
      <c r="AO205">
        <v>1</v>
      </c>
      <c r="AP205">
        <v>0</v>
      </c>
      <c r="AQ205">
        <v>0</v>
      </c>
    </row>
    <row r="206" spans="1:43" x14ac:dyDescent="0.25">
      <c r="A206" t="s">
        <v>3343</v>
      </c>
      <c r="B206" t="s">
        <v>1062</v>
      </c>
      <c r="C206" t="s">
        <v>3342</v>
      </c>
      <c r="D206" s="1">
        <v>45955</v>
      </c>
      <c r="E206" t="s">
        <v>19</v>
      </c>
      <c r="F206" t="s">
        <v>18</v>
      </c>
      <c r="G206" t="s">
        <v>17</v>
      </c>
      <c r="H206" t="s">
        <v>16</v>
      </c>
      <c r="I206" t="s">
        <v>15</v>
      </c>
      <c r="J206" t="s">
        <v>14</v>
      </c>
      <c r="K206" t="s">
        <v>13</v>
      </c>
      <c r="L206" t="s">
        <v>12</v>
      </c>
      <c r="M206" t="s">
        <v>11</v>
      </c>
      <c r="N206" t="s">
        <v>10</v>
      </c>
      <c r="O206" t="s">
        <v>9</v>
      </c>
      <c r="P206" t="s">
        <v>8</v>
      </c>
      <c r="Q206" t="s">
        <v>7</v>
      </c>
      <c r="R206" t="s">
        <v>6</v>
      </c>
      <c r="S206">
        <v>7</v>
      </c>
      <c r="T206">
        <v>7</v>
      </c>
      <c r="U206">
        <v>160</v>
      </c>
      <c r="V206" t="s">
        <v>0</v>
      </c>
      <c r="W206" t="s">
        <v>0</v>
      </c>
      <c r="X206" t="s">
        <v>0</v>
      </c>
      <c r="Y206" t="s">
        <v>4</v>
      </c>
      <c r="Z206" t="s">
        <v>0</v>
      </c>
      <c r="AA206">
        <v>0</v>
      </c>
      <c r="AB206">
        <v>0</v>
      </c>
      <c r="AC206">
        <v>0</v>
      </c>
      <c r="AD206" t="s">
        <v>3</v>
      </c>
      <c r="AE206" t="s">
        <v>0</v>
      </c>
      <c r="AF206" t="s">
        <v>3</v>
      </c>
      <c r="AG206" t="s">
        <v>2</v>
      </c>
      <c r="AI206" t="s">
        <v>1</v>
      </c>
      <c r="AJ206">
        <v>8</v>
      </c>
      <c r="AK206">
        <v>32</v>
      </c>
      <c r="AL206">
        <v>1</v>
      </c>
      <c r="AM206" t="s">
        <v>0</v>
      </c>
      <c r="AN206">
        <v>0</v>
      </c>
      <c r="AO206">
        <v>0</v>
      </c>
      <c r="AP206">
        <v>0</v>
      </c>
      <c r="AQ206">
        <v>0</v>
      </c>
    </row>
    <row r="207" spans="1:43" x14ac:dyDescent="0.25">
      <c r="A207" t="s">
        <v>3341</v>
      </c>
      <c r="B207" t="s">
        <v>851</v>
      </c>
      <c r="C207" t="s">
        <v>3340</v>
      </c>
      <c r="D207" s="1">
        <v>45834</v>
      </c>
      <c r="E207" t="s">
        <v>95</v>
      </c>
      <c r="F207" t="s">
        <v>94</v>
      </c>
      <c r="G207" t="s">
        <v>110</v>
      </c>
      <c r="H207" t="s">
        <v>77</v>
      </c>
      <c r="I207" t="s">
        <v>28</v>
      </c>
      <c r="J207" t="s">
        <v>55</v>
      </c>
      <c r="K207" t="s">
        <v>54</v>
      </c>
      <c r="L207" t="s">
        <v>42</v>
      </c>
      <c r="M207" t="s">
        <v>11</v>
      </c>
      <c r="N207" t="s">
        <v>52</v>
      </c>
      <c r="O207" t="s">
        <v>199</v>
      </c>
      <c r="P207" t="s">
        <v>39</v>
      </c>
      <c r="Q207" t="s">
        <v>100</v>
      </c>
      <c r="R207" t="s">
        <v>38</v>
      </c>
      <c r="S207">
        <v>5</v>
      </c>
      <c r="T207" t="s">
        <v>277</v>
      </c>
      <c r="U207">
        <v>105</v>
      </c>
      <c r="V207" t="s">
        <v>0</v>
      </c>
      <c r="W207" t="s">
        <v>5</v>
      </c>
      <c r="X207" t="s">
        <v>0</v>
      </c>
      <c r="Y207" t="s">
        <v>4</v>
      </c>
      <c r="Z207" t="s">
        <v>5</v>
      </c>
      <c r="AA207">
        <v>168.59</v>
      </c>
      <c r="AB207">
        <v>0</v>
      </c>
      <c r="AC207">
        <v>0</v>
      </c>
      <c r="AD207" t="s">
        <v>3</v>
      </c>
      <c r="AE207" t="s">
        <v>0</v>
      </c>
      <c r="AF207" t="s">
        <v>3</v>
      </c>
      <c r="AG207" t="s">
        <v>2</v>
      </c>
      <c r="AI207" t="s">
        <v>23</v>
      </c>
      <c r="AJ207">
        <v>5</v>
      </c>
      <c r="AK207">
        <v>7</v>
      </c>
      <c r="AL207">
        <v>36</v>
      </c>
      <c r="AM207" t="s">
        <v>0</v>
      </c>
      <c r="AN207">
        <v>1</v>
      </c>
      <c r="AO207">
        <v>1</v>
      </c>
      <c r="AP207">
        <v>0</v>
      </c>
      <c r="AQ207">
        <v>0</v>
      </c>
    </row>
    <row r="208" spans="1:43" x14ac:dyDescent="0.25">
      <c r="A208" t="s">
        <v>3339</v>
      </c>
      <c r="B208" t="s">
        <v>3338</v>
      </c>
      <c r="C208" t="s">
        <v>3337</v>
      </c>
      <c r="D208" s="1">
        <v>46192</v>
      </c>
      <c r="E208" t="s">
        <v>45</v>
      </c>
      <c r="F208" t="s">
        <v>670</v>
      </c>
      <c r="G208" t="s">
        <v>17</v>
      </c>
      <c r="H208" t="s">
        <v>29</v>
      </c>
      <c r="I208" t="s">
        <v>15</v>
      </c>
      <c r="J208" t="s">
        <v>55</v>
      </c>
      <c r="K208" t="s">
        <v>65</v>
      </c>
      <c r="L208" t="s">
        <v>42</v>
      </c>
      <c r="M208" t="s">
        <v>11</v>
      </c>
      <c r="N208" t="s">
        <v>41</v>
      </c>
      <c r="O208" t="s">
        <v>199</v>
      </c>
      <c r="P208" t="s">
        <v>63</v>
      </c>
      <c r="Q208" t="s">
        <v>50</v>
      </c>
      <c r="R208" t="s">
        <v>6</v>
      </c>
      <c r="S208">
        <v>5</v>
      </c>
      <c r="T208">
        <v>5</v>
      </c>
      <c r="U208">
        <v>126</v>
      </c>
      <c r="V208" t="s">
        <v>0</v>
      </c>
      <c r="W208" t="s">
        <v>5</v>
      </c>
      <c r="X208" t="s">
        <v>0</v>
      </c>
      <c r="Y208" t="s">
        <v>4</v>
      </c>
      <c r="Z208" t="s">
        <v>5</v>
      </c>
      <c r="AA208">
        <v>47.39</v>
      </c>
      <c r="AB208">
        <v>0</v>
      </c>
      <c r="AC208">
        <v>0</v>
      </c>
      <c r="AD208" t="s">
        <v>3</v>
      </c>
      <c r="AE208" t="s">
        <v>0</v>
      </c>
      <c r="AF208" t="s">
        <v>3</v>
      </c>
      <c r="AG208" t="s">
        <v>2</v>
      </c>
      <c r="AI208" t="s">
        <v>23</v>
      </c>
      <c r="AJ208">
        <v>5</v>
      </c>
      <c r="AK208">
        <v>-5</v>
      </c>
      <c r="AL208">
        <v>0</v>
      </c>
      <c r="AM208" t="s">
        <v>0</v>
      </c>
      <c r="AN208">
        <v>1</v>
      </c>
      <c r="AO208">
        <v>1</v>
      </c>
      <c r="AP208">
        <v>0</v>
      </c>
      <c r="AQ208">
        <v>0</v>
      </c>
    </row>
    <row r="209" spans="1:43" x14ac:dyDescent="0.25">
      <c r="A209" t="s">
        <v>3336</v>
      </c>
      <c r="B209" t="s">
        <v>3335</v>
      </c>
      <c r="C209" t="s">
        <v>3334</v>
      </c>
      <c r="D209" s="1">
        <v>45694</v>
      </c>
      <c r="E209" t="s">
        <v>112</v>
      </c>
      <c r="F209" t="s">
        <v>307</v>
      </c>
      <c r="G209" t="s">
        <v>110</v>
      </c>
      <c r="H209" t="s">
        <v>29</v>
      </c>
      <c r="I209" t="s">
        <v>28</v>
      </c>
      <c r="J209" t="s">
        <v>55</v>
      </c>
      <c r="K209" t="s">
        <v>54</v>
      </c>
      <c r="L209" t="s">
        <v>64</v>
      </c>
      <c r="M209" t="s">
        <v>299</v>
      </c>
      <c r="N209" t="s">
        <v>154</v>
      </c>
      <c r="O209" t="s">
        <v>9</v>
      </c>
      <c r="P209" t="s">
        <v>39</v>
      </c>
      <c r="Q209" t="s">
        <v>7</v>
      </c>
      <c r="R209" t="s">
        <v>6</v>
      </c>
      <c r="S209">
        <v>7</v>
      </c>
      <c r="T209">
        <v>7</v>
      </c>
      <c r="U209">
        <v>196</v>
      </c>
      <c r="V209" t="s">
        <v>0</v>
      </c>
      <c r="W209" t="s">
        <v>5</v>
      </c>
      <c r="X209" t="s">
        <v>0</v>
      </c>
      <c r="Y209" t="s">
        <v>4</v>
      </c>
      <c r="Z209" t="s">
        <v>5</v>
      </c>
      <c r="AA209">
        <v>4.5599999999999996</v>
      </c>
      <c r="AB209">
        <v>0</v>
      </c>
      <c r="AC209">
        <v>0</v>
      </c>
      <c r="AD209" t="s">
        <v>3</v>
      </c>
      <c r="AE209" t="s">
        <v>0</v>
      </c>
      <c r="AF209" t="s">
        <v>3</v>
      </c>
      <c r="AG209" t="s">
        <v>2</v>
      </c>
      <c r="AI209" t="s">
        <v>23</v>
      </c>
      <c r="AJ209">
        <v>3</v>
      </c>
      <c r="AK209">
        <v>9</v>
      </c>
      <c r="AL209">
        <v>28</v>
      </c>
      <c r="AM209" t="s">
        <v>5</v>
      </c>
      <c r="AN209">
        <v>1</v>
      </c>
      <c r="AO209">
        <v>1</v>
      </c>
      <c r="AP209">
        <v>0</v>
      </c>
      <c r="AQ209">
        <v>1</v>
      </c>
    </row>
    <row r="210" spans="1:43" x14ac:dyDescent="0.25">
      <c r="A210" t="s">
        <v>3333</v>
      </c>
      <c r="B210" t="s">
        <v>1596</v>
      </c>
      <c r="C210" t="s">
        <v>3332</v>
      </c>
      <c r="D210" s="1">
        <v>45990</v>
      </c>
      <c r="E210" t="s">
        <v>156</v>
      </c>
      <c r="G210" t="s">
        <v>110</v>
      </c>
      <c r="H210" t="s">
        <v>43</v>
      </c>
      <c r="I210" t="s">
        <v>15</v>
      </c>
      <c r="J210" t="s">
        <v>55</v>
      </c>
      <c r="K210" t="s">
        <v>54</v>
      </c>
      <c r="L210" t="s">
        <v>88</v>
      </c>
      <c r="M210" t="s">
        <v>299</v>
      </c>
      <c r="N210" t="s">
        <v>10</v>
      </c>
      <c r="O210" t="s">
        <v>26</v>
      </c>
      <c r="P210" t="s">
        <v>63</v>
      </c>
      <c r="Q210" t="s">
        <v>7</v>
      </c>
      <c r="R210" t="s">
        <v>6</v>
      </c>
      <c r="S210">
        <v>4</v>
      </c>
      <c r="T210">
        <v>4</v>
      </c>
      <c r="U210">
        <v>106</v>
      </c>
      <c r="V210" t="s">
        <v>0</v>
      </c>
      <c r="W210" t="s">
        <v>5</v>
      </c>
      <c r="X210" t="s">
        <v>0</v>
      </c>
      <c r="Y210" t="s">
        <v>4</v>
      </c>
      <c r="Z210" t="s">
        <v>5</v>
      </c>
      <c r="AA210">
        <v>176.46</v>
      </c>
      <c r="AB210">
        <v>0.2</v>
      </c>
      <c r="AC210">
        <v>0</v>
      </c>
      <c r="AD210" t="s">
        <v>37</v>
      </c>
      <c r="AE210" t="s">
        <v>5</v>
      </c>
      <c r="AF210" t="s">
        <v>37</v>
      </c>
      <c r="AG210" t="s">
        <v>36</v>
      </c>
      <c r="AH210">
        <v>43</v>
      </c>
      <c r="AI210" t="s">
        <v>23</v>
      </c>
      <c r="AJ210">
        <v>4</v>
      </c>
      <c r="AK210">
        <v>70</v>
      </c>
      <c r="AL210">
        <v>0</v>
      </c>
      <c r="AM210" t="s">
        <v>5</v>
      </c>
      <c r="AN210">
        <v>1</v>
      </c>
      <c r="AO210">
        <v>1</v>
      </c>
      <c r="AP210">
        <v>0</v>
      </c>
      <c r="AQ210">
        <v>1</v>
      </c>
    </row>
    <row r="211" spans="1:43" x14ac:dyDescent="0.25">
      <c r="A211" t="s">
        <v>3331</v>
      </c>
      <c r="B211" t="s">
        <v>2493</v>
      </c>
      <c r="C211" t="s">
        <v>3330</v>
      </c>
      <c r="D211" s="1">
        <v>45767</v>
      </c>
      <c r="E211" t="s">
        <v>95</v>
      </c>
      <c r="F211" t="s">
        <v>338</v>
      </c>
      <c r="G211" t="s">
        <v>56</v>
      </c>
      <c r="H211" t="s">
        <v>77</v>
      </c>
      <c r="I211" t="s">
        <v>28</v>
      </c>
      <c r="J211" t="s">
        <v>14</v>
      </c>
      <c r="K211" t="s">
        <v>13</v>
      </c>
      <c r="L211" t="s">
        <v>64</v>
      </c>
      <c r="M211" t="s">
        <v>11</v>
      </c>
      <c r="N211" t="s">
        <v>10</v>
      </c>
      <c r="O211" t="s">
        <v>87</v>
      </c>
      <c r="P211" t="s">
        <v>63</v>
      </c>
      <c r="Q211" t="s">
        <v>7</v>
      </c>
      <c r="R211" t="s">
        <v>6</v>
      </c>
      <c r="S211">
        <v>5</v>
      </c>
      <c r="T211">
        <v>5</v>
      </c>
      <c r="U211">
        <v>146</v>
      </c>
      <c r="V211" t="s">
        <v>0</v>
      </c>
      <c r="W211" t="s">
        <v>5</v>
      </c>
      <c r="X211" t="s">
        <v>0</v>
      </c>
      <c r="Y211" t="s">
        <v>4</v>
      </c>
      <c r="Z211" t="s">
        <v>5</v>
      </c>
      <c r="AA211">
        <v>161.54</v>
      </c>
      <c r="AB211">
        <v>0</v>
      </c>
      <c r="AC211">
        <v>0</v>
      </c>
      <c r="AD211" t="s">
        <v>3</v>
      </c>
      <c r="AE211" t="s">
        <v>0</v>
      </c>
      <c r="AF211" t="s">
        <v>3</v>
      </c>
      <c r="AG211" t="s">
        <v>2</v>
      </c>
      <c r="AI211" t="s">
        <v>23</v>
      </c>
      <c r="AJ211">
        <v>4</v>
      </c>
      <c r="AK211">
        <v>27</v>
      </c>
      <c r="AL211" t="s">
        <v>347</v>
      </c>
      <c r="AM211" t="s">
        <v>5</v>
      </c>
      <c r="AN211">
        <v>1</v>
      </c>
      <c r="AO211">
        <v>1</v>
      </c>
      <c r="AP211">
        <v>0</v>
      </c>
      <c r="AQ211">
        <v>1</v>
      </c>
    </row>
    <row r="212" spans="1:43" x14ac:dyDescent="0.25">
      <c r="A212" t="s">
        <v>3329</v>
      </c>
      <c r="B212" t="s">
        <v>1519</v>
      </c>
      <c r="C212" t="s">
        <v>3328</v>
      </c>
      <c r="D212" s="1">
        <v>46061</v>
      </c>
      <c r="E212" t="s">
        <v>95</v>
      </c>
      <c r="F212" t="s">
        <v>338</v>
      </c>
      <c r="G212" t="s">
        <v>123</v>
      </c>
      <c r="H212" t="s">
        <v>237</v>
      </c>
      <c r="I212" t="s">
        <v>28</v>
      </c>
      <c r="J212" t="s">
        <v>55</v>
      </c>
      <c r="K212" t="s">
        <v>54</v>
      </c>
      <c r="L212" t="s">
        <v>88</v>
      </c>
      <c r="M212" t="s">
        <v>11</v>
      </c>
      <c r="N212" t="s">
        <v>93</v>
      </c>
      <c r="O212" t="s">
        <v>9</v>
      </c>
      <c r="P212" t="s">
        <v>39</v>
      </c>
      <c r="Q212" t="s">
        <v>24</v>
      </c>
      <c r="R212" t="s">
        <v>6</v>
      </c>
      <c r="S212">
        <v>7</v>
      </c>
      <c r="T212">
        <v>5</v>
      </c>
      <c r="U212">
        <v>267</v>
      </c>
      <c r="V212" t="s">
        <v>5</v>
      </c>
      <c r="W212" t="s">
        <v>5</v>
      </c>
      <c r="X212" t="s">
        <v>135</v>
      </c>
      <c r="Y212" t="s">
        <v>4</v>
      </c>
      <c r="Z212" t="s">
        <v>0</v>
      </c>
      <c r="AA212">
        <v>0</v>
      </c>
      <c r="AB212">
        <v>0</v>
      </c>
      <c r="AC212">
        <v>0</v>
      </c>
      <c r="AD212" t="s">
        <v>3</v>
      </c>
      <c r="AE212" t="s">
        <v>0</v>
      </c>
      <c r="AF212" t="s">
        <v>3</v>
      </c>
      <c r="AG212" t="s">
        <v>2</v>
      </c>
      <c r="AI212" t="s">
        <v>23</v>
      </c>
      <c r="AJ212">
        <v>4</v>
      </c>
      <c r="AK212">
        <v>-2</v>
      </c>
      <c r="AL212">
        <v>38</v>
      </c>
      <c r="AM212" t="s">
        <v>5</v>
      </c>
      <c r="AN212">
        <v>1</v>
      </c>
      <c r="AO212">
        <v>0</v>
      </c>
      <c r="AP212">
        <v>0</v>
      </c>
      <c r="AQ212">
        <v>1</v>
      </c>
    </row>
    <row r="213" spans="1:43" x14ac:dyDescent="0.25">
      <c r="A213" t="s">
        <v>3327</v>
      </c>
      <c r="B213" t="s">
        <v>3326</v>
      </c>
      <c r="C213" t="s">
        <v>3325</v>
      </c>
      <c r="D213" s="1">
        <v>45781</v>
      </c>
      <c r="E213" t="s">
        <v>45</v>
      </c>
      <c r="F213" t="s">
        <v>670</v>
      </c>
      <c r="G213" t="s">
        <v>56</v>
      </c>
      <c r="H213" t="s">
        <v>43</v>
      </c>
      <c r="I213" t="s">
        <v>15</v>
      </c>
      <c r="J213" t="s">
        <v>14</v>
      </c>
      <c r="K213" t="s">
        <v>13</v>
      </c>
      <c r="L213" t="s">
        <v>64</v>
      </c>
      <c r="M213" t="s">
        <v>11</v>
      </c>
      <c r="N213" t="s">
        <v>10</v>
      </c>
      <c r="O213" t="s">
        <v>40</v>
      </c>
      <c r="P213" t="s">
        <v>8</v>
      </c>
      <c r="Q213" t="s">
        <v>24</v>
      </c>
      <c r="R213" t="s">
        <v>38</v>
      </c>
      <c r="S213">
        <v>8</v>
      </c>
      <c r="T213">
        <v>8</v>
      </c>
      <c r="U213">
        <v>227</v>
      </c>
      <c r="V213" t="s">
        <v>0</v>
      </c>
      <c r="W213" t="s">
        <v>287</v>
      </c>
      <c r="X213" t="s">
        <v>0</v>
      </c>
      <c r="Y213" t="s">
        <v>4</v>
      </c>
      <c r="Z213" t="s">
        <v>5</v>
      </c>
      <c r="AA213">
        <v>377.46</v>
      </c>
      <c r="AB213">
        <v>2.42</v>
      </c>
      <c r="AC213">
        <v>0</v>
      </c>
      <c r="AD213" t="s">
        <v>3</v>
      </c>
      <c r="AE213" t="s">
        <v>0</v>
      </c>
      <c r="AF213" t="s">
        <v>3</v>
      </c>
      <c r="AG213" t="s">
        <v>2</v>
      </c>
      <c r="AI213" t="s">
        <v>23</v>
      </c>
      <c r="AJ213">
        <v>4</v>
      </c>
      <c r="AK213">
        <v>29</v>
      </c>
      <c r="AL213">
        <v>1</v>
      </c>
      <c r="AM213" t="s">
        <v>0</v>
      </c>
      <c r="AN213">
        <v>1</v>
      </c>
      <c r="AO213">
        <v>1</v>
      </c>
      <c r="AP213">
        <v>0</v>
      </c>
      <c r="AQ213">
        <v>0</v>
      </c>
    </row>
    <row r="214" spans="1:43" x14ac:dyDescent="0.25">
      <c r="A214" t="s">
        <v>3324</v>
      </c>
      <c r="B214" t="s">
        <v>1941</v>
      </c>
      <c r="C214" t="s">
        <v>3323</v>
      </c>
      <c r="D214" s="1">
        <v>46011</v>
      </c>
      <c r="E214" t="s">
        <v>162</v>
      </c>
      <c r="F214" t="s">
        <v>540</v>
      </c>
      <c r="G214" t="s">
        <v>110</v>
      </c>
      <c r="H214" t="s">
        <v>77</v>
      </c>
      <c r="I214" t="s">
        <v>28</v>
      </c>
      <c r="J214" t="s">
        <v>14</v>
      </c>
      <c r="K214" t="s">
        <v>13</v>
      </c>
      <c r="L214" t="s">
        <v>117</v>
      </c>
      <c r="M214" t="s">
        <v>53</v>
      </c>
      <c r="N214" t="s">
        <v>75</v>
      </c>
      <c r="O214" t="s">
        <v>130</v>
      </c>
      <c r="P214" t="s">
        <v>25</v>
      </c>
      <c r="Q214" t="s">
        <v>172</v>
      </c>
      <c r="R214" t="s">
        <v>38</v>
      </c>
      <c r="S214">
        <v>5</v>
      </c>
      <c r="T214" t="s">
        <v>277</v>
      </c>
      <c r="U214">
        <v>159</v>
      </c>
      <c r="V214" t="s">
        <v>0</v>
      </c>
      <c r="W214" t="s">
        <v>5</v>
      </c>
      <c r="X214" t="s">
        <v>0</v>
      </c>
      <c r="Y214" t="s">
        <v>4</v>
      </c>
      <c r="Z214" t="s">
        <v>5</v>
      </c>
      <c r="AA214">
        <v>13.47</v>
      </c>
      <c r="AB214">
        <v>0</v>
      </c>
      <c r="AC214">
        <v>0.17</v>
      </c>
      <c r="AD214" t="s">
        <v>3</v>
      </c>
      <c r="AE214" t="s">
        <v>0</v>
      </c>
      <c r="AF214" t="s">
        <v>3</v>
      </c>
      <c r="AG214" t="s">
        <v>2</v>
      </c>
      <c r="AI214" t="s">
        <v>23</v>
      </c>
      <c r="AJ214">
        <v>5</v>
      </c>
      <c r="AK214">
        <v>61</v>
      </c>
      <c r="AL214">
        <v>30</v>
      </c>
      <c r="AM214" t="s">
        <v>5</v>
      </c>
      <c r="AN214">
        <v>1</v>
      </c>
      <c r="AO214">
        <v>1</v>
      </c>
      <c r="AP214">
        <v>0</v>
      </c>
      <c r="AQ214">
        <v>1</v>
      </c>
    </row>
    <row r="215" spans="1:43" x14ac:dyDescent="0.25">
      <c r="A215" t="s">
        <v>3322</v>
      </c>
      <c r="B215" t="s">
        <v>2767</v>
      </c>
      <c r="C215" t="s">
        <v>3321</v>
      </c>
      <c r="D215" s="1">
        <v>45738</v>
      </c>
      <c r="E215" t="s">
        <v>95</v>
      </c>
      <c r="F215" t="s">
        <v>94</v>
      </c>
      <c r="G215" t="s">
        <v>131</v>
      </c>
      <c r="H215" t="s">
        <v>77</v>
      </c>
      <c r="I215" t="s">
        <v>28</v>
      </c>
      <c r="J215" t="s">
        <v>55</v>
      </c>
      <c r="K215" t="s">
        <v>54</v>
      </c>
      <c r="L215" t="s">
        <v>64</v>
      </c>
      <c r="M215" t="s">
        <v>53</v>
      </c>
      <c r="N215" t="s">
        <v>10</v>
      </c>
      <c r="O215" t="s">
        <v>101</v>
      </c>
      <c r="P215" t="s">
        <v>39</v>
      </c>
      <c r="Q215" t="s">
        <v>24</v>
      </c>
      <c r="R215" t="s">
        <v>38</v>
      </c>
      <c r="S215">
        <v>4</v>
      </c>
      <c r="T215">
        <v>4</v>
      </c>
      <c r="U215">
        <v>95</v>
      </c>
      <c r="V215" t="s">
        <v>0</v>
      </c>
      <c r="W215" t="s">
        <v>5</v>
      </c>
      <c r="X215" t="s">
        <v>0</v>
      </c>
      <c r="Y215" t="s">
        <v>4</v>
      </c>
      <c r="Z215" t="s">
        <v>5</v>
      </c>
      <c r="AA215">
        <v>118.06</v>
      </c>
      <c r="AB215">
        <v>0.56000000000000005</v>
      </c>
      <c r="AC215">
        <v>0.17</v>
      </c>
      <c r="AD215" t="s">
        <v>436</v>
      </c>
      <c r="AE215" t="s">
        <v>5</v>
      </c>
      <c r="AF215" t="s">
        <v>436</v>
      </c>
      <c r="AG215" t="s">
        <v>36</v>
      </c>
      <c r="AH215">
        <v>44</v>
      </c>
      <c r="AI215" t="s">
        <v>23</v>
      </c>
      <c r="AJ215">
        <v>5</v>
      </c>
      <c r="AK215">
        <v>36</v>
      </c>
      <c r="AL215">
        <v>33</v>
      </c>
      <c r="AM215" t="s">
        <v>5</v>
      </c>
      <c r="AN215">
        <v>1</v>
      </c>
      <c r="AO215">
        <v>1</v>
      </c>
      <c r="AP215">
        <v>0</v>
      </c>
      <c r="AQ215">
        <v>1</v>
      </c>
    </row>
    <row r="216" spans="1:43" x14ac:dyDescent="0.25">
      <c r="A216" t="s">
        <v>3320</v>
      </c>
      <c r="B216" t="s">
        <v>663</v>
      </c>
      <c r="C216" t="s">
        <v>3319</v>
      </c>
      <c r="D216" s="1">
        <v>45712</v>
      </c>
      <c r="E216" t="s">
        <v>19</v>
      </c>
      <c r="F216" t="s">
        <v>89</v>
      </c>
      <c r="G216" t="s">
        <v>56</v>
      </c>
      <c r="H216" t="s">
        <v>66</v>
      </c>
      <c r="I216" t="s">
        <v>15</v>
      </c>
      <c r="J216" t="s">
        <v>146</v>
      </c>
      <c r="K216" t="s">
        <v>145</v>
      </c>
      <c r="L216" t="s">
        <v>88</v>
      </c>
      <c r="M216" t="s">
        <v>53</v>
      </c>
      <c r="N216" t="s">
        <v>41</v>
      </c>
      <c r="O216" t="s">
        <v>9</v>
      </c>
      <c r="P216" t="s">
        <v>39</v>
      </c>
      <c r="Q216" t="s">
        <v>100</v>
      </c>
      <c r="R216" t="s">
        <v>38</v>
      </c>
      <c r="S216">
        <v>7</v>
      </c>
      <c r="T216">
        <v>7</v>
      </c>
      <c r="U216">
        <v>218</v>
      </c>
      <c r="V216" t="s">
        <v>0</v>
      </c>
      <c r="W216" t="s">
        <v>5</v>
      </c>
      <c r="X216" t="s">
        <v>0</v>
      </c>
      <c r="Y216" t="s">
        <v>4</v>
      </c>
      <c r="Z216" t="s">
        <v>5</v>
      </c>
      <c r="AA216">
        <v>11.57</v>
      </c>
      <c r="AB216">
        <v>0</v>
      </c>
      <c r="AC216">
        <v>0.17</v>
      </c>
      <c r="AD216" t="s">
        <v>3</v>
      </c>
      <c r="AE216" t="s">
        <v>0</v>
      </c>
      <c r="AF216" t="s">
        <v>3</v>
      </c>
      <c r="AG216" t="s">
        <v>2</v>
      </c>
      <c r="AI216" t="s">
        <v>23</v>
      </c>
      <c r="AJ216">
        <v>4</v>
      </c>
      <c r="AK216">
        <v>24</v>
      </c>
      <c r="AL216">
        <v>52</v>
      </c>
      <c r="AM216" t="s">
        <v>0</v>
      </c>
      <c r="AN216">
        <v>1</v>
      </c>
      <c r="AO216">
        <v>1</v>
      </c>
      <c r="AP216">
        <v>0</v>
      </c>
      <c r="AQ216">
        <v>0</v>
      </c>
    </row>
    <row r="217" spans="1:43" x14ac:dyDescent="0.25">
      <c r="A217" t="s">
        <v>3318</v>
      </c>
      <c r="B217" t="s">
        <v>971</v>
      </c>
      <c r="C217" t="s">
        <v>3317</v>
      </c>
      <c r="D217" s="1">
        <v>46012</v>
      </c>
      <c r="E217" t="s">
        <v>162</v>
      </c>
      <c r="F217" t="s">
        <v>540</v>
      </c>
      <c r="G217" t="s">
        <v>17</v>
      </c>
      <c r="H217" t="s">
        <v>29</v>
      </c>
      <c r="I217" t="s">
        <v>28</v>
      </c>
      <c r="J217" t="s">
        <v>14</v>
      </c>
      <c r="K217" t="s">
        <v>13</v>
      </c>
      <c r="L217" t="s">
        <v>42</v>
      </c>
      <c r="M217" t="s">
        <v>53</v>
      </c>
      <c r="N217" t="s">
        <v>154</v>
      </c>
      <c r="O217" t="s">
        <v>199</v>
      </c>
      <c r="P217" t="s">
        <v>39</v>
      </c>
      <c r="Q217" t="s">
        <v>7</v>
      </c>
      <c r="R217" t="s">
        <v>6</v>
      </c>
      <c r="S217">
        <v>5</v>
      </c>
      <c r="T217">
        <v>5</v>
      </c>
      <c r="U217">
        <v>108</v>
      </c>
      <c r="V217" t="s">
        <v>0</v>
      </c>
      <c r="W217" t="s">
        <v>5</v>
      </c>
      <c r="X217" t="s">
        <v>0</v>
      </c>
      <c r="Y217" t="s">
        <v>4</v>
      </c>
      <c r="Z217" t="s">
        <v>5</v>
      </c>
      <c r="AA217">
        <v>113.52</v>
      </c>
      <c r="AB217">
        <v>0</v>
      </c>
      <c r="AC217">
        <v>0.17</v>
      </c>
      <c r="AD217" t="s">
        <v>3</v>
      </c>
      <c r="AE217" t="s">
        <v>0</v>
      </c>
      <c r="AF217" t="s">
        <v>3</v>
      </c>
      <c r="AG217" t="s">
        <v>2</v>
      </c>
      <c r="AI217" t="s">
        <v>23</v>
      </c>
      <c r="AJ217">
        <v>5</v>
      </c>
      <c r="AK217">
        <v>14</v>
      </c>
      <c r="AL217">
        <v>39</v>
      </c>
      <c r="AM217" t="s">
        <v>0</v>
      </c>
      <c r="AN217">
        <v>1</v>
      </c>
      <c r="AO217">
        <v>1</v>
      </c>
      <c r="AP217">
        <v>0</v>
      </c>
      <c r="AQ217">
        <v>0</v>
      </c>
    </row>
    <row r="218" spans="1:43" x14ac:dyDescent="0.25">
      <c r="A218" t="s">
        <v>3316</v>
      </c>
      <c r="B218" t="s">
        <v>3315</v>
      </c>
      <c r="C218" t="s">
        <v>3314</v>
      </c>
      <c r="D218" s="1">
        <v>46331</v>
      </c>
      <c r="E218" t="s">
        <v>162</v>
      </c>
      <c r="F218" t="s">
        <v>310</v>
      </c>
      <c r="G218" t="s">
        <v>17</v>
      </c>
      <c r="H218" t="s">
        <v>16</v>
      </c>
      <c r="I218" t="s">
        <v>28</v>
      </c>
      <c r="J218" t="s">
        <v>14</v>
      </c>
      <c r="K218" t="s">
        <v>13</v>
      </c>
      <c r="L218" t="s">
        <v>42</v>
      </c>
      <c r="M218" t="s">
        <v>11</v>
      </c>
      <c r="N218" t="s">
        <v>10</v>
      </c>
      <c r="O218" t="s">
        <v>101</v>
      </c>
      <c r="P218" t="s">
        <v>8</v>
      </c>
      <c r="Q218" t="s">
        <v>7</v>
      </c>
      <c r="R218" t="s">
        <v>6</v>
      </c>
      <c r="S218">
        <v>4</v>
      </c>
      <c r="T218">
        <v>2</v>
      </c>
      <c r="U218">
        <v>122</v>
      </c>
      <c r="V218" t="s">
        <v>5</v>
      </c>
      <c r="W218" t="s">
        <v>5</v>
      </c>
      <c r="X218" t="s">
        <v>0</v>
      </c>
      <c r="Y218" t="s">
        <v>4</v>
      </c>
      <c r="Z218" t="s">
        <v>5</v>
      </c>
      <c r="AA218">
        <v>112.65</v>
      </c>
      <c r="AB218">
        <v>0.46</v>
      </c>
      <c r="AC218">
        <v>0</v>
      </c>
      <c r="AD218" t="s">
        <v>3</v>
      </c>
      <c r="AE218" t="s">
        <v>0</v>
      </c>
      <c r="AF218" t="s">
        <v>3</v>
      </c>
      <c r="AG218" t="s">
        <v>2</v>
      </c>
      <c r="AI218" t="s">
        <v>23</v>
      </c>
      <c r="AJ218">
        <v>3</v>
      </c>
      <c r="AK218">
        <v>-9</v>
      </c>
      <c r="AL218">
        <v>26</v>
      </c>
      <c r="AM218" t="s">
        <v>0</v>
      </c>
      <c r="AN218">
        <v>1</v>
      </c>
      <c r="AO218">
        <v>1</v>
      </c>
      <c r="AP218">
        <v>0</v>
      </c>
      <c r="AQ218">
        <v>0</v>
      </c>
    </row>
    <row r="219" spans="1:43" x14ac:dyDescent="0.25">
      <c r="A219" t="s">
        <v>3313</v>
      </c>
      <c r="B219" t="s">
        <v>3312</v>
      </c>
      <c r="C219" t="s">
        <v>3311</v>
      </c>
      <c r="D219" s="1">
        <v>45973</v>
      </c>
      <c r="E219" t="s">
        <v>112</v>
      </c>
      <c r="F219" t="s">
        <v>461</v>
      </c>
      <c r="G219" t="s">
        <v>17</v>
      </c>
      <c r="H219" t="s">
        <v>16</v>
      </c>
      <c r="I219" t="s">
        <v>15</v>
      </c>
      <c r="J219" t="s">
        <v>55</v>
      </c>
      <c r="K219" t="s">
        <v>54</v>
      </c>
      <c r="L219" t="s">
        <v>64</v>
      </c>
      <c r="M219" t="s">
        <v>11</v>
      </c>
      <c r="N219" t="s">
        <v>93</v>
      </c>
      <c r="O219" t="s">
        <v>26</v>
      </c>
      <c r="P219" t="s">
        <v>8</v>
      </c>
      <c r="Q219" t="s">
        <v>198</v>
      </c>
      <c r="R219" t="s">
        <v>6</v>
      </c>
      <c r="S219">
        <v>4</v>
      </c>
      <c r="T219">
        <v>4</v>
      </c>
      <c r="U219">
        <v>124</v>
      </c>
      <c r="V219" t="s">
        <v>0</v>
      </c>
      <c r="W219" t="s">
        <v>135</v>
      </c>
      <c r="X219" t="s">
        <v>0</v>
      </c>
      <c r="Y219" t="s">
        <v>4</v>
      </c>
      <c r="Z219" t="s">
        <v>5</v>
      </c>
      <c r="AA219">
        <v>92.4</v>
      </c>
      <c r="AB219">
        <v>0.2</v>
      </c>
      <c r="AC219">
        <v>0</v>
      </c>
      <c r="AD219" t="s">
        <v>3</v>
      </c>
      <c r="AE219" t="s">
        <v>0</v>
      </c>
      <c r="AF219" t="s">
        <v>3</v>
      </c>
      <c r="AG219" t="s">
        <v>2</v>
      </c>
      <c r="AI219" t="s">
        <v>23</v>
      </c>
      <c r="AJ219">
        <v>3</v>
      </c>
      <c r="AK219">
        <v>0</v>
      </c>
      <c r="AL219">
        <v>29</v>
      </c>
      <c r="AM219" t="s">
        <v>5</v>
      </c>
      <c r="AN219">
        <v>0</v>
      </c>
      <c r="AO219">
        <v>1</v>
      </c>
      <c r="AP219">
        <v>0</v>
      </c>
      <c r="AQ219">
        <v>1</v>
      </c>
    </row>
    <row r="220" spans="1:43" x14ac:dyDescent="0.25">
      <c r="A220" t="s">
        <v>3310</v>
      </c>
      <c r="B220" t="s">
        <v>3309</v>
      </c>
      <c r="C220" t="s">
        <v>3308</v>
      </c>
      <c r="D220" s="1">
        <v>45835</v>
      </c>
      <c r="E220" t="s">
        <v>149</v>
      </c>
      <c r="F220" t="s">
        <v>148</v>
      </c>
      <c r="G220" t="s">
        <v>83</v>
      </c>
      <c r="H220" t="s">
        <v>77</v>
      </c>
      <c r="I220" t="s">
        <v>28</v>
      </c>
      <c r="J220" t="s">
        <v>14</v>
      </c>
      <c r="K220" t="s">
        <v>13</v>
      </c>
      <c r="L220" t="s">
        <v>12</v>
      </c>
      <c r="M220" t="s">
        <v>11</v>
      </c>
      <c r="N220" t="s">
        <v>10</v>
      </c>
      <c r="O220" t="s">
        <v>40</v>
      </c>
      <c r="P220" t="s">
        <v>39</v>
      </c>
      <c r="Q220" t="s">
        <v>7</v>
      </c>
      <c r="R220" t="s">
        <v>6</v>
      </c>
      <c r="S220">
        <v>8</v>
      </c>
      <c r="T220">
        <v>8</v>
      </c>
      <c r="U220">
        <v>244</v>
      </c>
      <c r="V220" t="s">
        <v>0</v>
      </c>
      <c r="W220" t="s">
        <v>0</v>
      </c>
      <c r="X220" t="s">
        <v>0</v>
      </c>
      <c r="Y220" t="s">
        <v>4</v>
      </c>
      <c r="Z220" t="s">
        <v>0</v>
      </c>
      <c r="AA220">
        <v>0</v>
      </c>
      <c r="AB220">
        <v>0</v>
      </c>
      <c r="AC220">
        <v>0</v>
      </c>
      <c r="AD220" t="s">
        <v>3</v>
      </c>
      <c r="AE220" t="s">
        <v>0</v>
      </c>
      <c r="AF220" t="s">
        <v>3</v>
      </c>
      <c r="AG220" t="s">
        <v>2</v>
      </c>
      <c r="AI220" t="s">
        <v>1</v>
      </c>
      <c r="AJ220">
        <v>2</v>
      </c>
      <c r="AK220">
        <v>-8</v>
      </c>
      <c r="AL220">
        <v>29</v>
      </c>
      <c r="AM220" t="s">
        <v>5</v>
      </c>
      <c r="AN220">
        <v>0</v>
      </c>
      <c r="AO220">
        <v>0</v>
      </c>
      <c r="AP220">
        <v>0</v>
      </c>
      <c r="AQ220">
        <v>1</v>
      </c>
    </row>
    <row r="221" spans="1:43" x14ac:dyDescent="0.25">
      <c r="A221" t="s">
        <v>3307</v>
      </c>
      <c r="B221" t="s">
        <v>1666</v>
      </c>
      <c r="C221" t="s">
        <v>3306</v>
      </c>
      <c r="D221" s="1">
        <v>45901</v>
      </c>
      <c r="E221" t="s">
        <v>125</v>
      </c>
      <c r="F221" t="s">
        <v>265</v>
      </c>
      <c r="G221" t="s">
        <v>83</v>
      </c>
      <c r="H221" t="s">
        <v>77</v>
      </c>
      <c r="I221" t="s">
        <v>15</v>
      </c>
      <c r="J221" t="s">
        <v>55</v>
      </c>
      <c r="K221" t="s">
        <v>54</v>
      </c>
      <c r="L221" t="s">
        <v>64</v>
      </c>
      <c r="M221" t="s">
        <v>53</v>
      </c>
      <c r="N221" t="s">
        <v>75</v>
      </c>
      <c r="O221" t="s">
        <v>193</v>
      </c>
      <c r="P221" t="s">
        <v>39</v>
      </c>
      <c r="Q221" t="s">
        <v>50</v>
      </c>
      <c r="R221" t="s">
        <v>6</v>
      </c>
      <c r="S221">
        <v>9</v>
      </c>
      <c r="T221">
        <v>9</v>
      </c>
      <c r="U221">
        <v>244</v>
      </c>
      <c r="V221" t="s">
        <v>0</v>
      </c>
      <c r="W221" t="s">
        <v>181</v>
      </c>
      <c r="X221" t="s">
        <v>0</v>
      </c>
      <c r="Y221" t="s">
        <v>4</v>
      </c>
      <c r="Z221" t="s">
        <v>0</v>
      </c>
      <c r="AA221">
        <v>0</v>
      </c>
      <c r="AB221">
        <v>0</v>
      </c>
      <c r="AC221">
        <v>0</v>
      </c>
      <c r="AD221" t="s">
        <v>3</v>
      </c>
      <c r="AE221" t="s">
        <v>0</v>
      </c>
      <c r="AF221" t="s">
        <v>3</v>
      </c>
      <c r="AG221" t="s">
        <v>2</v>
      </c>
      <c r="AI221" t="s">
        <v>191</v>
      </c>
      <c r="AJ221">
        <v>2</v>
      </c>
      <c r="AK221">
        <v>2</v>
      </c>
      <c r="AL221">
        <v>4</v>
      </c>
      <c r="AM221" t="s">
        <v>5</v>
      </c>
      <c r="AN221">
        <v>0</v>
      </c>
      <c r="AO221">
        <v>0</v>
      </c>
      <c r="AP221">
        <v>0</v>
      </c>
      <c r="AQ221">
        <v>1</v>
      </c>
    </row>
    <row r="222" spans="1:43" x14ac:dyDescent="0.25">
      <c r="A222" t="s">
        <v>3305</v>
      </c>
      <c r="B222" t="s">
        <v>3304</v>
      </c>
      <c r="C222" t="s">
        <v>3303</v>
      </c>
      <c r="D222" s="1">
        <v>45754</v>
      </c>
      <c r="E222" t="s">
        <v>168</v>
      </c>
      <c r="F222" t="s">
        <v>283</v>
      </c>
      <c r="G222" t="s">
        <v>56</v>
      </c>
      <c r="H222" t="s">
        <v>16</v>
      </c>
      <c r="I222" t="s">
        <v>15</v>
      </c>
      <c r="J222" t="s">
        <v>14</v>
      </c>
      <c r="K222" t="s">
        <v>13</v>
      </c>
      <c r="L222" t="s">
        <v>64</v>
      </c>
      <c r="M222" t="s">
        <v>11</v>
      </c>
      <c r="N222" t="s">
        <v>10</v>
      </c>
      <c r="O222" t="s">
        <v>9</v>
      </c>
      <c r="P222" t="s">
        <v>39</v>
      </c>
      <c r="Q222" t="s">
        <v>7</v>
      </c>
      <c r="R222" t="s">
        <v>6</v>
      </c>
      <c r="S222">
        <v>7</v>
      </c>
      <c r="T222">
        <v>7</v>
      </c>
      <c r="U222">
        <v>215</v>
      </c>
      <c r="V222" t="s">
        <v>0</v>
      </c>
      <c r="W222" t="s">
        <v>5</v>
      </c>
      <c r="X222" t="s">
        <v>0</v>
      </c>
      <c r="Y222" t="s">
        <v>4</v>
      </c>
      <c r="Z222" t="s">
        <v>0</v>
      </c>
      <c r="AA222">
        <v>0</v>
      </c>
      <c r="AB222">
        <v>0</v>
      </c>
      <c r="AC222">
        <v>0</v>
      </c>
      <c r="AD222" t="s">
        <v>3</v>
      </c>
      <c r="AE222" t="s">
        <v>0</v>
      </c>
      <c r="AF222" t="s">
        <v>3</v>
      </c>
      <c r="AG222" t="s">
        <v>2</v>
      </c>
      <c r="AI222" t="s">
        <v>23</v>
      </c>
      <c r="AJ222">
        <v>4</v>
      </c>
      <c r="AK222">
        <v>34</v>
      </c>
      <c r="AL222">
        <v>50</v>
      </c>
      <c r="AM222" t="s">
        <v>0</v>
      </c>
      <c r="AN222">
        <v>1</v>
      </c>
      <c r="AO222">
        <v>0</v>
      </c>
      <c r="AP222">
        <v>0</v>
      </c>
      <c r="AQ222">
        <v>0</v>
      </c>
    </row>
    <row r="223" spans="1:43" x14ac:dyDescent="0.25">
      <c r="A223" t="s">
        <v>3302</v>
      </c>
      <c r="B223" t="s">
        <v>371</v>
      </c>
      <c r="C223" t="s">
        <v>3301</v>
      </c>
      <c r="D223" s="1">
        <v>46088</v>
      </c>
      <c r="E223" t="s">
        <v>162</v>
      </c>
      <c r="F223" t="s">
        <v>200</v>
      </c>
      <c r="G223" t="s">
        <v>17</v>
      </c>
      <c r="H223" t="s">
        <v>77</v>
      </c>
      <c r="I223" t="s">
        <v>28</v>
      </c>
      <c r="J223" t="s">
        <v>14</v>
      </c>
      <c r="K223" t="s">
        <v>13</v>
      </c>
      <c r="L223" t="s">
        <v>117</v>
      </c>
      <c r="M223" t="s">
        <v>11</v>
      </c>
      <c r="N223" t="s">
        <v>10</v>
      </c>
      <c r="O223" t="s">
        <v>193</v>
      </c>
      <c r="P223" t="s">
        <v>8</v>
      </c>
      <c r="Q223" t="s">
        <v>24</v>
      </c>
      <c r="R223" t="s">
        <v>6</v>
      </c>
      <c r="S223">
        <v>9</v>
      </c>
      <c r="T223">
        <v>6</v>
      </c>
      <c r="U223">
        <v>376</v>
      </c>
      <c r="V223" t="s">
        <v>5</v>
      </c>
      <c r="W223" t="s">
        <v>0</v>
      </c>
      <c r="X223" t="s">
        <v>0</v>
      </c>
      <c r="Y223" t="s">
        <v>4</v>
      </c>
      <c r="Z223" t="s">
        <v>0</v>
      </c>
      <c r="AA223">
        <v>0</v>
      </c>
      <c r="AB223">
        <v>0</v>
      </c>
      <c r="AC223">
        <v>0</v>
      </c>
      <c r="AD223" t="s">
        <v>187</v>
      </c>
      <c r="AE223" t="s">
        <v>5</v>
      </c>
      <c r="AF223" t="s">
        <v>187</v>
      </c>
      <c r="AG223" t="s">
        <v>36</v>
      </c>
      <c r="AH223">
        <v>56</v>
      </c>
      <c r="AI223" t="s">
        <v>332</v>
      </c>
      <c r="AJ223">
        <v>3</v>
      </c>
      <c r="AK223">
        <v>-5</v>
      </c>
      <c r="AL223">
        <v>45</v>
      </c>
      <c r="AM223" t="s">
        <v>5</v>
      </c>
      <c r="AN223">
        <v>0</v>
      </c>
      <c r="AO223">
        <v>0</v>
      </c>
      <c r="AP223">
        <v>0</v>
      </c>
      <c r="AQ223">
        <v>1</v>
      </c>
    </row>
    <row r="224" spans="1:43" x14ac:dyDescent="0.25">
      <c r="A224" t="s">
        <v>3300</v>
      </c>
      <c r="B224" t="s">
        <v>1490</v>
      </c>
      <c r="C224" t="s">
        <v>3299</v>
      </c>
      <c r="D224" s="1">
        <v>45764</v>
      </c>
      <c r="E224" t="s">
        <v>68</v>
      </c>
      <c r="F224" t="s">
        <v>216</v>
      </c>
      <c r="G224" t="s">
        <v>17</v>
      </c>
      <c r="H224" t="s">
        <v>29</v>
      </c>
      <c r="I224" t="s">
        <v>15</v>
      </c>
      <c r="J224" t="s">
        <v>55</v>
      </c>
      <c r="K224" t="s">
        <v>54</v>
      </c>
      <c r="L224" t="s">
        <v>42</v>
      </c>
      <c r="M224" t="s">
        <v>11</v>
      </c>
      <c r="N224" t="s">
        <v>154</v>
      </c>
      <c r="O224" t="s">
        <v>199</v>
      </c>
      <c r="P224" t="s">
        <v>39</v>
      </c>
      <c r="Q224" t="s">
        <v>7</v>
      </c>
      <c r="R224" t="s">
        <v>6</v>
      </c>
      <c r="S224">
        <v>5</v>
      </c>
      <c r="T224">
        <v>3</v>
      </c>
      <c r="U224">
        <v>240</v>
      </c>
      <c r="V224" t="s">
        <v>5</v>
      </c>
      <c r="W224" t="s">
        <v>5</v>
      </c>
      <c r="X224" t="s">
        <v>0</v>
      </c>
      <c r="Y224" t="s">
        <v>4</v>
      </c>
      <c r="Z224" t="s">
        <v>5</v>
      </c>
      <c r="AA224">
        <v>124.3</v>
      </c>
      <c r="AB224">
        <v>0</v>
      </c>
      <c r="AC224">
        <v>0</v>
      </c>
      <c r="AD224" t="s">
        <v>3</v>
      </c>
      <c r="AE224" t="s">
        <v>0</v>
      </c>
      <c r="AF224" t="s">
        <v>3</v>
      </c>
      <c r="AG224" t="s">
        <v>2</v>
      </c>
      <c r="AI224" t="s">
        <v>23</v>
      </c>
      <c r="AJ224">
        <v>3</v>
      </c>
      <c r="AK224">
        <v>34</v>
      </c>
      <c r="AL224">
        <v>21</v>
      </c>
      <c r="AM224" t="s">
        <v>5</v>
      </c>
      <c r="AN224">
        <v>1</v>
      </c>
      <c r="AO224">
        <v>1</v>
      </c>
      <c r="AP224">
        <v>0</v>
      </c>
      <c r="AQ224">
        <v>1</v>
      </c>
    </row>
    <row r="225" spans="1:43" x14ac:dyDescent="0.25">
      <c r="A225" t="s">
        <v>3298</v>
      </c>
      <c r="B225" t="s">
        <v>1397</v>
      </c>
      <c r="C225" t="s">
        <v>3297</v>
      </c>
      <c r="D225" s="1">
        <v>45873</v>
      </c>
      <c r="E225" t="s">
        <v>112</v>
      </c>
      <c r="F225" t="s">
        <v>461</v>
      </c>
      <c r="G225" t="s">
        <v>56</v>
      </c>
      <c r="H225" t="s">
        <v>77</v>
      </c>
      <c r="I225" t="s">
        <v>28</v>
      </c>
      <c r="J225" t="s">
        <v>55</v>
      </c>
      <c r="K225" t="s">
        <v>54</v>
      </c>
      <c r="L225" t="s">
        <v>12</v>
      </c>
      <c r="M225" t="s">
        <v>11</v>
      </c>
      <c r="N225" t="s">
        <v>41</v>
      </c>
      <c r="O225" t="s">
        <v>199</v>
      </c>
      <c r="P225" t="s">
        <v>39</v>
      </c>
      <c r="Q225" t="s">
        <v>100</v>
      </c>
      <c r="R225" t="s">
        <v>38</v>
      </c>
      <c r="S225">
        <v>5</v>
      </c>
      <c r="T225">
        <v>5</v>
      </c>
      <c r="U225">
        <v>104</v>
      </c>
      <c r="V225" t="s">
        <v>0</v>
      </c>
      <c r="W225" t="s">
        <v>5</v>
      </c>
      <c r="X225" t="s">
        <v>0</v>
      </c>
      <c r="Y225" t="s">
        <v>4</v>
      </c>
      <c r="Z225" t="s">
        <v>5</v>
      </c>
      <c r="AA225">
        <v>52.06</v>
      </c>
      <c r="AB225">
        <v>0</v>
      </c>
      <c r="AC225">
        <v>0</v>
      </c>
      <c r="AD225" t="s">
        <v>3</v>
      </c>
      <c r="AE225" t="s">
        <v>0</v>
      </c>
      <c r="AF225" t="s">
        <v>3</v>
      </c>
      <c r="AG225" t="s">
        <v>2</v>
      </c>
      <c r="AI225" t="s">
        <v>23</v>
      </c>
      <c r="AJ225">
        <v>4</v>
      </c>
      <c r="AK225">
        <v>75</v>
      </c>
      <c r="AL225" t="s">
        <v>3296</v>
      </c>
      <c r="AM225" t="s">
        <v>0</v>
      </c>
      <c r="AN225">
        <v>1</v>
      </c>
      <c r="AO225">
        <v>1</v>
      </c>
      <c r="AP225">
        <v>0</v>
      </c>
      <c r="AQ225">
        <v>0</v>
      </c>
    </row>
    <row r="226" spans="1:43" x14ac:dyDescent="0.25">
      <c r="A226" t="s">
        <v>3295</v>
      </c>
      <c r="B226" t="s">
        <v>3294</v>
      </c>
      <c r="C226" t="s">
        <v>3293</v>
      </c>
      <c r="D226" s="1">
        <v>45775</v>
      </c>
      <c r="E226" t="s">
        <v>156</v>
      </c>
      <c r="F226" t="s">
        <v>325</v>
      </c>
      <c r="G226" t="s">
        <v>17</v>
      </c>
      <c r="H226" t="s">
        <v>16</v>
      </c>
      <c r="I226" t="s">
        <v>28</v>
      </c>
      <c r="J226" t="s">
        <v>14</v>
      </c>
      <c r="K226" t="s">
        <v>13</v>
      </c>
      <c r="L226" t="s">
        <v>88</v>
      </c>
      <c r="M226" t="s">
        <v>11</v>
      </c>
      <c r="N226" t="s">
        <v>10</v>
      </c>
      <c r="O226" t="s">
        <v>26</v>
      </c>
      <c r="P226" t="s">
        <v>39</v>
      </c>
      <c r="Q226" t="s">
        <v>7</v>
      </c>
      <c r="R226" t="s">
        <v>6</v>
      </c>
      <c r="S226">
        <v>4</v>
      </c>
      <c r="T226">
        <v>4</v>
      </c>
      <c r="U226">
        <v>124</v>
      </c>
      <c r="V226" t="s">
        <v>0</v>
      </c>
      <c r="W226" t="s">
        <v>5</v>
      </c>
      <c r="X226" t="s">
        <v>0</v>
      </c>
      <c r="Y226" t="s">
        <v>4</v>
      </c>
      <c r="Z226" t="s">
        <v>5</v>
      </c>
      <c r="AA226">
        <v>225.09</v>
      </c>
      <c r="AB226">
        <v>0.18</v>
      </c>
      <c r="AC226">
        <v>0</v>
      </c>
      <c r="AD226" t="s">
        <v>3</v>
      </c>
      <c r="AE226" t="s">
        <v>0</v>
      </c>
      <c r="AF226" t="s">
        <v>3</v>
      </c>
      <c r="AG226" t="s">
        <v>2</v>
      </c>
      <c r="AI226" t="s">
        <v>23</v>
      </c>
      <c r="AJ226">
        <v>4</v>
      </c>
      <c r="AK226">
        <v>71</v>
      </c>
      <c r="AL226">
        <v>35</v>
      </c>
      <c r="AM226" t="s">
        <v>5</v>
      </c>
      <c r="AN226">
        <v>1</v>
      </c>
      <c r="AO226">
        <v>1</v>
      </c>
      <c r="AP226">
        <v>0</v>
      </c>
      <c r="AQ226">
        <v>1</v>
      </c>
    </row>
    <row r="227" spans="1:43" x14ac:dyDescent="0.25">
      <c r="A227" t="s">
        <v>3292</v>
      </c>
      <c r="B227" t="s">
        <v>3291</v>
      </c>
      <c r="C227" t="s">
        <v>3290</v>
      </c>
      <c r="D227" s="1">
        <v>46138</v>
      </c>
      <c r="E227" t="s">
        <v>68</v>
      </c>
      <c r="F227" t="s">
        <v>243</v>
      </c>
      <c r="G227" t="s">
        <v>83</v>
      </c>
      <c r="H227" t="s">
        <v>66</v>
      </c>
      <c r="I227" t="s">
        <v>15</v>
      </c>
      <c r="J227" t="s">
        <v>146</v>
      </c>
      <c r="K227" t="s">
        <v>145</v>
      </c>
      <c r="L227" t="s">
        <v>64</v>
      </c>
      <c r="M227" t="s">
        <v>27</v>
      </c>
      <c r="N227" t="s">
        <v>41</v>
      </c>
      <c r="O227" t="s">
        <v>51</v>
      </c>
      <c r="P227" t="s">
        <v>39</v>
      </c>
      <c r="Q227" t="s">
        <v>100</v>
      </c>
      <c r="R227" t="s">
        <v>6</v>
      </c>
      <c r="S227">
        <v>6</v>
      </c>
      <c r="T227">
        <v>6</v>
      </c>
      <c r="U227">
        <v>136</v>
      </c>
      <c r="V227" t="s">
        <v>0</v>
      </c>
      <c r="W227" t="s">
        <v>0</v>
      </c>
      <c r="X227" t="s">
        <v>0</v>
      </c>
      <c r="Y227" t="s">
        <v>4</v>
      </c>
      <c r="Z227" t="s">
        <v>5</v>
      </c>
      <c r="AA227">
        <v>104.14</v>
      </c>
      <c r="AB227">
        <v>0.1</v>
      </c>
      <c r="AC227">
        <v>0.37</v>
      </c>
      <c r="AD227" t="s">
        <v>3</v>
      </c>
      <c r="AE227" t="s">
        <v>0</v>
      </c>
      <c r="AF227" t="s">
        <v>3</v>
      </c>
      <c r="AG227" t="s">
        <v>2</v>
      </c>
      <c r="AI227" t="s">
        <v>23</v>
      </c>
      <c r="AJ227">
        <v>3</v>
      </c>
      <c r="AK227">
        <v>-11</v>
      </c>
      <c r="AL227">
        <v>40</v>
      </c>
      <c r="AM227" t="s">
        <v>0</v>
      </c>
      <c r="AN227">
        <v>0</v>
      </c>
      <c r="AO227">
        <v>1</v>
      </c>
      <c r="AP227">
        <v>0</v>
      </c>
      <c r="AQ227">
        <v>0</v>
      </c>
    </row>
    <row r="228" spans="1:43" x14ac:dyDescent="0.25">
      <c r="A228" t="s">
        <v>3289</v>
      </c>
      <c r="B228" t="s">
        <v>3288</v>
      </c>
      <c r="C228" t="s">
        <v>3287</v>
      </c>
      <c r="D228" s="1">
        <v>45983</v>
      </c>
      <c r="E228" t="s">
        <v>95</v>
      </c>
      <c r="F228" t="s">
        <v>321</v>
      </c>
      <c r="G228" t="s">
        <v>30</v>
      </c>
      <c r="H228" t="s">
        <v>16</v>
      </c>
      <c r="I228" t="s">
        <v>28</v>
      </c>
      <c r="J228" t="s">
        <v>14</v>
      </c>
      <c r="K228" t="s">
        <v>13</v>
      </c>
      <c r="L228" t="s">
        <v>12</v>
      </c>
      <c r="M228" t="s">
        <v>27</v>
      </c>
      <c r="N228" t="s">
        <v>154</v>
      </c>
      <c r="O228" t="s">
        <v>193</v>
      </c>
      <c r="P228" t="s">
        <v>39</v>
      </c>
      <c r="Q228" t="s">
        <v>7</v>
      </c>
      <c r="R228" t="s">
        <v>6</v>
      </c>
      <c r="S228">
        <v>9</v>
      </c>
      <c r="T228">
        <v>9</v>
      </c>
      <c r="U228">
        <v>218</v>
      </c>
      <c r="V228" t="s">
        <v>0</v>
      </c>
      <c r="W228" t="s">
        <v>5</v>
      </c>
      <c r="X228" t="s">
        <v>0</v>
      </c>
      <c r="Y228" t="s">
        <v>4</v>
      </c>
      <c r="Z228" t="s">
        <v>0</v>
      </c>
      <c r="AA228">
        <v>0</v>
      </c>
      <c r="AB228">
        <v>0</v>
      </c>
      <c r="AC228">
        <v>0</v>
      </c>
      <c r="AD228" t="s">
        <v>3</v>
      </c>
      <c r="AE228" t="s">
        <v>0</v>
      </c>
      <c r="AF228" t="s">
        <v>3</v>
      </c>
      <c r="AG228" t="s">
        <v>2</v>
      </c>
      <c r="AI228" t="s">
        <v>23</v>
      </c>
      <c r="AJ228">
        <v>4</v>
      </c>
      <c r="AK228">
        <v>2</v>
      </c>
      <c r="AL228">
        <v>6</v>
      </c>
      <c r="AM228" t="s">
        <v>5</v>
      </c>
      <c r="AN228">
        <v>1</v>
      </c>
      <c r="AO228">
        <v>0</v>
      </c>
      <c r="AP228">
        <v>0</v>
      </c>
      <c r="AQ228">
        <v>1</v>
      </c>
    </row>
    <row r="229" spans="1:43" x14ac:dyDescent="0.25">
      <c r="A229" t="s">
        <v>3286</v>
      </c>
      <c r="B229" t="s">
        <v>1478</v>
      </c>
      <c r="C229" t="s">
        <v>3285</v>
      </c>
      <c r="D229" s="1">
        <v>45660</v>
      </c>
      <c r="E229" t="s">
        <v>149</v>
      </c>
      <c r="F229" t="s">
        <v>148</v>
      </c>
      <c r="G229" t="s">
        <v>30</v>
      </c>
      <c r="H229" t="s">
        <v>43</v>
      </c>
      <c r="I229" t="s">
        <v>147</v>
      </c>
      <c r="J229" t="s">
        <v>146</v>
      </c>
      <c r="K229" t="s">
        <v>145</v>
      </c>
      <c r="L229" t="s">
        <v>64</v>
      </c>
      <c r="M229" t="s">
        <v>11</v>
      </c>
      <c r="N229" t="s">
        <v>10</v>
      </c>
      <c r="O229" t="s">
        <v>26</v>
      </c>
      <c r="P229" t="s">
        <v>39</v>
      </c>
      <c r="Q229" t="s">
        <v>7</v>
      </c>
      <c r="R229" t="s">
        <v>6</v>
      </c>
      <c r="S229">
        <v>4</v>
      </c>
      <c r="T229">
        <v>4</v>
      </c>
      <c r="U229">
        <v>106</v>
      </c>
      <c r="V229" t="s">
        <v>0</v>
      </c>
      <c r="W229" t="s">
        <v>0</v>
      </c>
      <c r="X229" t="s">
        <v>5</v>
      </c>
      <c r="Y229" t="s">
        <v>144</v>
      </c>
      <c r="Z229" t="s">
        <v>0</v>
      </c>
      <c r="AA229">
        <v>0</v>
      </c>
      <c r="AB229">
        <v>0</v>
      </c>
      <c r="AC229">
        <v>0</v>
      </c>
      <c r="AD229" t="s">
        <v>3</v>
      </c>
      <c r="AE229" t="s">
        <v>0</v>
      </c>
      <c r="AF229" t="s">
        <v>3</v>
      </c>
      <c r="AG229" t="s">
        <v>2</v>
      </c>
      <c r="AI229" t="s">
        <v>122</v>
      </c>
      <c r="AJ229">
        <v>3</v>
      </c>
      <c r="AK229">
        <v>17</v>
      </c>
      <c r="AL229">
        <v>21</v>
      </c>
      <c r="AM229" t="s">
        <v>0</v>
      </c>
      <c r="AN229">
        <v>0</v>
      </c>
      <c r="AO229">
        <v>0</v>
      </c>
      <c r="AP229">
        <v>1</v>
      </c>
      <c r="AQ229">
        <v>0</v>
      </c>
    </row>
    <row r="230" spans="1:43" x14ac:dyDescent="0.25">
      <c r="A230" t="s">
        <v>3284</v>
      </c>
      <c r="B230" t="s">
        <v>3283</v>
      </c>
      <c r="C230" t="s">
        <v>3282</v>
      </c>
      <c r="D230" s="1">
        <v>45948</v>
      </c>
      <c r="E230" t="s">
        <v>95</v>
      </c>
      <c r="F230" t="s">
        <v>270</v>
      </c>
      <c r="G230" t="s">
        <v>131</v>
      </c>
      <c r="H230" t="s">
        <v>29</v>
      </c>
      <c r="I230" t="s">
        <v>28</v>
      </c>
      <c r="J230" t="s">
        <v>14</v>
      </c>
      <c r="K230" t="s">
        <v>13</v>
      </c>
      <c r="L230" t="s">
        <v>88</v>
      </c>
      <c r="M230" t="s">
        <v>11</v>
      </c>
      <c r="N230" t="s">
        <v>41</v>
      </c>
      <c r="O230" t="s">
        <v>9</v>
      </c>
      <c r="P230" t="s">
        <v>8</v>
      </c>
      <c r="Q230" t="s">
        <v>172</v>
      </c>
      <c r="R230" t="s">
        <v>247</v>
      </c>
      <c r="S230">
        <v>7</v>
      </c>
      <c r="T230">
        <v>5</v>
      </c>
      <c r="U230">
        <v>319</v>
      </c>
      <c r="V230" t="s">
        <v>5</v>
      </c>
      <c r="W230" t="s">
        <v>5</v>
      </c>
      <c r="X230" t="s">
        <v>0</v>
      </c>
      <c r="Y230" t="s">
        <v>4</v>
      </c>
      <c r="Z230" t="s">
        <v>5</v>
      </c>
      <c r="AA230">
        <v>0</v>
      </c>
      <c r="AB230">
        <v>0</v>
      </c>
      <c r="AC230">
        <v>0</v>
      </c>
      <c r="AD230" t="s">
        <v>3</v>
      </c>
      <c r="AE230" t="s">
        <v>0</v>
      </c>
      <c r="AF230" t="s">
        <v>3</v>
      </c>
      <c r="AG230" t="s">
        <v>2</v>
      </c>
      <c r="AI230" t="s">
        <v>23</v>
      </c>
      <c r="AJ230">
        <v>3</v>
      </c>
      <c r="AK230">
        <v>-36</v>
      </c>
      <c r="AL230">
        <v>58</v>
      </c>
      <c r="AM230" t="s">
        <v>0</v>
      </c>
      <c r="AN230">
        <v>1</v>
      </c>
      <c r="AO230">
        <v>1</v>
      </c>
      <c r="AP230">
        <v>0</v>
      </c>
      <c r="AQ230">
        <v>0</v>
      </c>
    </row>
    <row r="231" spans="1:43" x14ac:dyDescent="0.25">
      <c r="A231" t="s">
        <v>3281</v>
      </c>
      <c r="B231" t="s">
        <v>3280</v>
      </c>
      <c r="C231" t="s">
        <v>3279</v>
      </c>
      <c r="D231" s="1">
        <v>45875</v>
      </c>
      <c r="E231" t="s">
        <v>79</v>
      </c>
      <c r="F231" t="s">
        <v>78</v>
      </c>
      <c r="G231" t="s">
        <v>17</v>
      </c>
      <c r="H231" t="s">
        <v>66</v>
      </c>
      <c r="I231" t="s">
        <v>28</v>
      </c>
      <c r="J231" t="s">
        <v>14</v>
      </c>
      <c r="K231" t="s">
        <v>13</v>
      </c>
      <c r="L231" t="s">
        <v>64</v>
      </c>
      <c r="M231" t="s">
        <v>11</v>
      </c>
      <c r="N231" t="s">
        <v>52</v>
      </c>
      <c r="O231" t="s">
        <v>199</v>
      </c>
      <c r="P231" t="s">
        <v>63</v>
      </c>
      <c r="Q231" t="s">
        <v>7</v>
      </c>
      <c r="R231" t="s">
        <v>6</v>
      </c>
      <c r="S231" t="s">
        <v>277</v>
      </c>
      <c r="T231">
        <v>5</v>
      </c>
      <c r="U231">
        <v>130</v>
      </c>
      <c r="V231" t="s">
        <v>0</v>
      </c>
      <c r="W231" t="s">
        <v>5</v>
      </c>
      <c r="X231" t="s">
        <v>0</v>
      </c>
      <c r="Y231" t="s">
        <v>4</v>
      </c>
      <c r="Z231" t="s">
        <v>5</v>
      </c>
      <c r="AA231">
        <v>38.25</v>
      </c>
      <c r="AB231">
        <v>0</v>
      </c>
      <c r="AC231">
        <v>0</v>
      </c>
      <c r="AD231" t="s">
        <v>3</v>
      </c>
      <c r="AE231" t="s">
        <v>0</v>
      </c>
      <c r="AF231" t="s">
        <v>3</v>
      </c>
      <c r="AG231" t="s">
        <v>2</v>
      </c>
      <c r="AI231" t="s">
        <v>23</v>
      </c>
      <c r="AJ231">
        <v>4</v>
      </c>
      <c r="AK231">
        <v>-14</v>
      </c>
      <c r="AL231">
        <v>0</v>
      </c>
      <c r="AM231" t="s">
        <v>5</v>
      </c>
      <c r="AN231">
        <v>1</v>
      </c>
      <c r="AO231">
        <v>1</v>
      </c>
      <c r="AP231">
        <v>0</v>
      </c>
      <c r="AQ231">
        <v>1</v>
      </c>
    </row>
    <row r="232" spans="1:43" x14ac:dyDescent="0.25">
      <c r="A232" t="s">
        <v>3278</v>
      </c>
      <c r="B232" t="s">
        <v>330</v>
      </c>
      <c r="C232" t="s">
        <v>3277</v>
      </c>
      <c r="D232" s="1">
        <v>45912</v>
      </c>
      <c r="E232" t="s">
        <v>156</v>
      </c>
      <c r="F232" t="s">
        <v>3276</v>
      </c>
      <c r="G232" t="s">
        <v>83</v>
      </c>
      <c r="H232" t="s">
        <v>29</v>
      </c>
      <c r="I232" t="s">
        <v>15</v>
      </c>
      <c r="J232" t="s">
        <v>146</v>
      </c>
      <c r="K232" t="s">
        <v>145</v>
      </c>
      <c r="L232" t="s">
        <v>64</v>
      </c>
      <c r="M232" t="s">
        <v>11</v>
      </c>
      <c r="N232" t="s">
        <v>75</v>
      </c>
      <c r="O232" t="s">
        <v>26</v>
      </c>
      <c r="P232" t="s">
        <v>63</v>
      </c>
      <c r="Q232" t="s">
        <v>100</v>
      </c>
      <c r="R232" t="s">
        <v>38</v>
      </c>
      <c r="S232">
        <v>4</v>
      </c>
      <c r="T232" t="s">
        <v>99</v>
      </c>
      <c r="U232">
        <v>85</v>
      </c>
      <c r="V232" t="s">
        <v>0</v>
      </c>
      <c r="W232" t="s">
        <v>5</v>
      </c>
      <c r="X232" t="s">
        <v>0</v>
      </c>
      <c r="Y232" t="s">
        <v>4</v>
      </c>
      <c r="Z232" t="s">
        <v>5</v>
      </c>
      <c r="AA232">
        <v>151.16</v>
      </c>
      <c r="AB232">
        <v>0.21</v>
      </c>
      <c r="AC232">
        <v>0</v>
      </c>
      <c r="AD232" t="s">
        <v>3</v>
      </c>
      <c r="AE232" t="s">
        <v>0</v>
      </c>
      <c r="AF232" t="s">
        <v>3</v>
      </c>
      <c r="AG232" t="s">
        <v>2</v>
      </c>
      <c r="AI232" t="s">
        <v>23</v>
      </c>
      <c r="AJ232">
        <v>4</v>
      </c>
      <c r="AK232">
        <v>48</v>
      </c>
      <c r="AL232">
        <v>0</v>
      </c>
      <c r="AM232" t="s">
        <v>5</v>
      </c>
      <c r="AN232">
        <v>1</v>
      </c>
      <c r="AO232">
        <v>1</v>
      </c>
      <c r="AP232">
        <v>0</v>
      </c>
      <c r="AQ232">
        <v>1</v>
      </c>
    </row>
    <row r="233" spans="1:43" x14ac:dyDescent="0.25">
      <c r="A233" t="s">
        <v>3275</v>
      </c>
      <c r="B233" t="s">
        <v>911</v>
      </c>
      <c r="C233" t="s">
        <v>3274</v>
      </c>
      <c r="D233" s="1">
        <v>46121</v>
      </c>
      <c r="E233" t="s">
        <v>125</v>
      </c>
      <c r="F233" t="s">
        <v>265</v>
      </c>
      <c r="G233" t="s">
        <v>17</v>
      </c>
      <c r="H233" t="s">
        <v>29</v>
      </c>
      <c r="I233" t="s">
        <v>28</v>
      </c>
      <c r="J233" t="s">
        <v>14</v>
      </c>
      <c r="K233" t="s">
        <v>13</v>
      </c>
      <c r="L233" t="s">
        <v>42</v>
      </c>
      <c r="M233" t="s">
        <v>27</v>
      </c>
      <c r="N233" t="s">
        <v>116</v>
      </c>
      <c r="O233" t="s">
        <v>130</v>
      </c>
      <c r="P233" t="s">
        <v>63</v>
      </c>
      <c r="Q233" t="s">
        <v>7</v>
      </c>
      <c r="R233" t="s">
        <v>6</v>
      </c>
      <c r="S233">
        <v>5</v>
      </c>
      <c r="T233">
        <v>5</v>
      </c>
      <c r="U233">
        <v>145</v>
      </c>
      <c r="V233" t="s">
        <v>0</v>
      </c>
      <c r="W233" t="s">
        <v>0</v>
      </c>
      <c r="X233" t="s">
        <v>0</v>
      </c>
      <c r="Y233" t="s">
        <v>4</v>
      </c>
      <c r="Z233" t="s">
        <v>0</v>
      </c>
      <c r="AA233">
        <v>0</v>
      </c>
      <c r="AB233">
        <v>0</v>
      </c>
      <c r="AC233">
        <v>0</v>
      </c>
      <c r="AD233" t="s">
        <v>3</v>
      </c>
      <c r="AE233" t="s">
        <v>0</v>
      </c>
      <c r="AF233" t="s">
        <v>3</v>
      </c>
      <c r="AG233" t="s">
        <v>2</v>
      </c>
      <c r="AH233">
        <v>-5</v>
      </c>
      <c r="AI233" t="s">
        <v>23</v>
      </c>
      <c r="AJ233">
        <v>5</v>
      </c>
      <c r="AK233">
        <v>-2</v>
      </c>
      <c r="AL233">
        <v>0</v>
      </c>
      <c r="AM233" t="s">
        <v>5</v>
      </c>
      <c r="AN233">
        <v>0</v>
      </c>
      <c r="AO233">
        <v>0</v>
      </c>
      <c r="AP233">
        <v>0</v>
      </c>
      <c r="AQ233">
        <v>1</v>
      </c>
    </row>
    <row r="234" spans="1:43" x14ac:dyDescent="0.25">
      <c r="A234" t="s">
        <v>3273</v>
      </c>
      <c r="B234" t="s">
        <v>1628</v>
      </c>
      <c r="C234" t="s">
        <v>3272</v>
      </c>
      <c r="D234" s="1">
        <v>45818</v>
      </c>
      <c r="E234" t="s">
        <v>79</v>
      </c>
      <c r="F234" t="s">
        <v>78</v>
      </c>
      <c r="G234" t="s">
        <v>17</v>
      </c>
      <c r="H234" t="s">
        <v>77</v>
      </c>
      <c r="I234" t="s">
        <v>28</v>
      </c>
      <c r="J234" t="s">
        <v>146</v>
      </c>
      <c r="K234" t="s">
        <v>145</v>
      </c>
      <c r="L234" t="s">
        <v>64</v>
      </c>
      <c r="M234" t="s">
        <v>11</v>
      </c>
      <c r="N234" t="s">
        <v>93</v>
      </c>
      <c r="O234" t="s">
        <v>9</v>
      </c>
      <c r="P234" t="s">
        <v>8</v>
      </c>
      <c r="Q234" t="s">
        <v>50</v>
      </c>
      <c r="R234" t="s">
        <v>38</v>
      </c>
      <c r="S234">
        <v>7</v>
      </c>
      <c r="T234">
        <v>5</v>
      </c>
      <c r="U234">
        <v>251</v>
      </c>
      <c r="V234" t="s">
        <v>5</v>
      </c>
      <c r="W234" t="s">
        <v>5</v>
      </c>
      <c r="X234" t="s">
        <v>0</v>
      </c>
      <c r="Y234" t="s">
        <v>4</v>
      </c>
      <c r="Z234" t="s">
        <v>5</v>
      </c>
      <c r="AA234">
        <v>80.930000000000007</v>
      </c>
      <c r="AB234">
        <v>0</v>
      </c>
      <c r="AC234">
        <v>0</v>
      </c>
      <c r="AD234" t="s">
        <v>3</v>
      </c>
      <c r="AE234" t="s">
        <v>0</v>
      </c>
      <c r="AF234" t="s">
        <v>3</v>
      </c>
      <c r="AG234" t="s">
        <v>2</v>
      </c>
      <c r="AI234" t="s">
        <v>23</v>
      </c>
      <c r="AJ234">
        <v>8</v>
      </c>
      <c r="AK234">
        <v>-3</v>
      </c>
      <c r="AL234">
        <v>37</v>
      </c>
      <c r="AM234" t="s">
        <v>5</v>
      </c>
      <c r="AN234">
        <v>1</v>
      </c>
      <c r="AO234">
        <v>1</v>
      </c>
      <c r="AP234">
        <v>0</v>
      </c>
      <c r="AQ234">
        <v>1</v>
      </c>
    </row>
    <row r="235" spans="1:43" x14ac:dyDescent="0.25">
      <c r="A235" t="s">
        <v>3271</v>
      </c>
      <c r="B235" t="s">
        <v>2573</v>
      </c>
      <c r="C235" t="s">
        <v>3270</v>
      </c>
      <c r="D235" s="1">
        <v>45970</v>
      </c>
      <c r="E235" t="s">
        <v>168</v>
      </c>
      <c r="F235" t="s">
        <v>233</v>
      </c>
      <c r="G235" t="s">
        <v>30</v>
      </c>
      <c r="H235" t="s">
        <v>16</v>
      </c>
      <c r="I235" t="s">
        <v>28</v>
      </c>
      <c r="J235" t="s">
        <v>14</v>
      </c>
      <c r="K235" t="s">
        <v>76</v>
      </c>
      <c r="L235" t="s">
        <v>12</v>
      </c>
      <c r="M235" t="s">
        <v>53</v>
      </c>
      <c r="N235" t="s">
        <v>116</v>
      </c>
      <c r="O235" t="s">
        <v>51</v>
      </c>
      <c r="P235" t="s">
        <v>25</v>
      </c>
      <c r="Q235" t="s">
        <v>7</v>
      </c>
      <c r="R235" t="s">
        <v>6</v>
      </c>
      <c r="S235">
        <v>6</v>
      </c>
      <c r="T235">
        <v>6</v>
      </c>
      <c r="U235">
        <v>151</v>
      </c>
      <c r="V235" t="s">
        <v>0</v>
      </c>
      <c r="W235" t="s">
        <v>0</v>
      </c>
      <c r="X235" t="s">
        <v>0</v>
      </c>
      <c r="Y235" t="s">
        <v>4</v>
      </c>
      <c r="Z235" t="s">
        <v>0</v>
      </c>
      <c r="AA235">
        <v>0</v>
      </c>
      <c r="AB235">
        <v>0</v>
      </c>
      <c r="AC235">
        <v>0</v>
      </c>
      <c r="AD235" t="s">
        <v>37</v>
      </c>
      <c r="AE235" t="s">
        <v>5</v>
      </c>
      <c r="AF235" t="s">
        <v>37</v>
      </c>
      <c r="AG235" t="s">
        <v>36</v>
      </c>
      <c r="AH235">
        <v>7</v>
      </c>
      <c r="AI235" t="s">
        <v>23</v>
      </c>
      <c r="AJ235">
        <v>3</v>
      </c>
      <c r="AK235">
        <v>12</v>
      </c>
      <c r="AL235">
        <v>9</v>
      </c>
      <c r="AM235" t="s">
        <v>0</v>
      </c>
      <c r="AN235">
        <v>0</v>
      </c>
      <c r="AO235">
        <v>0</v>
      </c>
      <c r="AP235">
        <v>0</v>
      </c>
      <c r="AQ235">
        <v>0</v>
      </c>
    </row>
    <row r="236" spans="1:43" x14ac:dyDescent="0.25">
      <c r="A236" t="s">
        <v>3269</v>
      </c>
      <c r="B236" t="s">
        <v>1357</v>
      </c>
      <c r="C236" t="s">
        <v>3268</v>
      </c>
      <c r="D236" s="1">
        <v>45774</v>
      </c>
      <c r="E236" t="s">
        <v>45</v>
      </c>
      <c r="F236" t="s">
        <v>670</v>
      </c>
      <c r="G236" t="s">
        <v>30</v>
      </c>
      <c r="H236" t="s">
        <v>16</v>
      </c>
      <c r="I236" t="s">
        <v>15</v>
      </c>
      <c r="J236" t="s">
        <v>55</v>
      </c>
      <c r="K236" t="s">
        <v>54</v>
      </c>
      <c r="L236" t="s">
        <v>117</v>
      </c>
      <c r="M236" t="s">
        <v>53</v>
      </c>
      <c r="N236" t="s">
        <v>41</v>
      </c>
      <c r="O236" t="s">
        <v>51</v>
      </c>
      <c r="P236" t="s">
        <v>63</v>
      </c>
      <c r="Q236" t="s">
        <v>100</v>
      </c>
      <c r="R236" t="s">
        <v>38</v>
      </c>
      <c r="S236">
        <v>6</v>
      </c>
      <c r="T236" t="s">
        <v>99</v>
      </c>
      <c r="U236">
        <v>228</v>
      </c>
      <c r="V236" t="s">
        <v>5</v>
      </c>
      <c r="W236" t="s">
        <v>0</v>
      </c>
      <c r="X236" t="s">
        <v>135</v>
      </c>
      <c r="Y236" t="s">
        <v>4</v>
      </c>
      <c r="Z236" t="s">
        <v>0</v>
      </c>
      <c r="AA236">
        <v>0</v>
      </c>
      <c r="AB236">
        <v>0</v>
      </c>
      <c r="AC236">
        <v>0</v>
      </c>
      <c r="AD236" t="s">
        <v>3</v>
      </c>
      <c r="AE236" t="s">
        <v>0</v>
      </c>
      <c r="AF236" t="s">
        <v>3</v>
      </c>
      <c r="AG236" t="s">
        <v>2</v>
      </c>
      <c r="AI236" t="s">
        <v>332</v>
      </c>
      <c r="AJ236">
        <v>3</v>
      </c>
      <c r="AK236">
        <v>16</v>
      </c>
      <c r="AL236">
        <v>0</v>
      </c>
      <c r="AM236" t="s">
        <v>0</v>
      </c>
      <c r="AN236">
        <v>0</v>
      </c>
      <c r="AO236">
        <v>0</v>
      </c>
      <c r="AP236">
        <v>0</v>
      </c>
      <c r="AQ236">
        <v>0</v>
      </c>
    </row>
    <row r="237" spans="1:43" x14ac:dyDescent="0.25">
      <c r="A237" t="s">
        <v>3267</v>
      </c>
      <c r="B237" t="s">
        <v>3266</v>
      </c>
      <c r="C237" t="s">
        <v>3265</v>
      </c>
      <c r="D237" s="1">
        <v>46153</v>
      </c>
      <c r="E237" t="s">
        <v>162</v>
      </c>
      <c r="F237" t="s">
        <v>540</v>
      </c>
      <c r="G237" t="s">
        <v>110</v>
      </c>
      <c r="H237" t="s">
        <v>29</v>
      </c>
      <c r="I237" t="s">
        <v>28</v>
      </c>
      <c r="J237" t="s">
        <v>14</v>
      </c>
      <c r="K237" t="s">
        <v>13</v>
      </c>
      <c r="L237" t="s">
        <v>12</v>
      </c>
      <c r="M237" t="s">
        <v>11</v>
      </c>
      <c r="N237" t="s">
        <v>269</v>
      </c>
      <c r="O237" t="s">
        <v>193</v>
      </c>
      <c r="P237" t="s">
        <v>63</v>
      </c>
      <c r="Q237" t="s">
        <v>100</v>
      </c>
      <c r="R237" t="s">
        <v>38</v>
      </c>
      <c r="S237">
        <v>9</v>
      </c>
      <c r="T237">
        <v>9</v>
      </c>
      <c r="U237">
        <v>273</v>
      </c>
      <c r="V237" t="s">
        <v>0</v>
      </c>
      <c r="W237" t="s">
        <v>0</v>
      </c>
      <c r="X237" t="s">
        <v>0</v>
      </c>
      <c r="Y237" t="s">
        <v>4</v>
      </c>
      <c r="Z237" t="s">
        <v>0</v>
      </c>
      <c r="AA237">
        <v>0</v>
      </c>
      <c r="AB237">
        <v>0</v>
      </c>
      <c r="AC237">
        <v>0</v>
      </c>
      <c r="AD237" t="s">
        <v>3</v>
      </c>
      <c r="AE237" t="s">
        <v>0</v>
      </c>
      <c r="AF237" t="s">
        <v>3</v>
      </c>
      <c r="AG237" t="s">
        <v>2</v>
      </c>
      <c r="AI237" t="s">
        <v>23</v>
      </c>
      <c r="AJ237">
        <v>4</v>
      </c>
      <c r="AK237">
        <v>10</v>
      </c>
      <c r="AL237">
        <v>0</v>
      </c>
      <c r="AM237" t="s">
        <v>5</v>
      </c>
      <c r="AN237">
        <v>0</v>
      </c>
      <c r="AO237">
        <v>0</v>
      </c>
      <c r="AP237">
        <v>0</v>
      </c>
      <c r="AQ237">
        <v>1</v>
      </c>
    </row>
    <row r="238" spans="1:43" x14ac:dyDescent="0.25">
      <c r="A238" t="s">
        <v>3264</v>
      </c>
      <c r="B238" t="s">
        <v>3263</v>
      </c>
      <c r="C238" t="s">
        <v>3262</v>
      </c>
      <c r="D238" s="1">
        <v>45774</v>
      </c>
      <c r="E238" t="s">
        <v>68</v>
      </c>
      <c r="F238" t="s">
        <v>67</v>
      </c>
      <c r="G238" t="s">
        <v>56</v>
      </c>
      <c r="H238" t="s">
        <v>77</v>
      </c>
      <c r="I238" t="s">
        <v>15</v>
      </c>
      <c r="J238" t="s">
        <v>14</v>
      </c>
      <c r="K238" t="s">
        <v>13</v>
      </c>
      <c r="L238" t="s">
        <v>88</v>
      </c>
      <c r="M238" t="s">
        <v>27</v>
      </c>
      <c r="N238" t="s">
        <v>52</v>
      </c>
      <c r="O238" t="s">
        <v>130</v>
      </c>
      <c r="P238" t="s">
        <v>39</v>
      </c>
      <c r="Q238" t="s">
        <v>24</v>
      </c>
      <c r="R238" t="s">
        <v>6</v>
      </c>
      <c r="S238" t="s">
        <v>277</v>
      </c>
      <c r="T238">
        <v>3</v>
      </c>
      <c r="U238">
        <v>315</v>
      </c>
      <c r="V238" t="s">
        <v>5</v>
      </c>
      <c r="W238" t="s">
        <v>5</v>
      </c>
      <c r="X238" t="s">
        <v>5</v>
      </c>
      <c r="Y238" t="s">
        <v>166</v>
      </c>
      <c r="Z238" t="s">
        <v>5</v>
      </c>
      <c r="AA238">
        <v>87.59</v>
      </c>
      <c r="AB238">
        <v>0</v>
      </c>
      <c r="AC238">
        <v>0.37</v>
      </c>
      <c r="AD238" t="s">
        <v>3</v>
      </c>
      <c r="AE238" t="s">
        <v>247</v>
      </c>
      <c r="AF238" t="s">
        <v>3</v>
      </c>
      <c r="AG238" t="s">
        <v>2</v>
      </c>
      <c r="AI238" t="s">
        <v>23</v>
      </c>
      <c r="AJ238">
        <v>2</v>
      </c>
      <c r="AK238">
        <v>-36</v>
      </c>
      <c r="AL238">
        <v>1</v>
      </c>
      <c r="AM238" t="s">
        <v>5</v>
      </c>
      <c r="AN238">
        <v>1</v>
      </c>
      <c r="AO238">
        <v>1</v>
      </c>
      <c r="AP238">
        <v>1</v>
      </c>
      <c r="AQ238">
        <v>1</v>
      </c>
    </row>
    <row r="239" spans="1:43" x14ac:dyDescent="0.25">
      <c r="A239" t="s">
        <v>3261</v>
      </c>
      <c r="B239" t="s">
        <v>944</v>
      </c>
      <c r="C239" t="s">
        <v>3260</v>
      </c>
      <c r="D239" s="1">
        <v>46152</v>
      </c>
      <c r="E239" t="s">
        <v>156</v>
      </c>
      <c r="F239" t="s">
        <v>325</v>
      </c>
      <c r="G239" t="s">
        <v>83</v>
      </c>
      <c r="H239" t="s">
        <v>237</v>
      </c>
      <c r="I239" t="s">
        <v>28</v>
      </c>
      <c r="J239" t="s">
        <v>146</v>
      </c>
      <c r="K239" t="s">
        <v>176</v>
      </c>
      <c r="L239" t="s">
        <v>88</v>
      </c>
      <c r="M239" t="s">
        <v>11</v>
      </c>
      <c r="N239" t="s">
        <v>41</v>
      </c>
      <c r="O239" t="s">
        <v>9</v>
      </c>
      <c r="P239" t="s">
        <v>63</v>
      </c>
      <c r="Q239" t="s">
        <v>7</v>
      </c>
      <c r="R239" t="s">
        <v>6</v>
      </c>
      <c r="S239">
        <v>7</v>
      </c>
      <c r="T239">
        <v>7</v>
      </c>
      <c r="U239">
        <v>216</v>
      </c>
      <c r="V239" t="s">
        <v>0</v>
      </c>
      <c r="W239" t="s">
        <v>287</v>
      </c>
      <c r="X239" t="s">
        <v>5</v>
      </c>
      <c r="Y239" t="s">
        <v>294</v>
      </c>
      <c r="Z239" t="s">
        <v>0</v>
      </c>
      <c r="AA239">
        <v>0</v>
      </c>
      <c r="AB239">
        <v>0</v>
      </c>
      <c r="AC239">
        <v>0</v>
      </c>
      <c r="AD239" t="s">
        <v>3</v>
      </c>
      <c r="AE239" t="s">
        <v>0</v>
      </c>
      <c r="AF239" t="s">
        <v>3</v>
      </c>
      <c r="AG239" t="s">
        <v>2</v>
      </c>
      <c r="AI239" t="s">
        <v>23</v>
      </c>
      <c r="AJ239">
        <v>3</v>
      </c>
      <c r="AK239">
        <v>-29</v>
      </c>
      <c r="AL239">
        <v>0</v>
      </c>
      <c r="AM239" t="s">
        <v>0</v>
      </c>
      <c r="AN239">
        <v>1</v>
      </c>
      <c r="AO239">
        <v>0</v>
      </c>
      <c r="AP239">
        <v>1</v>
      </c>
      <c r="AQ239">
        <v>0</v>
      </c>
    </row>
    <row r="240" spans="1:43" x14ac:dyDescent="0.25">
      <c r="A240" t="s">
        <v>3259</v>
      </c>
      <c r="B240" t="s">
        <v>1766</v>
      </c>
      <c r="C240" t="s">
        <v>3258</v>
      </c>
      <c r="D240" s="1">
        <v>46046</v>
      </c>
      <c r="E240" t="s">
        <v>45</v>
      </c>
      <c r="F240" t="s">
        <v>44</v>
      </c>
      <c r="G240" t="s">
        <v>131</v>
      </c>
      <c r="H240" t="s">
        <v>43</v>
      </c>
      <c r="I240" t="s">
        <v>15</v>
      </c>
      <c r="J240" t="s">
        <v>55</v>
      </c>
      <c r="K240" t="s">
        <v>54</v>
      </c>
      <c r="L240" t="s">
        <v>12</v>
      </c>
      <c r="M240" t="s">
        <v>11</v>
      </c>
      <c r="N240" t="s">
        <v>52</v>
      </c>
      <c r="O240" t="s">
        <v>40</v>
      </c>
      <c r="P240" t="s">
        <v>8</v>
      </c>
      <c r="Q240" t="s">
        <v>24</v>
      </c>
      <c r="R240" t="s">
        <v>6</v>
      </c>
      <c r="S240">
        <v>8</v>
      </c>
      <c r="T240">
        <v>8</v>
      </c>
      <c r="U240">
        <v>189</v>
      </c>
      <c r="V240" t="s">
        <v>0</v>
      </c>
      <c r="W240" t="s">
        <v>5</v>
      </c>
      <c r="X240" t="s">
        <v>0</v>
      </c>
      <c r="Y240" t="s">
        <v>4</v>
      </c>
      <c r="Z240" t="s">
        <v>5</v>
      </c>
      <c r="AA240">
        <v>412.54</v>
      </c>
      <c r="AB240">
        <v>2.5499999999999998</v>
      </c>
      <c r="AC240">
        <v>0</v>
      </c>
      <c r="AD240" t="s">
        <v>3</v>
      </c>
      <c r="AE240" t="s">
        <v>0</v>
      </c>
      <c r="AF240" t="s">
        <v>3</v>
      </c>
      <c r="AG240" t="s">
        <v>2</v>
      </c>
      <c r="AI240" t="s">
        <v>23</v>
      </c>
      <c r="AJ240">
        <v>4</v>
      </c>
      <c r="AK240">
        <v>-12</v>
      </c>
      <c r="AL240">
        <v>44</v>
      </c>
      <c r="AM240" t="s">
        <v>5</v>
      </c>
      <c r="AN240">
        <v>1</v>
      </c>
      <c r="AO240">
        <v>1</v>
      </c>
      <c r="AP240">
        <v>0</v>
      </c>
      <c r="AQ240">
        <v>1</v>
      </c>
    </row>
    <row r="241" spans="1:43" x14ac:dyDescent="0.25">
      <c r="A241" t="s">
        <v>3257</v>
      </c>
      <c r="B241" t="s">
        <v>3256</v>
      </c>
      <c r="C241" t="s">
        <v>3255</v>
      </c>
      <c r="D241" s="1">
        <v>45886</v>
      </c>
      <c r="E241" t="s">
        <v>19</v>
      </c>
      <c r="F241" t="s">
        <v>18</v>
      </c>
      <c r="G241" t="s">
        <v>56</v>
      </c>
      <c r="H241" t="s">
        <v>77</v>
      </c>
      <c r="I241" t="s">
        <v>28</v>
      </c>
      <c r="J241" t="s">
        <v>14</v>
      </c>
      <c r="K241" t="s">
        <v>13</v>
      </c>
      <c r="L241" t="s">
        <v>42</v>
      </c>
      <c r="M241" t="s">
        <v>11</v>
      </c>
      <c r="N241" t="s">
        <v>93</v>
      </c>
      <c r="O241" t="s">
        <v>40</v>
      </c>
      <c r="P241" t="s">
        <v>8</v>
      </c>
      <c r="Q241" t="s">
        <v>24</v>
      </c>
      <c r="R241" t="s">
        <v>38</v>
      </c>
      <c r="S241">
        <v>8</v>
      </c>
      <c r="T241" t="s">
        <v>99</v>
      </c>
      <c r="U241">
        <v>295</v>
      </c>
      <c r="V241" t="s">
        <v>5</v>
      </c>
      <c r="W241" t="s">
        <v>5</v>
      </c>
      <c r="X241" t="s">
        <v>0</v>
      </c>
      <c r="Y241" t="s">
        <v>4</v>
      </c>
      <c r="Z241" t="s">
        <v>5</v>
      </c>
      <c r="AA241">
        <v>387.25</v>
      </c>
      <c r="AB241">
        <v>2.62</v>
      </c>
      <c r="AC241">
        <v>0</v>
      </c>
      <c r="AD241" t="s">
        <v>3</v>
      </c>
      <c r="AE241" t="s">
        <v>0</v>
      </c>
      <c r="AF241" t="s">
        <v>3</v>
      </c>
      <c r="AG241" t="s">
        <v>2</v>
      </c>
      <c r="AI241" t="s">
        <v>23</v>
      </c>
      <c r="AJ241">
        <v>4</v>
      </c>
      <c r="AK241">
        <v>-29</v>
      </c>
      <c r="AL241">
        <v>3</v>
      </c>
      <c r="AM241" t="s">
        <v>5</v>
      </c>
      <c r="AN241">
        <v>1</v>
      </c>
      <c r="AO241">
        <v>1</v>
      </c>
      <c r="AP241">
        <v>0</v>
      </c>
      <c r="AQ241">
        <v>1</v>
      </c>
    </row>
    <row r="242" spans="1:43" x14ac:dyDescent="0.25">
      <c r="A242" t="s">
        <v>3254</v>
      </c>
      <c r="B242" t="s">
        <v>3253</v>
      </c>
      <c r="C242" t="s">
        <v>3252</v>
      </c>
      <c r="D242" s="1">
        <v>46094</v>
      </c>
      <c r="E242" t="s">
        <v>112</v>
      </c>
      <c r="F242" t="s">
        <v>111</v>
      </c>
      <c r="G242" t="s">
        <v>30</v>
      </c>
      <c r="H242" t="s">
        <v>29</v>
      </c>
      <c r="I242" t="s">
        <v>15</v>
      </c>
      <c r="J242" t="s">
        <v>14</v>
      </c>
      <c r="K242" t="s">
        <v>13</v>
      </c>
      <c r="L242" t="s">
        <v>42</v>
      </c>
      <c r="M242" t="s">
        <v>11</v>
      </c>
      <c r="N242" t="s">
        <v>41</v>
      </c>
      <c r="O242" t="s">
        <v>51</v>
      </c>
      <c r="P242" t="s">
        <v>25</v>
      </c>
      <c r="Q242" t="s">
        <v>7</v>
      </c>
      <c r="R242" t="s">
        <v>6</v>
      </c>
      <c r="S242">
        <v>6</v>
      </c>
      <c r="T242">
        <v>6</v>
      </c>
      <c r="U242">
        <v>182</v>
      </c>
      <c r="V242" t="s">
        <v>0</v>
      </c>
      <c r="W242" t="s">
        <v>0</v>
      </c>
      <c r="X242" t="s">
        <v>0</v>
      </c>
      <c r="Y242" t="s">
        <v>4</v>
      </c>
      <c r="Z242" t="s">
        <v>0</v>
      </c>
      <c r="AA242">
        <v>0</v>
      </c>
      <c r="AB242">
        <v>0</v>
      </c>
      <c r="AC242">
        <v>0</v>
      </c>
      <c r="AD242" t="s">
        <v>3</v>
      </c>
      <c r="AE242" t="s">
        <v>0</v>
      </c>
      <c r="AF242" t="s">
        <v>3</v>
      </c>
      <c r="AG242" t="s">
        <v>2</v>
      </c>
      <c r="AI242" t="s">
        <v>1</v>
      </c>
      <c r="AJ242">
        <v>3</v>
      </c>
      <c r="AK242">
        <v>32</v>
      </c>
      <c r="AL242">
        <v>54</v>
      </c>
      <c r="AM242" t="s">
        <v>5</v>
      </c>
      <c r="AN242">
        <v>0</v>
      </c>
      <c r="AO242">
        <v>0</v>
      </c>
      <c r="AP242">
        <v>0</v>
      </c>
      <c r="AQ242">
        <v>1</v>
      </c>
    </row>
    <row r="243" spans="1:43" x14ac:dyDescent="0.25">
      <c r="A243" t="s">
        <v>3251</v>
      </c>
      <c r="B243" t="s">
        <v>497</v>
      </c>
      <c r="C243" t="s">
        <v>3250</v>
      </c>
      <c r="D243" s="1">
        <v>45687</v>
      </c>
      <c r="E243" t="s">
        <v>149</v>
      </c>
      <c r="F243" t="s">
        <v>471</v>
      </c>
      <c r="G243" t="s">
        <v>56</v>
      </c>
      <c r="H243" t="s">
        <v>77</v>
      </c>
      <c r="I243" t="s">
        <v>28</v>
      </c>
      <c r="J243" t="s">
        <v>14</v>
      </c>
      <c r="K243" t="s">
        <v>13</v>
      </c>
      <c r="L243" t="s">
        <v>64</v>
      </c>
      <c r="M243" t="s">
        <v>11</v>
      </c>
      <c r="N243" t="s">
        <v>10</v>
      </c>
      <c r="O243" t="s">
        <v>193</v>
      </c>
      <c r="P243" t="s">
        <v>39</v>
      </c>
      <c r="Q243" t="s">
        <v>7</v>
      </c>
      <c r="R243" t="s">
        <v>6</v>
      </c>
      <c r="S243">
        <v>9</v>
      </c>
      <c r="T243">
        <v>9</v>
      </c>
      <c r="U243">
        <v>182</v>
      </c>
      <c r="V243" t="s">
        <v>0</v>
      </c>
      <c r="W243" t="s">
        <v>5</v>
      </c>
      <c r="X243" t="s">
        <v>0</v>
      </c>
      <c r="Y243" t="s">
        <v>4</v>
      </c>
      <c r="Z243" t="s">
        <v>0</v>
      </c>
      <c r="AA243">
        <v>0</v>
      </c>
      <c r="AB243">
        <v>0</v>
      </c>
      <c r="AC243">
        <v>0</v>
      </c>
      <c r="AD243" t="s">
        <v>3</v>
      </c>
      <c r="AE243" t="s">
        <v>0</v>
      </c>
      <c r="AF243" t="s">
        <v>3</v>
      </c>
      <c r="AG243" t="s">
        <v>2</v>
      </c>
      <c r="AI243" t="s">
        <v>23</v>
      </c>
      <c r="AJ243">
        <v>4</v>
      </c>
      <c r="AK243">
        <v>-1</v>
      </c>
      <c r="AL243">
        <v>25</v>
      </c>
      <c r="AM243" t="s">
        <v>5</v>
      </c>
      <c r="AN243">
        <v>1</v>
      </c>
      <c r="AO243">
        <v>0</v>
      </c>
      <c r="AP243">
        <v>0</v>
      </c>
      <c r="AQ243">
        <v>1</v>
      </c>
    </row>
    <row r="244" spans="1:43" x14ac:dyDescent="0.25">
      <c r="A244" t="s">
        <v>3249</v>
      </c>
      <c r="B244" t="s">
        <v>3248</v>
      </c>
      <c r="C244" t="s">
        <v>3247</v>
      </c>
      <c r="D244" s="1">
        <v>45727</v>
      </c>
      <c r="E244" t="s">
        <v>95</v>
      </c>
      <c r="F244" t="s">
        <v>270</v>
      </c>
      <c r="G244" t="s">
        <v>110</v>
      </c>
      <c r="H244" t="s">
        <v>29</v>
      </c>
      <c r="I244" t="s">
        <v>15</v>
      </c>
      <c r="J244" t="s">
        <v>14</v>
      </c>
      <c r="K244" t="s">
        <v>13</v>
      </c>
      <c r="L244" t="s">
        <v>64</v>
      </c>
      <c r="M244" t="s">
        <v>11</v>
      </c>
      <c r="N244" t="s">
        <v>75</v>
      </c>
      <c r="O244" t="s">
        <v>51</v>
      </c>
      <c r="P244" t="s">
        <v>39</v>
      </c>
      <c r="Q244" t="s">
        <v>7</v>
      </c>
      <c r="R244" t="s">
        <v>6</v>
      </c>
      <c r="S244">
        <v>6</v>
      </c>
      <c r="T244">
        <v>3</v>
      </c>
      <c r="U244">
        <v>153</v>
      </c>
      <c r="V244" t="s">
        <v>5</v>
      </c>
      <c r="W244" t="s">
        <v>0</v>
      </c>
      <c r="X244" t="s">
        <v>0</v>
      </c>
      <c r="Y244" t="s">
        <v>4</v>
      </c>
      <c r="Z244" t="s">
        <v>0</v>
      </c>
      <c r="AA244">
        <v>0</v>
      </c>
      <c r="AB244">
        <v>0</v>
      </c>
      <c r="AC244">
        <v>0</v>
      </c>
      <c r="AD244" t="s">
        <v>3</v>
      </c>
      <c r="AE244" t="s">
        <v>0</v>
      </c>
      <c r="AF244" t="s">
        <v>3</v>
      </c>
      <c r="AG244" t="s">
        <v>2</v>
      </c>
      <c r="AI244" t="s">
        <v>332</v>
      </c>
      <c r="AJ244">
        <v>4</v>
      </c>
      <c r="AK244">
        <v>16</v>
      </c>
      <c r="AL244">
        <v>32</v>
      </c>
      <c r="AM244" t="s">
        <v>0</v>
      </c>
      <c r="AN244">
        <v>0</v>
      </c>
      <c r="AO244">
        <v>0</v>
      </c>
      <c r="AP244">
        <v>0</v>
      </c>
      <c r="AQ244">
        <v>0</v>
      </c>
    </row>
    <row r="245" spans="1:43" x14ac:dyDescent="0.25">
      <c r="A245" t="s">
        <v>3246</v>
      </c>
      <c r="B245" t="s">
        <v>965</v>
      </c>
      <c r="C245" t="s">
        <v>3245</v>
      </c>
      <c r="D245" s="1">
        <v>45726</v>
      </c>
      <c r="E245" t="s">
        <v>168</v>
      </c>
      <c r="F245" t="s">
        <v>283</v>
      </c>
      <c r="G245" t="s">
        <v>123</v>
      </c>
      <c r="H245" t="s">
        <v>77</v>
      </c>
      <c r="I245" t="s">
        <v>28</v>
      </c>
      <c r="J245" t="s">
        <v>55</v>
      </c>
      <c r="K245" t="s">
        <v>54</v>
      </c>
      <c r="L245" t="s">
        <v>117</v>
      </c>
      <c r="M245" t="s">
        <v>53</v>
      </c>
      <c r="N245" t="s">
        <v>93</v>
      </c>
      <c r="O245" t="s">
        <v>40</v>
      </c>
      <c r="P245" t="s">
        <v>25</v>
      </c>
      <c r="Q245" t="s">
        <v>24</v>
      </c>
      <c r="R245" t="s">
        <v>6</v>
      </c>
      <c r="S245">
        <v>8</v>
      </c>
      <c r="T245">
        <v>8</v>
      </c>
      <c r="U245">
        <v>164</v>
      </c>
      <c r="V245" t="s">
        <v>0</v>
      </c>
      <c r="W245" t="s">
        <v>5</v>
      </c>
      <c r="X245" t="s">
        <v>0</v>
      </c>
      <c r="Y245" t="s">
        <v>4</v>
      </c>
      <c r="Z245" t="s">
        <v>5</v>
      </c>
      <c r="AA245">
        <v>461.82</v>
      </c>
      <c r="AB245">
        <v>2.2400000000000002</v>
      </c>
      <c r="AC245">
        <v>0.17</v>
      </c>
      <c r="AD245" t="s">
        <v>3</v>
      </c>
      <c r="AE245" t="s">
        <v>0</v>
      </c>
      <c r="AF245" t="s">
        <v>3</v>
      </c>
      <c r="AG245" t="s">
        <v>2</v>
      </c>
      <c r="AI245" t="s">
        <v>23</v>
      </c>
      <c r="AJ245">
        <v>3</v>
      </c>
      <c r="AK245">
        <v>-38</v>
      </c>
      <c r="AL245">
        <v>48</v>
      </c>
      <c r="AM245" t="s">
        <v>0</v>
      </c>
      <c r="AN245">
        <v>1</v>
      </c>
      <c r="AO245">
        <v>1</v>
      </c>
      <c r="AP245">
        <v>0</v>
      </c>
      <c r="AQ245">
        <v>0</v>
      </c>
    </row>
    <row r="246" spans="1:43" x14ac:dyDescent="0.25">
      <c r="A246" t="s">
        <v>3244</v>
      </c>
      <c r="B246" t="s">
        <v>764</v>
      </c>
      <c r="C246" t="s">
        <v>3243</v>
      </c>
      <c r="D246" s="1">
        <v>46131</v>
      </c>
      <c r="E246" t="s">
        <v>168</v>
      </c>
      <c r="F246" t="s">
        <v>167</v>
      </c>
      <c r="G246" t="s">
        <v>123</v>
      </c>
      <c r="H246" t="s">
        <v>77</v>
      </c>
      <c r="I246" t="s">
        <v>28</v>
      </c>
      <c r="J246" t="s">
        <v>14</v>
      </c>
      <c r="K246" t="s">
        <v>13</v>
      </c>
      <c r="L246" t="s">
        <v>64</v>
      </c>
      <c r="M246" t="s">
        <v>53</v>
      </c>
      <c r="N246" t="s">
        <v>269</v>
      </c>
      <c r="O246" t="s">
        <v>51</v>
      </c>
      <c r="P246" t="s">
        <v>63</v>
      </c>
      <c r="Q246" t="s">
        <v>24</v>
      </c>
      <c r="R246" t="s">
        <v>38</v>
      </c>
      <c r="S246">
        <v>6</v>
      </c>
      <c r="T246">
        <v>4</v>
      </c>
      <c r="U246">
        <v>358</v>
      </c>
      <c r="V246" t="s">
        <v>5</v>
      </c>
      <c r="W246" t="s">
        <v>5</v>
      </c>
      <c r="X246" t="s">
        <v>5</v>
      </c>
      <c r="Y246" t="s">
        <v>634</v>
      </c>
      <c r="Z246" t="s">
        <v>0</v>
      </c>
      <c r="AA246">
        <v>0</v>
      </c>
      <c r="AB246">
        <v>0</v>
      </c>
      <c r="AC246">
        <v>0</v>
      </c>
      <c r="AD246" t="s">
        <v>3</v>
      </c>
      <c r="AE246" t="s">
        <v>0</v>
      </c>
      <c r="AF246" t="s">
        <v>3</v>
      </c>
      <c r="AG246" t="s">
        <v>2</v>
      </c>
      <c r="AI246" t="s">
        <v>23</v>
      </c>
      <c r="AJ246">
        <v>2</v>
      </c>
      <c r="AK246">
        <v>6</v>
      </c>
      <c r="AL246">
        <v>0</v>
      </c>
      <c r="AM246" t="s">
        <v>5</v>
      </c>
      <c r="AN246">
        <v>1</v>
      </c>
      <c r="AO246">
        <v>0</v>
      </c>
      <c r="AP246">
        <v>1</v>
      </c>
      <c r="AQ246">
        <v>1</v>
      </c>
    </row>
    <row r="247" spans="1:43" x14ac:dyDescent="0.25">
      <c r="A247" t="s">
        <v>616</v>
      </c>
      <c r="B247" t="s">
        <v>615</v>
      </c>
      <c r="C247" t="s">
        <v>614</v>
      </c>
      <c r="D247" s="1">
        <v>45883</v>
      </c>
      <c r="E247" t="s">
        <v>112</v>
      </c>
      <c r="F247" t="s">
        <v>307</v>
      </c>
      <c r="G247" t="s">
        <v>56</v>
      </c>
      <c r="H247" t="s">
        <v>29</v>
      </c>
      <c r="I247" t="s">
        <v>28</v>
      </c>
      <c r="J247" t="s">
        <v>55</v>
      </c>
      <c r="K247" t="s">
        <v>54</v>
      </c>
      <c r="L247" t="s">
        <v>88</v>
      </c>
      <c r="M247" t="s">
        <v>11</v>
      </c>
      <c r="N247" t="s">
        <v>93</v>
      </c>
      <c r="O247" t="s">
        <v>51</v>
      </c>
      <c r="P247" t="s">
        <v>39</v>
      </c>
      <c r="Q247" t="s">
        <v>7</v>
      </c>
      <c r="R247" t="s">
        <v>6</v>
      </c>
      <c r="S247">
        <v>6</v>
      </c>
      <c r="T247" t="s">
        <v>1829</v>
      </c>
      <c r="U247">
        <v>295</v>
      </c>
      <c r="V247" t="s">
        <v>5</v>
      </c>
      <c r="W247" t="s">
        <v>0</v>
      </c>
      <c r="X247" t="s">
        <v>5</v>
      </c>
      <c r="Y247" t="s">
        <v>153</v>
      </c>
      <c r="Z247" t="s">
        <v>0</v>
      </c>
      <c r="AA247">
        <v>0</v>
      </c>
      <c r="AB247">
        <v>0</v>
      </c>
      <c r="AC247">
        <v>0</v>
      </c>
      <c r="AD247" t="s">
        <v>3</v>
      </c>
      <c r="AE247" t="s">
        <v>0</v>
      </c>
      <c r="AF247" t="s">
        <v>3</v>
      </c>
      <c r="AG247" t="s">
        <v>2</v>
      </c>
      <c r="AI247" t="s">
        <v>332</v>
      </c>
      <c r="AJ247">
        <v>3</v>
      </c>
      <c r="AK247">
        <v>-29</v>
      </c>
      <c r="AL247">
        <v>17</v>
      </c>
      <c r="AM247" t="s">
        <v>0</v>
      </c>
      <c r="AN247">
        <v>0</v>
      </c>
      <c r="AO247">
        <v>0</v>
      </c>
      <c r="AP247">
        <v>1</v>
      </c>
      <c r="AQ247">
        <v>0</v>
      </c>
    </row>
    <row r="248" spans="1:43" x14ac:dyDescent="0.25">
      <c r="A248" t="s">
        <v>3242</v>
      </c>
      <c r="B248" t="s">
        <v>3241</v>
      </c>
      <c r="C248" t="s">
        <v>3240</v>
      </c>
      <c r="D248" s="1">
        <v>46150</v>
      </c>
      <c r="E248" t="s">
        <v>95</v>
      </c>
      <c r="F248" t="s">
        <v>338</v>
      </c>
      <c r="G248" t="s">
        <v>17</v>
      </c>
      <c r="H248" t="s">
        <v>29</v>
      </c>
      <c r="I248" t="s">
        <v>28</v>
      </c>
      <c r="J248" t="s">
        <v>55</v>
      </c>
      <c r="K248" t="s">
        <v>54</v>
      </c>
      <c r="L248" t="s">
        <v>12</v>
      </c>
      <c r="M248" t="s">
        <v>11</v>
      </c>
      <c r="N248" t="s">
        <v>93</v>
      </c>
      <c r="O248" t="s">
        <v>51</v>
      </c>
      <c r="P248" t="s">
        <v>63</v>
      </c>
      <c r="Q248" t="s">
        <v>198</v>
      </c>
      <c r="R248" t="s">
        <v>6</v>
      </c>
      <c r="S248">
        <v>6</v>
      </c>
      <c r="T248">
        <v>6</v>
      </c>
      <c r="U248">
        <v>117</v>
      </c>
      <c r="V248" t="s">
        <v>0</v>
      </c>
      <c r="W248" t="s">
        <v>5</v>
      </c>
      <c r="X248" t="s">
        <v>0</v>
      </c>
      <c r="Y248" t="s">
        <v>4</v>
      </c>
      <c r="Z248" t="s">
        <v>5</v>
      </c>
      <c r="AA248">
        <v>80.489999999999995</v>
      </c>
      <c r="AB248">
        <v>0.09</v>
      </c>
      <c r="AC248">
        <v>0</v>
      </c>
      <c r="AD248" t="s">
        <v>3</v>
      </c>
      <c r="AE248" t="s">
        <v>0</v>
      </c>
      <c r="AF248" t="s">
        <v>3</v>
      </c>
      <c r="AG248" t="s">
        <v>2</v>
      </c>
      <c r="AI248" t="s">
        <v>23</v>
      </c>
      <c r="AJ248">
        <v>4</v>
      </c>
      <c r="AK248">
        <v>-35</v>
      </c>
      <c r="AL248">
        <v>0</v>
      </c>
      <c r="AM248" t="s">
        <v>5</v>
      </c>
      <c r="AN248">
        <v>1</v>
      </c>
      <c r="AO248">
        <v>1</v>
      </c>
      <c r="AP248">
        <v>0</v>
      </c>
      <c r="AQ248">
        <v>1</v>
      </c>
    </row>
    <row r="249" spans="1:43" x14ac:dyDescent="0.25">
      <c r="A249" t="s">
        <v>3239</v>
      </c>
      <c r="B249" t="s">
        <v>179</v>
      </c>
      <c r="C249" t="s">
        <v>3238</v>
      </c>
      <c r="D249" s="1">
        <v>45916</v>
      </c>
      <c r="E249" t="s">
        <v>32</v>
      </c>
      <c r="F249" t="s">
        <v>382</v>
      </c>
      <c r="G249" t="s">
        <v>56</v>
      </c>
      <c r="H249" t="s">
        <v>77</v>
      </c>
      <c r="I249" t="s">
        <v>963</v>
      </c>
      <c r="J249" t="s">
        <v>55</v>
      </c>
      <c r="K249" t="s">
        <v>54</v>
      </c>
      <c r="L249" t="s">
        <v>88</v>
      </c>
      <c r="M249" t="s">
        <v>11</v>
      </c>
      <c r="N249" t="s">
        <v>52</v>
      </c>
      <c r="O249" t="s">
        <v>26</v>
      </c>
      <c r="P249" t="s">
        <v>39</v>
      </c>
      <c r="Q249" t="s">
        <v>24</v>
      </c>
      <c r="R249" t="s">
        <v>38</v>
      </c>
      <c r="S249" t="s">
        <v>99</v>
      </c>
      <c r="T249">
        <v>4</v>
      </c>
      <c r="U249">
        <v>90</v>
      </c>
      <c r="V249" t="s">
        <v>0</v>
      </c>
      <c r="W249" t="s">
        <v>5</v>
      </c>
      <c r="X249" t="s">
        <v>0</v>
      </c>
      <c r="Y249" t="s">
        <v>4</v>
      </c>
      <c r="Z249" t="s">
        <v>5</v>
      </c>
      <c r="AA249">
        <v>111.02</v>
      </c>
      <c r="AB249">
        <v>0.2</v>
      </c>
      <c r="AC249">
        <v>0</v>
      </c>
      <c r="AD249" t="s">
        <v>3</v>
      </c>
      <c r="AE249" t="s">
        <v>0</v>
      </c>
      <c r="AF249" t="s">
        <v>3</v>
      </c>
      <c r="AG249" t="s">
        <v>2</v>
      </c>
      <c r="AI249" t="s">
        <v>23</v>
      </c>
      <c r="AJ249">
        <v>4</v>
      </c>
      <c r="AK249">
        <v>47</v>
      </c>
      <c r="AL249">
        <v>31</v>
      </c>
      <c r="AM249" t="s">
        <v>5</v>
      </c>
      <c r="AN249">
        <v>1</v>
      </c>
      <c r="AO249">
        <v>1</v>
      </c>
      <c r="AP249">
        <v>0</v>
      </c>
      <c r="AQ249">
        <v>1</v>
      </c>
    </row>
    <row r="250" spans="1:43" x14ac:dyDescent="0.25">
      <c r="A250" t="s">
        <v>3237</v>
      </c>
      <c r="B250" t="s">
        <v>2790</v>
      </c>
      <c r="C250" t="s">
        <v>3236</v>
      </c>
      <c r="D250" s="1">
        <v>45798</v>
      </c>
      <c r="E250" t="s">
        <v>32</v>
      </c>
      <c r="F250" t="s">
        <v>107</v>
      </c>
      <c r="G250" t="s">
        <v>30</v>
      </c>
      <c r="H250" t="s">
        <v>29</v>
      </c>
      <c r="I250" t="s">
        <v>15</v>
      </c>
      <c r="J250" t="s">
        <v>55</v>
      </c>
      <c r="K250" t="s">
        <v>54</v>
      </c>
      <c r="L250" t="s">
        <v>64</v>
      </c>
      <c r="M250" t="s">
        <v>11</v>
      </c>
      <c r="N250" t="s">
        <v>75</v>
      </c>
      <c r="O250" t="s">
        <v>26</v>
      </c>
      <c r="P250" t="s">
        <v>8</v>
      </c>
      <c r="Q250" t="s">
        <v>7</v>
      </c>
      <c r="R250" t="s">
        <v>6</v>
      </c>
      <c r="S250">
        <v>4</v>
      </c>
      <c r="T250">
        <v>4</v>
      </c>
      <c r="U250">
        <v>72</v>
      </c>
      <c r="V250" t="s">
        <v>0</v>
      </c>
      <c r="W250" t="s">
        <v>5</v>
      </c>
      <c r="X250" t="s">
        <v>0</v>
      </c>
      <c r="Y250" t="s">
        <v>4</v>
      </c>
      <c r="Z250" t="s">
        <v>5</v>
      </c>
      <c r="AA250">
        <v>156.32</v>
      </c>
      <c r="AB250">
        <v>0.19</v>
      </c>
      <c r="AC250">
        <v>0</v>
      </c>
      <c r="AD250" t="s">
        <v>3</v>
      </c>
      <c r="AE250" t="s">
        <v>0</v>
      </c>
      <c r="AF250" t="s">
        <v>3</v>
      </c>
      <c r="AG250" t="s">
        <v>2</v>
      </c>
      <c r="AI250" t="s">
        <v>23</v>
      </c>
      <c r="AJ250">
        <v>5</v>
      </c>
      <c r="AK250">
        <v>50</v>
      </c>
      <c r="AL250">
        <v>43</v>
      </c>
      <c r="AM250" t="s">
        <v>5</v>
      </c>
      <c r="AN250">
        <v>1</v>
      </c>
      <c r="AO250">
        <v>1</v>
      </c>
      <c r="AP250">
        <v>0</v>
      </c>
      <c r="AQ250">
        <v>1</v>
      </c>
    </row>
    <row r="251" spans="1:43" x14ac:dyDescent="0.25">
      <c r="A251" t="s">
        <v>3235</v>
      </c>
      <c r="B251" t="s">
        <v>780</v>
      </c>
      <c r="C251" t="s">
        <v>3234</v>
      </c>
      <c r="D251" s="1">
        <v>45840</v>
      </c>
      <c r="E251" t="s">
        <v>68</v>
      </c>
      <c r="F251" t="s">
        <v>1536</v>
      </c>
      <c r="G251" t="s">
        <v>131</v>
      </c>
      <c r="H251" t="s">
        <v>66</v>
      </c>
      <c r="I251" t="s">
        <v>28</v>
      </c>
      <c r="J251" t="s">
        <v>146</v>
      </c>
      <c r="K251" t="s">
        <v>145</v>
      </c>
      <c r="L251" t="s">
        <v>64</v>
      </c>
      <c r="M251" t="s">
        <v>53</v>
      </c>
      <c r="N251" t="s">
        <v>41</v>
      </c>
      <c r="O251" t="s">
        <v>101</v>
      </c>
      <c r="P251" t="s">
        <v>25</v>
      </c>
      <c r="Q251" t="s">
        <v>50</v>
      </c>
      <c r="R251" t="s">
        <v>38</v>
      </c>
      <c r="S251">
        <v>4</v>
      </c>
      <c r="T251">
        <v>3</v>
      </c>
      <c r="U251">
        <v>103</v>
      </c>
      <c r="V251" t="s">
        <v>5</v>
      </c>
      <c r="W251" t="s">
        <v>0</v>
      </c>
      <c r="X251" t="s">
        <v>0</v>
      </c>
      <c r="Y251" t="s">
        <v>4</v>
      </c>
      <c r="Z251" t="s">
        <v>0</v>
      </c>
      <c r="AA251">
        <v>0</v>
      </c>
      <c r="AB251">
        <v>0</v>
      </c>
      <c r="AC251">
        <v>0</v>
      </c>
      <c r="AD251" t="s">
        <v>3</v>
      </c>
      <c r="AE251" t="s">
        <v>0</v>
      </c>
      <c r="AF251" t="s">
        <v>3</v>
      </c>
      <c r="AG251" t="s">
        <v>2</v>
      </c>
      <c r="AI251" t="s">
        <v>1001</v>
      </c>
      <c r="AJ251">
        <v>3</v>
      </c>
      <c r="AK251">
        <v>13</v>
      </c>
      <c r="AL251">
        <v>31</v>
      </c>
      <c r="AM251" t="s">
        <v>0</v>
      </c>
      <c r="AN251">
        <v>0</v>
      </c>
      <c r="AO251">
        <v>0</v>
      </c>
      <c r="AP251">
        <v>0</v>
      </c>
      <c r="AQ251">
        <v>0</v>
      </c>
    </row>
    <row r="252" spans="1:43" x14ac:dyDescent="0.25">
      <c r="A252" t="s">
        <v>3233</v>
      </c>
      <c r="B252" t="s">
        <v>2343</v>
      </c>
      <c r="C252" t="s">
        <v>3232</v>
      </c>
      <c r="D252" s="1">
        <v>45867</v>
      </c>
      <c r="E252" t="s">
        <v>112</v>
      </c>
      <c r="F252" t="s">
        <v>461</v>
      </c>
      <c r="G252" t="s">
        <v>110</v>
      </c>
      <c r="H252" t="s">
        <v>77</v>
      </c>
      <c r="I252" t="s">
        <v>28</v>
      </c>
      <c r="J252" t="s">
        <v>14</v>
      </c>
      <c r="K252" t="s">
        <v>13</v>
      </c>
      <c r="L252" t="s">
        <v>64</v>
      </c>
      <c r="M252" t="s">
        <v>11</v>
      </c>
      <c r="N252" t="s">
        <v>10</v>
      </c>
      <c r="O252" t="s">
        <v>74</v>
      </c>
      <c r="P252" t="s">
        <v>25</v>
      </c>
      <c r="Q252" t="s">
        <v>24</v>
      </c>
      <c r="R252" t="s">
        <v>38</v>
      </c>
      <c r="S252">
        <v>6</v>
      </c>
      <c r="T252">
        <v>6</v>
      </c>
      <c r="U252">
        <v>160</v>
      </c>
      <c r="V252" t="s">
        <v>0</v>
      </c>
      <c r="W252" t="s">
        <v>0</v>
      </c>
      <c r="X252" t="s">
        <v>0</v>
      </c>
      <c r="Y252" t="s">
        <v>4</v>
      </c>
      <c r="Z252" t="s">
        <v>0</v>
      </c>
      <c r="AA252">
        <v>0</v>
      </c>
      <c r="AB252">
        <v>0</v>
      </c>
      <c r="AC252">
        <v>0</v>
      </c>
      <c r="AD252" t="s">
        <v>3</v>
      </c>
      <c r="AE252" t="s">
        <v>0</v>
      </c>
      <c r="AF252" t="s">
        <v>3</v>
      </c>
      <c r="AG252" t="s">
        <v>2</v>
      </c>
      <c r="AI252" t="s">
        <v>1</v>
      </c>
      <c r="AJ252">
        <v>4</v>
      </c>
      <c r="AK252">
        <v>21</v>
      </c>
      <c r="AL252">
        <v>24</v>
      </c>
      <c r="AM252" t="s">
        <v>247</v>
      </c>
      <c r="AN252">
        <v>0</v>
      </c>
      <c r="AO252">
        <v>0</v>
      </c>
      <c r="AP252">
        <v>0</v>
      </c>
      <c r="AQ252">
        <v>0</v>
      </c>
    </row>
    <row r="253" spans="1:43" x14ac:dyDescent="0.25">
      <c r="A253" t="s">
        <v>3231</v>
      </c>
      <c r="B253" t="s">
        <v>997</v>
      </c>
      <c r="C253" t="s">
        <v>3230</v>
      </c>
      <c r="D253" s="1">
        <v>46062</v>
      </c>
      <c r="E253" t="s">
        <v>125</v>
      </c>
      <c r="F253" t="s">
        <v>2323</v>
      </c>
      <c r="G253" t="s">
        <v>83</v>
      </c>
      <c r="H253" t="s">
        <v>77</v>
      </c>
      <c r="I253" t="s">
        <v>15</v>
      </c>
      <c r="J253" t="s">
        <v>146</v>
      </c>
      <c r="K253" t="s">
        <v>145</v>
      </c>
      <c r="L253" t="s">
        <v>117</v>
      </c>
      <c r="M253" t="s">
        <v>11</v>
      </c>
      <c r="N253" t="s">
        <v>93</v>
      </c>
      <c r="O253" t="s">
        <v>74</v>
      </c>
      <c r="P253" t="s">
        <v>25</v>
      </c>
      <c r="Q253" t="s">
        <v>7</v>
      </c>
      <c r="R253" t="s">
        <v>6</v>
      </c>
      <c r="S253">
        <v>6</v>
      </c>
      <c r="T253">
        <v>4</v>
      </c>
      <c r="U253">
        <v>201</v>
      </c>
      <c r="V253" t="s">
        <v>5</v>
      </c>
      <c r="W253" t="s">
        <v>0</v>
      </c>
      <c r="X253" t="s">
        <v>0</v>
      </c>
      <c r="Y253" t="s">
        <v>4</v>
      </c>
      <c r="Z253" t="s">
        <v>5</v>
      </c>
      <c r="AA253">
        <v>1.85</v>
      </c>
      <c r="AB253">
        <v>0</v>
      </c>
      <c r="AC253">
        <v>0</v>
      </c>
      <c r="AD253" t="s">
        <v>3</v>
      </c>
      <c r="AE253" t="s">
        <v>0</v>
      </c>
      <c r="AF253" t="s">
        <v>3</v>
      </c>
      <c r="AG253" t="s">
        <v>2</v>
      </c>
      <c r="AI253" t="s">
        <v>1</v>
      </c>
      <c r="AJ253">
        <v>2</v>
      </c>
      <c r="AK253">
        <v>-29</v>
      </c>
      <c r="AL253">
        <v>51</v>
      </c>
      <c r="AM253" t="s">
        <v>5</v>
      </c>
      <c r="AN253">
        <v>0</v>
      </c>
      <c r="AO253">
        <v>1</v>
      </c>
      <c r="AP253">
        <v>0</v>
      </c>
      <c r="AQ253">
        <v>1</v>
      </c>
    </row>
    <row r="254" spans="1:43" x14ac:dyDescent="0.25">
      <c r="A254" t="s">
        <v>3229</v>
      </c>
      <c r="B254" t="s">
        <v>994</v>
      </c>
      <c r="C254" t="s">
        <v>3228</v>
      </c>
      <c r="D254" s="1">
        <v>46062</v>
      </c>
      <c r="E254" t="s">
        <v>95</v>
      </c>
      <c r="F254" t="s">
        <v>321</v>
      </c>
      <c r="G254" t="s">
        <v>17</v>
      </c>
      <c r="H254" t="s">
        <v>16</v>
      </c>
      <c r="I254" t="s">
        <v>28</v>
      </c>
      <c r="J254" t="s">
        <v>14</v>
      </c>
      <c r="K254" t="s">
        <v>13</v>
      </c>
      <c r="L254" t="s">
        <v>117</v>
      </c>
      <c r="M254" t="s">
        <v>53</v>
      </c>
      <c r="N254" t="s">
        <v>52</v>
      </c>
      <c r="O254" t="s">
        <v>101</v>
      </c>
      <c r="P254" t="s">
        <v>25</v>
      </c>
      <c r="Q254" t="s">
        <v>7</v>
      </c>
      <c r="R254" t="s">
        <v>6</v>
      </c>
      <c r="S254">
        <v>4</v>
      </c>
      <c r="T254">
        <v>4</v>
      </c>
      <c r="U254">
        <v>75</v>
      </c>
      <c r="V254" t="s">
        <v>0</v>
      </c>
      <c r="W254" t="s">
        <v>5</v>
      </c>
      <c r="X254" t="s">
        <v>0</v>
      </c>
      <c r="Y254" t="s">
        <v>4</v>
      </c>
      <c r="Z254" t="s">
        <v>5</v>
      </c>
      <c r="AA254">
        <v>125.24</v>
      </c>
      <c r="AB254">
        <v>0.5</v>
      </c>
      <c r="AC254">
        <v>0.17</v>
      </c>
      <c r="AD254" t="s">
        <v>3</v>
      </c>
      <c r="AE254" t="s">
        <v>0</v>
      </c>
      <c r="AF254" t="s">
        <v>3</v>
      </c>
      <c r="AG254" t="s">
        <v>2</v>
      </c>
      <c r="AI254" t="s">
        <v>23</v>
      </c>
      <c r="AJ254">
        <v>4</v>
      </c>
      <c r="AK254">
        <v>19</v>
      </c>
      <c r="AL254">
        <v>50</v>
      </c>
      <c r="AM254" t="s">
        <v>5</v>
      </c>
      <c r="AN254">
        <v>1</v>
      </c>
      <c r="AO254">
        <v>1</v>
      </c>
      <c r="AP254">
        <v>0</v>
      </c>
      <c r="AQ254">
        <v>1</v>
      </c>
    </row>
    <row r="255" spans="1:43" x14ac:dyDescent="0.25">
      <c r="A255" t="s">
        <v>3227</v>
      </c>
      <c r="B255" t="s">
        <v>3226</v>
      </c>
      <c r="C255" t="s">
        <v>3225</v>
      </c>
      <c r="D255" s="1">
        <v>46035</v>
      </c>
      <c r="E255" t="s">
        <v>112</v>
      </c>
      <c r="F255" t="s">
        <v>642</v>
      </c>
      <c r="G255" t="s">
        <v>56</v>
      </c>
      <c r="H255" t="s">
        <v>16</v>
      </c>
      <c r="I255" t="s">
        <v>15</v>
      </c>
      <c r="J255" t="s">
        <v>14</v>
      </c>
      <c r="K255" t="s">
        <v>13</v>
      </c>
      <c r="L255" t="s">
        <v>42</v>
      </c>
      <c r="M255" t="s">
        <v>11</v>
      </c>
      <c r="N255" t="s">
        <v>154</v>
      </c>
      <c r="O255" t="s">
        <v>199</v>
      </c>
      <c r="P255" t="s">
        <v>63</v>
      </c>
      <c r="Q255" t="s">
        <v>50</v>
      </c>
      <c r="R255" t="s">
        <v>6</v>
      </c>
      <c r="S255">
        <v>5</v>
      </c>
      <c r="T255" t="s">
        <v>277</v>
      </c>
      <c r="U255">
        <v>158</v>
      </c>
      <c r="V255" t="s">
        <v>0</v>
      </c>
      <c r="W255" t="s">
        <v>5</v>
      </c>
      <c r="X255" t="s">
        <v>135</v>
      </c>
      <c r="Y255" t="s">
        <v>4</v>
      </c>
      <c r="Z255" t="s">
        <v>5</v>
      </c>
      <c r="AA255">
        <v>103.72</v>
      </c>
      <c r="AB255">
        <v>0</v>
      </c>
      <c r="AC255">
        <v>0</v>
      </c>
      <c r="AD255" t="s">
        <v>3</v>
      </c>
      <c r="AE255" t="s">
        <v>0</v>
      </c>
      <c r="AF255" t="s">
        <v>3</v>
      </c>
      <c r="AG255" t="s">
        <v>2</v>
      </c>
      <c r="AI255" t="s">
        <v>23</v>
      </c>
      <c r="AJ255">
        <v>3</v>
      </c>
      <c r="AK255">
        <v>-3</v>
      </c>
      <c r="AL255">
        <v>0</v>
      </c>
      <c r="AM255" t="s">
        <v>0</v>
      </c>
      <c r="AN255">
        <v>1</v>
      </c>
      <c r="AO255">
        <v>1</v>
      </c>
      <c r="AP255">
        <v>0</v>
      </c>
      <c r="AQ255">
        <v>0</v>
      </c>
    </row>
    <row r="256" spans="1:43" x14ac:dyDescent="0.25">
      <c r="A256" t="s">
        <v>3224</v>
      </c>
      <c r="B256" t="s">
        <v>127</v>
      </c>
      <c r="C256" t="s">
        <v>3223</v>
      </c>
      <c r="D256" s="1">
        <v>46149</v>
      </c>
      <c r="E256" t="s">
        <v>32</v>
      </c>
      <c r="F256" t="s">
        <v>31</v>
      </c>
      <c r="G256" t="s">
        <v>83</v>
      </c>
      <c r="H256" t="s">
        <v>29</v>
      </c>
      <c r="I256" t="s">
        <v>15</v>
      </c>
      <c r="J256" t="s">
        <v>146</v>
      </c>
      <c r="K256" t="s">
        <v>145</v>
      </c>
      <c r="L256" t="s">
        <v>117</v>
      </c>
      <c r="M256" t="s">
        <v>27</v>
      </c>
      <c r="N256" t="s">
        <v>93</v>
      </c>
      <c r="O256" t="s">
        <v>40</v>
      </c>
      <c r="P256" t="s">
        <v>39</v>
      </c>
      <c r="Q256" t="s">
        <v>198</v>
      </c>
      <c r="R256" t="s">
        <v>6</v>
      </c>
      <c r="S256">
        <v>8</v>
      </c>
      <c r="T256">
        <v>8</v>
      </c>
      <c r="U256">
        <v>171</v>
      </c>
      <c r="V256" t="s">
        <v>0</v>
      </c>
      <c r="W256" t="s">
        <v>5</v>
      </c>
      <c r="X256" t="s">
        <v>181</v>
      </c>
      <c r="Y256" t="s">
        <v>4</v>
      </c>
      <c r="Z256" t="s">
        <v>5</v>
      </c>
      <c r="AA256">
        <v>332.08</v>
      </c>
      <c r="AB256">
        <v>2.5299999999999998</v>
      </c>
      <c r="AC256">
        <v>0.37</v>
      </c>
      <c r="AD256" t="s">
        <v>3</v>
      </c>
      <c r="AE256" t="s">
        <v>0</v>
      </c>
      <c r="AF256" t="s">
        <v>3</v>
      </c>
      <c r="AG256" t="s">
        <v>2</v>
      </c>
      <c r="AI256" t="s">
        <v>23</v>
      </c>
      <c r="AJ256">
        <v>4</v>
      </c>
      <c r="AK256">
        <v>-7</v>
      </c>
      <c r="AL256">
        <v>34</v>
      </c>
      <c r="AM256" t="s">
        <v>5</v>
      </c>
      <c r="AN256">
        <v>1</v>
      </c>
      <c r="AO256">
        <v>1</v>
      </c>
      <c r="AP256">
        <v>0</v>
      </c>
      <c r="AQ256">
        <v>1</v>
      </c>
    </row>
    <row r="257" spans="1:43" x14ac:dyDescent="0.25">
      <c r="A257" t="s">
        <v>3222</v>
      </c>
      <c r="B257" t="s">
        <v>3221</v>
      </c>
      <c r="C257" t="s">
        <v>3220</v>
      </c>
      <c r="D257" s="1">
        <v>45768</v>
      </c>
      <c r="E257" t="s">
        <v>149</v>
      </c>
      <c r="F257" t="s">
        <v>589</v>
      </c>
      <c r="G257" t="s">
        <v>30</v>
      </c>
      <c r="H257" t="s">
        <v>77</v>
      </c>
      <c r="I257" t="s">
        <v>28</v>
      </c>
      <c r="J257" t="s">
        <v>14</v>
      </c>
      <c r="K257" t="s">
        <v>13</v>
      </c>
      <c r="L257" t="s">
        <v>42</v>
      </c>
      <c r="M257" t="s">
        <v>11</v>
      </c>
      <c r="N257" t="s">
        <v>154</v>
      </c>
      <c r="O257" t="s">
        <v>87</v>
      </c>
      <c r="P257" t="s">
        <v>39</v>
      </c>
      <c r="Q257" t="s">
        <v>24</v>
      </c>
      <c r="R257" t="s">
        <v>6</v>
      </c>
      <c r="S257">
        <v>5</v>
      </c>
      <c r="T257">
        <v>5</v>
      </c>
      <c r="U257">
        <v>94</v>
      </c>
      <c r="V257" t="s">
        <v>0</v>
      </c>
      <c r="W257" t="s">
        <v>0</v>
      </c>
      <c r="X257" t="s">
        <v>0</v>
      </c>
      <c r="Y257" t="s">
        <v>4</v>
      </c>
      <c r="Z257" t="s">
        <v>0</v>
      </c>
      <c r="AA257">
        <v>0</v>
      </c>
      <c r="AB257">
        <v>0</v>
      </c>
      <c r="AC257">
        <v>0</v>
      </c>
      <c r="AD257" t="s">
        <v>3</v>
      </c>
      <c r="AE257" t="s">
        <v>0</v>
      </c>
      <c r="AF257" t="s">
        <v>3</v>
      </c>
      <c r="AG257" t="s">
        <v>2</v>
      </c>
      <c r="AI257" t="s">
        <v>1</v>
      </c>
      <c r="AJ257">
        <v>5</v>
      </c>
      <c r="AK257">
        <v>12</v>
      </c>
      <c r="AL257">
        <v>50</v>
      </c>
      <c r="AM257" t="s">
        <v>0</v>
      </c>
      <c r="AN257">
        <v>0</v>
      </c>
      <c r="AO257">
        <v>0</v>
      </c>
      <c r="AP257">
        <v>0</v>
      </c>
      <c r="AQ257">
        <v>0</v>
      </c>
    </row>
    <row r="258" spans="1:43" x14ac:dyDescent="0.25">
      <c r="A258" t="s">
        <v>3219</v>
      </c>
      <c r="B258" t="s">
        <v>174</v>
      </c>
      <c r="C258" t="s">
        <v>3218</v>
      </c>
      <c r="D258" s="1">
        <v>46102</v>
      </c>
      <c r="E258" t="s">
        <v>149</v>
      </c>
      <c r="F258" t="s">
        <v>471</v>
      </c>
      <c r="G258" t="s">
        <v>56</v>
      </c>
      <c r="H258" t="s">
        <v>43</v>
      </c>
      <c r="I258" t="s">
        <v>28</v>
      </c>
      <c r="J258" t="s">
        <v>14</v>
      </c>
      <c r="K258" t="s">
        <v>13</v>
      </c>
      <c r="L258" t="s">
        <v>12</v>
      </c>
      <c r="M258" t="s">
        <v>27</v>
      </c>
      <c r="N258" t="s">
        <v>41</v>
      </c>
      <c r="O258" t="s">
        <v>40</v>
      </c>
      <c r="P258" t="s">
        <v>8</v>
      </c>
      <c r="Q258" t="s">
        <v>7</v>
      </c>
      <c r="R258" t="s">
        <v>6</v>
      </c>
      <c r="S258">
        <v>8</v>
      </c>
      <c r="T258">
        <v>6</v>
      </c>
      <c r="U258">
        <v>295</v>
      </c>
      <c r="V258" t="s">
        <v>5</v>
      </c>
      <c r="W258" t="s">
        <v>0</v>
      </c>
      <c r="X258" t="s">
        <v>0</v>
      </c>
      <c r="Y258" t="s">
        <v>4</v>
      </c>
      <c r="Z258" t="s">
        <v>0</v>
      </c>
      <c r="AA258">
        <v>0</v>
      </c>
      <c r="AB258">
        <v>0</v>
      </c>
      <c r="AC258">
        <v>0</v>
      </c>
      <c r="AD258" t="s">
        <v>3</v>
      </c>
      <c r="AE258" t="s">
        <v>0</v>
      </c>
      <c r="AF258" t="s">
        <v>3</v>
      </c>
      <c r="AG258" t="s">
        <v>2</v>
      </c>
      <c r="AI258" t="s">
        <v>129</v>
      </c>
      <c r="AJ258">
        <v>3</v>
      </c>
      <c r="AK258">
        <v>-36</v>
      </c>
      <c r="AL258">
        <v>33</v>
      </c>
      <c r="AM258" t="s">
        <v>0</v>
      </c>
      <c r="AN258">
        <v>0</v>
      </c>
      <c r="AO258">
        <v>0</v>
      </c>
      <c r="AP258">
        <v>0</v>
      </c>
      <c r="AQ258">
        <v>0</v>
      </c>
    </row>
    <row r="259" spans="1:43" x14ac:dyDescent="0.25">
      <c r="A259" t="s">
        <v>3217</v>
      </c>
      <c r="B259" t="s">
        <v>2098</v>
      </c>
      <c r="C259" t="s">
        <v>3216</v>
      </c>
      <c r="D259" s="1">
        <v>45975</v>
      </c>
      <c r="E259" t="s">
        <v>112</v>
      </c>
      <c r="F259" t="s">
        <v>461</v>
      </c>
      <c r="G259" t="s">
        <v>17</v>
      </c>
      <c r="H259" t="s">
        <v>29</v>
      </c>
      <c r="I259" t="s">
        <v>15</v>
      </c>
      <c r="J259" t="s">
        <v>14</v>
      </c>
      <c r="K259" t="s">
        <v>13</v>
      </c>
      <c r="L259" t="s">
        <v>88</v>
      </c>
      <c r="M259" t="s">
        <v>11</v>
      </c>
      <c r="N259" t="s">
        <v>75</v>
      </c>
      <c r="O259" t="s">
        <v>193</v>
      </c>
      <c r="P259" t="s">
        <v>39</v>
      </c>
      <c r="Q259" t="s">
        <v>7</v>
      </c>
      <c r="R259" t="s">
        <v>6</v>
      </c>
      <c r="S259">
        <v>9</v>
      </c>
      <c r="T259">
        <v>9</v>
      </c>
      <c r="U259">
        <v>217</v>
      </c>
      <c r="V259" t="s">
        <v>0</v>
      </c>
      <c r="W259" t="s">
        <v>5</v>
      </c>
      <c r="X259" t="s">
        <v>181</v>
      </c>
      <c r="Y259" t="s">
        <v>4</v>
      </c>
      <c r="Z259" t="s">
        <v>5</v>
      </c>
      <c r="AA259">
        <v>171.19</v>
      </c>
      <c r="AB259">
        <v>3.29</v>
      </c>
      <c r="AC259">
        <v>0</v>
      </c>
      <c r="AD259" t="s">
        <v>3</v>
      </c>
      <c r="AE259" t="s">
        <v>0</v>
      </c>
      <c r="AF259" t="s">
        <v>3</v>
      </c>
      <c r="AG259" t="s">
        <v>2</v>
      </c>
      <c r="AI259" t="s">
        <v>23</v>
      </c>
      <c r="AJ259">
        <v>3</v>
      </c>
      <c r="AK259">
        <v>12</v>
      </c>
      <c r="AL259">
        <v>36</v>
      </c>
      <c r="AM259" t="s">
        <v>5</v>
      </c>
      <c r="AN259">
        <v>1</v>
      </c>
      <c r="AO259">
        <v>1</v>
      </c>
      <c r="AP259">
        <v>0</v>
      </c>
      <c r="AQ259">
        <v>1</v>
      </c>
    </row>
    <row r="260" spans="1:43" x14ac:dyDescent="0.25">
      <c r="A260" t="s">
        <v>3215</v>
      </c>
      <c r="B260" t="s">
        <v>3214</v>
      </c>
      <c r="C260" t="s">
        <v>3213</v>
      </c>
      <c r="D260" s="1">
        <v>46136</v>
      </c>
      <c r="E260" t="s">
        <v>45</v>
      </c>
      <c r="F260" t="s">
        <v>44</v>
      </c>
      <c r="G260" t="s">
        <v>30</v>
      </c>
      <c r="H260" t="s">
        <v>29</v>
      </c>
      <c r="I260" t="s">
        <v>15</v>
      </c>
      <c r="J260" t="s">
        <v>146</v>
      </c>
      <c r="K260" t="s">
        <v>176</v>
      </c>
      <c r="L260" t="s">
        <v>117</v>
      </c>
      <c r="M260" t="s">
        <v>11</v>
      </c>
      <c r="N260" t="s">
        <v>41</v>
      </c>
      <c r="O260" t="s">
        <v>199</v>
      </c>
      <c r="P260" t="s">
        <v>39</v>
      </c>
      <c r="Q260" t="s">
        <v>7</v>
      </c>
      <c r="R260" t="s">
        <v>6</v>
      </c>
      <c r="S260">
        <v>5</v>
      </c>
      <c r="T260">
        <v>5</v>
      </c>
      <c r="U260">
        <v>145</v>
      </c>
      <c r="V260" t="s">
        <v>0</v>
      </c>
      <c r="W260" t="s">
        <v>5</v>
      </c>
      <c r="X260" t="s">
        <v>0</v>
      </c>
      <c r="Y260" t="s">
        <v>4</v>
      </c>
      <c r="Z260" t="s">
        <v>0</v>
      </c>
      <c r="AA260">
        <v>0</v>
      </c>
      <c r="AB260">
        <v>0</v>
      </c>
      <c r="AC260">
        <v>0</v>
      </c>
      <c r="AD260" t="s">
        <v>3</v>
      </c>
      <c r="AE260" t="s">
        <v>0</v>
      </c>
      <c r="AF260" t="s">
        <v>3</v>
      </c>
      <c r="AG260" t="s">
        <v>2</v>
      </c>
      <c r="AI260" t="s">
        <v>23</v>
      </c>
      <c r="AJ260">
        <v>4</v>
      </c>
      <c r="AK260">
        <v>38</v>
      </c>
      <c r="AL260">
        <v>22</v>
      </c>
      <c r="AM260" t="s">
        <v>0</v>
      </c>
      <c r="AN260">
        <v>1</v>
      </c>
      <c r="AO260">
        <v>0</v>
      </c>
      <c r="AP260">
        <v>0</v>
      </c>
      <c r="AQ260">
        <v>0</v>
      </c>
    </row>
    <row r="261" spans="1:43" x14ac:dyDescent="0.25">
      <c r="A261" t="s">
        <v>3212</v>
      </c>
      <c r="B261" t="s">
        <v>2222</v>
      </c>
      <c r="C261" t="s">
        <v>3211</v>
      </c>
      <c r="D261" s="1">
        <v>45894</v>
      </c>
      <c r="E261" t="s">
        <v>156</v>
      </c>
      <c r="F261" t="s">
        <v>238</v>
      </c>
      <c r="G261" t="s">
        <v>56</v>
      </c>
      <c r="H261" t="s">
        <v>29</v>
      </c>
      <c r="I261" t="s">
        <v>28</v>
      </c>
      <c r="J261" t="s">
        <v>14</v>
      </c>
      <c r="K261" t="s">
        <v>13</v>
      </c>
      <c r="L261" t="s">
        <v>64</v>
      </c>
      <c r="M261" t="s">
        <v>11</v>
      </c>
      <c r="N261" t="s">
        <v>41</v>
      </c>
      <c r="O261" t="s">
        <v>26</v>
      </c>
      <c r="P261" t="s">
        <v>63</v>
      </c>
      <c r="Q261" t="s">
        <v>172</v>
      </c>
      <c r="R261" t="s">
        <v>38</v>
      </c>
      <c r="S261">
        <v>4</v>
      </c>
      <c r="T261">
        <v>4</v>
      </c>
      <c r="U261">
        <v>106</v>
      </c>
      <c r="V261" t="s">
        <v>0</v>
      </c>
      <c r="W261" t="s">
        <v>5</v>
      </c>
      <c r="X261" t="s">
        <v>0</v>
      </c>
      <c r="Y261" t="s">
        <v>4</v>
      </c>
      <c r="Z261" t="s">
        <v>5</v>
      </c>
      <c r="AA261">
        <v>101.23</v>
      </c>
      <c r="AB261">
        <v>0.18</v>
      </c>
      <c r="AC261">
        <v>0</v>
      </c>
      <c r="AD261" t="s">
        <v>3</v>
      </c>
      <c r="AE261" t="s">
        <v>0</v>
      </c>
      <c r="AF261" t="s">
        <v>3</v>
      </c>
      <c r="AG261" t="s">
        <v>2</v>
      </c>
      <c r="AI261" t="s">
        <v>23</v>
      </c>
      <c r="AJ261">
        <v>5</v>
      </c>
      <c r="AK261">
        <v>53</v>
      </c>
      <c r="AL261" t="s">
        <v>347</v>
      </c>
      <c r="AM261" t="s">
        <v>5</v>
      </c>
      <c r="AN261">
        <v>1</v>
      </c>
      <c r="AO261">
        <v>1</v>
      </c>
      <c r="AP261">
        <v>0</v>
      </c>
      <c r="AQ261">
        <v>1</v>
      </c>
    </row>
    <row r="262" spans="1:43" x14ac:dyDescent="0.25">
      <c r="A262" t="s">
        <v>3210</v>
      </c>
      <c r="B262" t="s">
        <v>1076</v>
      </c>
      <c r="C262" t="s">
        <v>3209</v>
      </c>
      <c r="D262" s="1">
        <v>46134</v>
      </c>
      <c r="E262" t="s">
        <v>79</v>
      </c>
      <c r="F262" t="s">
        <v>223</v>
      </c>
      <c r="G262" t="s">
        <v>131</v>
      </c>
      <c r="H262" t="s">
        <v>29</v>
      </c>
      <c r="I262" t="s">
        <v>15</v>
      </c>
      <c r="J262" t="s">
        <v>14</v>
      </c>
      <c r="K262" t="s">
        <v>13</v>
      </c>
      <c r="L262" t="s">
        <v>88</v>
      </c>
      <c r="M262" t="s">
        <v>11</v>
      </c>
      <c r="N262" t="s">
        <v>10</v>
      </c>
      <c r="O262" t="s">
        <v>199</v>
      </c>
      <c r="P262" t="s">
        <v>39</v>
      </c>
      <c r="Q262" t="s">
        <v>7</v>
      </c>
      <c r="R262" t="s">
        <v>6</v>
      </c>
      <c r="S262">
        <v>5</v>
      </c>
      <c r="T262">
        <v>4</v>
      </c>
      <c r="U262">
        <v>149</v>
      </c>
      <c r="V262" t="s">
        <v>5</v>
      </c>
      <c r="W262" t="s">
        <v>5</v>
      </c>
      <c r="X262" t="s">
        <v>0</v>
      </c>
      <c r="Y262" t="s">
        <v>4</v>
      </c>
      <c r="Z262" t="s">
        <v>5</v>
      </c>
      <c r="AA262">
        <v>105.25</v>
      </c>
      <c r="AB262">
        <v>0</v>
      </c>
      <c r="AC262">
        <v>0</v>
      </c>
      <c r="AD262" t="s">
        <v>37</v>
      </c>
      <c r="AE262" t="s">
        <v>5</v>
      </c>
      <c r="AF262" t="s">
        <v>37</v>
      </c>
      <c r="AG262" t="s">
        <v>36</v>
      </c>
      <c r="AH262">
        <v>54</v>
      </c>
      <c r="AI262" t="s">
        <v>23</v>
      </c>
      <c r="AJ262">
        <v>5</v>
      </c>
      <c r="AK262">
        <v>-5</v>
      </c>
      <c r="AL262">
        <v>47</v>
      </c>
      <c r="AM262" t="s">
        <v>5</v>
      </c>
      <c r="AN262">
        <v>1</v>
      </c>
      <c r="AO262">
        <v>1</v>
      </c>
      <c r="AP262">
        <v>0</v>
      </c>
      <c r="AQ262">
        <v>1</v>
      </c>
    </row>
    <row r="263" spans="1:43" x14ac:dyDescent="0.25">
      <c r="A263" t="s">
        <v>3208</v>
      </c>
      <c r="B263" t="s">
        <v>1043</v>
      </c>
      <c r="C263" t="s">
        <v>3207</v>
      </c>
      <c r="D263" s="1">
        <v>45775</v>
      </c>
      <c r="E263" t="s">
        <v>79</v>
      </c>
      <c r="F263" t="s">
        <v>102</v>
      </c>
      <c r="G263" t="s">
        <v>110</v>
      </c>
      <c r="H263" t="s">
        <v>16</v>
      </c>
      <c r="I263" t="s">
        <v>28</v>
      </c>
      <c r="J263" t="s">
        <v>14</v>
      </c>
      <c r="K263" t="s">
        <v>13</v>
      </c>
      <c r="L263" t="s">
        <v>12</v>
      </c>
      <c r="M263" t="s">
        <v>27</v>
      </c>
      <c r="N263" t="s">
        <v>52</v>
      </c>
      <c r="O263" t="s">
        <v>193</v>
      </c>
      <c r="P263" t="s">
        <v>63</v>
      </c>
      <c r="Q263" t="s">
        <v>7</v>
      </c>
      <c r="R263" t="s">
        <v>6</v>
      </c>
      <c r="S263" t="s">
        <v>232</v>
      </c>
      <c r="T263">
        <v>7</v>
      </c>
      <c r="U263">
        <v>283</v>
      </c>
      <c r="V263" t="s">
        <v>5</v>
      </c>
      <c r="W263" t="s">
        <v>0</v>
      </c>
      <c r="X263" t="s">
        <v>0</v>
      </c>
      <c r="Y263" t="s">
        <v>4</v>
      </c>
      <c r="Z263" t="s">
        <v>5</v>
      </c>
      <c r="AA263">
        <v>134.04</v>
      </c>
      <c r="AB263">
        <v>3.24</v>
      </c>
      <c r="AC263">
        <v>0.37</v>
      </c>
      <c r="AD263" t="s">
        <v>187</v>
      </c>
      <c r="AE263" t="s">
        <v>5</v>
      </c>
      <c r="AF263" t="s">
        <v>187</v>
      </c>
      <c r="AG263" t="s">
        <v>139</v>
      </c>
      <c r="AH263">
        <v>2</v>
      </c>
      <c r="AI263" t="s">
        <v>191</v>
      </c>
      <c r="AJ263">
        <v>1</v>
      </c>
      <c r="AK263">
        <v>-46</v>
      </c>
      <c r="AL263">
        <v>0</v>
      </c>
      <c r="AM263" t="s">
        <v>5</v>
      </c>
      <c r="AN263">
        <v>0</v>
      </c>
      <c r="AO263">
        <v>1</v>
      </c>
      <c r="AP263">
        <v>0</v>
      </c>
      <c r="AQ263">
        <v>1</v>
      </c>
    </row>
    <row r="264" spans="1:43" x14ac:dyDescent="0.25">
      <c r="A264" t="s">
        <v>3206</v>
      </c>
      <c r="B264" t="s">
        <v>1760</v>
      </c>
      <c r="C264" t="s">
        <v>3205</v>
      </c>
      <c r="D264" s="1">
        <v>46011</v>
      </c>
      <c r="E264" t="s">
        <v>149</v>
      </c>
      <c r="F264" t="s">
        <v>148</v>
      </c>
      <c r="G264" t="s">
        <v>30</v>
      </c>
      <c r="H264" t="s">
        <v>43</v>
      </c>
      <c r="I264" t="s">
        <v>28</v>
      </c>
      <c r="J264" t="s">
        <v>55</v>
      </c>
      <c r="K264" t="s">
        <v>54</v>
      </c>
      <c r="L264" t="s">
        <v>12</v>
      </c>
      <c r="M264" t="s">
        <v>27</v>
      </c>
      <c r="N264" t="s">
        <v>41</v>
      </c>
      <c r="O264" t="s">
        <v>101</v>
      </c>
      <c r="P264" t="s">
        <v>39</v>
      </c>
      <c r="Q264" t="s">
        <v>100</v>
      </c>
      <c r="R264" t="s">
        <v>6</v>
      </c>
      <c r="S264">
        <v>4</v>
      </c>
      <c r="T264">
        <v>4</v>
      </c>
      <c r="U264">
        <v>104</v>
      </c>
      <c r="V264" t="s">
        <v>0</v>
      </c>
      <c r="W264" t="s">
        <v>287</v>
      </c>
      <c r="X264" t="s">
        <v>5</v>
      </c>
      <c r="Y264" t="s">
        <v>696</v>
      </c>
      <c r="Z264" t="s">
        <v>5</v>
      </c>
      <c r="AA264">
        <v>76.650000000000006</v>
      </c>
      <c r="AB264">
        <v>0.49</v>
      </c>
      <c r="AC264">
        <v>0.37</v>
      </c>
      <c r="AD264" t="s">
        <v>3</v>
      </c>
      <c r="AE264" t="s">
        <v>0</v>
      </c>
      <c r="AF264" t="s">
        <v>3</v>
      </c>
      <c r="AG264" t="s">
        <v>2</v>
      </c>
      <c r="AI264" t="s">
        <v>23</v>
      </c>
      <c r="AJ264">
        <v>2</v>
      </c>
      <c r="AK264">
        <v>-24</v>
      </c>
      <c r="AL264">
        <v>41</v>
      </c>
      <c r="AM264" t="s">
        <v>5</v>
      </c>
      <c r="AN264">
        <v>1</v>
      </c>
      <c r="AO264">
        <v>1</v>
      </c>
      <c r="AP264">
        <v>1</v>
      </c>
      <c r="AQ264">
        <v>1</v>
      </c>
    </row>
    <row r="265" spans="1:43" x14ac:dyDescent="0.25">
      <c r="A265" t="s">
        <v>3204</v>
      </c>
      <c r="B265" t="s">
        <v>2043</v>
      </c>
      <c r="C265" t="s">
        <v>3203</v>
      </c>
      <c r="D265" s="1">
        <v>45715</v>
      </c>
      <c r="E265" t="s">
        <v>112</v>
      </c>
      <c r="F265" t="s">
        <v>642</v>
      </c>
      <c r="G265" t="s">
        <v>30</v>
      </c>
      <c r="H265" t="s">
        <v>66</v>
      </c>
      <c r="I265" t="s">
        <v>28</v>
      </c>
      <c r="J265" t="s">
        <v>14</v>
      </c>
      <c r="K265" t="s">
        <v>13</v>
      </c>
      <c r="L265" t="s">
        <v>64</v>
      </c>
      <c r="M265" t="s">
        <v>53</v>
      </c>
      <c r="N265" t="s">
        <v>269</v>
      </c>
      <c r="O265" t="s">
        <v>74</v>
      </c>
      <c r="P265" t="s">
        <v>39</v>
      </c>
      <c r="Q265" t="s">
        <v>100</v>
      </c>
      <c r="R265" t="s">
        <v>6</v>
      </c>
      <c r="S265" t="s">
        <v>205</v>
      </c>
      <c r="T265">
        <v>5</v>
      </c>
      <c r="U265">
        <v>302</v>
      </c>
      <c r="V265" t="s">
        <v>5</v>
      </c>
      <c r="W265" t="s">
        <v>0</v>
      </c>
      <c r="X265" t="s">
        <v>0</v>
      </c>
      <c r="Y265" t="s">
        <v>4</v>
      </c>
      <c r="Z265" t="s">
        <v>0</v>
      </c>
      <c r="AA265">
        <v>0</v>
      </c>
      <c r="AB265">
        <v>0</v>
      </c>
      <c r="AC265">
        <v>0</v>
      </c>
      <c r="AD265" t="s">
        <v>3</v>
      </c>
      <c r="AE265" t="s">
        <v>0</v>
      </c>
      <c r="AF265" t="s">
        <v>3</v>
      </c>
      <c r="AG265" t="s">
        <v>2</v>
      </c>
      <c r="AI265" t="s">
        <v>1</v>
      </c>
      <c r="AJ265">
        <v>2</v>
      </c>
      <c r="AK265">
        <v>29</v>
      </c>
      <c r="AL265">
        <v>29</v>
      </c>
      <c r="AM265" t="s">
        <v>0</v>
      </c>
      <c r="AN265">
        <v>0</v>
      </c>
      <c r="AO265">
        <v>0</v>
      </c>
      <c r="AP265">
        <v>0</v>
      </c>
      <c r="AQ265">
        <v>0</v>
      </c>
    </row>
    <row r="266" spans="1:43" x14ac:dyDescent="0.25">
      <c r="A266" t="s">
        <v>3202</v>
      </c>
      <c r="B266" t="s">
        <v>1944</v>
      </c>
      <c r="C266" t="s">
        <v>3201</v>
      </c>
      <c r="D266" s="1">
        <v>45717</v>
      </c>
      <c r="E266" t="s">
        <v>168</v>
      </c>
      <c r="F266" t="s">
        <v>233</v>
      </c>
      <c r="G266" t="s">
        <v>83</v>
      </c>
      <c r="H266" t="s">
        <v>16</v>
      </c>
      <c r="I266" t="s">
        <v>28</v>
      </c>
      <c r="J266" t="s">
        <v>14</v>
      </c>
      <c r="K266" t="s">
        <v>13</v>
      </c>
      <c r="L266" t="s">
        <v>88</v>
      </c>
      <c r="M266" t="s">
        <v>11</v>
      </c>
      <c r="N266" t="s">
        <v>93</v>
      </c>
      <c r="O266" t="s">
        <v>101</v>
      </c>
      <c r="P266" t="s">
        <v>8</v>
      </c>
      <c r="Q266" t="s">
        <v>7</v>
      </c>
      <c r="R266" t="s">
        <v>6</v>
      </c>
      <c r="S266">
        <v>4</v>
      </c>
      <c r="T266">
        <v>4</v>
      </c>
      <c r="U266">
        <v>121</v>
      </c>
      <c r="V266" t="s">
        <v>0</v>
      </c>
      <c r="W266" t="s">
        <v>5</v>
      </c>
      <c r="X266" t="s">
        <v>0</v>
      </c>
      <c r="Y266" t="s">
        <v>4</v>
      </c>
      <c r="Z266" t="s">
        <v>5</v>
      </c>
      <c r="AA266">
        <v>48.88</v>
      </c>
      <c r="AB266">
        <v>0.52</v>
      </c>
      <c r="AC266">
        <v>0</v>
      </c>
      <c r="AD266" t="s">
        <v>37</v>
      </c>
      <c r="AE266" t="s">
        <v>5</v>
      </c>
      <c r="AF266" t="s">
        <v>37</v>
      </c>
      <c r="AG266" t="s">
        <v>139</v>
      </c>
      <c r="AH266">
        <v>22</v>
      </c>
      <c r="AI266" t="s">
        <v>23</v>
      </c>
      <c r="AJ266">
        <v>5</v>
      </c>
      <c r="AK266">
        <v>45</v>
      </c>
      <c r="AL266">
        <v>13</v>
      </c>
      <c r="AM266" t="s">
        <v>5</v>
      </c>
      <c r="AN266">
        <v>1</v>
      </c>
      <c r="AO266">
        <v>1</v>
      </c>
      <c r="AP266">
        <v>0</v>
      </c>
      <c r="AQ266">
        <v>1</v>
      </c>
    </row>
    <row r="267" spans="1:43" x14ac:dyDescent="0.25">
      <c r="A267" t="s">
        <v>3200</v>
      </c>
      <c r="B267" t="s">
        <v>2647</v>
      </c>
      <c r="C267" t="s">
        <v>3199</v>
      </c>
      <c r="D267" s="1">
        <v>45711</v>
      </c>
      <c r="E267" t="s">
        <v>168</v>
      </c>
      <c r="F267" t="s">
        <v>167</v>
      </c>
      <c r="G267" t="s">
        <v>110</v>
      </c>
      <c r="H267" t="s">
        <v>237</v>
      </c>
      <c r="I267" t="s">
        <v>28</v>
      </c>
      <c r="J267" t="s">
        <v>14</v>
      </c>
      <c r="K267" t="s">
        <v>13</v>
      </c>
      <c r="L267" t="s">
        <v>88</v>
      </c>
      <c r="M267" t="s">
        <v>11</v>
      </c>
      <c r="N267" t="s">
        <v>52</v>
      </c>
      <c r="O267" t="s">
        <v>26</v>
      </c>
      <c r="P267" t="s">
        <v>39</v>
      </c>
      <c r="Q267" t="s">
        <v>50</v>
      </c>
      <c r="R267" t="s">
        <v>6</v>
      </c>
      <c r="S267">
        <v>4</v>
      </c>
      <c r="T267">
        <v>4</v>
      </c>
      <c r="U267">
        <v>87</v>
      </c>
      <c r="V267" t="s">
        <v>0</v>
      </c>
      <c r="W267" t="s">
        <v>5</v>
      </c>
      <c r="X267" t="s">
        <v>0</v>
      </c>
      <c r="Y267" t="s">
        <v>4</v>
      </c>
      <c r="Z267" t="s">
        <v>5</v>
      </c>
      <c r="AA267">
        <v>201.91</v>
      </c>
      <c r="AB267">
        <v>0.2</v>
      </c>
      <c r="AC267">
        <v>0</v>
      </c>
      <c r="AD267" t="s">
        <v>3</v>
      </c>
      <c r="AE267" t="s">
        <v>0</v>
      </c>
      <c r="AF267" t="s">
        <v>3</v>
      </c>
      <c r="AG267" t="s">
        <v>2</v>
      </c>
      <c r="AI267" t="s">
        <v>23</v>
      </c>
      <c r="AJ267">
        <v>4</v>
      </c>
      <c r="AK267">
        <v>43</v>
      </c>
      <c r="AL267">
        <v>16</v>
      </c>
      <c r="AM267" t="s">
        <v>5</v>
      </c>
      <c r="AN267">
        <v>1</v>
      </c>
      <c r="AO267">
        <v>1</v>
      </c>
      <c r="AP267">
        <v>0</v>
      </c>
      <c r="AQ267">
        <v>1</v>
      </c>
    </row>
    <row r="268" spans="1:43" x14ac:dyDescent="0.25">
      <c r="A268" t="s">
        <v>3198</v>
      </c>
      <c r="B268" t="s">
        <v>3197</v>
      </c>
      <c r="C268" t="s">
        <v>3196</v>
      </c>
      <c r="D268" s="1">
        <v>46092</v>
      </c>
      <c r="E268" t="s">
        <v>125</v>
      </c>
      <c r="F268" t="s">
        <v>132</v>
      </c>
      <c r="G268" t="s">
        <v>30</v>
      </c>
      <c r="H268" t="s">
        <v>77</v>
      </c>
      <c r="I268" t="s">
        <v>15</v>
      </c>
      <c r="J268" t="s">
        <v>14</v>
      </c>
      <c r="K268" t="s">
        <v>13</v>
      </c>
      <c r="L268" t="s">
        <v>42</v>
      </c>
      <c r="M268" t="s">
        <v>11</v>
      </c>
      <c r="N268" t="s">
        <v>154</v>
      </c>
      <c r="O268" t="s">
        <v>130</v>
      </c>
      <c r="P268" t="s">
        <v>8</v>
      </c>
      <c r="Q268" t="s">
        <v>7</v>
      </c>
      <c r="R268" t="s">
        <v>6</v>
      </c>
      <c r="S268">
        <v>5</v>
      </c>
      <c r="T268">
        <v>5</v>
      </c>
      <c r="U268">
        <v>112</v>
      </c>
      <c r="V268" t="s">
        <v>0</v>
      </c>
      <c r="W268" t="s">
        <v>5</v>
      </c>
      <c r="X268" t="s">
        <v>0</v>
      </c>
      <c r="Y268" t="s">
        <v>4</v>
      </c>
      <c r="Z268" t="s">
        <v>5</v>
      </c>
      <c r="AA268">
        <v>21.44</v>
      </c>
      <c r="AB268">
        <v>0</v>
      </c>
      <c r="AC268">
        <v>0</v>
      </c>
      <c r="AD268" t="s">
        <v>3</v>
      </c>
      <c r="AE268" t="s">
        <v>0</v>
      </c>
      <c r="AF268" t="s">
        <v>3</v>
      </c>
      <c r="AG268" t="s">
        <v>2</v>
      </c>
      <c r="AI268" t="s">
        <v>23</v>
      </c>
      <c r="AJ268">
        <v>5</v>
      </c>
      <c r="AK268">
        <v>28</v>
      </c>
      <c r="AL268">
        <v>11</v>
      </c>
      <c r="AM268" t="s">
        <v>5</v>
      </c>
      <c r="AN268">
        <v>1</v>
      </c>
      <c r="AO268">
        <v>1</v>
      </c>
      <c r="AP268">
        <v>0</v>
      </c>
      <c r="AQ268">
        <v>1</v>
      </c>
    </row>
    <row r="269" spans="1:43" x14ac:dyDescent="0.25">
      <c r="A269" t="s">
        <v>3195</v>
      </c>
      <c r="B269" t="s">
        <v>3194</v>
      </c>
      <c r="C269" t="s">
        <v>3193</v>
      </c>
      <c r="D269" s="1">
        <v>45950</v>
      </c>
      <c r="E269" t="s">
        <v>125</v>
      </c>
      <c r="F269" t="s">
        <v>132</v>
      </c>
      <c r="G269" t="s">
        <v>123</v>
      </c>
      <c r="H269" t="s">
        <v>16</v>
      </c>
      <c r="I269" t="s">
        <v>15</v>
      </c>
      <c r="J269" t="s">
        <v>55</v>
      </c>
      <c r="K269" t="s">
        <v>54</v>
      </c>
      <c r="L269" t="s">
        <v>64</v>
      </c>
      <c r="M269" t="s">
        <v>11</v>
      </c>
      <c r="N269" t="s">
        <v>10</v>
      </c>
      <c r="O269" t="s">
        <v>51</v>
      </c>
      <c r="P269" t="s">
        <v>8</v>
      </c>
      <c r="Q269" t="s">
        <v>7</v>
      </c>
      <c r="R269" t="s">
        <v>6</v>
      </c>
      <c r="S269">
        <v>6</v>
      </c>
      <c r="T269">
        <v>6</v>
      </c>
      <c r="U269">
        <v>117</v>
      </c>
      <c r="V269" t="s">
        <v>0</v>
      </c>
      <c r="W269" t="s">
        <v>5</v>
      </c>
      <c r="X269" t="s">
        <v>0</v>
      </c>
      <c r="Y269" t="s">
        <v>4</v>
      </c>
      <c r="Z269" t="s">
        <v>5</v>
      </c>
      <c r="AA269">
        <v>15.96</v>
      </c>
      <c r="AB269">
        <v>0.09</v>
      </c>
      <c r="AC269">
        <v>0</v>
      </c>
      <c r="AD269" t="s">
        <v>3</v>
      </c>
      <c r="AE269" t="s">
        <v>0</v>
      </c>
      <c r="AF269" t="s">
        <v>3</v>
      </c>
      <c r="AG269" t="s">
        <v>2</v>
      </c>
      <c r="AI269" t="s">
        <v>23</v>
      </c>
      <c r="AJ269">
        <v>4</v>
      </c>
      <c r="AK269">
        <v>57</v>
      </c>
      <c r="AL269">
        <v>28</v>
      </c>
      <c r="AM269" t="s">
        <v>5</v>
      </c>
      <c r="AN269">
        <v>1</v>
      </c>
      <c r="AO269">
        <v>1</v>
      </c>
      <c r="AP269">
        <v>0</v>
      </c>
      <c r="AQ269">
        <v>1</v>
      </c>
    </row>
    <row r="270" spans="1:43" x14ac:dyDescent="0.25">
      <c r="A270" t="s">
        <v>3192</v>
      </c>
      <c r="B270" t="s">
        <v>1879</v>
      </c>
      <c r="C270" t="s">
        <v>3191</v>
      </c>
      <c r="D270" s="1">
        <v>45981</v>
      </c>
      <c r="E270" t="s">
        <v>112</v>
      </c>
      <c r="F270" t="s">
        <v>111</v>
      </c>
      <c r="G270" t="s">
        <v>17</v>
      </c>
      <c r="H270" t="s">
        <v>66</v>
      </c>
      <c r="I270" t="s">
        <v>15</v>
      </c>
      <c r="J270" t="s">
        <v>14</v>
      </c>
      <c r="K270" t="s">
        <v>13</v>
      </c>
      <c r="L270" t="s">
        <v>64</v>
      </c>
      <c r="M270" t="s">
        <v>11</v>
      </c>
      <c r="N270" t="s">
        <v>75</v>
      </c>
      <c r="O270" t="s">
        <v>101</v>
      </c>
      <c r="P270" t="s">
        <v>63</v>
      </c>
      <c r="Q270" t="s">
        <v>7</v>
      </c>
      <c r="R270" t="s">
        <v>6</v>
      </c>
      <c r="S270">
        <v>4</v>
      </c>
      <c r="T270">
        <v>4</v>
      </c>
      <c r="U270">
        <v>143</v>
      </c>
      <c r="V270" t="s">
        <v>0</v>
      </c>
      <c r="W270" t="s">
        <v>5</v>
      </c>
      <c r="X270" t="s">
        <v>5</v>
      </c>
      <c r="Y270" t="s">
        <v>696</v>
      </c>
      <c r="Z270" t="s">
        <v>5</v>
      </c>
      <c r="AA270">
        <v>83.04</v>
      </c>
      <c r="AB270">
        <v>0.44</v>
      </c>
      <c r="AC270">
        <v>0</v>
      </c>
      <c r="AD270" t="s">
        <v>3</v>
      </c>
      <c r="AE270" t="s">
        <v>0</v>
      </c>
      <c r="AF270" t="s">
        <v>3</v>
      </c>
      <c r="AG270" t="s">
        <v>2</v>
      </c>
      <c r="AI270" t="s">
        <v>23</v>
      </c>
      <c r="AJ270">
        <v>3</v>
      </c>
      <c r="AK270">
        <v>11</v>
      </c>
      <c r="AL270">
        <v>0</v>
      </c>
      <c r="AM270" t="s">
        <v>5</v>
      </c>
      <c r="AN270">
        <v>1</v>
      </c>
      <c r="AO270">
        <v>1</v>
      </c>
      <c r="AP270">
        <v>1</v>
      </c>
      <c r="AQ270">
        <v>1</v>
      </c>
    </row>
    <row r="271" spans="1:43" x14ac:dyDescent="0.25">
      <c r="A271" t="s">
        <v>3190</v>
      </c>
      <c r="B271" t="s">
        <v>1806</v>
      </c>
      <c r="C271" t="s">
        <v>3189</v>
      </c>
      <c r="D271" s="1">
        <v>45909</v>
      </c>
      <c r="E271" t="s">
        <v>19</v>
      </c>
      <c r="F271" t="s">
        <v>255</v>
      </c>
      <c r="G271" t="s">
        <v>17</v>
      </c>
      <c r="H271" t="s">
        <v>29</v>
      </c>
      <c r="I271" t="s">
        <v>28</v>
      </c>
      <c r="J271" t="s">
        <v>55</v>
      </c>
      <c r="K271" t="s">
        <v>54</v>
      </c>
      <c r="L271" t="s">
        <v>42</v>
      </c>
      <c r="M271" t="s">
        <v>11</v>
      </c>
      <c r="N271" t="s">
        <v>41</v>
      </c>
      <c r="O271" t="s">
        <v>199</v>
      </c>
      <c r="P271" t="s">
        <v>39</v>
      </c>
      <c r="Q271" t="s">
        <v>7</v>
      </c>
      <c r="R271" t="s">
        <v>6</v>
      </c>
      <c r="S271">
        <v>5</v>
      </c>
      <c r="T271" t="s">
        <v>277</v>
      </c>
      <c r="U271">
        <v>144</v>
      </c>
      <c r="V271" t="s">
        <v>0</v>
      </c>
      <c r="W271" t="s">
        <v>5</v>
      </c>
      <c r="X271" t="s">
        <v>0</v>
      </c>
      <c r="Y271" t="s">
        <v>4</v>
      </c>
      <c r="Z271" t="s">
        <v>5</v>
      </c>
      <c r="AA271">
        <v>25.55</v>
      </c>
      <c r="AB271">
        <v>0</v>
      </c>
      <c r="AC271">
        <v>0</v>
      </c>
      <c r="AD271" t="s">
        <v>3</v>
      </c>
      <c r="AE271" t="s">
        <v>0</v>
      </c>
      <c r="AF271" t="s">
        <v>3</v>
      </c>
      <c r="AG271" t="s">
        <v>2</v>
      </c>
      <c r="AI271" t="s">
        <v>23</v>
      </c>
      <c r="AJ271">
        <v>4</v>
      </c>
      <c r="AK271">
        <v>21</v>
      </c>
      <c r="AL271">
        <v>42</v>
      </c>
      <c r="AM271" t="s">
        <v>5</v>
      </c>
      <c r="AN271">
        <v>1</v>
      </c>
      <c r="AO271">
        <v>1</v>
      </c>
      <c r="AP271">
        <v>0</v>
      </c>
      <c r="AQ271">
        <v>1</v>
      </c>
    </row>
    <row r="272" spans="1:43" x14ac:dyDescent="0.25">
      <c r="A272" t="s">
        <v>3188</v>
      </c>
      <c r="B272" t="s">
        <v>3187</v>
      </c>
      <c r="C272" t="s">
        <v>3186</v>
      </c>
      <c r="D272" s="1">
        <v>45753</v>
      </c>
      <c r="E272" t="s">
        <v>95</v>
      </c>
      <c r="F272" t="s">
        <v>94</v>
      </c>
      <c r="G272" t="s">
        <v>131</v>
      </c>
      <c r="H272" t="s">
        <v>43</v>
      </c>
      <c r="I272" t="s">
        <v>28</v>
      </c>
      <c r="J272" t="s">
        <v>55</v>
      </c>
      <c r="K272" t="s">
        <v>54</v>
      </c>
      <c r="L272" t="s">
        <v>88</v>
      </c>
      <c r="M272" t="s">
        <v>27</v>
      </c>
      <c r="N272" t="s">
        <v>10</v>
      </c>
      <c r="O272" t="s">
        <v>199</v>
      </c>
      <c r="P272" t="s">
        <v>39</v>
      </c>
      <c r="Q272" t="s">
        <v>7</v>
      </c>
      <c r="R272" t="s">
        <v>6</v>
      </c>
      <c r="S272">
        <v>5</v>
      </c>
      <c r="T272" t="s">
        <v>277</v>
      </c>
      <c r="U272">
        <v>159</v>
      </c>
      <c r="V272" t="s">
        <v>0</v>
      </c>
      <c r="W272" t="s">
        <v>5</v>
      </c>
      <c r="X272" t="s">
        <v>0</v>
      </c>
      <c r="Y272" t="s">
        <v>4</v>
      </c>
      <c r="Z272" t="s">
        <v>5</v>
      </c>
      <c r="AA272">
        <v>168.27</v>
      </c>
      <c r="AB272">
        <v>0</v>
      </c>
      <c r="AC272">
        <v>0.37</v>
      </c>
      <c r="AD272" t="s">
        <v>3</v>
      </c>
      <c r="AE272" t="s">
        <v>0</v>
      </c>
      <c r="AF272" t="s">
        <v>3</v>
      </c>
      <c r="AG272" t="s">
        <v>2</v>
      </c>
      <c r="AI272" t="s">
        <v>23</v>
      </c>
      <c r="AJ272">
        <v>4</v>
      </c>
      <c r="AK272">
        <v>14</v>
      </c>
      <c r="AL272">
        <v>23</v>
      </c>
      <c r="AM272" t="s">
        <v>5</v>
      </c>
      <c r="AN272">
        <v>1</v>
      </c>
      <c r="AO272">
        <v>1</v>
      </c>
      <c r="AP272">
        <v>0</v>
      </c>
      <c r="AQ272">
        <v>1</v>
      </c>
    </row>
    <row r="273" spans="1:43" x14ac:dyDescent="0.25">
      <c r="A273" t="s">
        <v>3185</v>
      </c>
      <c r="B273" t="s">
        <v>627</v>
      </c>
      <c r="C273" t="s">
        <v>3184</v>
      </c>
      <c r="D273" s="1">
        <v>46065</v>
      </c>
      <c r="E273" t="s">
        <v>162</v>
      </c>
      <c r="F273" t="s">
        <v>540</v>
      </c>
      <c r="G273" t="s">
        <v>17</v>
      </c>
      <c r="H273" t="s">
        <v>29</v>
      </c>
      <c r="I273" t="s">
        <v>15</v>
      </c>
      <c r="J273" t="s">
        <v>55</v>
      </c>
      <c r="K273" t="s">
        <v>54</v>
      </c>
      <c r="L273" t="s">
        <v>42</v>
      </c>
      <c r="M273" t="s">
        <v>53</v>
      </c>
      <c r="N273" t="s">
        <v>75</v>
      </c>
      <c r="O273" t="s">
        <v>51</v>
      </c>
      <c r="P273" t="s">
        <v>8</v>
      </c>
      <c r="Q273" t="s">
        <v>24</v>
      </c>
      <c r="R273" t="s">
        <v>6</v>
      </c>
      <c r="S273">
        <v>6</v>
      </c>
      <c r="T273">
        <v>6</v>
      </c>
      <c r="U273">
        <v>191</v>
      </c>
      <c r="V273" t="s">
        <v>0</v>
      </c>
      <c r="W273" t="s">
        <v>5</v>
      </c>
      <c r="X273" t="s">
        <v>0</v>
      </c>
      <c r="Y273" t="s">
        <v>4</v>
      </c>
      <c r="Z273" t="s">
        <v>0</v>
      </c>
      <c r="AA273">
        <v>0</v>
      </c>
      <c r="AB273">
        <v>0</v>
      </c>
      <c r="AC273">
        <v>0</v>
      </c>
      <c r="AD273" t="s">
        <v>3</v>
      </c>
      <c r="AE273" t="s">
        <v>0</v>
      </c>
      <c r="AF273" t="s">
        <v>3</v>
      </c>
      <c r="AG273" t="s">
        <v>2</v>
      </c>
      <c r="AI273" t="s">
        <v>23</v>
      </c>
      <c r="AJ273">
        <v>4</v>
      </c>
      <c r="AK273">
        <v>-31</v>
      </c>
      <c r="AL273" t="s">
        <v>3183</v>
      </c>
      <c r="AM273" t="s">
        <v>5</v>
      </c>
      <c r="AN273">
        <v>1</v>
      </c>
      <c r="AO273">
        <v>0</v>
      </c>
      <c r="AP273">
        <v>0</v>
      </c>
      <c r="AQ273">
        <v>1</v>
      </c>
    </row>
    <row r="274" spans="1:43" x14ac:dyDescent="0.25">
      <c r="A274" t="s">
        <v>3182</v>
      </c>
      <c r="B274" t="s">
        <v>1800</v>
      </c>
      <c r="C274" t="s">
        <v>3181</v>
      </c>
      <c r="D274" s="1">
        <v>46078</v>
      </c>
      <c r="E274" t="s">
        <v>95</v>
      </c>
      <c r="F274" t="s">
        <v>270</v>
      </c>
      <c r="G274" t="s">
        <v>131</v>
      </c>
      <c r="H274" t="s">
        <v>16</v>
      </c>
      <c r="I274" t="s">
        <v>147</v>
      </c>
      <c r="J274" t="s">
        <v>55</v>
      </c>
      <c r="K274" t="s">
        <v>54</v>
      </c>
      <c r="L274" t="s">
        <v>88</v>
      </c>
      <c r="M274" t="s">
        <v>11</v>
      </c>
      <c r="N274" t="s">
        <v>52</v>
      </c>
      <c r="O274" t="s">
        <v>87</v>
      </c>
      <c r="P274" t="s">
        <v>39</v>
      </c>
      <c r="Q274" t="s">
        <v>7</v>
      </c>
      <c r="R274" t="s">
        <v>6</v>
      </c>
      <c r="S274">
        <v>5</v>
      </c>
      <c r="T274">
        <v>4</v>
      </c>
      <c r="U274">
        <v>193</v>
      </c>
      <c r="V274" t="s">
        <v>5</v>
      </c>
      <c r="W274" t="s">
        <v>0</v>
      </c>
      <c r="X274" t="s">
        <v>0</v>
      </c>
      <c r="Y274" t="s">
        <v>4</v>
      </c>
      <c r="Z274" t="s">
        <v>5</v>
      </c>
      <c r="AA274">
        <v>130.12</v>
      </c>
      <c r="AB274">
        <v>0</v>
      </c>
      <c r="AC274">
        <v>0</v>
      </c>
      <c r="AD274" t="s">
        <v>37</v>
      </c>
      <c r="AE274" t="s">
        <v>5</v>
      </c>
      <c r="AF274" t="s">
        <v>37</v>
      </c>
      <c r="AG274" t="s">
        <v>36</v>
      </c>
      <c r="AH274">
        <v>44</v>
      </c>
      <c r="AI274" t="s">
        <v>332</v>
      </c>
      <c r="AJ274">
        <v>4</v>
      </c>
      <c r="AK274">
        <v>-6</v>
      </c>
      <c r="AL274">
        <v>25</v>
      </c>
      <c r="AM274" t="s">
        <v>5</v>
      </c>
      <c r="AN274">
        <v>0</v>
      </c>
      <c r="AO274">
        <v>1</v>
      </c>
      <c r="AP274">
        <v>0</v>
      </c>
      <c r="AQ274">
        <v>1</v>
      </c>
    </row>
    <row r="275" spans="1:43" x14ac:dyDescent="0.25">
      <c r="A275" t="s">
        <v>3180</v>
      </c>
      <c r="B275" t="s">
        <v>1581</v>
      </c>
      <c r="C275" t="s">
        <v>3179</v>
      </c>
      <c r="D275" s="1">
        <v>45737</v>
      </c>
      <c r="E275" t="s">
        <v>68</v>
      </c>
      <c r="F275" t="s">
        <v>216</v>
      </c>
      <c r="G275" t="s">
        <v>56</v>
      </c>
      <c r="H275" t="s">
        <v>43</v>
      </c>
      <c r="I275" t="s">
        <v>28</v>
      </c>
      <c r="J275" t="s">
        <v>55</v>
      </c>
      <c r="K275" t="s">
        <v>54</v>
      </c>
      <c r="L275" t="s">
        <v>64</v>
      </c>
      <c r="M275" t="s">
        <v>53</v>
      </c>
      <c r="N275" t="s">
        <v>41</v>
      </c>
      <c r="O275" t="s">
        <v>51</v>
      </c>
      <c r="P275" t="s">
        <v>25</v>
      </c>
      <c r="Q275" t="s">
        <v>7</v>
      </c>
      <c r="R275" t="s">
        <v>6</v>
      </c>
      <c r="S275">
        <v>6</v>
      </c>
      <c r="T275">
        <v>6</v>
      </c>
      <c r="U275">
        <v>138</v>
      </c>
      <c r="V275" t="s">
        <v>0</v>
      </c>
      <c r="W275" t="s">
        <v>5</v>
      </c>
      <c r="X275" t="s">
        <v>0</v>
      </c>
      <c r="Y275" t="s">
        <v>4</v>
      </c>
      <c r="Z275" t="s">
        <v>5</v>
      </c>
      <c r="AA275">
        <v>0</v>
      </c>
      <c r="AB275">
        <v>0.09</v>
      </c>
      <c r="AC275">
        <v>0.17</v>
      </c>
      <c r="AD275" t="s">
        <v>3</v>
      </c>
      <c r="AE275" t="s">
        <v>0</v>
      </c>
      <c r="AF275" t="s">
        <v>3</v>
      </c>
      <c r="AG275" t="s">
        <v>2</v>
      </c>
      <c r="AI275" t="s">
        <v>23</v>
      </c>
      <c r="AJ275">
        <v>3</v>
      </c>
      <c r="AK275">
        <v>-5</v>
      </c>
      <c r="AL275">
        <v>21</v>
      </c>
      <c r="AM275" t="s">
        <v>0</v>
      </c>
      <c r="AN275">
        <v>1</v>
      </c>
      <c r="AO275">
        <v>1</v>
      </c>
      <c r="AP275">
        <v>0</v>
      </c>
      <c r="AQ275">
        <v>0</v>
      </c>
    </row>
    <row r="276" spans="1:43" x14ac:dyDescent="0.25">
      <c r="A276" t="s">
        <v>3178</v>
      </c>
      <c r="B276" t="s">
        <v>1292</v>
      </c>
      <c r="C276" t="s">
        <v>3177</v>
      </c>
      <c r="D276" s="1">
        <v>45843</v>
      </c>
      <c r="E276" t="s">
        <v>95</v>
      </c>
      <c r="F276" t="s">
        <v>118</v>
      </c>
      <c r="G276" t="s">
        <v>56</v>
      </c>
      <c r="H276" t="s">
        <v>16</v>
      </c>
      <c r="I276" t="s">
        <v>28</v>
      </c>
      <c r="J276" t="s">
        <v>14</v>
      </c>
      <c r="K276" t="s">
        <v>13</v>
      </c>
      <c r="L276" t="s">
        <v>117</v>
      </c>
      <c r="M276" t="s">
        <v>11</v>
      </c>
      <c r="N276" t="s">
        <v>116</v>
      </c>
      <c r="O276" t="s">
        <v>101</v>
      </c>
      <c r="P276" t="s">
        <v>8</v>
      </c>
      <c r="Q276" t="s">
        <v>24</v>
      </c>
      <c r="R276" t="s">
        <v>6</v>
      </c>
      <c r="S276" t="s">
        <v>479</v>
      </c>
      <c r="T276">
        <v>4</v>
      </c>
      <c r="U276">
        <v>103</v>
      </c>
      <c r="V276" t="s">
        <v>0</v>
      </c>
      <c r="W276" t="s">
        <v>5</v>
      </c>
      <c r="X276" t="s">
        <v>135</v>
      </c>
      <c r="Y276" t="s">
        <v>4</v>
      </c>
      <c r="Z276" t="s">
        <v>5</v>
      </c>
      <c r="AA276">
        <v>62.92</v>
      </c>
      <c r="AB276">
        <v>0.47</v>
      </c>
      <c r="AC276">
        <v>0</v>
      </c>
      <c r="AD276" t="s">
        <v>3</v>
      </c>
      <c r="AE276" t="s">
        <v>0</v>
      </c>
      <c r="AF276" t="s">
        <v>3</v>
      </c>
      <c r="AG276" t="s">
        <v>2</v>
      </c>
      <c r="AI276" t="s">
        <v>23</v>
      </c>
      <c r="AJ276">
        <v>4</v>
      </c>
      <c r="AK276">
        <v>42</v>
      </c>
      <c r="AL276">
        <v>1</v>
      </c>
      <c r="AM276" t="s">
        <v>5</v>
      </c>
      <c r="AN276">
        <v>1</v>
      </c>
      <c r="AO276">
        <v>1</v>
      </c>
      <c r="AP276">
        <v>0</v>
      </c>
      <c r="AQ276">
        <v>1</v>
      </c>
    </row>
    <row r="277" spans="1:43" x14ac:dyDescent="0.25">
      <c r="A277" t="s">
        <v>3176</v>
      </c>
      <c r="B277" t="s">
        <v>854</v>
      </c>
      <c r="C277" t="s">
        <v>3175</v>
      </c>
      <c r="D277" s="1">
        <v>45848</v>
      </c>
      <c r="E277" t="s">
        <v>19</v>
      </c>
      <c r="F277" t="s">
        <v>89</v>
      </c>
      <c r="G277" t="s">
        <v>17</v>
      </c>
      <c r="H277" t="s">
        <v>77</v>
      </c>
      <c r="I277" t="s">
        <v>28</v>
      </c>
      <c r="J277" t="s">
        <v>55</v>
      </c>
      <c r="K277" t="s">
        <v>54</v>
      </c>
      <c r="L277" t="s">
        <v>88</v>
      </c>
      <c r="M277" t="s">
        <v>11</v>
      </c>
      <c r="N277" t="s">
        <v>41</v>
      </c>
      <c r="O277" t="s">
        <v>130</v>
      </c>
      <c r="P277" t="s">
        <v>39</v>
      </c>
      <c r="Q277" t="s">
        <v>7</v>
      </c>
      <c r="R277" t="s">
        <v>6</v>
      </c>
      <c r="S277">
        <v>5</v>
      </c>
      <c r="T277">
        <v>5</v>
      </c>
      <c r="U277">
        <v>107</v>
      </c>
      <c r="V277" t="s">
        <v>0</v>
      </c>
      <c r="W277" t="s">
        <v>5</v>
      </c>
      <c r="X277" t="s">
        <v>0</v>
      </c>
      <c r="Y277" t="s">
        <v>4</v>
      </c>
      <c r="Z277" t="s">
        <v>5</v>
      </c>
      <c r="AA277">
        <v>107.19</v>
      </c>
      <c r="AB277">
        <v>0</v>
      </c>
      <c r="AC277">
        <v>0</v>
      </c>
      <c r="AD277" t="s">
        <v>3</v>
      </c>
      <c r="AE277" t="s">
        <v>0</v>
      </c>
      <c r="AF277" t="s">
        <v>3</v>
      </c>
      <c r="AG277" t="s">
        <v>2</v>
      </c>
      <c r="AI277" t="s">
        <v>23</v>
      </c>
      <c r="AJ277">
        <v>3</v>
      </c>
      <c r="AK277">
        <v>39</v>
      </c>
      <c r="AL277">
        <v>46</v>
      </c>
      <c r="AM277" t="s">
        <v>5</v>
      </c>
      <c r="AN277">
        <v>1</v>
      </c>
      <c r="AO277">
        <v>1</v>
      </c>
      <c r="AP277">
        <v>0</v>
      </c>
      <c r="AQ277">
        <v>1</v>
      </c>
    </row>
    <row r="278" spans="1:43" x14ac:dyDescent="0.25">
      <c r="A278" t="s">
        <v>3174</v>
      </c>
      <c r="B278" t="s">
        <v>2518</v>
      </c>
      <c r="C278" t="s">
        <v>3173</v>
      </c>
      <c r="D278" s="1">
        <v>46165</v>
      </c>
      <c r="E278" t="s">
        <v>162</v>
      </c>
      <c r="F278" t="s">
        <v>540</v>
      </c>
      <c r="G278" t="s">
        <v>110</v>
      </c>
      <c r="H278" t="s">
        <v>77</v>
      </c>
      <c r="I278" t="s">
        <v>28</v>
      </c>
      <c r="J278" t="s">
        <v>14</v>
      </c>
      <c r="K278" t="s">
        <v>13</v>
      </c>
      <c r="L278" t="s">
        <v>64</v>
      </c>
      <c r="M278" t="s">
        <v>53</v>
      </c>
      <c r="N278" t="s">
        <v>75</v>
      </c>
      <c r="O278" t="s">
        <v>51</v>
      </c>
      <c r="P278" t="s">
        <v>39</v>
      </c>
      <c r="Q278" t="s">
        <v>7</v>
      </c>
      <c r="R278" t="s">
        <v>6</v>
      </c>
      <c r="S278">
        <v>6</v>
      </c>
      <c r="T278">
        <v>5</v>
      </c>
      <c r="U278">
        <v>272</v>
      </c>
      <c r="V278" t="s">
        <v>5</v>
      </c>
      <c r="W278" t="s">
        <v>181</v>
      </c>
      <c r="X278" t="s">
        <v>0</v>
      </c>
      <c r="Y278" t="s">
        <v>4</v>
      </c>
      <c r="Z278" t="s">
        <v>0</v>
      </c>
      <c r="AA278">
        <v>0</v>
      </c>
      <c r="AB278">
        <v>0</v>
      </c>
      <c r="AC278">
        <v>0</v>
      </c>
      <c r="AD278" t="s">
        <v>1399</v>
      </c>
      <c r="AE278" t="s">
        <v>5</v>
      </c>
      <c r="AF278" t="s">
        <v>1399</v>
      </c>
      <c r="AG278" t="s">
        <v>36</v>
      </c>
      <c r="AH278">
        <v>34</v>
      </c>
      <c r="AI278" t="s">
        <v>191</v>
      </c>
      <c r="AJ278">
        <v>2</v>
      </c>
      <c r="AK278">
        <v>-4</v>
      </c>
      <c r="AL278">
        <v>13</v>
      </c>
      <c r="AM278" t="s">
        <v>5</v>
      </c>
      <c r="AN278">
        <v>0</v>
      </c>
      <c r="AO278">
        <v>0</v>
      </c>
      <c r="AP278">
        <v>0</v>
      </c>
      <c r="AQ278">
        <v>1</v>
      </c>
    </row>
    <row r="279" spans="1:43" x14ac:dyDescent="0.25">
      <c r="A279" t="s">
        <v>3172</v>
      </c>
      <c r="B279" t="s">
        <v>3039</v>
      </c>
      <c r="C279" t="s">
        <v>3171</v>
      </c>
      <c r="D279" s="1">
        <v>45835</v>
      </c>
      <c r="E279" t="s">
        <v>156</v>
      </c>
      <c r="F279" t="s">
        <v>325</v>
      </c>
      <c r="G279" t="s">
        <v>56</v>
      </c>
      <c r="H279" t="s">
        <v>66</v>
      </c>
      <c r="I279" t="s">
        <v>15</v>
      </c>
      <c r="J279" t="s">
        <v>55</v>
      </c>
      <c r="K279" t="s">
        <v>54</v>
      </c>
      <c r="L279" t="s">
        <v>12</v>
      </c>
      <c r="M279" t="s">
        <v>299</v>
      </c>
      <c r="N279" t="s">
        <v>52</v>
      </c>
      <c r="O279" t="s">
        <v>51</v>
      </c>
      <c r="P279" t="s">
        <v>63</v>
      </c>
      <c r="Q279" t="s">
        <v>7</v>
      </c>
      <c r="R279" t="s">
        <v>6</v>
      </c>
      <c r="S279">
        <v>6</v>
      </c>
      <c r="T279">
        <v>6</v>
      </c>
      <c r="U279">
        <v>139</v>
      </c>
      <c r="V279" t="s">
        <v>0</v>
      </c>
      <c r="W279" t="s">
        <v>5</v>
      </c>
      <c r="X279" t="s">
        <v>0</v>
      </c>
      <c r="Y279" t="s">
        <v>4</v>
      </c>
      <c r="Z279" t="s">
        <v>5</v>
      </c>
      <c r="AA279">
        <v>0</v>
      </c>
      <c r="AB279">
        <v>0.11</v>
      </c>
      <c r="AC279">
        <v>0</v>
      </c>
      <c r="AD279" t="s">
        <v>3</v>
      </c>
      <c r="AE279" t="s">
        <v>0</v>
      </c>
      <c r="AF279" t="s">
        <v>3</v>
      </c>
      <c r="AG279" t="s">
        <v>2</v>
      </c>
      <c r="AI279" t="s">
        <v>23</v>
      </c>
      <c r="AJ279">
        <v>4</v>
      </c>
      <c r="AK279">
        <v>31</v>
      </c>
      <c r="AL279">
        <v>0</v>
      </c>
      <c r="AM279" t="s">
        <v>5</v>
      </c>
      <c r="AN279">
        <v>1</v>
      </c>
      <c r="AO279">
        <v>1</v>
      </c>
      <c r="AP279">
        <v>0</v>
      </c>
      <c r="AQ279">
        <v>1</v>
      </c>
    </row>
    <row r="280" spans="1:43" x14ac:dyDescent="0.25">
      <c r="A280" t="s">
        <v>3170</v>
      </c>
      <c r="B280" t="s">
        <v>2437</v>
      </c>
      <c r="C280" t="s">
        <v>3169</v>
      </c>
      <c r="D280" s="1">
        <v>45714</v>
      </c>
      <c r="E280" t="s">
        <v>32</v>
      </c>
      <c r="F280" t="s">
        <v>107</v>
      </c>
      <c r="G280" t="s">
        <v>17</v>
      </c>
      <c r="H280" t="s">
        <v>237</v>
      </c>
      <c r="I280" t="s">
        <v>28</v>
      </c>
      <c r="J280" t="s">
        <v>55</v>
      </c>
      <c r="K280" t="s">
        <v>54</v>
      </c>
      <c r="L280" t="s">
        <v>88</v>
      </c>
      <c r="M280" t="s">
        <v>53</v>
      </c>
      <c r="N280" t="s">
        <v>10</v>
      </c>
      <c r="O280" t="s">
        <v>199</v>
      </c>
      <c r="P280" t="s">
        <v>8</v>
      </c>
      <c r="Q280" t="s">
        <v>7</v>
      </c>
      <c r="R280" t="s">
        <v>6</v>
      </c>
      <c r="S280">
        <v>5</v>
      </c>
      <c r="T280">
        <v>5</v>
      </c>
      <c r="U280">
        <v>101</v>
      </c>
      <c r="V280" t="s">
        <v>0</v>
      </c>
      <c r="W280" t="s">
        <v>5</v>
      </c>
      <c r="X280" t="s">
        <v>0</v>
      </c>
      <c r="Y280" t="s">
        <v>4</v>
      </c>
      <c r="Z280" t="s">
        <v>5</v>
      </c>
      <c r="AA280">
        <v>0</v>
      </c>
      <c r="AB280">
        <v>0</v>
      </c>
      <c r="AC280">
        <v>0.17</v>
      </c>
      <c r="AD280" t="s">
        <v>3</v>
      </c>
      <c r="AE280" t="s">
        <v>0</v>
      </c>
      <c r="AF280" t="s">
        <v>3</v>
      </c>
      <c r="AG280" t="s">
        <v>2</v>
      </c>
      <c r="AI280" t="s">
        <v>23</v>
      </c>
      <c r="AJ280">
        <v>4</v>
      </c>
      <c r="AK280">
        <v>43</v>
      </c>
      <c r="AL280">
        <v>22</v>
      </c>
      <c r="AM280" t="s">
        <v>5</v>
      </c>
      <c r="AN280">
        <v>1</v>
      </c>
      <c r="AO280">
        <v>1</v>
      </c>
      <c r="AP280">
        <v>0</v>
      </c>
      <c r="AQ280">
        <v>1</v>
      </c>
    </row>
    <row r="281" spans="1:43" x14ac:dyDescent="0.25">
      <c r="A281" t="s">
        <v>3168</v>
      </c>
      <c r="B281" t="s">
        <v>3167</v>
      </c>
      <c r="C281" t="s">
        <v>3166</v>
      </c>
      <c r="D281" s="1">
        <v>45795</v>
      </c>
      <c r="E281" t="s">
        <v>79</v>
      </c>
      <c r="F281" t="s">
        <v>206</v>
      </c>
      <c r="G281" t="s">
        <v>17</v>
      </c>
      <c r="H281" t="s">
        <v>29</v>
      </c>
      <c r="I281" t="s">
        <v>15</v>
      </c>
      <c r="J281" t="s">
        <v>55</v>
      </c>
      <c r="K281" t="s">
        <v>54</v>
      </c>
      <c r="L281" t="s">
        <v>64</v>
      </c>
      <c r="M281" t="s">
        <v>53</v>
      </c>
      <c r="N281" t="s">
        <v>10</v>
      </c>
      <c r="O281" t="s">
        <v>9</v>
      </c>
      <c r="P281" t="s">
        <v>39</v>
      </c>
      <c r="Q281" t="s">
        <v>7</v>
      </c>
      <c r="R281" t="s">
        <v>6</v>
      </c>
      <c r="S281">
        <v>7</v>
      </c>
      <c r="T281">
        <v>7</v>
      </c>
      <c r="U281">
        <v>176</v>
      </c>
      <c r="V281" t="s">
        <v>0</v>
      </c>
      <c r="W281" t="s">
        <v>5</v>
      </c>
      <c r="X281" t="s">
        <v>0</v>
      </c>
      <c r="Y281" t="s">
        <v>4</v>
      </c>
      <c r="Z281" t="s">
        <v>5</v>
      </c>
      <c r="AA281">
        <v>0</v>
      </c>
      <c r="AB281">
        <v>0</v>
      </c>
      <c r="AC281">
        <v>0.17</v>
      </c>
      <c r="AD281" t="s">
        <v>3</v>
      </c>
      <c r="AE281" t="s">
        <v>0</v>
      </c>
      <c r="AF281" t="s">
        <v>3</v>
      </c>
      <c r="AG281" t="s">
        <v>2</v>
      </c>
      <c r="AI281" t="s">
        <v>23</v>
      </c>
      <c r="AJ281">
        <v>5</v>
      </c>
      <c r="AK281">
        <v>17</v>
      </c>
      <c r="AL281">
        <v>33</v>
      </c>
      <c r="AM281" t="s">
        <v>5</v>
      </c>
      <c r="AN281">
        <v>1</v>
      </c>
      <c r="AO281">
        <v>1</v>
      </c>
      <c r="AP281">
        <v>0</v>
      </c>
      <c r="AQ281">
        <v>1</v>
      </c>
    </row>
    <row r="282" spans="1:43" x14ac:dyDescent="0.25">
      <c r="A282" t="s">
        <v>3165</v>
      </c>
      <c r="B282" t="s">
        <v>2734</v>
      </c>
      <c r="C282" t="s">
        <v>3164</v>
      </c>
      <c r="D282" s="1">
        <v>46178</v>
      </c>
      <c r="E282" t="s">
        <v>156</v>
      </c>
      <c r="F282" t="s">
        <v>155</v>
      </c>
      <c r="G282" t="s">
        <v>123</v>
      </c>
      <c r="H282" t="s">
        <v>66</v>
      </c>
      <c r="I282" t="s">
        <v>28</v>
      </c>
      <c r="J282" t="s">
        <v>14</v>
      </c>
      <c r="K282" t="s">
        <v>13</v>
      </c>
      <c r="L282" t="s">
        <v>117</v>
      </c>
      <c r="M282" t="s">
        <v>11</v>
      </c>
      <c r="N282" t="s">
        <v>116</v>
      </c>
      <c r="O282" t="s">
        <v>26</v>
      </c>
      <c r="P282" t="s">
        <v>39</v>
      </c>
      <c r="Q282" t="s">
        <v>7</v>
      </c>
      <c r="R282" t="s">
        <v>6</v>
      </c>
      <c r="S282">
        <v>4</v>
      </c>
      <c r="T282">
        <v>4</v>
      </c>
      <c r="U282">
        <v>129</v>
      </c>
      <c r="V282" t="s">
        <v>0</v>
      </c>
      <c r="W282" t="s">
        <v>0</v>
      </c>
      <c r="X282" t="s">
        <v>5</v>
      </c>
      <c r="Y282" t="s">
        <v>62</v>
      </c>
      <c r="Z282" t="s">
        <v>0</v>
      </c>
      <c r="AA282">
        <v>0</v>
      </c>
      <c r="AB282">
        <v>0</v>
      </c>
      <c r="AC282">
        <v>0</v>
      </c>
      <c r="AD282" t="s">
        <v>3</v>
      </c>
      <c r="AE282" t="s">
        <v>0</v>
      </c>
      <c r="AF282" t="s">
        <v>3</v>
      </c>
      <c r="AG282" t="s">
        <v>2</v>
      </c>
      <c r="AI282" t="s">
        <v>122</v>
      </c>
      <c r="AJ282">
        <v>3</v>
      </c>
      <c r="AK282">
        <v>-21</v>
      </c>
      <c r="AL282">
        <v>71</v>
      </c>
      <c r="AM282" t="s">
        <v>0</v>
      </c>
      <c r="AN282">
        <v>0</v>
      </c>
      <c r="AO282">
        <v>0</v>
      </c>
      <c r="AP282">
        <v>1</v>
      </c>
      <c r="AQ282">
        <v>0</v>
      </c>
    </row>
    <row r="283" spans="1:43" x14ac:dyDescent="0.25">
      <c r="A283" t="s">
        <v>3163</v>
      </c>
      <c r="B283" t="s">
        <v>3162</v>
      </c>
      <c r="C283" t="s">
        <v>3161</v>
      </c>
      <c r="D283" s="1">
        <v>45664</v>
      </c>
      <c r="E283" t="s">
        <v>19</v>
      </c>
      <c r="F283" t="s">
        <v>18</v>
      </c>
      <c r="G283" t="s">
        <v>56</v>
      </c>
      <c r="H283" t="s">
        <v>237</v>
      </c>
      <c r="I283" t="s">
        <v>15</v>
      </c>
      <c r="J283" t="s">
        <v>14</v>
      </c>
      <c r="K283" t="s">
        <v>13</v>
      </c>
      <c r="L283" t="s">
        <v>117</v>
      </c>
      <c r="M283" t="s">
        <v>11</v>
      </c>
      <c r="N283" t="s">
        <v>116</v>
      </c>
      <c r="O283" t="s">
        <v>101</v>
      </c>
      <c r="P283" t="s">
        <v>25</v>
      </c>
      <c r="Q283" t="s">
        <v>198</v>
      </c>
      <c r="R283" t="s">
        <v>6</v>
      </c>
      <c r="S283">
        <v>4</v>
      </c>
      <c r="T283" t="s">
        <v>99</v>
      </c>
      <c r="U283">
        <v>73</v>
      </c>
      <c r="V283" t="s">
        <v>0</v>
      </c>
      <c r="W283" t="s">
        <v>5</v>
      </c>
      <c r="X283" t="s">
        <v>0</v>
      </c>
      <c r="Y283" t="s">
        <v>4</v>
      </c>
      <c r="Z283" t="s">
        <v>5</v>
      </c>
      <c r="AA283">
        <v>59.39</v>
      </c>
      <c r="AB283">
        <v>0.44</v>
      </c>
      <c r="AC283">
        <v>0</v>
      </c>
      <c r="AD283" t="s">
        <v>187</v>
      </c>
      <c r="AE283" t="s">
        <v>5</v>
      </c>
      <c r="AF283" t="s">
        <v>187</v>
      </c>
      <c r="AG283" t="s">
        <v>139</v>
      </c>
      <c r="AH283">
        <v>49</v>
      </c>
      <c r="AI283" t="s">
        <v>23</v>
      </c>
      <c r="AJ283">
        <v>4</v>
      </c>
      <c r="AK283">
        <v>56</v>
      </c>
      <c r="AL283">
        <v>34</v>
      </c>
      <c r="AM283" t="s">
        <v>5</v>
      </c>
      <c r="AN283">
        <v>1</v>
      </c>
      <c r="AO283">
        <v>1</v>
      </c>
      <c r="AP283">
        <v>0</v>
      </c>
      <c r="AQ283">
        <v>1</v>
      </c>
    </row>
    <row r="284" spans="1:43" x14ac:dyDescent="0.25">
      <c r="A284" t="s">
        <v>3160</v>
      </c>
      <c r="B284" t="s">
        <v>3159</v>
      </c>
      <c r="C284" t="s">
        <v>3158</v>
      </c>
      <c r="D284" s="1">
        <v>45661</v>
      </c>
      <c r="E284" t="s">
        <v>68</v>
      </c>
      <c r="F284" t="s">
        <v>278</v>
      </c>
      <c r="G284" t="s">
        <v>56</v>
      </c>
      <c r="H284" t="s">
        <v>77</v>
      </c>
      <c r="I284" t="s">
        <v>28</v>
      </c>
      <c r="J284" t="s">
        <v>55</v>
      </c>
      <c r="K284" t="s">
        <v>54</v>
      </c>
      <c r="L284" t="s">
        <v>64</v>
      </c>
      <c r="M284" t="s">
        <v>53</v>
      </c>
      <c r="N284" t="s">
        <v>75</v>
      </c>
      <c r="O284" t="s">
        <v>51</v>
      </c>
      <c r="P284" t="s">
        <v>39</v>
      </c>
      <c r="Q284" t="s">
        <v>7</v>
      </c>
      <c r="R284" t="s">
        <v>6</v>
      </c>
      <c r="S284">
        <v>6</v>
      </c>
      <c r="T284">
        <v>6</v>
      </c>
      <c r="U284">
        <v>169</v>
      </c>
      <c r="V284" t="s">
        <v>0</v>
      </c>
      <c r="W284" t="s">
        <v>0</v>
      </c>
      <c r="X284" t="s">
        <v>5</v>
      </c>
      <c r="Y284" t="s">
        <v>49</v>
      </c>
      <c r="Z284" t="s">
        <v>0</v>
      </c>
      <c r="AA284">
        <v>0</v>
      </c>
      <c r="AB284">
        <v>0</v>
      </c>
      <c r="AC284">
        <v>0</v>
      </c>
      <c r="AD284" t="s">
        <v>3</v>
      </c>
      <c r="AE284" t="s">
        <v>0</v>
      </c>
      <c r="AF284" t="s">
        <v>3</v>
      </c>
      <c r="AG284" t="s">
        <v>2</v>
      </c>
      <c r="AI284" t="s">
        <v>122</v>
      </c>
      <c r="AJ284">
        <v>3</v>
      </c>
      <c r="AK284">
        <v>22</v>
      </c>
      <c r="AL284">
        <v>1</v>
      </c>
      <c r="AM284" t="s">
        <v>0</v>
      </c>
      <c r="AN284">
        <v>0</v>
      </c>
      <c r="AO284">
        <v>0</v>
      </c>
      <c r="AP284">
        <v>1</v>
      </c>
      <c r="AQ284">
        <v>0</v>
      </c>
    </row>
    <row r="285" spans="1:43" x14ac:dyDescent="0.25">
      <c r="A285" t="s">
        <v>3157</v>
      </c>
      <c r="B285" t="s">
        <v>2093</v>
      </c>
      <c r="C285" t="s">
        <v>3156</v>
      </c>
      <c r="D285" s="1">
        <v>45946</v>
      </c>
      <c r="E285" t="s">
        <v>125</v>
      </c>
      <c r="F285" t="s">
        <v>1432</v>
      </c>
      <c r="G285" t="s">
        <v>110</v>
      </c>
      <c r="H285" t="s">
        <v>66</v>
      </c>
      <c r="I285" t="s">
        <v>28</v>
      </c>
      <c r="J285" t="s">
        <v>55</v>
      </c>
      <c r="K285" t="s">
        <v>54</v>
      </c>
      <c r="L285" t="s">
        <v>64</v>
      </c>
      <c r="M285" t="s">
        <v>11</v>
      </c>
      <c r="N285" t="s">
        <v>52</v>
      </c>
      <c r="O285" t="s">
        <v>101</v>
      </c>
      <c r="P285" t="s">
        <v>39</v>
      </c>
      <c r="Q285" t="s">
        <v>7</v>
      </c>
      <c r="R285" t="s">
        <v>6</v>
      </c>
      <c r="S285">
        <v>4</v>
      </c>
      <c r="T285">
        <v>4</v>
      </c>
      <c r="U285">
        <v>113</v>
      </c>
      <c r="V285" t="s">
        <v>0</v>
      </c>
      <c r="W285" t="s">
        <v>5</v>
      </c>
      <c r="X285" t="s">
        <v>0</v>
      </c>
      <c r="Y285" t="s">
        <v>4</v>
      </c>
      <c r="Z285" t="s">
        <v>5</v>
      </c>
      <c r="AA285">
        <v>72.349999999999994</v>
      </c>
      <c r="AB285">
        <v>0.46</v>
      </c>
      <c r="AC285">
        <v>0</v>
      </c>
      <c r="AD285" t="s">
        <v>436</v>
      </c>
      <c r="AE285" t="s">
        <v>5</v>
      </c>
      <c r="AF285" t="s">
        <v>436</v>
      </c>
      <c r="AG285" t="s">
        <v>36</v>
      </c>
      <c r="AH285">
        <v>17</v>
      </c>
      <c r="AI285" t="s">
        <v>23</v>
      </c>
      <c r="AJ285">
        <v>4</v>
      </c>
      <c r="AK285">
        <v>7</v>
      </c>
      <c r="AL285">
        <v>29</v>
      </c>
      <c r="AM285" t="s">
        <v>5</v>
      </c>
      <c r="AN285">
        <v>1</v>
      </c>
      <c r="AO285">
        <v>1</v>
      </c>
      <c r="AP285">
        <v>0</v>
      </c>
      <c r="AQ285">
        <v>1</v>
      </c>
    </row>
    <row r="286" spans="1:43" x14ac:dyDescent="0.25">
      <c r="A286" t="s">
        <v>3155</v>
      </c>
      <c r="B286" t="s">
        <v>1596</v>
      </c>
      <c r="C286" t="s">
        <v>3154</v>
      </c>
      <c r="D286" s="1">
        <v>46143</v>
      </c>
      <c r="E286" t="s">
        <v>79</v>
      </c>
      <c r="F286" t="s">
        <v>206</v>
      </c>
      <c r="G286" t="s">
        <v>56</v>
      </c>
      <c r="H286" t="s">
        <v>16</v>
      </c>
      <c r="I286" t="s">
        <v>28</v>
      </c>
      <c r="J286" t="s">
        <v>55</v>
      </c>
      <c r="K286" t="s">
        <v>54</v>
      </c>
      <c r="L286" t="s">
        <v>42</v>
      </c>
      <c r="M286" t="s">
        <v>11</v>
      </c>
      <c r="N286" t="s">
        <v>93</v>
      </c>
      <c r="O286" t="s">
        <v>101</v>
      </c>
      <c r="P286" t="s">
        <v>39</v>
      </c>
      <c r="Q286" t="s">
        <v>7</v>
      </c>
      <c r="R286" t="s">
        <v>6</v>
      </c>
      <c r="S286">
        <v>4</v>
      </c>
      <c r="T286">
        <v>4</v>
      </c>
      <c r="U286">
        <v>72</v>
      </c>
      <c r="V286" t="s">
        <v>0</v>
      </c>
      <c r="W286" t="s">
        <v>5</v>
      </c>
      <c r="X286" t="s">
        <v>0</v>
      </c>
      <c r="Y286" t="s">
        <v>4</v>
      </c>
      <c r="Z286" t="s">
        <v>5</v>
      </c>
      <c r="AA286">
        <v>0</v>
      </c>
      <c r="AB286">
        <v>0.44</v>
      </c>
      <c r="AC286">
        <v>0</v>
      </c>
      <c r="AD286" t="s">
        <v>3</v>
      </c>
      <c r="AE286" t="s">
        <v>0</v>
      </c>
      <c r="AF286" t="s">
        <v>3</v>
      </c>
      <c r="AG286" t="s">
        <v>2</v>
      </c>
      <c r="AI286" t="s">
        <v>23</v>
      </c>
      <c r="AJ286">
        <v>3</v>
      </c>
      <c r="AK286">
        <v>-3</v>
      </c>
      <c r="AL286">
        <v>34</v>
      </c>
      <c r="AM286" t="s">
        <v>0</v>
      </c>
      <c r="AN286">
        <v>1</v>
      </c>
      <c r="AO286">
        <v>1</v>
      </c>
      <c r="AP286">
        <v>0</v>
      </c>
      <c r="AQ286">
        <v>0</v>
      </c>
    </row>
    <row r="287" spans="1:43" x14ac:dyDescent="0.25">
      <c r="A287" t="s">
        <v>3153</v>
      </c>
      <c r="B287" t="s">
        <v>3152</v>
      </c>
      <c r="C287" t="s">
        <v>3151</v>
      </c>
      <c r="D287" s="1">
        <v>45959</v>
      </c>
      <c r="E287" t="s">
        <v>168</v>
      </c>
      <c r="F287" t="s">
        <v>283</v>
      </c>
      <c r="G287" t="s">
        <v>110</v>
      </c>
      <c r="H287" t="s">
        <v>77</v>
      </c>
      <c r="I287" t="s">
        <v>15</v>
      </c>
      <c r="J287" t="s">
        <v>14</v>
      </c>
      <c r="K287" t="s">
        <v>13</v>
      </c>
      <c r="L287" t="s">
        <v>12</v>
      </c>
      <c r="M287" t="s">
        <v>11</v>
      </c>
      <c r="N287" t="s">
        <v>41</v>
      </c>
      <c r="O287" t="s">
        <v>199</v>
      </c>
      <c r="P287" t="s">
        <v>63</v>
      </c>
      <c r="Q287" t="s">
        <v>50</v>
      </c>
      <c r="R287" t="s">
        <v>6</v>
      </c>
      <c r="S287">
        <v>5</v>
      </c>
      <c r="T287">
        <v>4</v>
      </c>
      <c r="U287">
        <v>271</v>
      </c>
      <c r="V287" t="s">
        <v>5</v>
      </c>
      <c r="W287" t="s">
        <v>5</v>
      </c>
      <c r="X287" t="s">
        <v>5</v>
      </c>
      <c r="Y287" t="s">
        <v>282</v>
      </c>
      <c r="Z287" t="s">
        <v>0</v>
      </c>
      <c r="AA287">
        <v>0</v>
      </c>
      <c r="AB287">
        <v>0</v>
      </c>
      <c r="AC287">
        <v>0</v>
      </c>
      <c r="AD287" t="s">
        <v>436</v>
      </c>
      <c r="AE287" t="s">
        <v>5</v>
      </c>
      <c r="AF287" t="s">
        <v>436</v>
      </c>
      <c r="AG287" t="s">
        <v>36</v>
      </c>
      <c r="AH287">
        <v>30</v>
      </c>
      <c r="AI287" t="s">
        <v>23</v>
      </c>
      <c r="AJ287">
        <v>3</v>
      </c>
      <c r="AK287">
        <v>-62</v>
      </c>
      <c r="AL287" t="s">
        <v>347</v>
      </c>
      <c r="AM287" t="s">
        <v>5</v>
      </c>
      <c r="AN287">
        <v>1</v>
      </c>
      <c r="AO287">
        <v>0</v>
      </c>
      <c r="AP287">
        <v>1</v>
      </c>
      <c r="AQ287">
        <v>1</v>
      </c>
    </row>
    <row r="288" spans="1:43" x14ac:dyDescent="0.25">
      <c r="A288" t="s">
        <v>3150</v>
      </c>
      <c r="B288" t="s">
        <v>1354</v>
      </c>
      <c r="C288" t="s">
        <v>3149</v>
      </c>
      <c r="D288" s="1">
        <v>46180</v>
      </c>
      <c r="E288" t="s">
        <v>45</v>
      </c>
      <c r="F288" t="s">
        <v>57</v>
      </c>
      <c r="G288" t="s">
        <v>123</v>
      </c>
      <c r="H288" t="s">
        <v>77</v>
      </c>
      <c r="I288" t="s">
        <v>147</v>
      </c>
      <c r="J288" t="s">
        <v>55</v>
      </c>
      <c r="K288" t="s">
        <v>54</v>
      </c>
      <c r="L288" t="s">
        <v>64</v>
      </c>
      <c r="M288" t="s">
        <v>27</v>
      </c>
      <c r="N288" t="s">
        <v>52</v>
      </c>
      <c r="O288" t="s">
        <v>51</v>
      </c>
      <c r="P288" t="s">
        <v>39</v>
      </c>
      <c r="Q288" t="s">
        <v>7</v>
      </c>
      <c r="R288" t="s">
        <v>6</v>
      </c>
      <c r="S288">
        <v>6</v>
      </c>
      <c r="T288">
        <v>6</v>
      </c>
      <c r="U288">
        <v>183</v>
      </c>
      <c r="V288" t="s">
        <v>0</v>
      </c>
      <c r="W288" t="s">
        <v>5</v>
      </c>
      <c r="X288" t="s">
        <v>0</v>
      </c>
      <c r="Y288" t="s">
        <v>4</v>
      </c>
      <c r="Z288" t="s">
        <v>0</v>
      </c>
      <c r="AA288">
        <v>0</v>
      </c>
      <c r="AB288">
        <v>0</v>
      </c>
      <c r="AC288">
        <v>0</v>
      </c>
      <c r="AD288" t="s">
        <v>3</v>
      </c>
      <c r="AE288" t="s">
        <v>0</v>
      </c>
      <c r="AF288" t="s">
        <v>3</v>
      </c>
      <c r="AG288" t="s">
        <v>2</v>
      </c>
      <c r="AI288" t="s">
        <v>23</v>
      </c>
      <c r="AJ288">
        <v>5</v>
      </c>
      <c r="AK288">
        <v>-21</v>
      </c>
      <c r="AL288">
        <v>31</v>
      </c>
      <c r="AM288" t="s">
        <v>0</v>
      </c>
      <c r="AN288">
        <v>1</v>
      </c>
      <c r="AO288">
        <v>0</v>
      </c>
      <c r="AP288">
        <v>0</v>
      </c>
      <c r="AQ288">
        <v>0</v>
      </c>
    </row>
    <row r="289" spans="1:43" x14ac:dyDescent="0.25">
      <c r="A289" t="s">
        <v>3148</v>
      </c>
      <c r="B289" t="s">
        <v>1067</v>
      </c>
      <c r="C289" t="s">
        <v>3147</v>
      </c>
      <c r="D289" s="1">
        <v>45849</v>
      </c>
      <c r="E289" t="s">
        <v>168</v>
      </c>
      <c r="F289" t="s">
        <v>233</v>
      </c>
      <c r="G289" t="s">
        <v>30</v>
      </c>
      <c r="H289" t="s">
        <v>66</v>
      </c>
      <c r="I289" t="s">
        <v>15</v>
      </c>
      <c r="J289" t="s">
        <v>14</v>
      </c>
      <c r="K289" t="s">
        <v>13</v>
      </c>
      <c r="L289" t="s">
        <v>64</v>
      </c>
      <c r="M289" t="s">
        <v>11</v>
      </c>
      <c r="N289" t="s">
        <v>93</v>
      </c>
      <c r="O289" t="s">
        <v>40</v>
      </c>
      <c r="P289" t="s">
        <v>39</v>
      </c>
      <c r="Q289" t="s">
        <v>24</v>
      </c>
      <c r="R289" t="s">
        <v>38</v>
      </c>
      <c r="S289">
        <v>8</v>
      </c>
      <c r="T289">
        <v>5</v>
      </c>
      <c r="U289">
        <v>300</v>
      </c>
      <c r="V289" t="s">
        <v>5</v>
      </c>
      <c r="W289" t="s">
        <v>0</v>
      </c>
      <c r="X289" t="s">
        <v>5</v>
      </c>
      <c r="Y289" t="s">
        <v>160</v>
      </c>
      <c r="Z289" t="s">
        <v>0</v>
      </c>
      <c r="AA289">
        <v>0</v>
      </c>
      <c r="AB289">
        <v>0</v>
      </c>
      <c r="AC289">
        <v>0</v>
      </c>
      <c r="AD289" t="s">
        <v>3</v>
      </c>
      <c r="AE289" t="s">
        <v>0</v>
      </c>
      <c r="AF289" t="s">
        <v>3</v>
      </c>
      <c r="AG289" t="s">
        <v>2</v>
      </c>
      <c r="AI289" t="s">
        <v>1001</v>
      </c>
      <c r="AJ289">
        <v>2</v>
      </c>
      <c r="AK289">
        <v>7</v>
      </c>
      <c r="AL289">
        <v>33</v>
      </c>
      <c r="AM289" t="s">
        <v>5</v>
      </c>
      <c r="AN289">
        <v>0</v>
      </c>
      <c r="AO289">
        <v>0</v>
      </c>
      <c r="AP289">
        <v>1</v>
      </c>
      <c r="AQ289">
        <v>1</v>
      </c>
    </row>
    <row r="290" spans="1:43" x14ac:dyDescent="0.25">
      <c r="A290" t="s">
        <v>3146</v>
      </c>
      <c r="B290" t="s">
        <v>3145</v>
      </c>
      <c r="C290" t="s">
        <v>3144</v>
      </c>
      <c r="D290" s="1">
        <v>46072</v>
      </c>
      <c r="E290" t="s">
        <v>156</v>
      </c>
      <c r="F290" t="s">
        <v>155</v>
      </c>
      <c r="G290" t="s">
        <v>17</v>
      </c>
      <c r="H290" t="s">
        <v>29</v>
      </c>
      <c r="I290" t="s">
        <v>15</v>
      </c>
      <c r="J290" t="s">
        <v>55</v>
      </c>
      <c r="K290" t="s">
        <v>54</v>
      </c>
      <c r="L290" t="s">
        <v>88</v>
      </c>
      <c r="M290" t="s">
        <v>11</v>
      </c>
      <c r="N290" t="s">
        <v>269</v>
      </c>
      <c r="O290" t="s">
        <v>26</v>
      </c>
      <c r="P290" t="s">
        <v>39</v>
      </c>
      <c r="Q290" t="s">
        <v>24</v>
      </c>
      <c r="R290" t="s">
        <v>6</v>
      </c>
      <c r="S290">
        <v>4</v>
      </c>
      <c r="T290">
        <v>4</v>
      </c>
      <c r="U290">
        <v>98</v>
      </c>
      <c r="V290" t="s">
        <v>0</v>
      </c>
      <c r="W290" t="s">
        <v>0</v>
      </c>
      <c r="X290" t="s">
        <v>0</v>
      </c>
      <c r="Y290" t="s">
        <v>4</v>
      </c>
      <c r="Z290" t="s">
        <v>5</v>
      </c>
      <c r="AA290">
        <v>176.93</v>
      </c>
      <c r="AB290">
        <v>0.21</v>
      </c>
      <c r="AC290">
        <v>0</v>
      </c>
      <c r="AD290" t="s">
        <v>3</v>
      </c>
      <c r="AE290" t="s">
        <v>0</v>
      </c>
      <c r="AF290" t="s">
        <v>3</v>
      </c>
      <c r="AG290" t="s">
        <v>2</v>
      </c>
      <c r="AI290" t="s">
        <v>23</v>
      </c>
      <c r="AJ290">
        <v>3</v>
      </c>
      <c r="AK290">
        <v>5</v>
      </c>
      <c r="AL290">
        <v>47</v>
      </c>
      <c r="AM290" t="s">
        <v>0</v>
      </c>
      <c r="AN290">
        <v>0</v>
      </c>
      <c r="AO290">
        <v>1</v>
      </c>
      <c r="AP290">
        <v>0</v>
      </c>
      <c r="AQ290">
        <v>0</v>
      </c>
    </row>
    <row r="291" spans="1:43" x14ac:dyDescent="0.25">
      <c r="A291" t="s">
        <v>3143</v>
      </c>
      <c r="B291" t="s">
        <v>1079</v>
      </c>
      <c r="C291" t="s">
        <v>3142</v>
      </c>
      <c r="D291" s="1">
        <v>45734</v>
      </c>
      <c r="E291" t="s">
        <v>156</v>
      </c>
      <c r="F291" t="s">
        <v>3141</v>
      </c>
      <c r="G291" t="s">
        <v>30</v>
      </c>
      <c r="H291" t="s">
        <v>237</v>
      </c>
      <c r="I291" t="s">
        <v>15</v>
      </c>
      <c r="J291" t="s">
        <v>14</v>
      </c>
      <c r="K291" t="s">
        <v>13</v>
      </c>
      <c r="L291" t="s">
        <v>88</v>
      </c>
      <c r="M291" t="s">
        <v>11</v>
      </c>
      <c r="N291" t="s">
        <v>93</v>
      </c>
      <c r="O291" t="s">
        <v>87</v>
      </c>
      <c r="P291" t="s">
        <v>39</v>
      </c>
      <c r="Q291" t="s">
        <v>172</v>
      </c>
      <c r="R291" t="s">
        <v>6</v>
      </c>
      <c r="S291">
        <v>5</v>
      </c>
      <c r="T291">
        <v>5</v>
      </c>
      <c r="U291">
        <v>156</v>
      </c>
      <c r="V291" t="s">
        <v>0</v>
      </c>
      <c r="W291" t="s">
        <v>0</v>
      </c>
      <c r="X291" t="s">
        <v>0</v>
      </c>
      <c r="Y291" t="s">
        <v>4</v>
      </c>
      <c r="Z291" t="s">
        <v>5</v>
      </c>
      <c r="AA291">
        <v>32.78</v>
      </c>
      <c r="AB291">
        <v>0</v>
      </c>
      <c r="AC291">
        <v>0</v>
      </c>
      <c r="AD291" t="s">
        <v>3</v>
      </c>
      <c r="AE291" t="s">
        <v>0</v>
      </c>
      <c r="AF291" t="s">
        <v>3</v>
      </c>
      <c r="AG291" t="s">
        <v>2</v>
      </c>
      <c r="AI291" t="s">
        <v>23</v>
      </c>
      <c r="AJ291">
        <v>5</v>
      </c>
      <c r="AK291">
        <v>32</v>
      </c>
      <c r="AL291" t="s">
        <v>2319</v>
      </c>
      <c r="AM291" t="s">
        <v>5</v>
      </c>
      <c r="AN291">
        <v>0</v>
      </c>
      <c r="AO291">
        <v>1</v>
      </c>
      <c r="AP291">
        <v>0</v>
      </c>
      <c r="AQ291">
        <v>1</v>
      </c>
    </row>
    <row r="292" spans="1:43" x14ac:dyDescent="0.25">
      <c r="A292" t="s">
        <v>3140</v>
      </c>
      <c r="B292" t="s">
        <v>1663</v>
      </c>
      <c r="C292" t="s">
        <v>3139</v>
      </c>
      <c r="D292" s="1">
        <v>46105</v>
      </c>
      <c r="E292" t="s">
        <v>68</v>
      </c>
      <c r="F292" t="s">
        <v>67</v>
      </c>
      <c r="G292" t="s">
        <v>17</v>
      </c>
      <c r="H292" t="s">
        <v>77</v>
      </c>
      <c r="I292" t="s">
        <v>15</v>
      </c>
      <c r="J292" t="s">
        <v>146</v>
      </c>
      <c r="K292" t="s">
        <v>145</v>
      </c>
      <c r="L292" t="s">
        <v>42</v>
      </c>
      <c r="M292" t="s">
        <v>11</v>
      </c>
      <c r="N292" t="s">
        <v>75</v>
      </c>
      <c r="O292" t="s">
        <v>87</v>
      </c>
      <c r="P292" t="s">
        <v>39</v>
      </c>
      <c r="Q292" t="s">
        <v>50</v>
      </c>
      <c r="R292" t="s">
        <v>6</v>
      </c>
      <c r="S292">
        <v>5</v>
      </c>
      <c r="T292">
        <v>5</v>
      </c>
      <c r="U292">
        <v>94</v>
      </c>
      <c r="V292" t="s">
        <v>0</v>
      </c>
      <c r="W292" t="s">
        <v>287</v>
      </c>
      <c r="X292" t="s">
        <v>0</v>
      </c>
      <c r="Y292" t="s">
        <v>4</v>
      </c>
      <c r="Z292" t="s">
        <v>5</v>
      </c>
      <c r="AA292">
        <v>177.45</v>
      </c>
      <c r="AB292">
        <v>0</v>
      </c>
      <c r="AC292">
        <v>0</v>
      </c>
      <c r="AD292" t="s">
        <v>3</v>
      </c>
      <c r="AE292" t="s">
        <v>247</v>
      </c>
      <c r="AF292" t="s">
        <v>3</v>
      </c>
      <c r="AG292" t="s">
        <v>2</v>
      </c>
      <c r="AI292" t="s">
        <v>23</v>
      </c>
      <c r="AJ292">
        <v>4</v>
      </c>
      <c r="AK292">
        <v>3</v>
      </c>
      <c r="AL292">
        <v>26</v>
      </c>
      <c r="AM292" t="s">
        <v>5</v>
      </c>
      <c r="AN292">
        <v>1</v>
      </c>
      <c r="AO292">
        <v>1</v>
      </c>
      <c r="AP292">
        <v>0</v>
      </c>
      <c r="AQ292">
        <v>1</v>
      </c>
    </row>
    <row r="293" spans="1:43" x14ac:dyDescent="0.25">
      <c r="A293" t="s">
        <v>3138</v>
      </c>
      <c r="B293" t="s">
        <v>3137</v>
      </c>
      <c r="C293" t="s">
        <v>3136</v>
      </c>
      <c r="D293" s="1">
        <v>45925</v>
      </c>
      <c r="E293" t="s">
        <v>168</v>
      </c>
      <c r="F293" t="s">
        <v>167</v>
      </c>
      <c r="G293" t="s">
        <v>17</v>
      </c>
      <c r="H293" t="s">
        <v>16</v>
      </c>
      <c r="I293" t="s">
        <v>15</v>
      </c>
      <c r="J293" t="s">
        <v>55</v>
      </c>
      <c r="K293" t="s">
        <v>54</v>
      </c>
      <c r="L293" t="s">
        <v>117</v>
      </c>
      <c r="M293" t="s">
        <v>11</v>
      </c>
      <c r="N293" t="s">
        <v>10</v>
      </c>
      <c r="O293" t="s">
        <v>51</v>
      </c>
      <c r="P293" t="s">
        <v>25</v>
      </c>
      <c r="Q293" t="s">
        <v>24</v>
      </c>
      <c r="R293" t="s">
        <v>6</v>
      </c>
      <c r="S293">
        <v>6</v>
      </c>
      <c r="T293">
        <v>5</v>
      </c>
      <c r="U293">
        <v>274</v>
      </c>
      <c r="V293" t="s">
        <v>5</v>
      </c>
      <c r="W293" t="s">
        <v>5</v>
      </c>
      <c r="X293" t="s">
        <v>181</v>
      </c>
      <c r="Y293" t="s">
        <v>4</v>
      </c>
      <c r="Z293" t="s">
        <v>0</v>
      </c>
      <c r="AA293">
        <v>0</v>
      </c>
      <c r="AB293">
        <v>0</v>
      </c>
      <c r="AC293">
        <v>0</v>
      </c>
      <c r="AD293" t="s">
        <v>3</v>
      </c>
      <c r="AE293" t="s">
        <v>0</v>
      </c>
      <c r="AF293" t="s">
        <v>3</v>
      </c>
      <c r="AG293" t="s">
        <v>2</v>
      </c>
      <c r="AI293" t="s">
        <v>23</v>
      </c>
      <c r="AJ293">
        <v>3</v>
      </c>
      <c r="AK293">
        <v>-26</v>
      </c>
      <c r="AL293">
        <v>22</v>
      </c>
      <c r="AM293" t="s">
        <v>5</v>
      </c>
      <c r="AN293">
        <v>1</v>
      </c>
      <c r="AO293">
        <v>0</v>
      </c>
      <c r="AP293">
        <v>0</v>
      </c>
      <c r="AQ293">
        <v>1</v>
      </c>
    </row>
    <row r="294" spans="1:43" x14ac:dyDescent="0.25">
      <c r="A294" t="s">
        <v>3135</v>
      </c>
      <c r="B294" t="s">
        <v>2241</v>
      </c>
      <c r="C294" t="s">
        <v>3134</v>
      </c>
      <c r="D294" s="1">
        <v>45737</v>
      </c>
      <c r="E294" t="s">
        <v>95</v>
      </c>
      <c r="F294" t="s">
        <v>94</v>
      </c>
      <c r="G294" t="s">
        <v>83</v>
      </c>
      <c r="H294" t="s">
        <v>66</v>
      </c>
      <c r="I294" t="s">
        <v>15</v>
      </c>
      <c r="J294" t="s">
        <v>146</v>
      </c>
      <c r="K294" t="s">
        <v>145</v>
      </c>
      <c r="L294" t="s">
        <v>42</v>
      </c>
      <c r="M294" t="s">
        <v>27</v>
      </c>
      <c r="N294" t="s">
        <v>41</v>
      </c>
      <c r="O294" t="s">
        <v>87</v>
      </c>
      <c r="P294" t="s">
        <v>8</v>
      </c>
      <c r="Q294" t="s">
        <v>24</v>
      </c>
      <c r="R294" t="s">
        <v>38</v>
      </c>
      <c r="S294">
        <v>5</v>
      </c>
      <c r="T294">
        <v>5</v>
      </c>
      <c r="U294">
        <v>228</v>
      </c>
      <c r="V294" t="s">
        <v>0</v>
      </c>
      <c r="W294" t="s">
        <v>181</v>
      </c>
      <c r="X294" t="s">
        <v>5</v>
      </c>
      <c r="Y294" t="s">
        <v>1381</v>
      </c>
      <c r="Z294" t="s">
        <v>5</v>
      </c>
      <c r="AA294">
        <v>144.09</v>
      </c>
      <c r="AB294">
        <v>0</v>
      </c>
      <c r="AC294">
        <v>0.37</v>
      </c>
      <c r="AD294" t="s">
        <v>3</v>
      </c>
      <c r="AE294" t="s">
        <v>0</v>
      </c>
      <c r="AF294" t="s">
        <v>3</v>
      </c>
      <c r="AG294" t="s">
        <v>2</v>
      </c>
      <c r="AI294" t="s">
        <v>122</v>
      </c>
      <c r="AJ294">
        <v>4</v>
      </c>
      <c r="AK294">
        <v>46</v>
      </c>
      <c r="AL294">
        <v>28</v>
      </c>
      <c r="AM294" t="s">
        <v>0</v>
      </c>
      <c r="AN294">
        <v>0</v>
      </c>
      <c r="AO294">
        <v>1</v>
      </c>
      <c r="AP294">
        <v>1</v>
      </c>
      <c r="AQ294">
        <v>0</v>
      </c>
    </row>
    <row r="295" spans="1:43" x14ac:dyDescent="0.25">
      <c r="A295" t="s">
        <v>3133</v>
      </c>
      <c r="B295" t="s">
        <v>3132</v>
      </c>
      <c r="C295" t="s">
        <v>3131</v>
      </c>
      <c r="D295" s="1">
        <v>45738</v>
      </c>
      <c r="E295" t="s">
        <v>19</v>
      </c>
      <c r="F295" t="s">
        <v>18</v>
      </c>
      <c r="G295" t="s">
        <v>56</v>
      </c>
      <c r="H295" t="s">
        <v>43</v>
      </c>
      <c r="I295" t="s">
        <v>15</v>
      </c>
      <c r="J295" t="s">
        <v>14</v>
      </c>
      <c r="K295" t="s">
        <v>13</v>
      </c>
      <c r="L295" t="s">
        <v>88</v>
      </c>
      <c r="M295" t="s">
        <v>53</v>
      </c>
      <c r="N295" t="s">
        <v>154</v>
      </c>
      <c r="O295" t="s">
        <v>74</v>
      </c>
      <c r="P295" t="s">
        <v>25</v>
      </c>
      <c r="Q295" t="s">
        <v>50</v>
      </c>
      <c r="R295" t="s">
        <v>6</v>
      </c>
      <c r="S295">
        <v>6</v>
      </c>
      <c r="T295">
        <v>6</v>
      </c>
      <c r="U295">
        <v>120</v>
      </c>
      <c r="V295" t="s">
        <v>0</v>
      </c>
      <c r="W295" t="s">
        <v>5</v>
      </c>
      <c r="X295" t="s">
        <v>0</v>
      </c>
      <c r="Y295" t="s">
        <v>4</v>
      </c>
      <c r="Z295" t="s">
        <v>5</v>
      </c>
      <c r="AA295">
        <v>0</v>
      </c>
      <c r="AB295">
        <v>0</v>
      </c>
      <c r="AC295">
        <v>0.17</v>
      </c>
      <c r="AD295" t="s">
        <v>3</v>
      </c>
      <c r="AE295" t="s">
        <v>0</v>
      </c>
      <c r="AF295" t="s">
        <v>3</v>
      </c>
      <c r="AG295" t="s">
        <v>2</v>
      </c>
      <c r="AI295" t="s">
        <v>23</v>
      </c>
      <c r="AJ295">
        <v>4</v>
      </c>
      <c r="AK295">
        <v>30</v>
      </c>
      <c r="AL295">
        <v>12</v>
      </c>
      <c r="AM295" t="s">
        <v>5</v>
      </c>
      <c r="AN295">
        <v>1</v>
      </c>
      <c r="AO295">
        <v>1</v>
      </c>
      <c r="AP295">
        <v>0</v>
      </c>
      <c r="AQ295">
        <v>1</v>
      </c>
    </row>
    <row r="296" spans="1:43" x14ac:dyDescent="0.25">
      <c r="A296" t="s">
        <v>3130</v>
      </c>
      <c r="B296" t="s">
        <v>1728</v>
      </c>
      <c r="C296" t="s">
        <v>3129</v>
      </c>
      <c r="D296" s="1">
        <v>45877</v>
      </c>
      <c r="E296" t="s">
        <v>149</v>
      </c>
      <c r="F296" t="s">
        <v>589</v>
      </c>
      <c r="G296" t="s">
        <v>17</v>
      </c>
      <c r="H296" t="s">
        <v>77</v>
      </c>
      <c r="I296" t="s">
        <v>28</v>
      </c>
      <c r="J296" t="s">
        <v>14</v>
      </c>
      <c r="K296" t="s">
        <v>13</v>
      </c>
      <c r="L296" t="s">
        <v>117</v>
      </c>
      <c r="M296" t="s">
        <v>11</v>
      </c>
      <c r="N296" t="s">
        <v>75</v>
      </c>
      <c r="O296" t="s">
        <v>51</v>
      </c>
      <c r="P296" t="s">
        <v>63</v>
      </c>
      <c r="Q296" t="s">
        <v>7</v>
      </c>
      <c r="R296" t="s">
        <v>6</v>
      </c>
      <c r="S296">
        <v>6</v>
      </c>
      <c r="T296">
        <v>4</v>
      </c>
      <c r="U296">
        <v>273</v>
      </c>
      <c r="V296" t="s">
        <v>5</v>
      </c>
      <c r="W296" t="s">
        <v>0</v>
      </c>
      <c r="X296" t="s">
        <v>5</v>
      </c>
      <c r="Y296" t="s">
        <v>49</v>
      </c>
      <c r="Z296" t="s">
        <v>5</v>
      </c>
      <c r="AA296">
        <v>44.34</v>
      </c>
      <c r="AB296">
        <v>0.09</v>
      </c>
      <c r="AC296">
        <v>0</v>
      </c>
      <c r="AD296" t="s">
        <v>3</v>
      </c>
      <c r="AE296" t="s">
        <v>0</v>
      </c>
      <c r="AF296" t="s">
        <v>3</v>
      </c>
      <c r="AG296" t="s">
        <v>2</v>
      </c>
      <c r="AI296" t="s">
        <v>122</v>
      </c>
      <c r="AJ296">
        <v>1</v>
      </c>
      <c r="AK296">
        <v>-47</v>
      </c>
      <c r="AL296">
        <v>0</v>
      </c>
      <c r="AM296" t="s">
        <v>0</v>
      </c>
      <c r="AN296">
        <v>0</v>
      </c>
      <c r="AO296">
        <v>1</v>
      </c>
      <c r="AP296">
        <v>1</v>
      </c>
      <c r="AQ296">
        <v>0</v>
      </c>
    </row>
    <row r="297" spans="1:43" x14ac:dyDescent="0.25">
      <c r="A297" t="s">
        <v>3128</v>
      </c>
      <c r="B297" t="s">
        <v>221</v>
      </c>
      <c r="C297" t="s">
        <v>3127</v>
      </c>
      <c r="D297" s="1">
        <v>45872</v>
      </c>
      <c r="E297" t="s">
        <v>162</v>
      </c>
      <c r="F297" t="s">
        <v>200</v>
      </c>
      <c r="G297" t="s">
        <v>56</v>
      </c>
      <c r="H297" t="s">
        <v>29</v>
      </c>
      <c r="I297" t="s">
        <v>28</v>
      </c>
      <c r="J297" t="s">
        <v>146</v>
      </c>
      <c r="K297" t="s">
        <v>176</v>
      </c>
      <c r="L297" t="s">
        <v>42</v>
      </c>
      <c r="M297" t="s">
        <v>11</v>
      </c>
      <c r="N297" t="s">
        <v>93</v>
      </c>
      <c r="O297" t="s">
        <v>26</v>
      </c>
      <c r="P297" t="s">
        <v>63</v>
      </c>
      <c r="Q297" t="s">
        <v>198</v>
      </c>
      <c r="R297" t="s">
        <v>38</v>
      </c>
      <c r="S297">
        <v>4</v>
      </c>
      <c r="T297">
        <v>4</v>
      </c>
      <c r="U297">
        <v>104</v>
      </c>
      <c r="V297" t="s">
        <v>0</v>
      </c>
      <c r="W297" t="s">
        <v>5</v>
      </c>
      <c r="X297" t="s">
        <v>0</v>
      </c>
      <c r="Y297" t="s">
        <v>4</v>
      </c>
      <c r="Z297" t="s">
        <v>5</v>
      </c>
      <c r="AA297">
        <v>143.91</v>
      </c>
      <c r="AB297">
        <v>0.21</v>
      </c>
      <c r="AC297">
        <v>0</v>
      </c>
      <c r="AD297" t="s">
        <v>61</v>
      </c>
      <c r="AE297" t="s">
        <v>5</v>
      </c>
      <c r="AF297" t="s">
        <v>61</v>
      </c>
      <c r="AG297" t="s">
        <v>36</v>
      </c>
      <c r="AH297">
        <v>21</v>
      </c>
      <c r="AI297" t="s">
        <v>23</v>
      </c>
      <c r="AJ297">
        <v>3</v>
      </c>
      <c r="AK297">
        <v>15</v>
      </c>
      <c r="AL297">
        <v>0</v>
      </c>
      <c r="AM297" t="s">
        <v>0</v>
      </c>
      <c r="AN297">
        <v>1</v>
      </c>
      <c r="AO297">
        <v>1</v>
      </c>
      <c r="AP297">
        <v>0</v>
      </c>
      <c r="AQ297">
        <v>0</v>
      </c>
    </row>
    <row r="298" spans="1:43" x14ac:dyDescent="0.25">
      <c r="A298" t="s">
        <v>3126</v>
      </c>
      <c r="B298" t="s">
        <v>938</v>
      </c>
      <c r="C298" t="s">
        <v>3125</v>
      </c>
      <c r="D298" s="1">
        <v>46179</v>
      </c>
      <c r="E298" t="s">
        <v>125</v>
      </c>
      <c r="F298" t="s">
        <v>265</v>
      </c>
      <c r="G298" t="s">
        <v>83</v>
      </c>
      <c r="H298" t="s">
        <v>43</v>
      </c>
      <c r="I298" t="s">
        <v>147</v>
      </c>
      <c r="J298" t="s">
        <v>14</v>
      </c>
      <c r="K298" t="s">
        <v>13</v>
      </c>
      <c r="L298" t="s">
        <v>64</v>
      </c>
      <c r="M298" t="s">
        <v>11</v>
      </c>
      <c r="N298" t="s">
        <v>93</v>
      </c>
      <c r="O298" t="s">
        <v>130</v>
      </c>
      <c r="P298" t="s">
        <v>39</v>
      </c>
      <c r="Q298" t="s">
        <v>100</v>
      </c>
      <c r="R298" t="s">
        <v>38</v>
      </c>
      <c r="S298">
        <v>5</v>
      </c>
      <c r="T298">
        <v>5</v>
      </c>
      <c r="U298">
        <v>140</v>
      </c>
      <c r="V298" t="s">
        <v>0</v>
      </c>
      <c r="W298" t="s">
        <v>5</v>
      </c>
      <c r="X298" t="s">
        <v>0</v>
      </c>
      <c r="Y298" t="s">
        <v>4</v>
      </c>
      <c r="Z298" t="s">
        <v>5</v>
      </c>
      <c r="AA298">
        <v>25.52</v>
      </c>
      <c r="AB298">
        <v>0</v>
      </c>
      <c r="AC298">
        <v>0</v>
      </c>
      <c r="AD298" t="s">
        <v>3</v>
      </c>
      <c r="AE298" t="s">
        <v>0</v>
      </c>
      <c r="AF298" t="s">
        <v>3</v>
      </c>
      <c r="AG298" t="s">
        <v>2</v>
      </c>
      <c r="AI298" t="s">
        <v>23</v>
      </c>
      <c r="AJ298">
        <v>5</v>
      </c>
      <c r="AK298">
        <v>28</v>
      </c>
      <c r="AL298">
        <v>51</v>
      </c>
      <c r="AM298" t="s">
        <v>5</v>
      </c>
      <c r="AN298">
        <v>1</v>
      </c>
      <c r="AO298">
        <v>1</v>
      </c>
      <c r="AP298">
        <v>0</v>
      </c>
      <c r="AQ298">
        <v>1</v>
      </c>
    </row>
    <row r="299" spans="1:43" x14ac:dyDescent="0.25">
      <c r="A299" t="s">
        <v>3124</v>
      </c>
      <c r="B299" t="s">
        <v>1836</v>
      </c>
      <c r="C299" t="s">
        <v>3123</v>
      </c>
      <c r="D299" s="1">
        <v>45941</v>
      </c>
      <c r="E299" t="s">
        <v>32</v>
      </c>
      <c r="F299" t="s">
        <v>31</v>
      </c>
      <c r="G299" t="s">
        <v>17</v>
      </c>
      <c r="H299" t="s">
        <v>43</v>
      </c>
      <c r="I299" t="s">
        <v>15</v>
      </c>
      <c r="J299" t="s">
        <v>146</v>
      </c>
      <c r="K299" t="s">
        <v>176</v>
      </c>
      <c r="L299" t="s">
        <v>64</v>
      </c>
      <c r="M299" t="s">
        <v>27</v>
      </c>
      <c r="N299" t="s">
        <v>41</v>
      </c>
      <c r="O299" t="s">
        <v>51</v>
      </c>
      <c r="P299" t="s">
        <v>63</v>
      </c>
      <c r="Q299" t="s">
        <v>7</v>
      </c>
      <c r="R299" t="s">
        <v>6</v>
      </c>
      <c r="S299">
        <v>6</v>
      </c>
      <c r="T299">
        <v>6</v>
      </c>
      <c r="U299">
        <v>147</v>
      </c>
      <c r="V299" t="s">
        <v>0</v>
      </c>
      <c r="W299" t="s">
        <v>135</v>
      </c>
      <c r="X299" t="s">
        <v>0</v>
      </c>
      <c r="Y299" t="s">
        <v>4</v>
      </c>
      <c r="Z299" t="s">
        <v>0</v>
      </c>
      <c r="AA299">
        <v>0</v>
      </c>
      <c r="AB299">
        <v>0</v>
      </c>
      <c r="AC299">
        <v>0</v>
      </c>
      <c r="AD299" t="s">
        <v>3</v>
      </c>
      <c r="AE299" t="s">
        <v>0</v>
      </c>
      <c r="AF299" t="s">
        <v>3</v>
      </c>
      <c r="AG299" t="s">
        <v>2</v>
      </c>
      <c r="AI299" t="s">
        <v>1</v>
      </c>
      <c r="AJ299">
        <v>4</v>
      </c>
      <c r="AK299">
        <v>21</v>
      </c>
      <c r="AL299">
        <v>0</v>
      </c>
      <c r="AM299" t="s">
        <v>5</v>
      </c>
      <c r="AN299">
        <v>0</v>
      </c>
      <c r="AO299">
        <v>0</v>
      </c>
      <c r="AP299">
        <v>0</v>
      </c>
      <c r="AQ299">
        <v>1</v>
      </c>
    </row>
    <row r="300" spans="1:43" x14ac:dyDescent="0.25">
      <c r="A300" t="s">
        <v>3122</v>
      </c>
      <c r="B300" t="s">
        <v>127</v>
      </c>
      <c r="C300" t="s">
        <v>3121</v>
      </c>
      <c r="D300" s="1">
        <v>46175</v>
      </c>
      <c r="E300" t="s">
        <v>79</v>
      </c>
      <c r="F300" t="s">
        <v>206</v>
      </c>
      <c r="G300" t="s">
        <v>17</v>
      </c>
      <c r="H300" t="s">
        <v>77</v>
      </c>
      <c r="I300" t="s">
        <v>15</v>
      </c>
      <c r="J300" t="s">
        <v>14</v>
      </c>
      <c r="K300" t="s">
        <v>13</v>
      </c>
      <c r="L300" t="s">
        <v>117</v>
      </c>
      <c r="M300" t="s">
        <v>27</v>
      </c>
      <c r="N300" t="s">
        <v>41</v>
      </c>
      <c r="O300" t="s">
        <v>87</v>
      </c>
      <c r="P300" t="s">
        <v>25</v>
      </c>
      <c r="Q300" t="s">
        <v>24</v>
      </c>
      <c r="R300" t="s">
        <v>6</v>
      </c>
      <c r="S300">
        <v>5</v>
      </c>
      <c r="T300">
        <v>5</v>
      </c>
      <c r="U300">
        <v>189</v>
      </c>
      <c r="V300" t="s">
        <v>0</v>
      </c>
      <c r="W300" t="s">
        <v>0</v>
      </c>
      <c r="X300" t="s">
        <v>5</v>
      </c>
      <c r="Y300" t="s">
        <v>1598</v>
      </c>
      <c r="Z300" t="s">
        <v>0</v>
      </c>
      <c r="AA300">
        <v>0</v>
      </c>
      <c r="AB300">
        <v>0</v>
      </c>
      <c r="AC300">
        <v>0</v>
      </c>
      <c r="AD300" t="s">
        <v>3</v>
      </c>
      <c r="AE300" t="s">
        <v>0</v>
      </c>
      <c r="AF300" t="s">
        <v>3</v>
      </c>
      <c r="AG300" t="s">
        <v>2</v>
      </c>
      <c r="AI300" t="s">
        <v>122</v>
      </c>
      <c r="AJ300">
        <v>3</v>
      </c>
      <c r="AK300">
        <v>0</v>
      </c>
      <c r="AL300">
        <v>22</v>
      </c>
      <c r="AM300" t="s">
        <v>247</v>
      </c>
      <c r="AN300">
        <v>0</v>
      </c>
      <c r="AO300">
        <v>0</v>
      </c>
      <c r="AP300">
        <v>1</v>
      </c>
      <c r="AQ300">
        <v>0</v>
      </c>
    </row>
    <row r="301" spans="1:43" x14ac:dyDescent="0.25">
      <c r="A301" t="s">
        <v>3120</v>
      </c>
      <c r="B301" t="s">
        <v>3112</v>
      </c>
      <c r="C301" t="s">
        <v>3119</v>
      </c>
      <c r="D301" s="1">
        <v>45783</v>
      </c>
      <c r="E301" t="s">
        <v>125</v>
      </c>
      <c r="F301" t="s">
        <v>124</v>
      </c>
      <c r="G301" t="s">
        <v>17</v>
      </c>
      <c r="H301" t="s">
        <v>77</v>
      </c>
      <c r="I301" t="s">
        <v>15</v>
      </c>
      <c r="J301" t="s">
        <v>55</v>
      </c>
      <c r="K301" t="s">
        <v>54</v>
      </c>
      <c r="L301" t="s">
        <v>64</v>
      </c>
      <c r="M301" t="s">
        <v>11</v>
      </c>
      <c r="N301" t="s">
        <v>93</v>
      </c>
      <c r="O301" t="s">
        <v>26</v>
      </c>
      <c r="P301" t="s">
        <v>8</v>
      </c>
      <c r="Q301" t="s">
        <v>50</v>
      </c>
      <c r="R301" t="s">
        <v>6</v>
      </c>
      <c r="S301">
        <v>4</v>
      </c>
      <c r="T301">
        <v>4</v>
      </c>
      <c r="U301">
        <v>106</v>
      </c>
      <c r="V301" t="s">
        <v>0</v>
      </c>
      <c r="W301" t="s">
        <v>5</v>
      </c>
      <c r="X301" t="s">
        <v>0</v>
      </c>
      <c r="Y301" t="s">
        <v>4</v>
      </c>
      <c r="Z301" t="s">
        <v>5</v>
      </c>
      <c r="AA301">
        <v>95.42</v>
      </c>
      <c r="AB301">
        <v>0.17</v>
      </c>
      <c r="AC301">
        <v>0</v>
      </c>
      <c r="AD301" t="s">
        <v>3</v>
      </c>
      <c r="AE301" t="s">
        <v>0</v>
      </c>
      <c r="AF301" t="s">
        <v>3</v>
      </c>
      <c r="AG301" t="s">
        <v>2</v>
      </c>
      <c r="AI301" t="s">
        <v>23</v>
      </c>
      <c r="AJ301">
        <v>4</v>
      </c>
      <c r="AK301">
        <v>26</v>
      </c>
      <c r="AL301">
        <v>32</v>
      </c>
      <c r="AM301" t="s">
        <v>5</v>
      </c>
      <c r="AN301">
        <v>1</v>
      </c>
      <c r="AO301">
        <v>1</v>
      </c>
      <c r="AP301">
        <v>0</v>
      </c>
      <c r="AQ301">
        <v>1</v>
      </c>
    </row>
    <row r="302" spans="1:43" x14ac:dyDescent="0.25">
      <c r="A302" t="s">
        <v>3118</v>
      </c>
      <c r="B302" t="s">
        <v>3117</v>
      </c>
      <c r="C302" t="s">
        <v>3116</v>
      </c>
      <c r="D302" s="1">
        <v>45864</v>
      </c>
      <c r="E302" t="s">
        <v>156</v>
      </c>
      <c r="F302" t="s">
        <v>325</v>
      </c>
      <c r="G302" t="s">
        <v>17</v>
      </c>
      <c r="H302" t="s">
        <v>29</v>
      </c>
      <c r="I302" t="s">
        <v>147</v>
      </c>
      <c r="J302" t="s">
        <v>146</v>
      </c>
      <c r="K302" t="s">
        <v>176</v>
      </c>
      <c r="L302" t="s">
        <v>117</v>
      </c>
      <c r="M302" t="s">
        <v>11</v>
      </c>
      <c r="N302" t="s">
        <v>75</v>
      </c>
      <c r="O302" t="s">
        <v>101</v>
      </c>
      <c r="P302" t="s">
        <v>39</v>
      </c>
      <c r="Q302" t="s">
        <v>7</v>
      </c>
      <c r="R302" t="s">
        <v>6</v>
      </c>
      <c r="S302">
        <v>4</v>
      </c>
      <c r="T302">
        <v>4</v>
      </c>
      <c r="U302">
        <v>111</v>
      </c>
      <c r="V302" t="s">
        <v>0</v>
      </c>
      <c r="W302" t="s">
        <v>181</v>
      </c>
      <c r="X302" t="s">
        <v>0</v>
      </c>
      <c r="Y302" t="s">
        <v>4</v>
      </c>
      <c r="Z302" t="s">
        <v>5</v>
      </c>
      <c r="AA302">
        <v>33.46</v>
      </c>
      <c r="AB302">
        <v>0.53</v>
      </c>
      <c r="AC302">
        <v>0</v>
      </c>
      <c r="AD302" t="s">
        <v>3</v>
      </c>
      <c r="AE302" t="s">
        <v>0</v>
      </c>
      <c r="AF302" t="s">
        <v>3</v>
      </c>
      <c r="AG302" t="s">
        <v>2</v>
      </c>
      <c r="AI302" t="s">
        <v>23</v>
      </c>
      <c r="AJ302">
        <v>4</v>
      </c>
      <c r="AK302">
        <v>52</v>
      </c>
      <c r="AL302">
        <v>19</v>
      </c>
      <c r="AM302" t="s">
        <v>5</v>
      </c>
      <c r="AN302">
        <v>0</v>
      </c>
      <c r="AO302">
        <v>1</v>
      </c>
      <c r="AP302">
        <v>0</v>
      </c>
      <c r="AQ302">
        <v>1</v>
      </c>
    </row>
    <row r="303" spans="1:43" x14ac:dyDescent="0.25">
      <c r="A303" t="s">
        <v>3115</v>
      </c>
      <c r="B303" t="s">
        <v>1059</v>
      </c>
      <c r="C303" t="s">
        <v>3114</v>
      </c>
      <c r="D303" s="1">
        <v>45962</v>
      </c>
      <c r="E303" t="s">
        <v>68</v>
      </c>
      <c r="F303" t="s">
        <v>67</v>
      </c>
      <c r="G303" t="s">
        <v>17</v>
      </c>
      <c r="H303" t="s">
        <v>29</v>
      </c>
      <c r="I303" t="s">
        <v>28</v>
      </c>
      <c r="J303" t="s">
        <v>14</v>
      </c>
      <c r="K303" t="s">
        <v>13</v>
      </c>
      <c r="L303" t="s">
        <v>42</v>
      </c>
      <c r="M303" t="s">
        <v>11</v>
      </c>
      <c r="N303" t="s">
        <v>75</v>
      </c>
      <c r="O303" t="s">
        <v>9</v>
      </c>
      <c r="P303" t="s">
        <v>39</v>
      </c>
      <c r="Q303" t="s">
        <v>7</v>
      </c>
      <c r="R303" t="s">
        <v>6</v>
      </c>
      <c r="S303">
        <v>7</v>
      </c>
      <c r="T303">
        <v>7</v>
      </c>
      <c r="U303">
        <v>172</v>
      </c>
      <c r="V303" t="s">
        <v>0</v>
      </c>
      <c r="W303" t="s">
        <v>5</v>
      </c>
      <c r="X303" t="s">
        <v>5</v>
      </c>
      <c r="Y303" t="s">
        <v>228</v>
      </c>
      <c r="Z303" t="s">
        <v>0</v>
      </c>
      <c r="AA303">
        <v>0</v>
      </c>
      <c r="AB303">
        <v>0</v>
      </c>
      <c r="AC303">
        <v>0</v>
      </c>
      <c r="AD303" t="s">
        <v>3</v>
      </c>
      <c r="AE303" t="s">
        <v>0</v>
      </c>
      <c r="AF303" t="s">
        <v>3</v>
      </c>
      <c r="AG303" t="s">
        <v>2</v>
      </c>
      <c r="AI303" t="s">
        <v>23</v>
      </c>
      <c r="AJ303">
        <v>3</v>
      </c>
      <c r="AK303">
        <v>25</v>
      </c>
      <c r="AL303">
        <v>36</v>
      </c>
      <c r="AM303" t="s">
        <v>5</v>
      </c>
      <c r="AN303">
        <v>1</v>
      </c>
      <c r="AO303">
        <v>0</v>
      </c>
      <c r="AP303">
        <v>1</v>
      </c>
      <c r="AQ303">
        <v>1</v>
      </c>
    </row>
    <row r="304" spans="1:43" x14ac:dyDescent="0.25">
      <c r="A304" t="s">
        <v>3113</v>
      </c>
      <c r="B304" t="s">
        <v>3112</v>
      </c>
      <c r="C304" t="s">
        <v>3111</v>
      </c>
      <c r="D304" s="1">
        <v>45744</v>
      </c>
      <c r="E304" t="s">
        <v>125</v>
      </c>
      <c r="F304" t="s">
        <v>132</v>
      </c>
      <c r="G304" t="s">
        <v>17</v>
      </c>
      <c r="H304" t="s">
        <v>29</v>
      </c>
      <c r="I304" t="s">
        <v>28</v>
      </c>
      <c r="J304" t="s">
        <v>14</v>
      </c>
      <c r="K304" t="s">
        <v>13</v>
      </c>
      <c r="L304" t="s">
        <v>42</v>
      </c>
      <c r="M304" t="s">
        <v>11</v>
      </c>
      <c r="N304" t="s">
        <v>75</v>
      </c>
      <c r="O304" t="s">
        <v>51</v>
      </c>
      <c r="P304" t="s">
        <v>63</v>
      </c>
      <c r="Q304" t="s">
        <v>7</v>
      </c>
      <c r="R304" t="s">
        <v>6</v>
      </c>
      <c r="S304">
        <v>6</v>
      </c>
      <c r="T304">
        <v>3</v>
      </c>
      <c r="U304">
        <v>336</v>
      </c>
      <c r="V304" t="s">
        <v>5</v>
      </c>
      <c r="W304" t="s">
        <v>0</v>
      </c>
      <c r="X304" t="s">
        <v>5</v>
      </c>
      <c r="Y304" t="s">
        <v>49</v>
      </c>
      <c r="Z304" t="s">
        <v>0</v>
      </c>
      <c r="AA304">
        <v>0</v>
      </c>
      <c r="AB304">
        <v>0</v>
      </c>
      <c r="AC304">
        <v>0</v>
      </c>
      <c r="AD304" t="s">
        <v>3</v>
      </c>
      <c r="AE304" t="s">
        <v>0</v>
      </c>
      <c r="AF304" t="s">
        <v>3</v>
      </c>
      <c r="AG304" t="s">
        <v>2</v>
      </c>
      <c r="AI304" t="s">
        <v>23</v>
      </c>
      <c r="AJ304">
        <v>3</v>
      </c>
      <c r="AK304">
        <v>-45</v>
      </c>
      <c r="AL304">
        <v>0</v>
      </c>
      <c r="AM304" t="s">
        <v>5</v>
      </c>
      <c r="AN304">
        <v>0</v>
      </c>
      <c r="AO304">
        <v>0</v>
      </c>
      <c r="AP304">
        <v>1</v>
      </c>
      <c r="AQ304">
        <v>1</v>
      </c>
    </row>
    <row r="305" spans="1:43" x14ac:dyDescent="0.25">
      <c r="A305" t="s">
        <v>3110</v>
      </c>
      <c r="B305" t="s">
        <v>1795</v>
      </c>
      <c r="C305" t="s">
        <v>3109</v>
      </c>
      <c r="D305" s="1">
        <v>45702</v>
      </c>
      <c r="E305" t="s">
        <v>45</v>
      </c>
      <c r="F305" t="s">
        <v>44</v>
      </c>
      <c r="G305" t="s">
        <v>56</v>
      </c>
      <c r="H305" t="s">
        <v>29</v>
      </c>
      <c r="I305" t="s">
        <v>28</v>
      </c>
      <c r="J305" t="s">
        <v>14</v>
      </c>
      <c r="K305" t="s">
        <v>13</v>
      </c>
      <c r="L305" t="s">
        <v>12</v>
      </c>
      <c r="M305" t="s">
        <v>11</v>
      </c>
      <c r="N305" t="s">
        <v>41</v>
      </c>
      <c r="O305" t="s">
        <v>26</v>
      </c>
      <c r="P305" t="s">
        <v>39</v>
      </c>
      <c r="Q305" t="s">
        <v>24</v>
      </c>
      <c r="R305" t="s">
        <v>38</v>
      </c>
      <c r="S305">
        <v>4</v>
      </c>
      <c r="T305" t="s">
        <v>99</v>
      </c>
      <c r="U305">
        <v>112</v>
      </c>
      <c r="V305" t="s">
        <v>247</v>
      </c>
      <c r="W305" t="s">
        <v>5</v>
      </c>
      <c r="X305" t="s">
        <v>0</v>
      </c>
      <c r="Y305" t="s">
        <v>4</v>
      </c>
      <c r="Z305" t="s">
        <v>5</v>
      </c>
      <c r="AA305">
        <v>169.36</v>
      </c>
      <c r="AB305">
        <v>0.23</v>
      </c>
      <c r="AC305">
        <v>0</v>
      </c>
      <c r="AD305" t="s">
        <v>61</v>
      </c>
      <c r="AE305" t="s">
        <v>5</v>
      </c>
      <c r="AF305" t="s">
        <v>61</v>
      </c>
      <c r="AG305" t="s">
        <v>36</v>
      </c>
      <c r="AH305">
        <v>27</v>
      </c>
      <c r="AI305" t="s">
        <v>23</v>
      </c>
      <c r="AJ305">
        <v>5</v>
      </c>
      <c r="AK305">
        <v>16</v>
      </c>
      <c r="AL305">
        <v>41</v>
      </c>
      <c r="AM305" t="s">
        <v>0</v>
      </c>
      <c r="AN305">
        <v>1</v>
      </c>
      <c r="AO305">
        <v>1</v>
      </c>
      <c r="AP305">
        <v>0</v>
      </c>
      <c r="AQ305">
        <v>0</v>
      </c>
    </row>
    <row r="306" spans="1:43" x14ac:dyDescent="0.25">
      <c r="A306" t="s">
        <v>3108</v>
      </c>
      <c r="B306" t="s">
        <v>2380</v>
      </c>
      <c r="C306" t="s">
        <v>3107</v>
      </c>
      <c r="D306" s="1">
        <v>45738</v>
      </c>
      <c r="E306" t="s">
        <v>95</v>
      </c>
      <c r="F306" t="s">
        <v>321</v>
      </c>
      <c r="G306" t="s">
        <v>17</v>
      </c>
      <c r="H306" t="s">
        <v>237</v>
      </c>
      <c r="I306" t="s">
        <v>15</v>
      </c>
      <c r="J306" t="s">
        <v>146</v>
      </c>
      <c r="K306" t="s">
        <v>145</v>
      </c>
      <c r="L306" t="s">
        <v>42</v>
      </c>
      <c r="M306" t="s">
        <v>11</v>
      </c>
      <c r="N306" t="s">
        <v>75</v>
      </c>
      <c r="O306" t="s">
        <v>87</v>
      </c>
      <c r="P306" t="s">
        <v>39</v>
      </c>
      <c r="Q306" t="s">
        <v>198</v>
      </c>
      <c r="R306" t="s">
        <v>6</v>
      </c>
      <c r="S306" t="s">
        <v>277</v>
      </c>
      <c r="T306">
        <v>5</v>
      </c>
      <c r="U306">
        <v>138</v>
      </c>
      <c r="V306" t="s">
        <v>0</v>
      </c>
      <c r="W306" t="s">
        <v>5</v>
      </c>
      <c r="X306" t="s">
        <v>0</v>
      </c>
      <c r="Y306" t="s">
        <v>4</v>
      </c>
      <c r="Z306" t="s">
        <v>5</v>
      </c>
      <c r="AA306">
        <v>148.86000000000001</v>
      </c>
      <c r="AB306">
        <v>0</v>
      </c>
      <c r="AC306">
        <v>0</v>
      </c>
      <c r="AD306" t="s">
        <v>37</v>
      </c>
      <c r="AE306" t="s">
        <v>5</v>
      </c>
      <c r="AF306" t="s">
        <v>37</v>
      </c>
      <c r="AG306" t="s">
        <v>36</v>
      </c>
      <c r="AH306">
        <v>23</v>
      </c>
      <c r="AI306" t="s">
        <v>23</v>
      </c>
      <c r="AJ306">
        <v>5</v>
      </c>
      <c r="AK306">
        <v>18</v>
      </c>
      <c r="AL306">
        <v>1</v>
      </c>
      <c r="AM306" t="s">
        <v>5</v>
      </c>
      <c r="AN306">
        <v>1</v>
      </c>
      <c r="AO306">
        <v>1</v>
      </c>
      <c r="AP306">
        <v>0</v>
      </c>
      <c r="AQ306">
        <v>1</v>
      </c>
    </row>
    <row r="307" spans="1:43" x14ac:dyDescent="0.25">
      <c r="A307" t="s">
        <v>3106</v>
      </c>
      <c r="B307" t="s">
        <v>3105</v>
      </c>
      <c r="C307" t="s">
        <v>3104</v>
      </c>
      <c r="D307" s="1">
        <v>45688</v>
      </c>
      <c r="E307" t="s">
        <v>125</v>
      </c>
      <c r="F307" t="s">
        <v>1057</v>
      </c>
      <c r="G307" t="s">
        <v>110</v>
      </c>
      <c r="H307" t="s">
        <v>29</v>
      </c>
      <c r="I307" t="s">
        <v>28</v>
      </c>
      <c r="J307" t="s">
        <v>55</v>
      </c>
      <c r="K307" t="s">
        <v>65</v>
      </c>
      <c r="L307" t="s">
        <v>117</v>
      </c>
      <c r="M307" t="s">
        <v>11</v>
      </c>
      <c r="N307" t="s">
        <v>41</v>
      </c>
      <c r="O307" t="s">
        <v>40</v>
      </c>
      <c r="P307" t="s">
        <v>25</v>
      </c>
      <c r="Q307" t="s">
        <v>7</v>
      </c>
      <c r="R307" t="s">
        <v>6</v>
      </c>
      <c r="S307" t="s">
        <v>106</v>
      </c>
      <c r="T307" t="s">
        <v>106</v>
      </c>
      <c r="U307">
        <v>238</v>
      </c>
      <c r="V307" t="s">
        <v>0</v>
      </c>
      <c r="W307" t="s">
        <v>5</v>
      </c>
      <c r="X307" t="s">
        <v>0</v>
      </c>
      <c r="Y307" t="s">
        <v>4</v>
      </c>
      <c r="Z307" t="s">
        <v>5</v>
      </c>
      <c r="AA307">
        <v>406.07</v>
      </c>
      <c r="AB307">
        <v>2.2999999999999998</v>
      </c>
      <c r="AC307">
        <v>0</v>
      </c>
      <c r="AD307" t="s">
        <v>3</v>
      </c>
      <c r="AE307" t="s">
        <v>0</v>
      </c>
      <c r="AF307" t="s">
        <v>3</v>
      </c>
      <c r="AG307" t="s">
        <v>2</v>
      </c>
      <c r="AI307" t="s">
        <v>23</v>
      </c>
      <c r="AJ307">
        <v>4</v>
      </c>
      <c r="AK307">
        <v>20</v>
      </c>
      <c r="AL307">
        <v>2</v>
      </c>
      <c r="AM307" t="s">
        <v>5</v>
      </c>
      <c r="AN307">
        <v>1</v>
      </c>
      <c r="AO307">
        <v>1</v>
      </c>
      <c r="AP307">
        <v>0</v>
      </c>
      <c r="AQ307">
        <v>1</v>
      </c>
    </row>
    <row r="308" spans="1:43" x14ac:dyDescent="0.25">
      <c r="A308" t="s">
        <v>3103</v>
      </c>
      <c r="B308" t="s">
        <v>2926</v>
      </c>
      <c r="C308" t="s">
        <v>3102</v>
      </c>
      <c r="D308" s="1">
        <v>45760</v>
      </c>
      <c r="E308" t="s">
        <v>149</v>
      </c>
      <c r="F308" t="s">
        <v>183</v>
      </c>
      <c r="G308" t="s">
        <v>56</v>
      </c>
      <c r="H308" t="s">
        <v>77</v>
      </c>
      <c r="I308" t="s">
        <v>28</v>
      </c>
      <c r="J308" t="s">
        <v>55</v>
      </c>
      <c r="K308" t="s">
        <v>54</v>
      </c>
      <c r="L308" t="s">
        <v>117</v>
      </c>
      <c r="M308" t="s">
        <v>11</v>
      </c>
      <c r="N308" t="s">
        <v>93</v>
      </c>
      <c r="O308" t="s">
        <v>40</v>
      </c>
      <c r="P308" t="s">
        <v>39</v>
      </c>
      <c r="Q308" t="s">
        <v>172</v>
      </c>
      <c r="R308" t="s">
        <v>6</v>
      </c>
      <c r="S308">
        <v>8</v>
      </c>
      <c r="T308">
        <v>8</v>
      </c>
      <c r="U308">
        <v>188</v>
      </c>
      <c r="V308" t="s">
        <v>0</v>
      </c>
      <c r="W308" t="s">
        <v>5</v>
      </c>
      <c r="X308" t="s">
        <v>135</v>
      </c>
      <c r="Y308" t="s">
        <v>4</v>
      </c>
      <c r="Z308" t="s">
        <v>5</v>
      </c>
      <c r="AA308">
        <v>449.29</v>
      </c>
      <c r="AB308">
        <v>2.58</v>
      </c>
      <c r="AC308">
        <v>0</v>
      </c>
      <c r="AD308" t="s">
        <v>3</v>
      </c>
      <c r="AE308" t="s">
        <v>0</v>
      </c>
      <c r="AF308" t="s">
        <v>3</v>
      </c>
      <c r="AG308" t="s">
        <v>2</v>
      </c>
      <c r="AI308" t="s">
        <v>23</v>
      </c>
      <c r="AJ308">
        <v>4</v>
      </c>
      <c r="AK308">
        <v>30</v>
      </c>
      <c r="AL308" t="s">
        <v>766</v>
      </c>
      <c r="AM308" t="s">
        <v>5</v>
      </c>
      <c r="AN308">
        <v>1</v>
      </c>
      <c r="AO308">
        <v>1</v>
      </c>
      <c r="AP308">
        <v>0</v>
      </c>
      <c r="AQ308">
        <v>1</v>
      </c>
    </row>
    <row r="309" spans="1:43" x14ac:dyDescent="0.25">
      <c r="A309" t="s">
        <v>3101</v>
      </c>
      <c r="B309" t="s">
        <v>250</v>
      </c>
      <c r="C309" t="s">
        <v>3100</v>
      </c>
      <c r="D309" s="1">
        <v>46076</v>
      </c>
      <c r="E309" t="s">
        <v>125</v>
      </c>
      <c r="F309" t="s">
        <v>124</v>
      </c>
      <c r="G309" t="s">
        <v>123</v>
      </c>
      <c r="H309" t="s">
        <v>77</v>
      </c>
      <c r="I309" t="s">
        <v>15</v>
      </c>
      <c r="J309" t="s">
        <v>55</v>
      </c>
      <c r="K309" t="s">
        <v>54</v>
      </c>
      <c r="L309" t="s">
        <v>88</v>
      </c>
      <c r="M309" t="s">
        <v>11</v>
      </c>
      <c r="N309" t="s">
        <v>116</v>
      </c>
      <c r="O309" t="s">
        <v>199</v>
      </c>
      <c r="P309" t="s">
        <v>39</v>
      </c>
      <c r="Q309" t="s">
        <v>7</v>
      </c>
      <c r="R309" t="s">
        <v>6</v>
      </c>
      <c r="S309">
        <v>5</v>
      </c>
      <c r="T309">
        <v>5</v>
      </c>
      <c r="U309">
        <v>146</v>
      </c>
      <c r="V309" t="s">
        <v>0</v>
      </c>
      <c r="W309" t="s">
        <v>0</v>
      </c>
      <c r="X309" t="s">
        <v>5</v>
      </c>
      <c r="Y309" t="s">
        <v>410</v>
      </c>
      <c r="Z309" t="s">
        <v>0</v>
      </c>
      <c r="AA309">
        <v>0</v>
      </c>
      <c r="AB309">
        <v>0</v>
      </c>
      <c r="AC309">
        <v>0</v>
      </c>
      <c r="AD309" t="s">
        <v>3</v>
      </c>
      <c r="AE309" t="s">
        <v>0</v>
      </c>
      <c r="AF309" t="s">
        <v>3</v>
      </c>
      <c r="AG309" t="s">
        <v>2</v>
      </c>
      <c r="AI309" t="s">
        <v>23</v>
      </c>
      <c r="AJ309">
        <v>3</v>
      </c>
      <c r="AK309">
        <v>-12</v>
      </c>
      <c r="AL309" t="s">
        <v>3099</v>
      </c>
      <c r="AM309" t="s">
        <v>0</v>
      </c>
      <c r="AN309">
        <v>0</v>
      </c>
      <c r="AO309">
        <v>0</v>
      </c>
      <c r="AP309">
        <v>1</v>
      </c>
      <c r="AQ309">
        <v>0</v>
      </c>
    </row>
    <row r="310" spans="1:43" x14ac:dyDescent="0.25">
      <c r="A310" t="s">
        <v>3098</v>
      </c>
      <c r="B310" t="s">
        <v>1363</v>
      </c>
      <c r="C310" t="s">
        <v>3097</v>
      </c>
      <c r="D310" s="1">
        <v>45992</v>
      </c>
      <c r="E310" t="s">
        <v>112</v>
      </c>
      <c r="F310" t="s">
        <v>461</v>
      </c>
      <c r="G310" t="s">
        <v>30</v>
      </c>
      <c r="H310" t="s">
        <v>16</v>
      </c>
      <c r="I310" t="s">
        <v>15</v>
      </c>
      <c r="J310" t="s">
        <v>14</v>
      </c>
      <c r="K310" t="s">
        <v>13</v>
      </c>
      <c r="L310" t="s">
        <v>64</v>
      </c>
      <c r="M310" t="s">
        <v>11</v>
      </c>
      <c r="N310" t="s">
        <v>93</v>
      </c>
      <c r="O310" t="s">
        <v>26</v>
      </c>
      <c r="P310" t="s">
        <v>8</v>
      </c>
      <c r="Q310" t="s">
        <v>7</v>
      </c>
      <c r="R310" t="s">
        <v>6</v>
      </c>
      <c r="S310">
        <v>4</v>
      </c>
      <c r="T310">
        <v>4</v>
      </c>
      <c r="U310">
        <v>81</v>
      </c>
      <c r="V310" t="s">
        <v>0</v>
      </c>
      <c r="W310" t="s">
        <v>5</v>
      </c>
      <c r="X310" t="s">
        <v>0</v>
      </c>
      <c r="Y310" t="s">
        <v>4</v>
      </c>
      <c r="Z310" t="s">
        <v>5</v>
      </c>
      <c r="AA310">
        <v>176.38</v>
      </c>
      <c r="AB310">
        <v>0.19</v>
      </c>
      <c r="AC310">
        <v>0</v>
      </c>
      <c r="AD310" t="s">
        <v>3</v>
      </c>
      <c r="AE310" t="s">
        <v>0</v>
      </c>
      <c r="AF310" t="s">
        <v>3</v>
      </c>
      <c r="AG310" t="s">
        <v>2</v>
      </c>
      <c r="AI310" t="s">
        <v>23</v>
      </c>
      <c r="AJ310">
        <v>4</v>
      </c>
      <c r="AK310">
        <v>18</v>
      </c>
      <c r="AL310">
        <v>47</v>
      </c>
      <c r="AM310" t="s">
        <v>5</v>
      </c>
      <c r="AN310">
        <v>1</v>
      </c>
      <c r="AO310">
        <v>1</v>
      </c>
      <c r="AP310">
        <v>0</v>
      </c>
      <c r="AQ310">
        <v>1</v>
      </c>
    </row>
    <row r="311" spans="1:43" x14ac:dyDescent="0.25">
      <c r="A311" t="s">
        <v>3096</v>
      </c>
      <c r="B311" t="s">
        <v>2137</v>
      </c>
      <c r="C311" t="s">
        <v>3095</v>
      </c>
      <c r="D311" s="1">
        <v>46001</v>
      </c>
      <c r="E311" t="s">
        <v>149</v>
      </c>
      <c r="F311" t="s">
        <v>248</v>
      </c>
      <c r="G311" t="s">
        <v>56</v>
      </c>
      <c r="H311" t="s">
        <v>77</v>
      </c>
      <c r="I311" t="s">
        <v>28</v>
      </c>
      <c r="J311" t="s">
        <v>14</v>
      </c>
      <c r="K311" t="s">
        <v>13</v>
      </c>
      <c r="L311" t="s">
        <v>117</v>
      </c>
      <c r="M311" t="s">
        <v>11</v>
      </c>
      <c r="N311" t="s">
        <v>52</v>
      </c>
      <c r="O311" t="s">
        <v>51</v>
      </c>
      <c r="P311" t="s">
        <v>39</v>
      </c>
      <c r="Q311" t="s">
        <v>50</v>
      </c>
      <c r="R311" t="s">
        <v>6</v>
      </c>
      <c r="S311">
        <v>6</v>
      </c>
      <c r="T311">
        <v>6</v>
      </c>
      <c r="U311">
        <v>157</v>
      </c>
      <c r="V311" t="s">
        <v>0</v>
      </c>
      <c r="W311" t="s">
        <v>5</v>
      </c>
      <c r="X311" t="s">
        <v>0</v>
      </c>
      <c r="Y311" t="s">
        <v>4</v>
      </c>
      <c r="Z311" t="s">
        <v>5</v>
      </c>
      <c r="AA311">
        <v>0</v>
      </c>
      <c r="AB311">
        <v>0.1</v>
      </c>
      <c r="AC311">
        <v>0</v>
      </c>
      <c r="AD311" t="s">
        <v>3</v>
      </c>
      <c r="AE311" t="s">
        <v>0</v>
      </c>
      <c r="AF311" t="s">
        <v>3</v>
      </c>
      <c r="AG311" t="s">
        <v>2</v>
      </c>
      <c r="AI311" t="s">
        <v>23</v>
      </c>
      <c r="AJ311">
        <v>3</v>
      </c>
      <c r="AK311">
        <v>44</v>
      </c>
      <c r="AL311">
        <v>71</v>
      </c>
      <c r="AM311" t="s">
        <v>0</v>
      </c>
      <c r="AN311">
        <v>1</v>
      </c>
      <c r="AO311">
        <v>1</v>
      </c>
      <c r="AP311">
        <v>0</v>
      </c>
      <c r="AQ311">
        <v>0</v>
      </c>
    </row>
    <row r="312" spans="1:43" x14ac:dyDescent="0.25">
      <c r="A312" t="s">
        <v>3094</v>
      </c>
      <c r="B312" t="s">
        <v>758</v>
      </c>
      <c r="C312" t="s">
        <v>3093</v>
      </c>
      <c r="D312" s="1">
        <v>45766</v>
      </c>
      <c r="E312" t="s">
        <v>45</v>
      </c>
      <c r="F312" t="s">
        <v>348</v>
      </c>
      <c r="G312" t="s">
        <v>131</v>
      </c>
      <c r="H312" t="s">
        <v>77</v>
      </c>
      <c r="I312" t="s">
        <v>15</v>
      </c>
      <c r="J312" t="s">
        <v>146</v>
      </c>
      <c r="K312" t="s">
        <v>145</v>
      </c>
      <c r="L312" t="s">
        <v>117</v>
      </c>
      <c r="M312" t="s">
        <v>53</v>
      </c>
      <c r="N312" t="s">
        <v>52</v>
      </c>
      <c r="O312" t="s">
        <v>87</v>
      </c>
      <c r="P312" t="s">
        <v>39</v>
      </c>
      <c r="Q312" t="s">
        <v>7</v>
      </c>
      <c r="R312" t="s">
        <v>6</v>
      </c>
      <c r="S312">
        <v>5</v>
      </c>
      <c r="T312">
        <v>5</v>
      </c>
      <c r="U312">
        <v>145</v>
      </c>
      <c r="V312" t="s">
        <v>0</v>
      </c>
      <c r="W312" t="s">
        <v>5</v>
      </c>
      <c r="X312" t="s">
        <v>0</v>
      </c>
      <c r="Y312" t="s">
        <v>4</v>
      </c>
      <c r="Z312" t="s">
        <v>5</v>
      </c>
      <c r="AA312">
        <v>164.73</v>
      </c>
      <c r="AB312">
        <v>0</v>
      </c>
      <c r="AC312">
        <v>0.17</v>
      </c>
      <c r="AD312" t="s">
        <v>3</v>
      </c>
      <c r="AE312" t="s">
        <v>0</v>
      </c>
      <c r="AF312" t="s">
        <v>3</v>
      </c>
      <c r="AG312" t="s">
        <v>2</v>
      </c>
      <c r="AI312" t="s">
        <v>23</v>
      </c>
      <c r="AJ312">
        <v>5</v>
      </c>
      <c r="AK312">
        <v>13</v>
      </c>
      <c r="AL312">
        <v>20</v>
      </c>
      <c r="AM312" t="s">
        <v>5</v>
      </c>
      <c r="AN312">
        <v>1</v>
      </c>
      <c r="AO312">
        <v>1</v>
      </c>
      <c r="AP312">
        <v>0</v>
      </c>
      <c r="AQ312">
        <v>1</v>
      </c>
    </row>
    <row r="313" spans="1:43" x14ac:dyDescent="0.25">
      <c r="A313" t="s">
        <v>3092</v>
      </c>
      <c r="B313" t="s">
        <v>3091</v>
      </c>
      <c r="C313" t="s">
        <v>3090</v>
      </c>
      <c r="D313" s="1">
        <v>46072</v>
      </c>
      <c r="E313" t="s">
        <v>45</v>
      </c>
      <c r="F313" t="s">
        <v>670</v>
      </c>
      <c r="G313" t="s">
        <v>83</v>
      </c>
      <c r="H313" t="s">
        <v>77</v>
      </c>
      <c r="I313" t="s">
        <v>15</v>
      </c>
      <c r="J313" t="s">
        <v>146</v>
      </c>
      <c r="K313" t="s">
        <v>145</v>
      </c>
      <c r="L313" t="s">
        <v>64</v>
      </c>
      <c r="M313" t="s">
        <v>11</v>
      </c>
      <c r="N313" t="s">
        <v>269</v>
      </c>
      <c r="O313" t="s">
        <v>9</v>
      </c>
      <c r="P313" t="s">
        <v>25</v>
      </c>
      <c r="Q313" t="s">
        <v>198</v>
      </c>
      <c r="R313" t="s">
        <v>6</v>
      </c>
      <c r="S313">
        <v>7</v>
      </c>
      <c r="T313">
        <v>7</v>
      </c>
      <c r="U313">
        <v>161</v>
      </c>
      <c r="V313" t="s">
        <v>0</v>
      </c>
      <c r="W313" t="s">
        <v>0</v>
      </c>
      <c r="X313" t="s">
        <v>0</v>
      </c>
      <c r="Y313" t="s">
        <v>4</v>
      </c>
      <c r="Z313" t="s">
        <v>5</v>
      </c>
      <c r="AA313">
        <v>8.52</v>
      </c>
      <c r="AB313">
        <v>0</v>
      </c>
      <c r="AC313">
        <v>0</v>
      </c>
      <c r="AD313" t="s">
        <v>3</v>
      </c>
      <c r="AE313" t="s">
        <v>0</v>
      </c>
      <c r="AF313" t="s">
        <v>3</v>
      </c>
      <c r="AG313" t="s">
        <v>2</v>
      </c>
      <c r="AI313" t="s">
        <v>23</v>
      </c>
      <c r="AJ313">
        <v>3</v>
      </c>
      <c r="AK313">
        <v>5</v>
      </c>
      <c r="AL313">
        <v>41</v>
      </c>
      <c r="AM313" t="s">
        <v>0</v>
      </c>
      <c r="AN313">
        <v>0</v>
      </c>
      <c r="AO313">
        <v>1</v>
      </c>
      <c r="AP313">
        <v>0</v>
      </c>
      <c r="AQ313">
        <v>0</v>
      </c>
    </row>
    <row r="314" spans="1:43" x14ac:dyDescent="0.25">
      <c r="A314" t="s">
        <v>3089</v>
      </c>
      <c r="B314" t="s">
        <v>715</v>
      </c>
      <c r="C314" t="s">
        <v>3088</v>
      </c>
      <c r="D314" s="1">
        <v>45859</v>
      </c>
      <c r="E314" t="s">
        <v>125</v>
      </c>
      <c r="F314" t="s">
        <v>140</v>
      </c>
      <c r="G314" t="s">
        <v>17</v>
      </c>
      <c r="H314" t="s">
        <v>16</v>
      </c>
      <c r="I314" t="s">
        <v>28</v>
      </c>
      <c r="J314" t="s">
        <v>14</v>
      </c>
      <c r="K314" t="s">
        <v>13</v>
      </c>
      <c r="L314" t="s">
        <v>42</v>
      </c>
      <c r="M314" t="s">
        <v>11</v>
      </c>
      <c r="N314" t="s">
        <v>41</v>
      </c>
      <c r="O314" t="s">
        <v>199</v>
      </c>
      <c r="P314" t="s">
        <v>8</v>
      </c>
      <c r="Q314" t="s">
        <v>24</v>
      </c>
      <c r="R314" t="s">
        <v>38</v>
      </c>
      <c r="S314">
        <v>5</v>
      </c>
      <c r="T314" t="s">
        <v>277</v>
      </c>
      <c r="U314">
        <v>147</v>
      </c>
      <c r="V314" t="s">
        <v>0</v>
      </c>
      <c r="W314" t="s">
        <v>5</v>
      </c>
      <c r="X314" t="s">
        <v>0</v>
      </c>
      <c r="Y314" t="s">
        <v>4</v>
      </c>
      <c r="Z314" t="s">
        <v>5</v>
      </c>
      <c r="AA314">
        <v>44.68</v>
      </c>
      <c r="AB314">
        <v>0</v>
      </c>
      <c r="AC314">
        <v>0</v>
      </c>
      <c r="AD314" t="s">
        <v>3</v>
      </c>
      <c r="AE314" t="s">
        <v>0</v>
      </c>
      <c r="AF314" t="s">
        <v>3</v>
      </c>
      <c r="AG314" t="s">
        <v>2</v>
      </c>
      <c r="AI314" t="s">
        <v>23</v>
      </c>
      <c r="AJ314">
        <v>5</v>
      </c>
      <c r="AK314">
        <v>32</v>
      </c>
      <c r="AL314">
        <v>20</v>
      </c>
      <c r="AM314" t="s">
        <v>5</v>
      </c>
      <c r="AN314">
        <v>1</v>
      </c>
      <c r="AO314">
        <v>1</v>
      </c>
      <c r="AP314">
        <v>0</v>
      </c>
      <c r="AQ314">
        <v>1</v>
      </c>
    </row>
    <row r="315" spans="1:43" x14ac:dyDescent="0.25">
      <c r="A315" t="s">
        <v>3087</v>
      </c>
      <c r="B315" t="s">
        <v>2607</v>
      </c>
      <c r="C315" t="s">
        <v>3086</v>
      </c>
      <c r="D315" s="1">
        <v>45695</v>
      </c>
      <c r="E315" t="s">
        <v>45</v>
      </c>
      <c r="F315" t="s">
        <v>44</v>
      </c>
      <c r="G315" t="s">
        <v>131</v>
      </c>
      <c r="H315" t="s">
        <v>29</v>
      </c>
      <c r="I315" t="s">
        <v>28</v>
      </c>
      <c r="J315" t="s">
        <v>14</v>
      </c>
      <c r="K315" t="s">
        <v>13</v>
      </c>
      <c r="L315" t="s">
        <v>42</v>
      </c>
      <c r="M315" t="s">
        <v>11</v>
      </c>
      <c r="N315" t="s">
        <v>93</v>
      </c>
      <c r="O315" t="s">
        <v>87</v>
      </c>
      <c r="P315" t="s">
        <v>39</v>
      </c>
      <c r="Q315" t="s">
        <v>7</v>
      </c>
      <c r="R315" t="s">
        <v>6</v>
      </c>
      <c r="S315">
        <v>5</v>
      </c>
      <c r="T315">
        <v>5</v>
      </c>
      <c r="U315">
        <v>119</v>
      </c>
      <c r="V315" t="s">
        <v>0</v>
      </c>
      <c r="W315" t="s">
        <v>5</v>
      </c>
      <c r="X315" t="s">
        <v>0</v>
      </c>
      <c r="Y315" t="s">
        <v>4</v>
      </c>
      <c r="Z315" t="s">
        <v>5</v>
      </c>
      <c r="AA315">
        <v>69.38</v>
      </c>
      <c r="AB315">
        <v>0</v>
      </c>
      <c r="AC315">
        <v>0</v>
      </c>
      <c r="AD315" t="s">
        <v>3</v>
      </c>
      <c r="AE315" t="s">
        <v>0</v>
      </c>
      <c r="AF315" t="s">
        <v>3</v>
      </c>
      <c r="AG315" t="s">
        <v>2</v>
      </c>
      <c r="AI315" t="s">
        <v>23</v>
      </c>
      <c r="AJ315">
        <v>4</v>
      </c>
      <c r="AK315">
        <v>45</v>
      </c>
      <c r="AL315">
        <v>39</v>
      </c>
      <c r="AM315" t="s">
        <v>5</v>
      </c>
      <c r="AN315">
        <v>1</v>
      </c>
      <c r="AO315">
        <v>1</v>
      </c>
      <c r="AP315">
        <v>0</v>
      </c>
      <c r="AQ315">
        <v>1</v>
      </c>
    </row>
    <row r="316" spans="1:43" x14ac:dyDescent="0.25">
      <c r="A316" t="s">
        <v>3085</v>
      </c>
      <c r="B316" t="s">
        <v>3084</v>
      </c>
      <c r="C316" t="s">
        <v>3083</v>
      </c>
      <c r="D316" s="1">
        <v>45808</v>
      </c>
      <c r="E316" t="s">
        <v>32</v>
      </c>
      <c r="F316" t="s">
        <v>107</v>
      </c>
      <c r="G316" t="s">
        <v>110</v>
      </c>
      <c r="H316" t="s">
        <v>237</v>
      </c>
      <c r="I316" t="s">
        <v>28</v>
      </c>
      <c r="J316" t="s">
        <v>14</v>
      </c>
      <c r="K316" t="s">
        <v>13</v>
      </c>
      <c r="L316" t="s">
        <v>88</v>
      </c>
      <c r="M316" t="s">
        <v>53</v>
      </c>
      <c r="N316" t="s">
        <v>269</v>
      </c>
      <c r="O316" t="s">
        <v>87</v>
      </c>
      <c r="P316" t="s">
        <v>39</v>
      </c>
      <c r="Q316" t="s">
        <v>24</v>
      </c>
      <c r="R316" t="s">
        <v>6</v>
      </c>
      <c r="S316">
        <v>5</v>
      </c>
      <c r="T316">
        <v>5</v>
      </c>
      <c r="U316">
        <v>105</v>
      </c>
      <c r="V316" t="s">
        <v>0</v>
      </c>
      <c r="W316" t="s">
        <v>5</v>
      </c>
      <c r="X316" t="s">
        <v>0</v>
      </c>
      <c r="Y316" t="s">
        <v>4</v>
      </c>
      <c r="Z316" t="s">
        <v>5</v>
      </c>
      <c r="AA316">
        <v>38.130000000000003</v>
      </c>
      <c r="AB316">
        <v>0</v>
      </c>
      <c r="AC316">
        <v>0.17</v>
      </c>
      <c r="AD316" t="s">
        <v>3</v>
      </c>
      <c r="AE316" t="s">
        <v>0</v>
      </c>
      <c r="AF316" t="s">
        <v>3</v>
      </c>
      <c r="AG316" t="s">
        <v>2</v>
      </c>
      <c r="AJ316">
        <v>5</v>
      </c>
      <c r="AK316">
        <v>71</v>
      </c>
      <c r="AL316">
        <v>42</v>
      </c>
      <c r="AM316" t="s">
        <v>5</v>
      </c>
      <c r="AN316">
        <v>1</v>
      </c>
      <c r="AO316">
        <v>1</v>
      </c>
      <c r="AP316">
        <v>0</v>
      </c>
      <c r="AQ316">
        <v>1</v>
      </c>
    </row>
    <row r="317" spans="1:43" x14ac:dyDescent="0.25">
      <c r="A317" t="s">
        <v>3082</v>
      </c>
      <c r="B317" t="s">
        <v>3081</v>
      </c>
      <c r="C317" t="s">
        <v>3080</v>
      </c>
      <c r="D317" s="1">
        <v>46170</v>
      </c>
      <c r="E317" t="s">
        <v>156</v>
      </c>
      <c r="F317" t="s">
        <v>550</v>
      </c>
      <c r="G317" t="s">
        <v>30</v>
      </c>
      <c r="H317" t="s">
        <v>43</v>
      </c>
      <c r="I317" t="s">
        <v>15</v>
      </c>
      <c r="J317" t="s">
        <v>14</v>
      </c>
      <c r="K317" t="s">
        <v>13</v>
      </c>
      <c r="L317" t="s">
        <v>42</v>
      </c>
      <c r="M317" t="s">
        <v>11</v>
      </c>
      <c r="N317" t="s">
        <v>93</v>
      </c>
      <c r="O317" t="s">
        <v>101</v>
      </c>
      <c r="P317" t="s">
        <v>39</v>
      </c>
      <c r="Q317" t="s">
        <v>172</v>
      </c>
      <c r="R317" t="s">
        <v>38</v>
      </c>
      <c r="S317">
        <v>4</v>
      </c>
      <c r="T317">
        <v>4</v>
      </c>
      <c r="U317">
        <v>101</v>
      </c>
      <c r="V317" t="s">
        <v>0</v>
      </c>
      <c r="W317" t="s">
        <v>5</v>
      </c>
      <c r="X317" t="s">
        <v>0</v>
      </c>
      <c r="Y317" t="s">
        <v>4</v>
      </c>
      <c r="Z317" t="s">
        <v>0</v>
      </c>
      <c r="AA317">
        <v>0</v>
      </c>
      <c r="AB317">
        <v>0</v>
      </c>
      <c r="AC317">
        <v>0</v>
      </c>
      <c r="AD317" t="s">
        <v>3</v>
      </c>
      <c r="AE317" t="s">
        <v>0</v>
      </c>
      <c r="AF317" t="s">
        <v>3</v>
      </c>
      <c r="AG317" t="s">
        <v>2</v>
      </c>
      <c r="AI317" t="s">
        <v>23</v>
      </c>
      <c r="AJ317">
        <v>4</v>
      </c>
      <c r="AK317">
        <v>69</v>
      </c>
      <c r="AL317" t="s">
        <v>2252</v>
      </c>
      <c r="AM317" t="s">
        <v>5</v>
      </c>
      <c r="AN317">
        <v>1</v>
      </c>
      <c r="AO317">
        <v>0</v>
      </c>
      <c r="AP317">
        <v>0</v>
      </c>
      <c r="AQ317">
        <v>1</v>
      </c>
    </row>
    <row r="318" spans="1:43" x14ac:dyDescent="0.25">
      <c r="A318" t="s">
        <v>3079</v>
      </c>
      <c r="B318" t="s">
        <v>3078</v>
      </c>
      <c r="C318" t="s">
        <v>3077</v>
      </c>
      <c r="D318" s="1">
        <v>45938</v>
      </c>
      <c r="E318" t="s">
        <v>45</v>
      </c>
      <c r="F318" t="s">
        <v>44</v>
      </c>
      <c r="G318" t="s">
        <v>83</v>
      </c>
      <c r="H318" t="s">
        <v>29</v>
      </c>
      <c r="I318" t="s">
        <v>28</v>
      </c>
      <c r="J318" t="s">
        <v>55</v>
      </c>
      <c r="K318" t="s">
        <v>54</v>
      </c>
      <c r="L318" t="s">
        <v>12</v>
      </c>
      <c r="M318" t="s">
        <v>299</v>
      </c>
      <c r="N318" t="s">
        <v>154</v>
      </c>
      <c r="O318" t="s">
        <v>26</v>
      </c>
      <c r="P318" t="s">
        <v>8</v>
      </c>
      <c r="Q318" t="s">
        <v>100</v>
      </c>
      <c r="R318" t="s">
        <v>6</v>
      </c>
      <c r="S318">
        <v>4</v>
      </c>
      <c r="T318">
        <v>4</v>
      </c>
      <c r="U318">
        <v>121</v>
      </c>
      <c r="V318" t="s">
        <v>0</v>
      </c>
      <c r="W318" t="s">
        <v>5</v>
      </c>
      <c r="X318" t="s">
        <v>0</v>
      </c>
      <c r="Y318" t="s">
        <v>4</v>
      </c>
      <c r="Z318" t="s">
        <v>5</v>
      </c>
      <c r="AA318">
        <v>138.28</v>
      </c>
      <c r="AB318">
        <v>0.17</v>
      </c>
      <c r="AC318">
        <v>0</v>
      </c>
      <c r="AD318" t="s">
        <v>3</v>
      </c>
      <c r="AE318" t="s">
        <v>0</v>
      </c>
      <c r="AF318" t="s">
        <v>3</v>
      </c>
      <c r="AG318" t="s">
        <v>2</v>
      </c>
      <c r="AI318" t="s">
        <v>23</v>
      </c>
      <c r="AJ318">
        <v>5</v>
      </c>
      <c r="AK318">
        <v>13</v>
      </c>
      <c r="AL318">
        <v>73</v>
      </c>
      <c r="AM318" t="s">
        <v>5</v>
      </c>
      <c r="AN318">
        <v>1</v>
      </c>
      <c r="AO318">
        <v>1</v>
      </c>
      <c r="AP318">
        <v>0</v>
      </c>
      <c r="AQ318">
        <v>1</v>
      </c>
    </row>
    <row r="319" spans="1:43" x14ac:dyDescent="0.25">
      <c r="A319" t="s">
        <v>3076</v>
      </c>
      <c r="B319" t="s">
        <v>1360</v>
      </c>
      <c r="C319" t="s">
        <v>3075</v>
      </c>
      <c r="D319" s="1">
        <v>46361</v>
      </c>
      <c r="E319" t="s">
        <v>168</v>
      </c>
      <c r="F319" t="s">
        <v>177</v>
      </c>
      <c r="G319" t="s">
        <v>17</v>
      </c>
      <c r="H319" t="s">
        <v>77</v>
      </c>
      <c r="I319" t="s">
        <v>28</v>
      </c>
      <c r="J319" t="s">
        <v>14</v>
      </c>
      <c r="K319" t="s">
        <v>13</v>
      </c>
      <c r="L319" t="s">
        <v>117</v>
      </c>
      <c r="M319" t="s">
        <v>53</v>
      </c>
      <c r="N319" t="s">
        <v>52</v>
      </c>
      <c r="O319" t="s">
        <v>26</v>
      </c>
      <c r="P319" t="s">
        <v>25</v>
      </c>
      <c r="Q319" t="s">
        <v>172</v>
      </c>
      <c r="R319" t="s">
        <v>38</v>
      </c>
      <c r="S319">
        <v>4</v>
      </c>
      <c r="T319">
        <v>4</v>
      </c>
      <c r="U319">
        <v>113</v>
      </c>
      <c r="V319" t="s">
        <v>247</v>
      </c>
      <c r="W319" t="s">
        <v>0</v>
      </c>
      <c r="X319" t="s">
        <v>0</v>
      </c>
      <c r="Y319" t="s">
        <v>4</v>
      </c>
      <c r="Z319" t="s">
        <v>5</v>
      </c>
      <c r="AA319">
        <v>142.02000000000001</v>
      </c>
      <c r="AB319">
        <v>0.17</v>
      </c>
      <c r="AC319">
        <v>0.17</v>
      </c>
      <c r="AD319" t="s">
        <v>3</v>
      </c>
      <c r="AE319" t="s">
        <v>0</v>
      </c>
      <c r="AF319" t="s">
        <v>3</v>
      </c>
      <c r="AG319" t="s">
        <v>2</v>
      </c>
      <c r="AI319" t="s">
        <v>1</v>
      </c>
      <c r="AJ319">
        <v>5</v>
      </c>
      <c r="AK319">
        <v>-4</v>
      </c>
      <c r="AL319">
        <v>41</v>
      </c>
      <c r="AM319" t="s">
        <v>0</v>
      </c>
      <c r="AN319">
        <v>0</v>
      </c>
      <c r="AO319">
        <v>1</v>
      </c>
      <c r="AP319">
        <v>0</v>
      </c>
      <c r="AQ319">
        <v>0</v>
      </c>
    </row>
    <row r="320" spans="1:43" x14ac:dyDescent="0.25">
      <c r="A320" t="s">
        <v>3074</v>
      </c>
      <c r="B320" t="s">
        <v>491</v>
      </c>
      <c r="C320" t="s">
        <v>3073</v>
      </c>
      <c r="D320" s="1">
        <v>45897</v>
      </c>
      <c r="E320" t="s">
        <v>149</v>
      </c>
      <c r="F320" t="s">
        <v>471</v>
      </c>
      <c r="G320" t="s">
        <v>17</v>
      </c>
      <c r="H320" t="s">
        <v>77</v>
      </c>
      <c r="I320" t="s">
        <v>28</v>
      </c>
      <c r="J320" t="s">
        <v>55</v>
      </c>
      <c r="K320" t="s">
        <v>54</v>
      </c>
      <c r="L320" t="s">
        <v>117</v>
      </c>
      <c r="M320" t="s">
        <v>27</v>
      </c>
      <c r="N320" t="s">
        <v>154</v>
      </c>
      <c r="O320" t="s">
        <v>26</v>
      </c>
      <c r="P320" t="s">
        <v>63</v>
      </c>
      <c r="Q320" t="s">
        <v>7</v>
      </c>
      <c r="R320" t="s">
        <v>6</v>
      </c>
      <c r="S320">
        <v>4</v>
      </c>
      <c r="T320">
        <v>3</v>
      </c>
      <c r="U320">
        <v>103</v>
      </c>
      <c r="V320" t="s">
        <v>5</v>
      </c>
      <c r="W320" t="s">
        <v>0</v>
      </c>
      <c r="X320" t="s">
        <v>0</v>
      </c>
      <c r="Y320" t="s">
        <v>4</v>
      </c>
      <c r="Z320" t="s">
        <v>5</v>
      </c>
      <c r="AA320">
        <v>158.47</v>
      </c>
      <c r="AB320">
        <v>0.21</v>
      </c>
      <c r="AC320">
        <v>0.37</v>
      </c>
      <c r="AD320" t="s">
        <v>3</v>
      </c>
      <c r="AE320" t="s">
        <v>247</v>
      </c>
      <c r="AF320" t="s">
        <v>3</v>
      </c>
      <c r="AG320" t="s">
        <v>2</v>
      </c>
      <c r="AI320" t="s">
        <v>332</v>
      </c>
      <c r="AJ320">
        <v>3</v>
      </c>
      <c r="AK320">
        <v>-44</v>
      </c>
      <c r="AL320">
        <v>0</v>
      </c>
      <c r="AM320" t="s">
        <v>0</v>
      </c>
      <c r="AN320">
        <v>0</v>
      </c>
      <c r="AO320">
        <v>1</v>
      </c>
      <c r="AP320">
        <v>0</v>
      </c>
      <c r="AQ320">
        <v>0</v>
      </c>
    </row>
    <row r="321" spans="1:43" x14ac:dyDescent="0.25">
      <c r="A321" t="s">
        <v>3072</v>
      </c>
      <c r="B321" t="s">
        <v>712</v>
      </c>
      <c r="C321" t="s">
        <v>3071</v>
      </c>
      <c r="D321" s="1">
        <v>45714</v>
      </c>
      <c r="E321" t="s">
        <v>68</v>
      </c>
      <c r="F321" t="s">
        <v>67</v>
      </c>
      <c r="G321" t="s">
        <v>56</v>
      </c>
      <c r="H321" t="s">
        <v>77</v>
      </c>
      <c r="I321" t="s">
        <v>28</v>
      </c>
      <c r="J321" t="s">
        <v>55</v>
      </c>
      <c r="K321" t="s">
        <v>54</v>
      </c>
      <c r="L321" t="s">
        <v>88</v>
      </c>
      <c r="M321" t="s">
        <v>11</v>
      </c>
      <c r="N321" t="s">
        <v>269</v>
      </c>
      <c r="O321" t="s">
        <v>74</v>
      </c>
      <c r="P321" t="s">
        <v>8</v>
      </c>
      <c r="Q321" t="s">
        <v>100</v>
      </c>
      <c r="R321" t="s">
        <v>38</v>
      </c>
      <c r="S321">
        <v>6</v>
      </c>
      <c r="T321">
        <v>6</v>
      </c>
      <c r="U321">
        <v>188</v>
      </c>
      <c r="V321" t="s">
        <v>0</v>
      </c>
      <c r="W321" t="s">
        <v>5</v>
      </c>
      <c r="X321" t="s">
        <v>0</v>
      </c>
      <c r="Y321" t="s">
        <v>4</v>
      </c>
      <c r="Z321" t="s">
        <v>5</v>
      </c>
      <c r="AA321">
        <v>20.36</v>
      </c>
      <c r="AB321">
        <v>0</v>
      </c>
      <c r="AC321">
        <v>0</v>
      </c>
      <c r="AD321" t="s">
        <v>1399</v>
      </c>
      <c r="AE321" t="s">
        <v>5</v>
      </c>
      <c r="AF321" t="s">
        <v>1399</v>
      </c>
      <c r="AG321" t="s">
        <v>36</v>
      </c>
      <c r="AH321">
        <v>23</v>
      </c>
      <c r="AI321" t="s">
        <v>23</v>
      </c>
      <c r="AJ321">
        <v>5</v>
      </c>
      <c r="AK321">
        <v>25</v>
      </c>
      <c r="AL321">
        <v>5</v>
      </c>
      <c r="AM321" t="s">
        <v>0</v>
      </c>
      <c r="AN321">
        <v>1</v>
      </c>
      <c r="AO321">
        <v>1</v>
      </c>
      <c r="AP321">
        <v>0</v>
      </c>
      <c r="AQ321">
        <v>0</v>
      </c>
    </row>
    <row r="322" spans="1:43" x14ac:dyDescent="0.25">
      <c r="A322" t="s">
        <v>3070</v>
      </c>
      <c r="B322" t="s">
        <v>1593</v>
      </c>
      <c r="C322" t="s">
        <v>3069</v>
      </c>
      <c r="D322" s="1">
        <v>45796</v>
      </c>
      <c r="E322" t="s">
        <v>162</v>
      </c>
      <c r="F322" t="s">
        <v>161</v>
      </c>
      <c r="G322" t="s">
        <v>110</v>
      </c>
      <c r="H322" t="s">
        <v>77</v>
      </c>
      <c r="I322" t="s">
        <v>28</v>
      </c>
      <c r="J322" t="s">
        <v>55</v>
      </c>
      <c r="K322" t="s">
        <v>54</v>
      </c>
      <c r="L322" t="s">
        <v>64</v>
      </c>
      <c r="M322" t="s">
        <v>11</v>
      </c>
      <c r="N322" t="s">
        <v>52</v>
      </c>
      <c r="O322" t="s">
        <v>87</v>
      </c>
      <c r="P322" t="s">
        <v>39</v>
      </c>
      <c r="Q322" t="s">
        <v>50</v>
      </c>
      <c r="R322" t="s">
        <v>38</v>
      </c>
      <c r="S322">
        <v>5</v>
      </c>
      <c r="T322">
        <v>4</v>
      </c>
      <c r="U322">
        <v>176</v>
      </c>
      <c r="V322" t="s">
        <v>5</v>
      </c>
      <c r="W322" t="s">
        <v>5</v>
      </c>
      <c r="X322" t="s">
        <v>0</v>
      </c>
      <c r="Y322" t="s">
        <v>4</v>
      </c>
      <c r="Z322" t="s">
        <v>5</v>
      </c>
      <c r="AA322">
        <v>79.75</v>
      </c>
      <c r="AB322">
        <v>0</v>
      </c>
      <c r="AC322">
        <v>0</v>
      </c>
      <c r="AD322" t="s">
        <v>61</v>
      </c>
      <c r="AE322" t="s">
        <v>5</v>
      </c>
      <c r="AF322" t="s">
        <v>61</v>
      </c>
      <c r="AG322" t="s">
        <v>36</v>
      </c>
      <c r="AH322">
        <v>46</v>
      </c>
      <c r="AI322" t="s">
        <v>23</v>
      </c>
      <c r="AJ322">
        <v>4</v>
      </c>
      <c r="AK322">
        <v>39</v>
      </c>
      <c r="AL322">
        <v>7</v>
      </c>
      <c r="AM322" t="s">
        <v>5</v>
      </c>
      <c r="AN322">
        <v>1</v>
      </c>
      <c r="AO322">
        <v>1</v>
      </c>
      <c r="AP322">
        <v>0</v>
      </c>
      <c r="AQ322">
        <v>1</v>
      </c>
    </row>
    <row r="323" spans="1:43" x14ac:dyDescent="0.25">
      <c r="A323" t="s">
        <v>3068</v>
      </c>
      <c r="B323" t="s">
        <v>968</v>
      </c>
      <c r="C323" t="s">
        <v>3067</v>
      </c>
      <c r="D323" s="1">
        <v>46165</v>
      </c>
      <c r="E323" t="s">
        <v>19</v>
      </c>
      <c r="F323" t="s">
        <v>295</v>
      </c>
      <c r="G323" t="s">
        <v>83</v>
      </c>
      <c r="H323" t="s">
        <v>16</v>
      </c>
      <c r="I323" t="s">
        <v>15</v>
      </c>
      <c r="J323" t="s">
        <v>14</v>
      </c>
      <c r="K323" t="s">
        <v>13</v>
      </c>
      <c r="L323" t="s">
        <v>12</v>
      </c>
      <c r="M323" t="s">
        <v>11</v>
      </c>
      <c r="N323" t="s">
        <v>10</v>
      </c>
      <c r="O323" t="s">
        <v>101</v>
      </c>
      <c r="P323" t="s">
        <v>39</v>
      </c>
      <c r="Q323" t="s">
        <v>7</v>
      </c>
      <c r="R323" t="s">
        <v>6</v>
      </c>
      <c r="S323">
        <v>4</v>
      </c>
      <c r="T323">
        <v>4</v>
      </c>
      <c r="U323">
        <v>84</v>
      </c>
      <c r="V323" t="s">
        <v>0</v>
      </c>
      <c r="W323" t="s">
        <v>0</v>
      </c>
      <c r="X323" t="s">
        <v>0</v>
      </c>
      <c r="Y323" t="s">
        <v>4</v>
      </c>
      <c r="Z323" t="s">
        <v>247</v>
      </c>
      <c r="AA323">
        <v>0</v>
      </c>
      <c r="AB323">
        <v>0</v>
      </c>
      <c r="AC323">
        <v>0</v>
      </c>
      <c r="AD323" t="s">
        <v>3</v>
      </c>
      <c r="AE323" t="s">
        <v>0</v>
      </c>
      <c r="AF323" t="s">
        <v>3</v>
      </c>
      <c r="AG323" t="s">
        <v>2</v>
      </c>
      <c r="AI323" t="s">
        <v>23</v>
      </c>
      <c r="AJ323">
        <v>3</v>
      </c>
      <c r="AK323">
        <v>14</v>
      </c>
      <c r="AL323">
        <v>34</v>
      </c>
      <c r="AM323" t="s">
        <v>0</v>
      </c>
      <c r="AN323">
        <v>0</v>
      </c>
      <c r="AO323">
        <v>0</v>
      </c>
      <c r="AP323">
        <v>0</v>
      </c>
      <c r="AQ323">
        <v>0</v>
      </c>
    </row>
    <row r="324" spans="1:43" x14ac:dyDescent="0.25">
      <c r="A324" t="s">
        <v>3066</v>
      </c>
      <c r="B324" t="s">
        <v>2929</v>
      </c>
      <c r="C324" t="s">
        <v>3065</v>
      </c>
      <c r="D324" s="1">
        <v>45721</v>
      </c>
      <c r="E324" t="s">
        <v>45</v>
      </c>
      <c r="F324" t="s">
        <v>44</v>
      </c>
      <c r="G324" t="s">
        <v>30</v>
      </c>
      <c r="H324" t="s">
        <v>77</v>
      </c>
      <c r="I324" t="s">
        <v>15</v>
      </c>
      <c r="J324" t="s">
        <v>14</v>
      </c>
      <c r="K324" t="s">
        <v>13</v>
      </c>
      <c r="L324" t="s">
        <v>64</v>
      </c>
      <c r="M324" t="s">
        <v>11</v>
      </c>
      <c r="N324" t="s">
        <v>75</v>
      </c>
      <c r="O324" t="s">
        <v>193</v>
      </c>
      <c r="P324" t="s">
        <v>25</v>
      </c>
      <c r="Q324" t="s">
        <v>198</v>
      </c>
      <c r="R324" t="s">
        <v>38</v>
      </c>
      <c r="S324">
        <v>9</v>
      </c>
      <c r="T324">
        <v>9</v>
      </c>
      <c r="U324">
        <v>230</v>
      </c>
      <c r="V324" t="s">
        <v>0</v>
      </c>
      <c r="W324" t="s">
        <v>5</v>
      </c>
      <c r="X324" t="s">
        <v>0</v>
      </c>
      <c r="Y324" t="s">
        <v>4</v>
      </c>
      <c r="Z324" t="s">
        <v>5</v>
      </c>
      <c r="AA324">
        <v>171.23</v>
      </c>
      <c r="AB324">
        <v>3.02</v>
      </c>
      <c r="AC324">
        <v>0</v>
      </c>
      <c r="AD324" t="s">
        <v>3</v>
      </c>
      <c r="AE324" t="s">
        <v>0</v>
      </c>
      <c r="AF324" t="s">
        <v>3</v>
      </c>
      <c r="AG324" t="s">
        <v>2</v>
      </c>
      <c r="AI324" t="s">
        <v>23</v>
      </c>
      <c r="AJ324">
        <v>3</v>
      </c>
      <c r="AK324">
        <v>25</v>
      </c>
      <c r="AL324">
        <v>29</v>
      </c>
      <c r="AM324" t="s">
        <v>5</v>
      </c>
      <c r="AN324">
        <v>1</v>
      </c>
      <c r="AO324">
        <v>1</v>
      </c>
      <c r="AP324">
        <v>0</v>
      </c>
      <c r="AQ324">
        <v>1</v>
      </c>
    </row>
    <row r="325" spans="1:43" x14ac:dyDescent="0.25">
      <c r="A325" t="s">
        <v>3064</v>
      </c>
      <c r="B325" t="s">
        <v>362</v>
      </c>
      <c r="C325" t="s">
        <v>3063</v>
      </c>
      <c r="D325" s="1">
        <v>46077</v>
      </c>
      <c r="E325" t="s">
        <v>156</v>
      </c>
      <c r="F325" t="s">
        <v>238</v>
      </c>
      <c r="G325" t="s">
        <v>110</v>
      </c>
      <c r="H325" t="s">
        <v>77</v>
      </c>
      <c r="I325" t="s">
        <v>28</v>
      </c>
      <c r="J325" t="s">
        <v>55</v>
      </c>
      <c r="K325" t="s">
        <v>54</v>
      </c>
      <c r="L325" t="s">
        <v>64</v>
      </c>
      <c r="M325" t="s">
        <v>53</v>
      </c>
      <c r="N325" t="s">
        <v>93</v>
      </c>
      <c r="O325" t="s">
        <v>199</v>
      </c>
      <c r="P325" t="s">
        <v>63</v>
      </c>
      <c r="Q325" t="s">
        <v>24</v>
      </c>
      <c r="R325" t="s">
        <v>6</v>
      </c>
      <c r="S325">
        <v>5</v>
      </c>
      <c r="T325">
        <v>4</v>
      </c>
      <c r="U325">
        <v>219</v>
      </c>
      <c r="V325" t="s">
        <v>5</v>
      </c>
      <c r="W325" t="s">
        <v>5</v>
      </c>
      <c r="X325" t="s">
        <v>0</v>
      </c>
      <c r="Y325" t="s">
        <v>4</v>
      </c>
      <c r="Z325" t="s">
        <v>5</v>
      </c>
      <c r="AA325">
        <v>4.1500000000000004</v>
      </c>
      <c r="AB325">
        <v>0</v>
      </c>
      <c r="AC325">
        <v>0.17</v>
      </c>
      <c r="AD325" t="s">
        <v>3</v>
      </c>
      <c r="AE325" t="s">
        <v>0</v>
      </c>
      <c r="AF325" t="s">
        <v>3</v>
      </c>
      <c r="AG325" t="s">
        <v>2</v>
      </c>
      <c r="AI325" t="s">
        <v>23</v>
      </c>
      <c r="AJ325">
        <v>4</v>
      </c>
      <c r="AK325">
        <v>-11</v>
      </c>
      <c r="AL325">
        <v>0</v>
      </c>
      <c r="AM325" t="s">
        <v>0</v>
      </c>
      <c r="AN325">
        <v>1</v>
      </c>
      <c r="AO325">
        <v>1</v>
      </c>
      <c r="AP325">
        <v>0</v>
      </c>
      <c r="AQ325">
        <v>0</v>
      </c>
    </row>
    <row r="326" spans="1:43" x14ac:dyDescent="0.25">
      <c r="A326" t="s">
        <v>3062</v>
      </c>
      <c r="B326" t="s">
        <v>3061</v>
      </c>
      <c r="C326" t="s">
        <v>3060</v>
      </c>
      <c r="D326" s="1">
        <v>46041</v>
      </c>
      <c r="E326" t="s">
        <v>168</v>
      </c>
      <c r="F326" t="s">
        <v>167</v>
      </c>
      <c r="G326" t="s">
        <v>30</v>
      </c>
      <c r="H326" t="s">
        <v>43</v>
      </c>
      <c r="I326" t="s">
        <v>28</v>
      </c>
      <c r="J326" t="s">
        <v>14</v>
      </c>
      <c r="K326" t="s">
        <v>13</v>
      </c>
      <c r="L326" t="s">
        <v>42</v>
      </c>
      <c r="M326" t="s">
        <v>11</v>
      </c>
      <c r="N326" t="s">
        <v>93</v>
      </c>
      <c r="O326" t="s">
        <v>40</v>
      </c>
      <c r="P326" t="s">
        <v>39</v>
      </c>
      <c r="Q326" t="s">
        <v>198</v>
      </c>
      <c r="R326" t="s">
        <v>6</v>
      </c>
      <c r="S326">
        <v>8</v>
      </c>
      <c r="T326">
        <v>5</v>
      </c>
      <c r="U326">
        <v>246</v>
      </c>
      <c r="V326" t="s">
        <v>5</v>
      </c>
      <c r="W326" t="s">
        <v>0</v>
      </c>
      <c r="X326" t="s">
        <v>0</v>
      </c>
      <c r="Y326" t="s">
        <v>4</v>
      </c>
      <c r="Z326" t="s">
        <v>0</v>
      </c>
      <c r="AA326">
        <v>0</v>
      </c>
      <c r="AB326">
        <v>0</v>
      </c>
      <c r="AC326">
        <v>0</v>
      </c>
      <c r="AD326" t="s">
        <v>37</v>
      </c>
      <c r="AE326" t="s">
        <v>5</v>
      </c>
      <c r="AF326" t="s">
        <v>37</v>
      </c>
      <c r="AG326" t="s">
        <v>139</v>
      </c>
      <c r="AH326">
        <v>35</v>
      </c>
      <c r="AI326" t="s">
        <v>1001</v>
      </c>
      <c r="AJ326">
        <v>2</v>
      </c>
      <c r="AK326">
        <v>-25</v>
      </c>
      <c r="AL326">
        <v>35</v>
      </c>
      <c r="AM326" t="s">
        <v>0</v>
      </c>
      <c r="AN326">
        <v>0</v>
      </c>
      <c r="AO326">
        <v>0</v>
      </c>
      <c r="AP326">
        <v>0</v>
      </c>
      <c r="AQ326">
        <v>0</v>
      </c>
    </row>
    <row r="327" spans="1:43" x14ac:dyDescent="0.25">
      <c r="A327" t="s">
        <v>3059</v>
      </c>
      <c r="B327" t="s">
        <v>3058</v>
      </c>
      <c r="C327" t="s">
        <v>3057</v>
      </c>
      <c r="D327" s="1">
        <v>46090</v>
      </c>
      <c r="E327" t="s">
        <v>45</v>
      </c>
      <c r="F327" t="s">
        <v>348</v>
      </c>
      <c r="G327" t="s">
        <v>56</v>
      </c>
      <c r="H327" t="s">
        <v>237</v>
      </c>
      <c r="I327" t="s">
        <v>28</v>
      </c>
      <c r="J327" t="s">
        <v>55</v>
      </c>
      <c r="K327" t="s">
        <v>54</v>
      </c>
      <c r="L327" t="s">
        <v>12</v>
      </c>
      <c r="M327" t="s">
        <v>299</v>
      </c>
      <c r="N327" t="s">
        <v>41</v>
      </c>
      <c r="O327" t="s">
        <v>74</v>
      </c>
      <c r="P327" t="s">
        <v>63</v>
      </c>
      <c r="Q327" t="s">
        <v>7</v>
      </c>
      <c r="R327" t="s">
        <v>6</v>
      </c>
      <c r="S327">
        <v>6</v>
      </c>
      <c r="T327">
        <v>6</v>
      </c>
      <c r="U327">
        <v>227</v>
      </c>
      <c r="V327" t="s">
        <v>0</v>
      </c>
      <c r="W327" t="s">
        <v>0</v>
      </c>
      <c r="X327" t="s">
        <v>5</v>
      </c>
      <c r="Y327" t="s">
        <v>73</v>
      </c>
      <c r="Z327" t="s">
        <v>0</v>
      </c>
      <c r="AA327">
        <v>0</v>
      </c>
      <c r="AB327">
        <v>0</v>
      </c>
      <c r="AC327">
        <v>0</v>
      </c>
      <c r="AD327" t="s">
        <v>3</v>
      </c>
      <c r="AE327" t="s">
        <v>0</v>
      </c>
      <c r="AF327" t="s">
        <v>3</v>
      </c>
      <c r="AG327" t="s">
        <v>2</v>
      </c>
      <c r="AI327" t="s">
        <v>122</v>
      </c>
      <c r="AJ327">
        <v>2</v>
      </c>
      <c r="AK327">
        <v>-43</v>
      </c>
      <c r="AL327">
        <v>0</v>
      </c>
      <c r="AM327" t="s">
        <v>0</v>
      </c>
      <c r="AN327">
        <v>0</v>
      </c>
      <c r="AO327">
        <v>0</v>
      </c>
      <c r="AP327">
        <v>1</v>
      </c>
      <c r="AQ327">
        <v>0</v>
      </c>
    </row>
    <row r="328" spans="1:43" x14ac:dyDescent="0.25">
      <c r="A328" t="s">
        <v>3056</v>
      </c>
      <c r="B328" t="s">
        <v>817</v>
      </c>
      <c r="C328" t="s">
        <v>3055</v>
      </c>
      <c r="D328" s="1">
        <v>45998</v>
      </c>
      <c r="E328" t="s">
        <v>19</v>
      </c>
      <c r="F328" t="s">
        <v>255</v>
      </c>
      <c r="G328" t="s">
        <v>83</v>
      </c>
      <c r="H328" t="s">
        <v>29</v>
      </c>
      <c r="I328" t="s">
        <v>15</v>
      </c>
      <c r="J328" t="s">
        <v>14</v>
      </c>
      <c r="K328" t="s">
        <v>13</v>
      </c>
      <c r="L328" t="s">
        <v>117</v>
      </c>
      <c r="M328" t="s">
        <v>11</v>
      </c>
      <c r="N328" t="s">
        <v>269</v>
      </c>
      <c r="O328" t="s">
        <v>199</v>
      </c>
      <c r="P328" t="s">
        <v>39</v>
      </c>
      <c r="Q328" t="s">
        <v>50</v>
      </c>
      <c r="R328" t="s">
        <v>6</v>
      </c>
      <c r="S328">
        <v>5</v>
      </c>
      <c r="T328">
        <v>5</v>
      </c>
      <c r="U328">
        <v>174</v>
      </c>
      <c r="V328" t="s">
        <v>0</v>
      </c>
      <c r="W328" t="s">
        <v>5</v>
      </c>
      <c r="X328" t="s">
        <v>5</v>
      </c>
      <c r="Y328" t="s">
        <v>197</v>
      </c>
      <c r="Z328" t="s">
        <v>5</v>
      </c>
      <c r="AA328">
        <v>0</v>
      </c>
      <c r="AB328">
        <v>0</v>
      </c>
      <c r="AC328">
        <v>0</v>
      </c>
      <c r="AD328" t="s">
        <v>61</v>
      </c>
      <c r="AE328" t="s">
        <v>5</v>
      </c>
      <c r="AF328" t="s">
        <v>61</v>
      </c>
      <c r="AG328" t="s">
        <v>36</v>
      </c>
      <c r="AH328">
        <v>14</v>
      </c>
      <c r="AI328" t="s">
        <v>23</v>
      </c>
      <c r="AJ328">
        <v>3</v>
      </c>
      <c r="AK328">
        <v>54</v>
      </c>
      <c r="AL328">
        <v>28</v>
      </c>
      <c r="AM328" t="s">
        <v>5</v>
      </c>
      <c r="AN328">
        <v>1</v>
      </c>
      <c r="AO328">
        <v>1</v>
      </c>
      <c r="AP328">
        <v>1</v>
      </c>
      <c r="AQ328">
        <v>1</v>
      </c>
    </row>
    <row r="329" spans="1:43" x14ac:dyDescent="0.25">
      <c r="A329" t="s">
        <v>3054</v>
      </c>
      <c r="B329" t="s">
        <v>3053</v>
      </c>
      <c r="C329" t="s">
        <v>3052</v>
      </c>
      <c r="D329" s="1">
        <v>46182</v>
      </c>
      <c r="E329" t="s">
        <v>156</v>
      </c>
      <c r="F329" t="s">
        <v>155</v>
      </c>
      <c r="G329" t="s">
        <v>17</v>
      </c>
      <c r="H329" t="s">
        <v>43</v>
      </c>
      <c r="I329" t="s">
        <v>28</v>
      </c>
      <c r="J329" t="s">
        <v>55</v>
      </c>
      <c r="K329" t="s">
        <v>54</v>
      </c>
      <c r="L329" t="s">
        <v>12</v>
      </c>
      <c r="M329" t="s">
        <v>11</v>
      </c>
      <c r="N329" t="s">
        <v>41</v>
      </c>
      <c r="O329" t="s">
        <v>74</v>
      </c>
      <c r="P329" t="s">
        <v>39</v>
      </c>
      <c r="Q329" t="s">
        <v>50</v>
      </c>
      <c r="R329" t="s">
        <v>38</v>
      </c>
      <c r="S329">
        <v>6</v>
      </c>
      <c r="T329">
        <v>6</v>
      </c>
      <c r="U329">
        <v>109</v>
      </c>
      <c r="V329" t="s">
        <v>0</v>
      </c>
      <c r="W329" t="s">
        <v>5</v>
      </c>
      <c r="X329" t="s">
        <v>181</v>
      </c>
      <c r="Y329" t="s">
        <v>4</v>
      </c>
      <c r="Z329" t="s">
        <v>5</v>
      </c>
      <c r="AA329">
        <v>2.37</v>
      </c>
      <c r="AB329">
        <v>0</v>
      </c>
      <c r="AC329">
        <v>0</v>
      </c>
      <c r="AD329" t="s">
        <v>3</v>
      </c>
      <c r="AE329" t="s">
        <v>0</v>
      </c>
      <c r="AF329" t="s">
        <v>3</v>
      </c>
      <c r="AG329" t="s">
        <v>2</v>
      </c>
      <c r="AI329" t="s">
        <v>23</v>
      </c>
      <c r="AJ329">
        <v>4</v>
      </c>
      <c r="AK329">
        <v>33</v>
      </c>
      <c r="AL329" t="s">
        <v>3051</v>
      </c>
      <c r="AM329" t="s">
        <v>5</v>
      </c>
      <c r="AN329">
        <v>1</v>
      </c>
      <c r="AO329">
        <v>1</v>
      </c>
      <c r="AP329">
        <v>0</v>
      </c>
      <c r="AQ329">
        <v>1</v>
      </c>
    </row>
    <row r="330" spans="1:43" x14ac:dyDescent="0.25">
      <c r="A330" t="s">
        <v>3050</v>
      </c>
      <c r="B330" t="s">
        <v>445</v>
      </c>
      <c r="C330" t="s">
        <v>3049</v>
      </c>
      <c r="D330" s="1">
        <v>45919</v>
      </c>
      <c r="E330" t="s">
        <v>168</v>
      </c>
      <c r="F330" t="s">
        <v>177</v>
      </c>
      <c r="G330" t="s">
        <v>123</v>
      </c>
      <c r="H330" t="s">
        <v>16</v>
      </c>
      <c r="I330" t="s">
        <v>15</v>
      </c>
      <c r="J330" t="s">
        <v>14</v>
      </c>
      <c r="K330" t="s">
        <v>13</v>
      </c>
      <c r="L330" t="s">
        <v>42</v>
      </c>
      <c r="M330" t="s">
        <v>11</v>
      </c>
      <c r="N330" t="s">
        <v>269</v>
      </c>
      <c r="O330" t="s">
        <v>51</v>
      </c>
      <c r="P330" t="s">
        <v>39</v>
      </c>
      <c r="Q330" t="s">
        <v>7</v>
      </c>
      <c r="R330" t="s">
        <v>6</v>
      </c>
      <c r="S330">
        <v>6</v>
      </c>
      <c r="T330">
        <v>6</v>
      </c>
      <c r="U330">
        <v>168</v>
      </c>
      <c r="V330" t="s">
        <v>0</v>
      </c>
      <c r="W330" t="s">
        <v>5</v>
      </c>
      <c r="X330" t="s">
        <v>5</v>
      </c>
      <c r="Y330" t="s">
        <v>49</v>
      </c>
      <c r="Z330" t="s">
        <v>0</v>
      </c>
      <c r="AA330">
        <v>0</v>
      </c>
      <c r="AB330">
        <v>0</v>
      </c>
      <c r="AC330">
        <v>0</v>
      </c>
      <c r="AD330" t="s">
        <v>3</v>
      </c>
      <c r="AE330" t="s">
        <v>0</v>
      </c>
      <c r="AF330" t="s">
        <v>3</v>
      </c>
      <c r="AG330" t="s">
        <v>2</v>
      </c>
      <c r="AI330" t="s">
        <v>23</v>
      </c>
      <c r="AJ330">
        <v>3</v>
      </c>
      <c r="AK330">
        <v>6</v>
      </c>
      <c r="AL330">
        <v>1</v>
      </c>
      <c r="AM330" t="s">
        <v>5</v>
      </c>
      <c r="AN330">
        <v>1</v>
      </c>
      <c r="AO330">
        <v>0</v>
      </c>
      <c r="AP330">
        <v>1</v>
      </c>
      <c r="AQ330">
        <v>1</v>
      </c>
    </row>
    <row r="331" spans="1:43" x14ac:dyDescent="0.25">
      <c r="A331" t="s">
        <v>3048</v>
      </c>
      <c r="B331" t="s">
        <v>1547</v>
      </c>
      <c r="C331" t="s">
        <v>3047</v>
      </c>
      <c r="D331" s="1">
        <v>46050</v>
      </c>
      <c r="E331" t="s">
        <v>32</v>
      </c>
      <c r="F331" t="s">
        <v>31</v>
      </c>
      <c r="G331" t="s">
        <v>17</v>
      </c>
      <c r="H331" t="s">
        <v>16</v>
      </c>
      <c r="I331" t="s">
        <v>15</v>
      </c>
      <c r="J331" t="s">
        <v>14</v>
      </c>
      <c r="K331" t="s">
        <v>13</v>
      </c>
      <c r="L331" t="s">
        <v>117</v>
      </c>
      <c r="M331" t="s">
        <v>11</v>
      </c>
      <c r="N331" t="s">
        <v>93</v>
      </c>
      <c r="O331" t="s">
        <v>130</v>
      </c>
      <c r="P331" t="s">
        <v>39</v>
      </c>
      <c r="Q331" t="s">
        <v>172</v>
      </c>
      <c r="R331" t="s">
        <v>38</v>
      </c>
      <c r="S331">
        <v>5</v>
      </c>
      <c r="T331">
        <v>5</v>
      </c>
      <c r="U331">
        <v>93</v>
      </c>
      <c r="V331" t="s">
        <v>0</v>
      </c>
      <c r="W331" t="s">
        <v>0</v>
      </c>
      <c r="X331" t="s">
        <v>0</v>
      </c>
      <c r="Y331" t="s">
        <v>4</v>
      </c>
      <c r="Z331" t="s">
        <v>5</v>
      </c>
      <c r="AA331">
        <v>45.25</v>
      </c>
      <c r="AB331">
        <v>0</v>
      </c>
      <c r="AC331">
        <v>0</v>
      </c>
      <c r="AD331" t="s">
        <v>187</v>
      </c>
      <c r="AE331" t="s">
        <v>5</v>
      </c>
      <c r="AF331" t="s">
        <v>187</v>
      </c>
      <c r="AG331" t="s">
        <v>36</v>
      </c>
      <c r="AH331">
        <v>39</v>
      </c>
      <c r="AI331" t="s">
        <v>1</v>
      </c>
      <c r="AJ331">
        <v>3</v>
      </c>
      <c r="AK331">
        <v>64</v>
      </c>
      <c r="AL331">
        <v>25</v>
      </c>
      <c r="AM331" t="s">
        <v>5</v>
      </c>
      <c r="AN331">
        <v>0</v>
      </c>
      <c r="AO331">
        <v>1</v>
      </c>
      <c r="AP331">
        <v>0</v>
      </c>
      <c r="AQ331">
        <v>1</v>
      </c>
    </row>
    <row r="332" spans="1:43" x14ac:dyDescent="0.25">
      <c r="A332" t="s">
        <v>3046</v>
      </c>
      <c r="B332" t="s">
        <v>2488</v>
      </c>
      <c r="C332" t="s">
        <v>3045</v>
      </c>
      <c r="D332" s="1">
        <v>45980</v>
      </c>
      <c r="E332" t="s">
        <v>162</v>
      </c>
      <c r="F332" t="s">
        <v>161</v>
      </c>
      <c r="G332" t="s">
        <v>17</v>
      </c>
      <c r="H332" t="s">
        <v>29</v>
      </c>
      <c r="I332" t="s">
        <v>15</v>
      </c>
      <c r="J332" t="s">
        <v>14</v>
      </c>
      <c r="K332" t="s">
        <v>13</v>
      </c>
      <c r="L332" t="s">
        <v>88</v>
      </c>
      <c r="M332" t="s">
        <v>11</v>
      </c>
      <c r="N332" t="s">
        <v>41</v>
      </c>
      <c r="O332" t="s">
        <v>74</v>
      </c>
      <c r="P332" t="s">
        <v>39</v>
      </c>
      <c r="Q332" t="s">
        <v>100</v>
      </c>
      <c r="R332" t="s">
        <v>38</v>
      </c>
      <c r="S332" t="s">
        <v>205</v>
      </c>
      <c r="T332">
        <v>6</v>
      </c>
      <c r="U332">
        <v>177</v>
      </c>
      <c r="V332" t="s">
        <v>0</v>
      </c>
      <c r="W332" t="s">
        <v>0</v>
      </c>
      <c r="X332" t="s">
        <v>0</v>
      </c>
      <c r="Y332" t="s">
        <v>4</v>
      </c>
      <c r="Z332" t="s">
        <v>0</v>
      </c>
      <c r="AA332">
        <v>0</v>
      </c>
      <c r="AB332">
        <v>0</v>
      </c>
      <c r="AC332">
        <v>0</v>
      </c>
      <c r="AD332" t="s">
        <v>436</v>
      </c>
      <c r="AE332" t="s">
        <v>5</v>
      </c>
      <c r="AF332" t="s">
        <v>436</v>
      </c>
      <c r="AG332" t="s">
        <v>36</v>
      </c>
      <c r="AH332">
        <v>29</v>
      </c>
      <c r="AI332" t="s">
        <v>23</v>
      </c>
      <c r="AJ332">
        <v>4</v>
      </c>
      <c r="AK332">
        <v>-31</v>
      </c>
      <c r="AL332">
        <v>22</v>
      </c>
      <c r="AM332" t="s">
        <v>0</v>
      </c>
      <c r="AN332">
        <v>0</v>
      </c>
      <c r="AO332">
        <v>0</v>
      </c>
      <c r="AP332">
        <v>0</v>
      </c>
      <c r="AQ332">
        <v>0</v>
      </c>
    </row>
    <row r="333" spans="1:43" x14ac:dyDescent="0.25">
      <c r="A333" t="s">
        <v>3044</v>
      </c>
      <c r="B333" t="s">
        <v>500</v>
      </c>
      <c r="C333" t="s">
        <v>3043</v>
      </c>
      <c r="D333" s="1">
        <v>45937</v>
      </c>
      <c r="E333" t="s">
        <v>19</v>
      </c>
      <c r="F333" t="s">
        <v>89</v>
      </c>
      <c r="G333" t="s">
        <v>17</v>
      </c>
      <c r="H333" t="s">
        <v>16</v>
      </c>
      <c r="I333" t="s">
        <v>15</v>
      </c>
      <c r="J333" t="s">
        <v>14</v>
      </c>
      <c r="K333" t="s">
        <v>13</v>
      </c>
      <c r="L333" t="s">
        <v>12</v>
      </c>
      <c r="M333" t="s">
        <v>53</v>
      </c>
      <c r="N333" t="s">
        <v>52</v>
      </c>
      <c r="O333" t="s">
        <v>193</v>
      </c>
      <c r="P333" t="s">
        <v>25</v>
      </c>
      <c r="Q333" t="s">
        <v>24</v>
      </c>
      <c r="R333" t="s">
        <v>38</v>
      </c>
      <c r="S333">
        <v>9</v>
      </c>
      <c r="T333">
        <v>9</v>
      </c>
      <c r="U333">
        <v>221</v>
      </c>
      <c r="V333" t="s">
        <v>0</v>
      </c>
      <c r="W333" t="s">
        <v>5</v>
      </c>
      <c r="X333" t="s">
        <v>0</v>
      </c>
      <c r="Y333" t="s">
        <v>4</v>
      </c>
      <c r="Z333" t="s">
        <v>0</v>
      </c>
      <c r="AA333">
        <v>0</v>
      </c>
      <c r="AB333">
        <v>0</v>
      </c>
      <c r="AC333">
        <v>0</v>
      </c>
      <c r="AD333" t="s">
        <v>227</v>
      </c>
      <c r="AE333" t="s">
        <v>5</v>
      </c>
      <c r="AF333" t="s">
        <v>227</v>
      </c>
      <c r="AG333" t="s">
        <v>36</v>
      </c>
      <c r="AH333">
        <v>38</v>
      </c>
      <c r="AI333" t="s">
        <v>23</v>
      </c>
      <c r="AJ333">
        <v>3</v>
      </c>
      <c r="AK333">
        <v>58</v>
      </c>
      <c r="AL333">
        <v>28</v>
      </c>
      <c r="AM333" t="s">
        <v>0</v>
      </c>
      <c r="AN333">
        <v>1</v>
      </c>
      <c r="AO333">
        <v>0</v>
      </c>
      <c r="AP333">
        <v>0</v>
      </c>
      <c r="AQ333">
        <v>0</v>
      </c>
    </row>
    <row r="334" spans="1:43" x14ac:dyDescent="0.25">
      <c r="A334" t="s">
        <v>3042</v>
      </c>
      <c r="B334" t="s">
        <v>292</v>
      </c>
      <c r="C334" t="s">
        <v>3041</v>
      </c>
      <c r="D334" s="1">
        <v>45842</v>
      </c>
      <c r="E334" t="s">
        <v>162</v>
      </c>
      <c r="F334" t="s">
        <v>300</v>
      </c>
      <c r="G334" t="s">
        <v>110</v>
      </c>
      <c r="H334" t="s">
        <v>77</v>
      </c>
      <c r="I334" t="s">
        <v>28</v>
      </c>
      <c r="J334" t="s">
        <v>14</v>
      </c>
      <c r="K334" t="s">
        <v>13</v>
      </c>
      <c r="L334" t="s">
        <v>12</v>
      </c>
      <c r="M334" t="s">
        <v>11</v>
      </c>
      <c r="N334" t="s">
        <v>154</v>
      </c>
      <c r="O334" t="s">
        <v>26</v>
      </c>
      <c r="P334" t="s">
        <v>8</v>
      </c>
      <c r="Q334" t="s">
        <v>24</v>
      </c>
      <c r="R334" t="s">
        <v>6</v>
      </c>
      <c r="S334">
        <v>4</v>
      </c>
      <c r="T334">
        <v>4</v>
      </c>
      <c r="U334">
        <v>77</v>
      </c>
      <c r="V334" t="s">
        <v>0</v>
      </c>
      <c r="W334" t="s">
        <v>5</v>
      </c>
      <c r="X334" t="s">
        <v>135</v>
      </c>
      <c r="Y334" t="s">
        <v>4</v>
      </c>
      <c r="Z334" t="s">
        <v>5</v>
      </c>
      <c r="AA334">
        <v>77.58</v>
      </c>
      <c r="AB334">
        <v>0.2</v>
      </c>
      <c r="AC334">
        <v>0</v>
      </c>
      <c r="AD334" t="s">
        <v>3</v>
      </c>
      <c r="AE334" t="s">
        <v>0</v>
      </c>
      <c r="AF334" t="s">
        <v>3</v>
      </c>
      <c r="AG334" t="s">
        <v>2</v>
      </c>
      <c r="AI334" t="s">
        <v>23</v>
      </c>
      <c r="AJ334">
        <v>5</v>
      </c>
      <c r="AK334">
        <v>50</v>
      </c>
      <c r="AL334">
        <v>17</v>
      </c>
      <c r="AM334" t="s">
        <v>5</v>
      </c>
      <c r="AN334">
        <v>1</v>
      </c>
      <c r="AO334">
        <v>1</v>
      </c>
      <c r="AP334">
        <v>0</v>
      </c>
      <c r="AQ334">
        <v>1</v>
      </c>
    </row>
    <row r="335" spans="1:43" x14ac:dyDescent="0.25">
      <c r="A335" t="s">
        <v>899</v>
      </c>
      <c r="B335" t="s">
        <v>898</v>
      </c>
      <c r="C335" t="s">
        <v>897</v>
      </c>
      <c r="D335" s="1">
        <v>45705</v>
      </c>
      <c r="E335" t="s">
        <v>79</v>
      </c>
      <c r="F335" t="s">
        <v>223</v>
      </c>
      <c r="G335" t="s">
        <v>17</v>
      </c>
      <c r="H335" t="s">
        <v>77</v>
      </c>
      <c r="I335" t="s">
        <v>28</v>
      </c>
      <c r="J335" t="s">
        <v>55</v>
      </c>
      <c r="K335" t="s">
        <v>54</v>
      </c>
      <c r="L335" t="s">
        <v>42</v>
      </c>
      <c r="M335" t="s">
        <v>11</v>
      </c>
      <c r="N335" t="s">
        <v>154</v>
      </c>
      <c r="O335" t="s">
        <v>199</v>
      </c>
      <c r="P335" t="s">
        <v>39</v>
      </c>
      <c r="Q335" t="s">
        <v>24</v>
      </c>
      <c r="R335" t="s">
        <v>38</v>
      </c>
      <c r="S335">
        <v>5</v>
      </c>
      <c r="T335">
        <v>5</v>
      </c>
      <c r="U335">
        <v>146</v>
      </c>
      <c r="V335" t="s">
        <v>0</v>
      </c>
      <c r="W335" t="s">
        <v>135</v>
      </c>
      <c r="X335" t="s">
        <v>0</v>
      </c>
      <c r="Y335" t="s">
        <v>4</v>
      </c>
      <c r="Z335" t="s">
        <v>5</v>
      </c>
      <c r="AA335">
        <v>8.27</v>
      </c>
      <c r="AB335">
        <v>0</v>
      </c>
      <c r="AC335">
        <v>0</v>
      </c>
      <c r="AD335" t="s">
        <v>3</v>
      </c>
      <c r="AE335" t="s">
        <v>0</v>
      </c>
      <c r="AF335" t="s">
        <v>3</v>
      </c>
      <c r="AG335" t="s">
        <v>2</v>
      </c>
      <c r="AI335" t="s">
        <v>23</v>
      </c>
      <c r="AJ335">
        <v>3</v>
      </c>
      <c r="AK335">
        <v>32</v>
      </c>
      <c r="AL335">
        <v>46</v>
      </c>
      <c r="AM335" t="s">
        <v>5</v>
      </c>
      <c r="AN335">
        <v>0</v>
      </c>
      <c r="AO335">
        <v>1</v>
      </c>
      <c r="AP335">
        <v>0</v>
      </c>
      <c r="AQ335">
        <v>1</v>
      </c>
    </row>
    <row r="336" spans="1:43" x14ac:dyDescent="0.25">
      <c r="A336" t="s">
        <v>3040</v>
      </c>
      <c r="B336" t="s">
        <v>3039</v>
      </c>
      <c r="C336" t="s">
        <v>3038</v>
      </c>
      <c r="D336" s="1">
        <v>45974</v>
      </c>
      <c r="E336" t="s">
        <v>45</v>
      </c>
      <c r="F336" t="s">
        <v>348</v>
      </c>
      <c r="G336" t="s">
        <v>56</v>
      </c>
      <c r="H336" t="s">
        <v>77</v>
      </c>
      <c r="I336" t="s">
        <v>15</v>
      </c>
      <c r="J336" t="s">
        <v>14</v>
      </c>
      <c r="K336" t="s">
        <v>13</v>
      </c>
      <c r="L336" t="s">
        <v>42</v>
      </c>
      <c r="M336" t="s">
        <v>11</v>
      </c>
      <c r="N336" t="s">
        <v>10</v>
      </c>
      <c r="O336" t="s">
        <v>130</v>
      </c>
      <c r="P336" t="s">
        <v>25</v>
      </c>
      <c r="Q336" t="s">
        <v>7</v>
      </c>
      <c r="R336" t="s">
        <v>6</v>
      </c>
      <c r="S336">
        <v>5</v>
      </c>
      <c r="T336">
        <v>4</v>
      </c>
      <c r="U336">
        <v>135</v>
      </c>
      <c r="V336" t="s">
        <v>5</v>
      </c>
      <c r="W336" t="s">
        <v>5</v>
      </c>
      <c r="X336" t="s">
        <v>0</v>
      </c>
      <c r="Y336" t="s">
        <v>4</v>
      </c>
      <c r="Z336" t="s">
        <v>5</v>
      </c>
      <c r="AA336">
        <v>87.31</v>
      </c>
      <c r="AB336">
        <v>0</v>
      </c>
      <c r="AC336">
        <v>0</v>
      </c>
      <c r="AD336" t="s">
        <v>3</v>
      </c>
      <c r="AE336" t="s">
        <v>0</v>
      </c>
      <c r="AF336" t="s">
        <v>3</v>
      </c>
      <c r="AG336" t="s">
        <v>2</v>
      </c>
      <c r="AI336" t="s">
        <v>23</v>
      </c>
      <c r="AJ336">
        <v>3</v>
      </c>
      <c r="AK336">
        <v>15</v>
      </c>
      <c r="AL336">
        <v>66</v>
      </c>
      <c r="AM336" t="s">
        <v>5</v>
      </c>
      <c r="AN336">
        <v>1</v>
      </c>
      <c r="AO336">
        <v>1</v>
      </c>
      <c r="AP336">
        <v>0</v>
      </c>
      <c r="AQ336">
        <v>1</v>
      </c>
    </row>
    <row r="337" spans="1:43" x14ac:dyDescent="0.25">
      <c r="A337" t="s">
        <v>3037</v>
      </c>
      <c r="B337" t="s">
        <v>1904</v>
      </c>
      <c r="C337" t="s">
        <v>3036</v>
      </c>
      <c r="D337" s="1">
        <v>45926</v>
      </c>
      <c r="E337" t="s">
        <v>45</v>
      </c>
      <c r="F337" t="s">
        <v>348</v>
      </c>
      <c r="G337" t="s">
        <v>123</v>
      </c>
      <c r="H337" t="s">
        <v>29</v>
      </c>
      <c r="I337" t="s">
        <v>15</v>
      </c>
      <c r="J337" t="s">
        <v>55</v>
      </c>
      <c r="K337" t="s">
        <v>54</v>
      </c>
      <c r="L337" t="s">
        <v>64</v>
      </c>
      <c r="M337" t="s">
        <v>11</v>
      </c>
      <c r="N337" t="s">
        <v>75</v>
      </c>
      <c r="O337" t="s">
        <v>87</v>
      </c>
      <c r="P337" t="s">
        <v>63</v>
      </c>
      <c r="Q337" t="s">
        <v>7</v>
      </c>
      <c r="R337" t="s">
        <v>6</v>
      </c>
      <c r="S337">
        <v>5</v>
      </c>
      <c r="T337">
        <v>4</v>
      </c>
      <c r="U337">
        <v>183</v>
      </c>
      <c r="V337" t="s">
        <v>5</v>
      </c>
      <c r="W337" t="s">
        <v>5</v>
      </c>
      <c r="X337" t="s">
        <v>0</v>
      </c>
      <c r="Y337" t="s">
        <v>4</v>
      </c>
      <c r="Z337" t="s">
        <v>5</v>
      </c>
      <c r="AA337">
        <v>132.69</v>
      </c>
      <c r="AB337">
        <v>0</v>
      </c>
      <c r="AC337">
        <v>0</v>
      </c>
      <c r="AD337" t="s">
        <v>3</v>
      </c>
      <c r="AE337" t="s">
        <v>0</v>
      </c>
      <c r="AF337" t="s">
        <v>3</v>
      </c>
      <c r="AG337" t="s">
        <v>2</v>
      </c>
      <c r="AI337" t="s">
        <v>23</v>
      </c>
      <c r="AJ337">
        <v>3</v>
      </c>
      <c r="AK337">
        <v>9</v>
      </c>
      <c r="AL337">
        <v>0</v>
      </c>
      <c r="AM337" t="s">
        <v>5</v>
      </c>
      <c r="AN337">
        <v>1</v>
      </c>
      <c r="AO337">
        <v>1</v>
      </c>
      <c r="AP337">
        <v>0</v>
      </c>
      <c r="AQ337">
        <v>1</v>
      </c>
    </row>
    <row r="338" spans="1:43" x14ac:dyDescent="0.25">
      <c r="A338" t="s">
        <v>3035</v>
      </c>
      <c r="B338" t="s">
        <v>1502</v>
      </c>
      <c r="C338" t="s">
        <v>3034</v>
      </c>
      <c r="D338" s="1">
        <v>45762</v>
      </c>
      <c r="E338" t="s">
        <v>95</v>
      </c>
      <c r="F338" t="s">
        <v>118</v>
      </c>
      <c r="G338" t="s">
        <v>17</v>
      </c>
      <c r="H338" t="s">
        <v>29</v>
      </c>
      <c r="I338" t="s">
        <v>28</v>
      </c>
      <c r="J338" t="s">
        <v>14</v>
      </c>
      <c r="K338" t="s">
        <v>13</v>
      </c>
      <c r="L338" t="s">
        <v>64</v>
      </c>
      <c r="M338" t="s">
        <v>11</v>
      </c>
      <c r="N338" t="s">
        <v>10</v>
      </c>
      <c r="O338" t="s">
        <v>40</v>
      </c>
      <c r="P338" t="s">
        <v>39</v>
      </c>
      <c r="Q338" t="s">
        <v>198</v>
      </c>
      <c r="R338" t="s">
        <v>38</v>
      </c>
      <c r="S338">
        <v>8</v>
      </c>
      <c r="T338">
        <v>7</v>
      </c>
      <c r="U338">
        <v>341</v>
      </c>
      <c r="V338" t="s">
        <v>5</v>
      </c>
      <c r="W338" t="s">
        <v>0</v>
      </c>
      <c r="X338" t="s">
        <v>0</v>
      </c>
      <c r="Y338" t="s">
        <v>4</v>
      </c>
      <c r="Z338" t="s">
        <v>5</v>
      </c>
      <c r="AA338">
        <v>423.92</v>
      </c>
      <c r="AB338">
        <v>2.17</v>
      </c>
      <c r="AC338">
        <v>0</v>
      </c>
      <c r="AD338" t="s">
        <v>3</v>
      </c>
      <c r="AE338" t="s">
        <v>0</v>
      </c>
      <c r="AF338" t="s">
        <v>3</v>
      </c>
      <c r="AG338" t="s">
        <v>2</v>
      </c>
      <c r="AI338" t="s">
        <v>332</v>
      </c>
      <c r="AJ338">
        <v>4</v>
      </c>
      <c r="AK338">
        <v>14</v>
      </c>
      <c r="AL338">
        <v>30</v>
      </c>
      <c r="AM338" t="s">
        <v>5</v>
      </c>
      <c r="AN338">
        <v>0</v>
      </c>
      <c r="AO338">
        <v>1</v>
      </c>
      <c r="AP338">
        <v>0</v>
      </c>
      <c r="AQ338">
        <v>1</v>
      </c>
    </row>
    <row r="339" spans="1:43" x14ac:dyDescent="0.25">
      <c r="A339" t="s">
        <v>1839</v>
      </c>
      <c r="B339" t="s">
        <v>487</v>
      </c>
      <c r="C339" t="s">
        <v>1838</v>
      </c>
      <c r="D339" s="1">
        <v>45733</v>
      </c>
      <c r="E339" t="s">
        <v>68</v>
      </c>
      <c r="F339" t="s">
        <v>243</v>
      </c>
      <c r="G339" t="s">
        <v>17</v>
      </c>
      <c r="H339" t="s">
        <v>43</v>
      </c>
      <c r="I339" t="s">
        <v>28</v>
      </c>
      <c r="J339" t="s">
        <v>14</v>
      </c>
      <c r="K339" t="s">
        <v>13</v>
      </c>
      <c r="L339" t="s">
        <v>12</v>
      </c>
      <c r="M339" t="s">
        <v>53</v>
      </c>
      <c r="N339" t="s">
        <v>154</v>
      </c>
      <c r="O339" t="s">
        <v>199</v>
      </c>
      <c r="P339" t="s">
        <v>39</v>
      </c>
      <c r="Q339" t="s">
        <v>198</v>
      </c>
      <c r="R339" t="s">
        <v>38</v>
      </c>
      <c r="S339">
        <v>5</v>
      </c>
      <c r="T339">
        <v>5</v>
      </c>
      <c r="U339">
        <v>124</v>
      </c>
      <c r="V339" t="s">
        <v>0</v>
      </c>
      <c r="W339" t="s">
        <v>5</v>
      </c>
      <c r="X339" t="s">
        <v>0</v>
      </c>
      <c r="Y339" t="s">
        <v>4</v>
      </c>
      <c r="Z339" t="s">
        <v>5</v>
      </c>
      <c r="AA339">
        <v>85.99</v>
      </c>
      <c r="AB339">
        <v>0</v>
      </c>
      <c r="AC339">
        <v>0.17</v>
      </c>
      <c r="AD339" t="s">
        <v>3</v>
      </c>
      <c r="AE339" t="s">
        <v>0</v>
      </c>
      <c r="AF339" t="s">
        <v>3</v>
      </c>
      <c r="AG339" t="s">
        <v>2</v>
      </c>
      <c r="AI339" t="s">
        <v>23</v>
      </c>
      <c r="AJ339">
        <v>4</v>
      </c>
      <c r="AK339">
        <v>94</v>
      </c>
      <c r="AL339">
        <v>41</v>
      </c>
      <c r="AM339" t="s">
        <v>5</v>
      </c>
      <c r="AN339">
        <v>1</v>
      </c>
      <c r="AO339">
        <v>1</v>
      </c>
      <c r="AP339">
        <v>0</v>
      </c>
      <c r="AQ339">
        <v>1</v>
      </c>
    </row>
    <row r="340" spans="1:43" x14ac:dyDescent="0.25">
      <c r="A340" t="s">
        <v>3033</v>
      </c>
      <c r="B340" t="s">
        <v>2046</v>
      </c>
      <c r="C340" t="s">
        <v>3032</v>
      </c>
      <c r="D340" s="1">
        <v>45996</v>
      </c>
      <c r="E340" t="s">
        <v>149</v>
      </c>
      <c r="F340" t="s">
        <v>183</v>
      </c>
      <c r="G340" t="s">
        <v>30</v>
      </c>
      <c r="H340" t="s">
        <v>43</v>
      </c>
      <c r="I340" t="s">
        <v>28</v>
      </c>
      <c r="J340" t="s">
        <v>55</v>
      </c>
      <c r="K340" t="s">
        <v>54</v>
      </c>
      <c r="L340" t="s">
        <v>42</v>
      </c>
      <c r="M340" t="s">
        <v>11</v>
      </c>
      <c r="N340" t="s">
        <v>10</v>
      </c>
      <c r="O340" t="s">
        <v>51</v>
      </c>
      <c r="P340" t="s">
        <v>25</v>
      </c>
      <c r="Q340" t="s">
        <v>24</v>
      </c>
      <c r="R340" t="s">
        <v>6</v>
      </c>
      <c r="S340">
        <v>6</v>
      </c>
      <c r="T340">
        <v>6</v>
      </c>
      <c r="U340">
        <v>167</v>
      </c>
      <c r="V340" t="s">
        <v>0</v>
      </c>
      <c r="W340" t="s">
        <v>5</v>
      </c>
      <c r="X340" t="s">
        <v>0</v>
      </c>
      <c r="Y340" t="s">
        <v>4</v>
      </c>
      <c r="Z340" t="s">
        <v>5</v>
      </c>
      <c r="AA340">
        <v>31.41</v>
      </c>
      <c r="AB340">
        <v>0.09</v>
      </c>
      <c r="AC340">
        <v>0</v>
      </c>
      <c r="AD340" t="s">
        <v>187</v>
      </c>
      <c r="AE340" t="s">
        <v>5</v>
      </c>
      <c r="AF340" t="s">
        <v>187</v>
      </c>
      <c r="AG340" t="s">
        <v>36</v>
      </c>
      <c r="AH340">
        <v>32</v>
      </c>
      <c r="AI340" t="s">
        <v>23</v>
      </c>
      <c r="AJ340">
        <v>5</v>
      </c>
      <c r="AK340">
        <v>33</v>
      </c>
      <c r="AL340">
        <v>26</v>
      </c>
      <c r="AM340" t="s">
        <v>5</v>
      </c>
      <c r="AN340">
        <v>1</v>
      </c>
      <c r="AO340">
        <v>1</v>
      </c>
      <c r="AP340">
        <v>0</v>
      </c>
      <c r="AQ340">
        <v>1</v>
      </c>
    </row>
    <row r="341" spans="1:43" x14ac:dyDescent="0.25">
      <c r="A341" t="s">
        <v>3031</v>
      </c>
      <c r="B341" t="s">
        <v>2942</v>
      </c>
      <c r="C341" t="s">
        <v>3030</v>
      </c>
      <c r="D341" s="1">
        <v>46163</v>
      </c>
      <c r="E341" t="s">
        <v>79</v>
      </c>
      <c r="F341" t="s">
        <v>206</v>
      </c>
      <c r="G341" t="s">
        <v>56</v>
      </c>
      <c r="H341" t="s">
        <v>66</v>
      </c>
      <c r="I341" t="s">
        <v>15</v>
      </c>
      <c r="J341" t="s">
        <v>55</v>
      </c>
      <c r="K341" t="s">
        <v>54</v>
      </c>
      <c r="L341" t="s">
        <v>12</v>
      </c>
      <c r="M341" t="s">
        <v>27</v>
      </c>
      <c r="N341" t="s">
        <v>10</v>
      </c>
      <c r="O341" t="s">
        <v>26</v>
      </c>
      <c r="P341" t="s">
        <v>63</v>
      </c>
      <c r="Q341" t="s">
        <v>100</v>
      </c>
      <c r="R341" t="s">
        <v>6</v>
      </c>
      <c r="S341">
        <v>4</v>
      </c>
      <c r="T341">
        <v>4</v>
      </c>
      <c r="U341">
        <v>83</v>
      </c>
      <c r="V341" t="s">
        <v>0</v>
      </c>
      <c r="W341" t="s">
        <v>5</v>
      </c>
      <c r="X341" t="s">
        <v>0</v>
      </c>
      <c r="Y341" t="s">
        <v>4</v>
      </c>
      <c r="Z341" t="s">
        <v>5</v>
      </c>
      <c r="AA341">
        <v>253.14</v>
      </c>
      <c r="AB341">
        <v>0.21</v>
      </c>
      <c r="AC341">
        <v>0.37</v>
      </c>
      <c r="AD341" t="s">
        <v>3</v>
      </c>
      <c r="AE341" t="s">
        <v>0</v>
      </c>
      <c r="AF341" t="s">
        <v>3</v>
      </c>
      <c r="AG341" t="s">
        <v>2</v>
      </c>
      <c r="AI341" t="s">
        <v>23</v>
      </c>
      <c r="AJ341">
        <v>4</v>
      </c>
      <c r="AK341">
        <v>29</v>
      </c>
      <c r="AL341">
        <v>0</v>
      </c>
      <c r="AM341" t="s">
        <v>5</v>
      </c>
      <c r="AN341">
        <v>1</v>
      </c>
      <c r="AO341">
        <v>1</v>
      </c>
      <c r="AP341">
        <v>0</v>
      </c>
      <c r="AQ341">
        <v>1</v>
      </c>
    </row>
    <row r="342" spans="1:43" x14ac:dyDescent="0.25">
      <c r="A342" t="s">
        <v>3029</v>
      </c>
      <c r="B342" t="s">
        <v>2607</v>
      </c>
      <c r="C342" t="s">
        <v>3028</v>
      </c>
      <c r="D342" s="1">
        <v>46163</v>
      </c>
      <c r="E342" t="s">
        <v>32</v>
      </c>
      <c r="F342" t="s">
        <v>31</v>
      </c>
      <c r="G342" t="s">
        <v>110</v>
      </c>
      <c r="H342" t="s">
        <v>66</v>
      </c>
      <c r="I342" t="s">
        <v>28</v>
      </c>
      <c r="J342" t="s">
        <v>55</v>
      </c>
      <c r="K342" t="s">
        <v>65</v>
      </c>
      <c r="L342" t="s">
        <v>42</v>
      </c>
      <c r="M342" t="s">
        <v>11</v>
      </c>
      <c r="N342" t="s">
        <v>75</v>
      </c>
      <c r="O342" t="s">
        <v>199</v>
      </c>
      <c r="P342" t="s">
        <v>25</v>
      </c>
      <c r="Q342" t="s">
        <v>7</v>
      </c>
      <c r="R342" t="s">
        <v>6</v>
      </c>
      <c r="S342">
        <v>5</v>
      </c>
      <c r="T342">
        <v>5</v>
      </c>
      <c r="U342">
        <v>119</v>
      </c>
      <c r="V342" t="s">
        <v>0</v>
      </c>
      <c r="W342" t="s">
        <v>5</v>
      </c>
      <c r="X342" t="s">
        <v>181</v>
      </c>
      <c r="Y342" t="s">
        <v>4</v>
      </c>
      <c r="Z342" t="s">
        <v>5</v>
      </c>
      <c r="AA342">
        <v>8.25</v>
      </c>
      <c r="AB342">
        <v>0</v>
      </c>
      <c r="AC342">
        <v>0</v>
      </c>
      <c r="AD342" t="s">
        <v>3</v>
      </c>
      <c r="AE342" t="s">
        <v>0</v>
      </c>
      <c r="AF342" t="s">
        <v>3</v>
      </c>
      <c r="AG342" t="s">
        <v>2</v>
      </c>
      <c r="AI342" t="s">
        <v>23</v>
      </c>
      <c r="AJ342">
        <v>5</v>
      </c>
      <c r="AK342">
        <v>6</v>
      </c>
      <c r="AL342">
        <v>33</v>
      </c>
      <c r="AM342" t="s">
        <v>0</v>
      </c>
      <c r="AN342">
        <v>1</v>
      </c>
      <c r="AO342">
        <v>1</v>
      </c>
      <c r="AP342">
        <v>0</v>
      </c>
      <c r="AQ342">
        <v>0</v>
      </c>
    </row>
    <row r="343" spans="1:43" x14ac:dyDescent="0.25">
      <c r="A343" t="s">
        <v>3027</v>
      </c>
      <c r="B343" t="s">
        <v>1933</v>
      </c>
      <c r="C343" t="s">
        <v>3026</v>
      </c>
      <c r="D343" s="1">
        <v>45970</v>
      </c>
      <c r="E343" t="s">
        <v>68</v>
      </c>
      <c r="F343" t="s">
        <v>216</v>
      </c>
      <c r="G343" t="s">
        <v>30</v>
      </c>
      <c r="H343" t="s">
        <v>66</v>
      </c>
      <c r="I343" t="s">
        <v>28</v>
      </c>
      <c r="J343" t="s">
        <v>55</v>
      </c>
      <c r="K343" t="s">
        <v>54</v>
      </c>
      <c r="L343" t="s">
        <v>117</v>
      </c>
      <c r="M343" t="s">
        <v>27</v>
      </c>
      <c r="N343" t="s">
        <v>10</v>
      </c>
      <c r="O343" t="s">
        <v>26</v>
      </c>
      <c r="P343" t="s">
        <v>39</v>
      </c>
      <c r="Q343" t="s">
        <v>198</v>
      </c>
      <c r="R343" t="s">
        <v>38</v>
      </c>
      <c r="S343">
        <v>4</v>
      </c>
      <c r="T343">
        <v>4</v>
      </c>
      <c r="U343">
        <v>102</v>
      </c>
      <c r="V343" t="s">
        <v>0</v>
      </c>
      <c r="W343" t="s">
        <v>5</v>
      </c>
      <c r="X343" t="s">
        <v>135</v>
      </c>
      <c r="Y343" t="s">
        <v>4</v>
      </c>
      <c r="Z343" t="s">
        <v>5</v>
      </c>
      <c r="AA343">
        <v>171.3</v>
      </c>
      <c r="AB343">
        <v>0.19</v>
      </c>
      <c r="AC343">
        <v>0.37</v>
      </c>
      <c r="AD343" t="s">
        <v>3</v>
      </c>
      <c r="AE343" t="s">
        <v>0</v>
      </c>
      <c r="AF343" t="s">
        <v>3</v>
      </c>
      <c r="AG343" t="s">
        <v>2</v>
      </c>
      <c r="AI343" t="s">
        <v>23</v>
      </c>
      <c r="AJ343">
        <v>4</v>
      </c>
      <c r="AK343">
        <v>66</v>
      </c>
      <c r="AL343">
        <v>35</v>
      </c>
      <c r="AM343" t="s">
        <v>5</v>
      </c>
      <c r="AN343">
        <v>1</v>
      </c>
      <c r="AO343">
        <v>1</v>
      </c>
      <c r="AP343">
        <v>0</v>
      </c>
      <c r="AQ343">
        <v>1</v>
      </c>
    </row>
    <row r="344" spans="1:43" x14ac:dyDescent="0.25">
      <c r="A344" t="s">
        <v>3025</v>
      </c>
      <c r="B344" t="s">
        <v>330</v>
      </c>
      <c r="C344" t="s">
        <v>3024</v>
      </c>
      <c r="D344" s="1">
        <v>46073</v>
      </c>
      <c r="E344" t="s">
        <v>168</v>
      </c>
      <c r="F344" t="s">
        <v>177</v>
      </c>
      <c r="G344" t="s">
        <v>56</v>
      </c>
      <c r="H344" t="s">
        <v>29</v>
      </c>
      <c r="I344" t="s">
        <v>28</v>
      </c>
      <c r="J344" t="s">
        <v>14</v>
      </c>
      <c r="K344" t="s">
        <v>13</v>
      </c>
      <c r="L344" t="s">
        <v>64</v>
      </c>
      <c r="M344" t="s">
        <v>11</v>
      </c>
      <c r="N344" t="s">
        <v>10</v>
      </c>
      <c r="O344" t="s">
        <v>101</v>
      </c>
      <c r="P344" t="s">
        <v>25</v>
      </c>
      <c r="Q344" t="s">
        <v>24</v>
      </c>
      <c r="R344" t="s">
        <v>6</v>
      </c>
      <c r="S344">
        <v>4</v>
      </c>
      <c r="T344">
        <v>3</v>
      </c>
      <c r="U344">
        <v>156</v>
      </c>
      <c r="V344" t="s">
        <v>5</v>
      </c>
      <c r="W344" t="s">
        <v>5</v>
      </c>
      <c r="X344" t="s">
        <v>0</v>
      </c>
      <c r="Y344" t="s">
        <v>4</v>
      </c>
      <c r="Z344" t="s">
        <v>5</v>
      </c>
      <c r="AA344">
        <v>87.78</v>
      </c>
      <c r="AB344">
        <v>0.43</v>
      </c>
      <c r="AC344">
        <v>0</v>
      </c>
      <c r="AD344" t="s">
        <v>3</v>
      </c>
      <c r="AE344" t="s">
        <v>0</v>
      </c>
      <c r="AF344" t="s">
        <v>3</v>
      </c>
      <c r="AG344" t="s">
        <v>2</v>
      </c>
      <c r="AI344" t="s">
        <v>23</v>
      </c>
      <c r="AJ344">
        <v>5</v>
      </c>
      <c r="AK344">
        <v>9</v>
      </c>
      <c r="AL344">
        <v>11</v>
      </c>
      <c r="AM344" t="s">
        <v>5</v>
      </c>
      <c r="AN344">
        <v>1</v>
      </c>
      <c r="AO344">
        <v>1</v>
      </c>
      <c r="AP344">
        <v>0</v>
      </c>
      <c r="AQ344">
        <v>1</v>
      </c>
    </row>
    <row r="345" spans="1:43" x14ac:dyDescent="0.25">
      <c r="A345" t="s">
        <v>3023</v>
      </c>
      <c r="B345" t="s">
        <v>3022</v>
      </c>
      <c r="C345" t="s">
        <v>3021</v>
      </c>
      <c r="D345" s="1">
        <v>46059</v>
      </c>
      <c r="E345" t="s">
        <v>125</v>
      </c>
      <c r="F345" t="s">
        <v>124</v>
      </c>
      <c r="G345" t="s">
        <v>17</v>
      </c>
      <c r="H345" t="s">
        <v>77</v>
      </c>
      <c r="I345" t="s">
        <v>28</v>
      </c>
      <c r="J345" t="s">
        <v>14</v>
      </c>
      <c r="K345" t="s">
        <v>76</v>
      </c>
      <c r="L345" t="s">
        <v>64</v>
      </c>
      <c r="M345" t="s">
        <v>299</v>
      </c>
      <c r="N345" t="s">
        <v>10</v>
      </c>
      <c r="O345" t="s">
        <v>101</v>
      </c>
      <c r="P345" t="s">
        <v>25</v>
      </c>
      <c r="Q345" t="s">
        <v>7</v>
      </c>
      <c r="R345" t="s">
        <v>6</v>
      </c>
      <c r="S345">
        <v>4</v>
      </c>
      <c r="T345">
        <v>4</v>
      </c>
      <c r="U345">
        <v>98</v>
      </c>
      <c r="V345" t="s">
        <v>0</v>
      </c>
      <c r="W345" t="s">
        <v>5</v>
      </c>
      <c r="X345" t="s">
        <v>0</v>
      </c>
      <c r="Y345" t="s">
        <v>4</v>
      </c>
      <c r="Z345" t="s">
        <v>5</v>
      </c>
      <c r="AA345">
        <v>21.35</v>
      </c>
      <c r="AB345">
        <v>0.54</v>
      </c>
      <c r="AC345">
        <v>0</v>
      </c>
      <c r="AD345" t="s">
        <v>3</v>
      </c>
      <c r="AE345" t="s">
        <v>0</v>
      </c>
      <c r="AF345" t="s">
        <v>3</v>
      </c>
      <c r="AG345" t="s">
        <v>2</v>
      </c>
      <c r="AI345" t="s">
        <v>23</v>
      </c>
      <c r="AJ345">
        <v>5</v>
      </c>
      <c r="AK345">
        <v>17</v>
      </c>
      <c r="AL345" t="s">
        <v>1781</v>
      </c>
      <c r="AM345" t="s">
        <v>5</v>
      </c>
      <c r="AN345">
        <v>1</v>
      </c>
      <c r="AO345">
        <v>1</v>
      </c>
      <c r="AP345">
        <v>0</v>
      </c>
      <c r="AQ345">
        <v>1</v>
      </c>
    </row>
    <row r="346" spans="1:43" x14ac:dyDescent="0.25">
      <c r="A346" t="s">
        <v>3020</v>
      </c>
      <c r="B346" t="s">
        <v>1110</v>
      </c>
      <c r="C346" t="s">
        <v>3019</v>
      </c>
      <c r="D346" s="1">
        <v>45686</v>
      </c>
      <c r="E346" t="s">
        <v>156</v>
      </c>
      <c r="F346" t="s">
        <v>238</v>
      </c>
      <c r="G346" t="s">
        <v>83</v>
      </c>
      <c r="H346" t="s">
        <v>29</v>
      </c>
      <c r="I346" t="s">
        <v>15</v>
      </c>
      <c r="J346" t="s">
        <v>55</v>
      </c>
      <c r="K346" t="s">
        <v>54</v>
      </c>
      <c r="L346" t="s">
        <v>88</v>
      </c>
      <c r="M346" t="s">
        <v>53</v>
      </c>
      <c r="N346" t="s">
        <v>10</v>
      </c>
      <c r="O346" t="s">
        <v>9</v>
      </c>
      <c r="P346" t="s">
        <v>25</v>
      </c>
      <c r="Q346" t="s">
        <v>100</v>
      </c>
      <c r="R346" t="s">
        <v>6</v>
      </c>
      <c r="S346">
        <v>7</v>
      </c>
      <c r="T346">
        <v>7</v>
      </c>
      <c r="U346">
        <v>172</v>
      </c>
      <c r="V346" t="s">
        <v>0</v>
      </c>
      <c r="W346" t="s">
        <v>5</v>
      </c>
      <c r="X346" t="s">
        <v>0</v>
      </c>
      <c r="Y346" t="s">
        <v>4</v>
      </c>
      <c r="Z346" t="s">
        <v>5</v>
      </c>
      <c r="AA346">
        <v>76.099999999999994</v>
      </c>
      <c r="AB346">
        <v>0</v>
      </c>
      <c r="AC346">
        <v>0.17</v>
      </c>
      <c r="AD346" t="s">
        <v>3</v>
      </c>
      <c r="AE346" t="s">
        <v>0</v>
      </c>
      <c r="AF346" t="s">
        <v>3</v>
      </c>
      <c r="AG346" t="s">
        <v>2</v>
      </c>
      <c r="AI346" t="s">
        <v>23</v>
      </c>
      <c r="AJ346">
        <v>4</v>
      </c>
      <c r="AK346">
        <v>12</v>
      </c>
      <c r="AL346">
        <v>51</v>
      </c>
      <c r="AM346" t="s">
        <v>5</v>
      </c>
      <c r="AN346">
        <v>1</v>
      </c>
      <c r="AO346">
        <v>1</v>
      </c>
      <c r="AP346">
        <v>0</v>
      </c>
      <c r="AQ346">
        <v>1</v>
      </c>
    </row>
    <row r="347" spans="1:43" x14ac:dyDescent="0.25">
      <c r="A347" t="s">
        <v>3018</v>
      </c>
      <c r="B347" t="s">
        <v>3017</v>
      </c>
      <c r="C347" t="s">
        <v>3016</v>
      </c>
      <c r="D347" s="1">
        <v>45700</v>
      </c>
      <c r="E347" t="s">
        <v>162</v>
      </c>
      <c r="F347" t="s">
        <v>161</v>
      </c>
      <c r="G347" t="s">
        <v>123</v>
      </c>
      <c r="H347" t="s">
        <v>16</v>
      </c>
      <c r="I347" t="s">
        <v>28</v>
      </c>
      <c r="J347" t="s">
        <v>14</v>
      </c>
      <c r="K347" t="s">
        <v>13</v>
      </c>
      <c r="L347" t="s">
        <v>117</v>
      </c>
      <c r="M347" t="s">
        <v>11</v>
      </c>
      <c r="N347" t="s">
        <v>75</v>
      </c>
      <c r="O347" t="s">
        <v>51</v>
      </c>
      <c r="P347" t="s">
        <v>39</v>
      </c>
      <c r="Q347" t="s">
        <v>24</v>
      </c>
      <c r="R347" t="s">
        <v>6</v>
      </c>
      <c r="S347">
        <v>6</v>
      </c>
      <c r="T347">
        <v>5</v>
      </c>
      <c r="U347">
        <v>308</v>
      </c>
      <c r="V347" t="s">
        <v>5</v>
      </c>
      <c r="W347" t="s">
        <v>135</v>
      </c>
      <c r="X347" t="s">
        <v>5</v>
      </c>
      <c r="Y347" t="s">
        <v>634</v>
      </c>
      <c r="Z347" t="s">
        <v>0</v>
      </c>
      <c r="AA347">
        <v>0</v>
      </c>
      <c r="AB347">
        <v>0</v>
      </c>
      <c r="AC347">
        <v>0</v>
      </c>
      <c r="AD347" t="s">
        <v>3</v>
      </c>
      <c r="AE347" t="s">
        <v>0</v>
      </c>
      <c r="AF347" t="s">
        <v>3</v>
      </c>
      <c r="AG347" t="s">
        <v>2</v>
      </c>
      <c r="AI347" t="s">
        <v>122</v>
      </c>
      <c r="AJ347">
        <v>1</v>
      </c>
      <c r="AK347">
        <v>-2</v>
      </c>
      <c r="AL347">
        <v>42</v>
      </c>
      <c r="AM347" t="s">
        <v>0</v>
      </c>
      <c r="AN347">
        <v>0</v>
      </c>
      <c r="AO347">
        <v>0</v>
      </c>
      <c r="AP347">
        <v>1</v>
      </c>
      <c r="AQ347">
        <v>0</v>
      </c>
    </row>
    <row r="348" spans="1:43" x14ac:dyDescent="0.25">
      <c r="A348" t="s">
        <v>3015</v>
      </c>
      <c r="B348" t="s">
        <v>3014</v>
      </c>
      <c r="C348" t="s">
        <v>3013</v>
      </c>
      <c r="D348" s="1">
        <v>45866</v>
      </c>
      <c r="E348" t="s">
        <v>125</v>
      </c>
      <c r="F348" t="s">
        <v>124</v>
      </c>
      <c r="G348" t="s">
        <v>123</v>
      </c>
      <c r="H348" t="s">
        <v>77</v>
      </c>
      <c r="I348" t="s">
        <v>28</v>
      </c>
      <c r="J348" t="s">
        <v>14</v>
      </c>
      <c r="K348" t="s">
        <v>13</v>
      </c>
      <c r="L348" t="s">
        <v>42</v>
      </c>
      <c r="M348" t="s">
        <v>53</v>
      </c>
      <c r="N348" t="s">
        <v>52</v>
      </c>
      <c r="O348" t="s">
        <v>40</v>
      </c>
      <c r="P348" t="s">
        <v>8</v>
      </c>
      <c r="Q348" t="s">
        <v>7</v>
      </c>
      <c r="R348" t="s">
        <v>6</v>
      </c>
      <c r="S348" t="s">
        <v>106</v>
      </c>
      <c r="T348">
        <v>8</v>
      </c>
      <c r="U348">
        <v>164</v>
      </c>
      <c r="V348" t="s">
        <v>247</v>
      </c>
      <c r="W348" t="s">
        <v>0</v>
      </c>
      <c r="X348" t="s">
        <v>0</v>
      </c>
      <c r="Y348" t="s">
        <v>4</v>
      </c>
      <c r="Z348" t="s">
        <v>5</v>
      </c>
      <c r="AA348">
        <v>373.34</v>
      </c>
      <c r="AB348">
        <v>2.31</v>
      </c>
      <c r="AC348">
        <v>0.17</v>
      </c>
      <c r="AD348" t="s">
        <v>3</v>
      </c>
      <c r="AE348" t="s">
        <v>0</v>
      </c>
      <c r="AF348" t="s">
        <v>3</v>
      </c>
      <c r="AG348" t="s">
        <v>2</v>
      </c>
      <c r="AI348" t="s">
        <v>122</v>
      </c>
      <c r="AJ348">
        <v>3</v>
      </c>
      <c r="AK348">
        <v>30</v>
      </c>
      <c r="AL348">
        <v>42</v>
      </c>
      <c r="AM348" t="s">
        <v>5</v>
      </c>
      <c r="AN348">
        <v>0</v>
      </c>
      <c r="AO348">
        <v>1</v>
      </c>
      <c r="AP348">
        <v>0</v>
      </c>
      <c r="AQ348">
        <v>1</v>
      </c>
    </row>
    <row r="349" spans="1:43" x14ac:dyDescent="0.25">
      <c r="A349" t="s">
        <v>3012</v>
      </c>
      <c r="B349" t="s">
        <v>557</v>
      </c>
      <c r="C349" t="s">
        <v>3011</v>
      </c>
      <c r="D349" s="1">
        <v>45722</v>
      </c>
      <c r="E349" t="s">
        <v>19</v>
      </c>
      <c r="F349" t="s">
        <v>18</v>
      </c>
      <c r="G349" t="s">
        <v>56</v>
      </c>
      <c r="H349" t="s">
        <v>43</v>
      </c>
      <c r="I349" t="s">
        <v>963</v>
      </c>
      <c r="J349" t="s">
        <v>146</v>
      </c>
      <c r="K349" t="s">
        <v>145</v>
      </c>
      <c r="L349" t="s">
        <v>64</v>
      </c>
      <c r="M349" t="s">
        <v>11</v>
      </c>
      <c r="N349" t="s">
        <v>52</v>
      </c>
      <c r="O349" t="s">
        <v>193</v>
      </c>
      <c r="P349" t="s">
        <v>39</v>
      </c>
      <c r="Q349" t="s">
        <v>50</v>
      </c>
      <c r="R349" t="s">
        <v>6</v>
      </c>
      <c r="S349" t="s">
        <v>232</v>
      </c>
      <c r="T349">
        <v>9</v>
      </c>
      <c r="U349">
        <v>266</v>
      </c>
      <c r="V349" t="s">
        <v>0</v>
      </c>
      <c r="W349" t="s">
        <v>0</v>
      </c>
      <c r="X349" t="s">
        <v>5</v>
      </c>
      <c r="Y349" t="s">
        <v>475</v>
      </c>
      <c r="Z349" t="s">
        <v>0</v>
      </c>
      <c r="AA349">
        <v>0</v>
      </c>
      <c r="AB349">
        <v>0</v>
      </c>
      <c r="AC349">
        <v>0</v>
      </c>
      <c r="AD349" t="s">
        <v>3</v>
      </c>
      <c r="AE349" t="s">
        <v>0</v>
      </c>
      <c r="AF349" t="s">
        <v>3</v>
      </c>
      <c r="AG349" t="s">
        <v>2</v>
      </c>
      <c r="AI349" t="s">
        <v>23</v>
      </c>
      <c r="AJ349">
        <v>3</v>
      </c>
      <c r="AK349">
        <v>-14</v>
      </c>
      <c r="AL349">
        <v>28</v>
      </c>
      <c r="AM349" t="s">
        <v>5</v>
      </c>
      <c r="AN349">
        <v>0</v>
      </c>
      <c r="AO349">
        <v>0</v>
      </c>
      <c r="AP349">
        <v>1</v>
      </c>
      <c r="AQ349">
        <v>1</v>
      </c>
    </row>
    <row r="350" spans="1:43" x14ac:dyDescent="0.25">
      <c r="A350" t="s">
        <v>3010</v>
      </c>
      <c r="B350" t="s">
        <v>1040</v>
      </c>
      <c r="C350" t="s">
        <v>3009</v>
      </c>
      <c r="D350" s="1">
        <v>45942</v>
      </c>
      <c r="E350" t="s">
        <v>95</v>
      </c>
      <c r="F350" t="s">
        <v>270</v>
      </c>
      <c r="G350" t="s">
        <v>110</v>
      </c>
      <c r="H350" t="s">
        <v>77</v>
      </c>
      <c r="I350" t="s">
        <v>28</v>
      </c>
      <c r="J350" t="s">
        <v>14</v>
      </c>
      <c r="K350" t="s">
        <v>13</v>
      </c>
      <c r="L350" t="s">
        <v>42</v>
      </c>
      <c r="M350" t="s">
        <v>27</v>
      </c>
      <c r="N350" t="s">
        <v>75</v>
      </c>
      <c r="O350" t="s">
        <v>9</v>
      </c>
      <c r="P350" t="s">
        <v>8</v>
      </c>
      <c r="Q350" t="s">
        <v>50</v>
      </c>
      <c r="R350" t="s">
        <v>6</v>
      </c>
      <c r="S350" t="s">
        <v>242</v>
      </c>
      <c r="T350">
        <v>6</v>
      </c>
      <c r="U350">
        <v>281</v>
      </c>
      <c r="V350" t="s">
        <v>287</v>
      </c>
      <c r="W350" t="s">
        <v>0</v>
      </c>
      <c r="X350" t="s">
        <v>0</v>
      </c>
      <c r="Y350" t="s">
        <v>4</v>
      </c>
      <c r="Z350" t="s">
        <v>5</v>
      </c>
      <c r="AA350">
        <v>0</v>
      </c>
      <c r="AB350">
        <v>0</v>
      </c>
      <c r="AC350">
        <v>0.37</v>
      </c>
      <c r="AD350" t="s">
        <v>3</v>
      </c>
      <c r="AE350" t="s">
        <v>0</v>
      </c>
      <c r="AF350" t="s">
        <v>3</v>
      </c>
      <c r="AG350" t="s">
        <v>2</v>
      </c>
      <c r="AI350" t="s">
        <v>23</v>
      </c>
      <c r="AJ350">
        <v>2</v>
      </c>
      <c r="AK350">
        <v>-15</v>
      </c>
      <c r="AL350">
        <v>57</v>
      </c>
      <c r="AM350" t="s">
        <v>5</v>
      </c>
      <c r="AN350">
        <v>0</v>
      </c>
      <c r="AO350">
        <v>1</v>
      </c>
      <c r="AP350">
        <v>0</v>
      </c>
      <c r="AQ350">
        <v>1</v>
      </c>
    </row>
    <row r="351" spans="1:43" x14ac:dyDescent="0.25">
      <c r="A351" t="s">
        <v>3008</v>
      </c>
      <c r="B351" t="s">
        <v>1739</v>
      </c>
      <c r="C351" t="s">
        <v>3007</v>
      </c>
      <c r="D351" s="1">
        <v>46023</v>
      </c>
      <c r="E351" t="s">
        <v>95</v>
      </c>
      <c r="F351" t="s">
        <v>338</v>
      </c>
      <c r="G351" t="s">
        <v>123</v>
      </c>
      <c r="H351" t="s">
        <v>16</v>
      </c>
      <c r="I351" t="s">
        <v>28</v>
      </c>
      <c r="J351" t="s">
        <v>55</v>
      </c>
      <c r="K351" t="s">
        <v>54</v>
      </c>
      <c r="L351" t="s">
        <v>117</v>
      </c>
      <c r="M351" t="s">
        <v>11</v>
      </c>
      <c r="N351" t="s">
        <v>154</v>
      </c>
      <c r="O351" t="s">
        <v>9</v>
      </c>
      <c r="P351" t="s">
        <v>25</v>
      </c>
      <c r="Q351" t="s">
        <v>7</v>
      </c>
      <c r="R351" t="s">
        <v>6</v>
      </c>
      <c r="S351">
        <v>7</v>
      </c>
      <c r="T351">
        <v>6</v>
      </c>
      <c r="U351">
        <v>348</v>
      </c>
      <c r="V351" t="s">
        <v>5</v>
      </c>
      <c r="W351" t="s">
        <v>0</v>
      </c>
      <c r="X351" t="s">
        <v>0</v>
      </c>
      <c r="Y351" t="s">
        <v>4</v>
      </c>
      <c r="Z351" t="s">
        <v>5</v>
      </c>
      <c r="AA351">
        <v>30.26</v>
      </c>
      <c r="AB351">
        <v>0</v>
      </c>
      <c r="AC351">
        <v>0</v>
      </c>
      <c r="AD351" t="s">
        <v>3</v>
      </c>
      <c r="AE351" t="s">
        <v>0</v>
      </c>
      <c r="AF351" t="s">
        <v>3</v>
      </c>
      <c r="AG351" t="s">
        <v>2</v>
      </c>
      <c r="AI351" t="s">
        <v>129</v>
      </c>
      <c r="AJ351">
        <v>2</v>
      </c>
      <c r="AK351">
        <v>-52</v>
      </c>
      <c r="AL351">
        <v>58</v>
      </c>
      <c r="AM351" t="s">
        <v>0</v>
      </c>
      <c r="AN351">
        <v>0</v>
      </c>
      <c r="AO351">
        <v>1</v>
      </c>
      <c r="AP351">
        <v>0</v>
      </c>
      <c r="AQ351">
        <v>0</v>
      </c>
    </row>
    <row r="352" spans="1:43" x14ac:dyDescent="0.25">
      <c r="A352" t="s">
        <v>3006</v>
      </c>
      <c r="B352" t="s">
        <v>2623</v>
      </c>
      <c r="C352" t="s">
        <v>3005</v>
      </c>
      <c r="D352" s="1">
        <v>45757</v>
      </c>
      <c r="E352" t="s">
        <v>79</v>
      </c>
      <c r="F352" t="s">
        <v>102</v>
      </c>
      <c r="G352" t="s">
        <v>17</v>
      </c>
      <c r="H352" t="s">
        <v>29</v>
      </c>
      <c r="I352" t="s">
        <v>15</v>
      </c>
      <c r="J352" t="s">
        <v>55</v>
      </c>
      <c r="K352" t="s">
        <v>54</v>
      </c>
      <c r="L352" t="s">
        <v>64</v>
      </c>
      <c r="M352" t="s">
        <v>299</v>
      </c>
      <c r="N352" t="s">
        <v>10</v>
      </c>
      <c r="O352" t="s">
        <v>40</v>
      </c>
      <c r="P352" t="s">
        <v>39</v>
      </c>
      <c r="Q352" t="s">
        <v>100</v>
      </c>
      <c r="R352" t="s">
        <v>6</v>
      </c>
      <c r="S352">
        <v>8</v>
      </c>
      <c r="T352">
        <v>4</v>
      </c>
      <c r="U352">
        <v>252</v>
      </c>
      <c r="V352" t="s">
        <v>5</v>
      </c>
      <c r="W352" t="s">
        <v>5</v>
      </c>
      <c r="X352" t="s">
        <v>0</v>
      </c>
      <c r="Y352" t="s">
        <v>4</v>
      </c>
      <c r="Z352" t="s">
        <v>5</v>
      </c>
      <c r="AA352">
        <v>451.41</v>
      </c>
      <c r="AB352">
        <v>2.4700000000000002</v>
      </c>
      <c r="AC352">
        <v>0</v>
      </c>
      <c r="AD352" t="s">
        <v>3</v>
      </c>
      <c r="AE352" t="s">
        <v>0</v>
      </c>
      <c r="AF352" t="s">
        <v>3</v>
      </c>
      <c r="AG352" t="s">
        <v>2</v>
      </c>
      <c r="AI352" t="s">
        <v>23</v>
      </c>
      <c r="AJ352">
        <v>4</v>
      </c>
      <c r="AK352">
        <v>-38</v>
      </c>
      <c r="AL352">
        <v>22</v>
      </c>
      <c r="AM352" t="s">
        <v>5</v>
      </c>
      <c r="AN352">
        <v>1</v>
      </c>
      <c r="AO352">
        <v>1</v>
      </c>
      <c r="AP352">
        <v>0</v>
      </c>
      <c r="AQ352">
        <v>1</v>
      </c>
    </row>
    <row r="353" spans="1:43" x14ac:dyDescent="0.25">
      <c r="A353" t="s">
        <v>3004</v>
      </c>
      <c r="B353" t="s">
        <v>918</v>
      </c>
      <c r="C353" t="s">
        <v>3003</v>
      </c>
      <c r="D353" s="1">
        <v>46022</v>
      </c>
      <c r="E353" t="s">
        <v>125</v>
      </c>
      <c r="F353" t="s">
        <v>140</v>
      </c>
      <c r="G353" t="s">
        <v>56</v>
      </c>
      <c r="H353" t="s">
        <v>16</v>
      </c>
      <c r="I353" t="s">
        <v>15</v>
      </c>
      <c r="J353" t="s">
        <v>55</v>
      </c>
      <c r="K353" t="s">
        <v>54</v>
      </c>
      <c r="L353" t="s">
        <v>88</v>
      </c>
      <c r="M353" t="s">
        <v>11</v>
      </c>
      <c r="N353" t="s">
        <v>75</v>
      </c>
      <c r="O353" t="s">
        <v>101</v>
      </c>
      <c r="P353" t="s">
        <v>39</v>
      </c>
      <c r="Q353" t="s">
        <v>7</v>
      </c>
      <c r="R353" t="s">
        <v>6</v>
      </c>
      <c r="S353">
        <v>4</v>
      </c>
      <c r="T353">
        <v>3</v>
      </c>
      <c r="U353">
        <v>211</v>
      </c>
      <c r="V353" t="s">
        <v>5</v>
      </c>
      <c r="W353" t="s">
        <v>5</v>
      </c>
      <c r="X353" t="s">
        <v>0</v>
      </c>
      <c r="Y353" t="s">
        <v>4</v>
      </c>
      <c r="Z353" t="s">
        <v>5</v>
      </c>
      <c r="AA353">
        <v>101.21</v>
      </c>
      <c r="AB353">
        <v>0.54</v>
      </c>
      <c r="AC353">
        <v>0</v>
      </c>
      <c r="AD353" t="s">
        <v>3</v>
      </c>
      <c r="AE353" t="s">
        <v>0</v>
      </c>
      <c r="AF353" t="s">
        <v>3</v>
      </c>
      <c r="AG353" t="s">
        <v>2</v>
      </c>
      <c r="AI353" t="s">
        <v>23</v>
      </c>
      <c r="AJ353">
        <v>3</v>
      </c>
      <c r="AK353">
        <v>22</v>
      </c>
      <c r="AL353">
        <v>14</v>
      </c>
      <c r="AM353" t="s">
        <v>5</v>
      </c>
      <c r="AN353">
        <v>1</v>
      </c>
      <c r="AO353">
        <v>1</v>
      </c>
      <c r="AP353">
        <v>0</v>
      </c>
      <c r="AQ353">
        <v>1</v>
      </c>
    </row>
    <row r="354" spans="1:43" x14ac:dyDescent="0.25">
      <c r="A354" t="s">
        <v>3002</v>
      </c>
      <c r="B354" t="s">
        <v>179</v>
      </c>
      <c r="C354" t="s">
        <v>3001</v>
      </c>
      <c r="D354" s="1">
        <v>45953</v>
      </c>
      <c r="E354" t="s">
        <v>156</v>
      </c>
      <c r="F354" t="s">
        <v>238</v>
      </c>
      <c r="G354" t="s">
        <v>30</v>
      </c>
      <c r="H354" t="s">
        <v>16</v>
      </c>
      <c r="I354" t="s">
        <v>15</v>
      </c>
      <c r="J354" t="s">
        <v>55</v>
      </c>
      <c r="K354" t="s">
        <v>54</v>
      </c>
      <c r="L354" t="s">
        <v>42</v>
      </c>
      <c r="M354" t="s">
        <v>11</v>
      </c>
      <c r="N354" t="s">
        <v>116</v>
      </c>
      <c r="O354" t="s">
        <v>130</v>
      </c>
      <c r="P354" t="s">
        <v>63</v>
      </c>
      <c r="Q354" t="s">
        <v>7</v>
      </c>
      <c r="R354" t="s">
        <v>6</v>
      </c>
      <c r="S354">
        <v>5</v>
      </c>
      <c r="T354">
        <v>5</v>
      </c>
      <c r="U354">
        <v>158</v>
      </c>
      <c r="V354" t="s">
        <v>0</v>
      </c>
      <c r="W354" t="s">
        <v>287</v>
      </c>
      <c r="X354" t="s">
        <v>0</v>
      </c>
      <c r="Y354" t="s">
        <v>4</v>
      </c>
      <c r="Z354" t="s">
        <v>5</v>
      </c>
      <c r="AA354">
        <v>152.24</v>
      </c>
      <c r="AB354">
        <v>0</v>
      </c>
      <c r="AC354">
        <v>0</v>
      </c>
      <c r="AD354" t="s">
        <v>3</v>
      </c>
      <c r="AE354" t="s">
        <v>0</v>
      </c>
      <c r="AF354" t="s">
        <v>3</v>
      </c>
      <c r="AG354" t="s">
        <v>2</v>
      </c>
      <c r="AI354" t="s">
        <v>23</v>
      </c>
      <c r="AJ354">
        <v>4</v>
      </c>
      <c r="AK354">
        <v>48</v>
      </c>
      <c r="AL354">
        <v>0</v>
      </c>
      <c r="AM354" t="s">
        <v>5</v>
      </c>
      <c r="AN354">
        <v>1</v>
      </c>
      <c r="AO354">
        <v>1</v>
      </c>
      <c r="AP354">
        <v>0</v>
      </c>
      <c r="AQ354">
        <v>1</v>
      </c>
    </row>
    <row r="355" spans="1:43" x14ac:dyDescent="0.25">
      <c r="A355" t="s">
        <v>3000</v>
      </c>
      <c r="B355" t="s">
        <v>870</v>
      </c>
      <c r="C355" t="s">
        <v>2999</v>
      </c>
      <c r="D355" s="1">
        <v>45715</v>
      </c>
      <c r="E355" t="s">
        <v>32</v>
      </c>
      <c r="F355" t="s">
        <v>356</v>
      </c>
      <c r="G355" t="s">
        <v>247</v>
      </c>
      <c r="H355" t="s">
        <v>16</v>
      </c>
      <c r="I355" t="s">
        <v>28</v>
      </c>
      <c r="J355" t="s">
        <v>146</v>
      </c>
      <c r="K355" t="s">
        <v>145</v>
      </c>
      <c r="L355" t="s">
        <v>88</v>
      </c>
      <c r="M355" t="s">
        <v>53</v>
      </c>
      <c r="N355" t="s">
        <v>93</v>
      </c>
      <c r="O355" t="s">
        <v>199</v>
      </c>
      <c r="P355" t="s">
        <v>63</v>
      </c>
      <c r="Q355" t="s">
        <v>7</v>
      </c>
      <c r="R355" t="s">
        <v>6</v>
      </c>
      <c r="S355">
        <v>5</v>
      </c>
      <c r="T355">
        <v>5</v>
      </c>
      <c r="U355">
        <v>126</v>
      </c>
      <c r="V355" t="s">
        <v>0</v>
      </c>
      <c r="W355" t="s">
        <v>5</v>
      </c>
      <c r="X355" t="s">
        <v>0</v>
      </c>
      <c r="Y355" t="s">
        <v>4</v>
      </c>
      <c r="Z355" t="s">
        <v>5</v>
      </c>
      <c r="AA355">
        <v>0.6</v>
      </c>
      <c r="AB355">
        <v>0</v>
      </c>
      <c r="AC355">
        <v>0.17</v>
      </c>
      <c r="AD355" t="s">
        <v>3</v>
      </c>
      <c r="AE355" t="s">
        <v>0</v>
      </c>
      <c r="AF355" t="s">
        <v>3</v>
      </c>
      <c r="AG355" t="s">
        <v>2</v>
      </c>
      <c r="AI355" t="s">
        <v>23</v>
      </c>
      <c r="AJ355">
        <v>4</v>
      </c>
      <c r="AK355">
        <v>46</v>
      </c>
      <c r="AL355">
        <v>0</v>
      </c>
      <c r="AM355" t="s">
        <v>0</v>
      </c>
      <c r="AN355">
        <v>1</v>
      </c>
      <c r="AO355">
        <v>1</v>
      </c>
      <c r="AP355">
        <v>0</v>
      </c>
      <c r="AQ355">
        <v>0</v>
      </c>
    </row>
    <row r="356" spans="1:43" x14ac:dyDescent="0.25">
      <c r="A356" t="s">
        <v>2998</v>
      </c>
      <c r="B356" t="s">
        <v>380</v>
      </c>
      <c r="C356" t="s">
        <v>2997</v>
      </c>
      <c r="D356" s="1">
        <v>45962</v>
      </c>
      <c r="E356" t="s">
        <v>162</v>
      </c>
      <c r="F356" t="s">
        <v>200</v>
      </c>
      <c r="G356" t="s">
        <v>17</v>
      </c>
      <c r="H356" t="s">
        <v>43</v>
      </c>
      <c r="I356" t="s">
        <v>28</v>
      </c>
      <c r="J356" t="s">
        <v>55</v>
      </c>
      <c r="K356" t="s">
        <v>54</v>
      </c>
      <c r="L356" t="s">
        <v>42</v>
      </c>
      <c r="M356" t="s">
        <v>11</v>
      </c>
      <c r="N356" t="s">
        <v>75</v>
      </c>
      <c r="O356" t="s">
        <v>247</v>
      </c>
      <c r="P356" t="s">
        <v>39</v>
      </c>
      <c r="Q356" t="s">
        <v>7</v>
      </c>
      <c r="R356" t="s">
        <v>6</v>
      </c>
      <c r="S356">
        <v>4</v>
      </c>
      <c r="T356">
        <v>4</v>
      </c>
      <c r="U356">
        <v>164</v>
      </c>
      <c r="V356" t="s">
        <v>0</v>
      </c>
      <c r="W356" t="s">
        <v>5</v>
      </c>
      <c r="X356" t="s">
        <v>5</v>
      </c>
      <c r="Y356" t="s">
        <v>355</v>
      </c>
      <c r="Z356" t="s">
        <v>5</v>
      </c>
      <c r="AA356">
        <v>121.04</v>
      </c>
      <c r="AB356">
        <v>0.21</v>
      </c>
      <c r="AC356">
        <v>0</v>
      </c>
      <c r="AD356" t="s">
        <v>1399</v>
      </c>
      <c r="AE356" t="s">
        <v>5</v>
      </c>
      <c r="AF356" t="s">
        <v>1399</v>
      </c>
      <c r="AG356" t="s">
        <v>36</v>
      </c>
      <c r="AH356">
        <v>26</v>
      </c>
      <c r="AI356" t="s">
        <v>23</v>
      </c>
      <c r="AJ356">
        <v>4</v>
      </c>
      <c r="AK356">
        <v>12</v>
      </c>
      <c r="AL356">
        <v>23</v>
      </c>
      <c r="AM356" t="s">
        <v>0</v>
      </c>
      <c r="AN356">
        <v>1</v>
      </c>
      <c r="AO356">
        <v>1</v>
      </c>
      <c r="AP356">
        <v>1</v>
      </c>
      <c r="AQ356">
        <v>0</v>
      </c>
    </row>
    <row r="357" spans="1:43" x14ac:dyDescent="0.25">
      <c r="A357" t="s">
        <v>2996</v>
      </c>
      <c r="B357" t="s">
        <v>2995</v>
      </c>
      <c r="C357" t="s">
        <v>2994</v>
      </c>
      <c r="D357" s="1">
        <v>45670</v>
      </c>
      <c r="E357" t="s">
        <v>125</v>
      </c>
      <c r="F357" t="s">
        <v>124</v>
      </c>
      <c r="G357" t="s">
        <v>56</v>
      </c>
      <c r="H357" t="s">
        <v>237</v>
      </c>
      <c r="I357" t="s">
        <v>28</v>
      </c>
      <c r="J357" t="s">
        <v>55</v>
      </c>
      <c r="K357" t="s">
        <v>54</v>
      </c>
      <c r="L357" t="s">
        <v>64</v>
      </c>
      <c r="M357" t="s">
        <v>11</v>
      </c>
      <c r="N357" t="s">
        <v>269</v>
      </c>
      <c r="O357" t="s">
        <v>40</v>
      </c>
      <c r="P357" t="s">
        <v>39</v>
      </c>
      <c r="Q357" t="s">
        <v>24</v>
      </c>
      <c r="R357" t="s">
        <v>6</v>
      </c>
      <c r="S357">
        <v>8</v>
      </c>
      <c r="T357">
        <v>5</v>
      </c>
      <c r="U357">
        <v>211</v>
      </c>
      <c r="V357" t="s">
        <v>5</v>
      </c>
      <c r="W357" t="s">
        <v>0</v>
      </c>
      <c r="X357" t="s">
        <v>0</v>
      </c>
      <c r="Y357" t="s">
        <v>4</v>
      </c>
      <c r="Z357" t="s">
        <v>0</v>
      </c>
      <c r="AA357">
        <v>0</v>
      </c>
      <c r="AB357">
        <v>0</v>
      </c>
      <c r="AC357">
        <v>0</v>
      </c>
      <c r="AD357" t="s">
        <v>3</v>
      </c>
      <c r="AE357" t="s">
        <v>0</v>
      </c>
      <c r="AF357" t="s">
        <v>3</v>
      </c>
      <c r="AG357" t="s">
        <v>2</v>
      </c>
      <c r="AI357" t="s">
        <v>191</v>
      </c>
      <c r="AJ357">
        <v>3</v>
      </c>
      <c r="AK357">
        <v>-10</v>
      </c>
      <c r="AL357">
        <v>1</v>
      </c>
      <c r="AM357" t="s">
        <v>0</v>
      </c>
      <c r="AN357">
        <v>0</v>
      </c>
      <c r="AO357">
        <v>0</v>
      </c>
      <c r="AP357">
        <v>0</v>
      </c>
      <c r="AQ357">
        <v>0</v>
      </c>
    </row>
    <row r="358" spans="1:43" x14ac:dyDescent="0.25">
      <c r="A358" t="s">
        <v>2993</v>
      </c>
      <c r="B358" t="s">
        <v>2992</v>
      </c>
      <c r="C358" t="s">
        <v>2991</v>
      </c>
      <c r="D358" s="1">
        <v>45973</v>
      </c>
      <c r="E358" t="s">
        <v>68</v>
      </c>
      <c r="F358" t="s">
        <v>243</v>
      </c>
      <c r="G358" t="s">
        <v>131</v>
      </c>
      <c r="H358" t="s">
        <v>43</v>
      </c>
      <c r="I358" t="s">
        <v>15</v>
      </c>
      <c r="J358" t="s">
        <v>55</v>
      </c>
      <c r="K358" t="s">
        <v>54</v>
      </c>
      <c r="L358" t="s">
        <v>42</v>
      </c>
      <c r="M358" t="s">
        <v>53</v>
      </c>
      <c r="N358" t="s">
        <v>93</v>
      </c>
      <c r="O358" t="s">
        <v>130</v>
      </c>
      <c r="P358" t="s">
        <v>39</v>
      </c>
      <c r="Q358" t="s">
        <v>24</v>
      </c>
      <c r="R358" t="s">
        <v>38</v>
      </c>
      <c r="S358">
        <v>5</v>
      </c>
      <c r="T358">
        <v>5</v>
      </c>
      <c r="U358">
        <v>136</v>
      </c>
      <c r="V358" t="s">
        <v>0</v>
      </c>
      <c r="W358" t="s">
        <v>5</v>
      </c>
      <c r="X358" t="s">
        <v>0</v>
      </c>
      <c r="Y358" t="s">
        <v>4</v>
      </c>
      <c r="Z358" t="s">
        <v>5</v>
      </c>
      <c r="AA358">
        <v>48.21</v>
      </c>
      <c r="AB358">
        <v>0</v>
      </c>
      <c r="AC358">
        <v>0.17</v>
      </c>
      <c r="AD358" t="s">
        <v>3</v>
      </c>
      <c r="AE358" t="s">
        <v>0</v>
      </c>
      <c r="AF358" t="s">
        <v>3</v>
      </c>
      <c r="AG358" t="s">
        <v>2</v>
      </c>
      <c r="AI358" t="s">
        <v>23</v>
      </c>
      <c r="AJ358">
        <v>5</v>
      </c>
      <c r="AK358">
        <v>47</v>
      </c>
      <c r="AL358">
        <v>56</v>
      </c>
      <c r="AM358" t="s">
        <v>5</v>
      </c>
      <c r="AN358">
        <v>1</v>
      </c>
      <c r="AO358">
        <v>1</v>
      </c>
      <c r="AP358">
        <v>0</v>
      </c>
      <c r="AQ358">
        <v>1</v>
      </c>
    </row>
    <row r="359" spans="1:43" x14ac:dyDescent="0.25">
      <c r="A359" t="s">
        <v>2990</v>
      </c>
      <c r="B359" t="s">
        <v>2989</v>
      </c>
      <c r="C359" t="s">
        <v>2988</v>
      </c>
      <c r="D359" s="1">
        <v>45729</v>
      </c>
      <c r="E359" t="s">
        <v>112</v>
      </c>
      <c r="F359" t="s">
        <v>360</v>
      </c>
      <c r="G359" t="s">
        <v>56</v>
      </c>
      <c r="H359" t="s">
        <v>77</v>
      </c>
      <c r="I359" t="s">
        <v>15</v>
      </c>
      <c r="J359" t="s">
        <v>14</v>
      </c>
      <c r="K359" t="s">
        <v>13</v>
      </c>
      <c r="L359" t="s">
        <v>64</v>
      </c>
      <c r="M359" t="s">
        <v>53</v>
      </c>
      <c r="N359" t="s">
        <v>154</v>
      </c>
      <c r="O359" t="s">
        <v>26</v>
      </c>
      <c r="P359" t="s">
        <v>39</v>
      </c>
      <c r="Q359" t="s">
        <v>7</v>
      </c>
      <c r="R359" t="s">
        <v>6</v>
      </c>
      <c r="S359">
        <v>4</v>
      </c>
      <c r="T359">
        <v>4</v>
      </c>
      <c r="U359">
        <v>89</v>
      </c>
      <c r="V359" t="s">
        <v>0</v>
      </c>
      <c r="W359" t="s">
        <v>5</v>
      </c>
      <c r="X359" t="s">
        <v>0</v>
      </c>
      <c r="Y359" t="s">
        <v>4</v>
      </c>
      <c r="Z359" t="s">
        <v>5</v>
      </c>
      <c r="AA359">
        <v>95.21</v>
      </c>
      <c r="AB359">
        <v>0.23</v>
      </c>
      <c r="AC359">
        <v>0.17</v>
      </c>
      <c r="AD359" t="s">
        <v>3</v>
      </c>
      <c r="AE359" t="s">
        <v>0</v>
      </c>
      <c r="AF359" t="s">
        <v>3</v>
      </c>
      <c r="AG359" t="s">
        <v>2</v>
      </c>
      <c r="AI359" t="s">
        <v>23</v>
      </c>
      <c r="AJ359">
        <v>4</v>
      </c>
      <c r="AK359">
        <v>26</v>
      </c>
      <c r="AL359">
        <v>19</v>
      </c>
      <c r="AM359" t="s">
        <v>5</v>
      </c>
      <c r="AN359">
        <v>1</v>
      </c>
      <c r="AO359">
        <v>1</v>
      </c>
      <c r="AP359">
        <v>0</v>
      </c>
      <c r="AQ359">
        <v>1</v>
      </c>
    </row>
    <row r="360" spans="1:43" x14ac:dyDescent="0.25">
      <c r="A360" t="s">
        <v>2987</v>
      </c>
      <c r="B360" t="s">
        <v>2986</v>
      </c>
      <c r="C360" t="s">
        <v>2985</v>
      </c>
      <c r="D360" s="1">
        <v>46006</v>
      </c>
      <c r="E360" t="s">
        <v>79</v>
      </c>
      <c r="F360" t="s">
        <v>102</v>
      </c>
      <c r="G360" t="s">
        <v>83</v>
      </c>
      <c r="H360" t="s">
        <v>77</v>
      </c>
      <c r="I360" t="s">
        <v>28</v>
      </c>
      <c r="J360" t="s">
        <v>55</v>
      </c>
      <c r="K360" t="s">
        <v>54</v>
      </c>
      <c r="L360" t="s">
        <v>42</v>
      </c>
      <c r="M360" t="s">
        <v>11</v>
      </c>
      <c r="N360" t="s">
        <v>154</v>
      </c>
      <c r="O360" t="s">
        <v>199</v>
      </c>
      <c r="P360" t="s">
        <v>8</v>
      </c>
      <c r="Q360" t="s">
        <v>24</v>
      </c>
      <c r="R360" t="s">
        <v>6</v>
      </c>
      <c r="S360">
        <v>5</v>
      </c>
      <c r="T360">
        <v>5</v>
      </c>
      <c r="U360">
        <v>180</v>
      </c>
      <c r="V360" t="s">
        <v>0</v>
      </c>
      <c r="W360" t="s">
        <v>5</v>
      </c>
      <c r="X360" t="s">
        <v>5</v>
      </c>
      <c r="Y360" t="s">
        <v>282</v>
      </c>
      <c r="Z360" t="s">
        <v>5</v>
      </c>
      <c r="AA360">
        <v>46.88</v>
      </c>
      <c r="AB360">
        <v>0</v>
      </c>
      <c r="AC360">
        <v>0</v>
      </c>
      <c r="AD360" t="s">
        <v>61</v>
      </c>
      <c r="AE360" t="s">
        <v>5</v>
      </c>
      <c r="AF360" t="s">
        <v>61</v>
      </c>
      <c r="AG360" t="s">
        <v>36</v>
      </c>
      <c r="AH360">
        <v>50</v>
      </c>
      <c r="AI360" t="s">
        <v>23</v>
      </c>
      <c r="AJ360">
        <v>3</v>
      </c>
      <c r="AK360">
        <v>-14</v>
      </c>
      <c r="AL360">
        <v>57</v>
      </c>
      <c r="AM360" t="s">
        <v>5</v>
      </c>
      <c r="AN360">
        <v>1</v>
      </c>
      <c r="AO360">
        <v>1</v>
      </c>
      <c r="AP360">
        <v>1</v>
      </c>
      <c r="AQ360">
        <v>1</v>
      </c>
    </row>
    <row r="361" spans="1:43" x14ac:dyDescent="0.25">
      <c r="A361" t="s">
        <v>2984</v>
      </c>
      <c r="B361" t="s">
        <v>2983</v>
      </c>
      <c r="C361" t="s">
        <v>2982</v>
      </c>
      <c r="D361" s="1">
        <v>45761</v>
      </c>
      <c r="E361" t="s">
        <v>168</v>
      </c>
      <c r="F361" t="s">
        <v>233</v>
      </c>
      <c r="G361" t="s">
        <v>17</v>
      </c>
      <c r="H361" t="s">
        <v>77</v>
      </c>
      <c r="I361" t="s">
        <v>15</v>
      </c>
      <c r="J361" t="s">
        <v>146</v>
      </c>
      <c r="K361" t="s">
        <v>176</v>
      </c>
      <c r="L361" t="s">
        <v>64</v>
      </c>
      <c r="M361" t="s">
        <v>11</v>
      </c>
      <c r="N361" t="s">
        <v>93</v>
      </c>
      <c r="O361" t="s">
        <v>40</v>
      </c>
      <c r="P361" t="s">
        <v>8</v>
      </c>
      <c r="Q361" t="s">
        <v>7</v>
      </c>
      <c r="R361" t="s">
        <v>6</v>
      </c>
      <c r="S361">
        <v>8</v>
      </c>
      <c r="T361">
        <v>7</v>
      </c>
      <c r="U361">
        <v>235</v>
      </c>
      <c r="V361" t="s">
        <v>5</v>
      </c>
      <c r="W361" t="s">
        <v>0</v>
      </c>
      <c r="X361" t="s">
        <v>0</v>
      </c>
      <c r="Y361" t="s">
        <v>4</v>
      </c>
      <c r="Z361" t="s">
        <v>0</v>
      </c>
      <c r="AA361">
        <v>0</v>
      </c>
      <c r="AB361">
        <v>0</v>
      </c>
      <c r="AC361">
        <v>0</v>
      </c>
      <c r="AD361" t="s">
        <v>3</v>
      </c>
      <c r="AE361" t="s">
        <v>0</v>
      </c>
      <c r="AF361" t="s">
        <v>3</v>
      </c>
      <c r="AG361" t="s">
        <v>2</v>
      </c>
      <c r="AI361" t="s">
        <v>129</v>
      </c>
      <c r="AJ361">
        <v>1</v>
      </c>
      <c r="AK361">
        <v>-9</v>
      </c>
      <c r="AL361">
        <v>1</v>
      </c>
      <c r="AM361" t="s">
        <v>0</v>
      </c>
      <c r="AN361">
        <v>0</v>
      </c>
      <c r="AO361">
        <v>0</v>
      </c>
      <c r="AP361">
        <v>0</v>
      </c>
      <c r="AQ361">
        <v>0</v>
      </c>
    </row>
    <row r="362" spans="1:43" x14ac:dyDescent="0.25">
      <c r="A362" t="s">
        <v>2981</v>
      </c>
      <c r="B362" t="s">
        <v>519</v>
      </c>
      <c r="C362" t="s">
        <v>2980</v>
      </c>
      <c r="D362" s="1">
        <v>45741</v>
      </c>
      <c r="E362" t="s">
        <v>125</v>
      </c>
      <c r="F362" t="s">
        <v>140</v>
      </c>
      <c r="G362" t="s">
        <v>123</v>
      </c>
      <c r="H362" t="s">
        <v>77</v>
      </c>
      <c r="I362" t="s">
        <v>28</v>
      </c>
      <c r="J362" t="s">
        <v>55</v>
      </c>
      <c r="K362" t="s">
        <v>54</v>
      </c>
      <c r="L362" t="s">
        <v>64</v>
      </c>
      <c r="M362" t="s">
        <v>11</v>
      </c>
      <c r="N362" t="s">
        <v>93</v>
      </c>
      <c r="O362" t="s">
        <v>40</v>
      </c>
      <c r="P362" t="s">
        <v>8</v>
      </c>
      <c r="Q362" t="s">
        <v>7</v>
      </c>
      <c r="R362" t="s">
        <v>6</v>
      </c>
      <c r="S362">
        <v>8</v>
      </c>
      <c r="T362">
        <v>8</v>
      </c>
      <c r="U362">
        <v>239</v>
      </c>
      <c r="V362" t="s">
        <v>0</v>
      </c>
      <c r="W362" t="s">
        <v>5</v>
      </c>
      <c r="X362" t="s">
        <v>0</v>
      </c>
      <c r="Y362" t="s">
        <v>4</v>
      </c>
      <c r="Z362" t="s">
        <v>5</v>
      </c>
      <c r="AA362">
        <v>440.34</v>
      </c>
      <c r="AB362">
        <v>2.4700000000000002</v>
      </c>
      <c r="AC362">
        <v>0</v>
      </c>
      <c r="AD362" t="s">
        <v>37</v>
      </c>
      <c r="AE362" t="s">
        <v>5</v>
      </c>
      <c r="AF362" t="s">
        <v>37</v>
      </c>
      <c r="AG362" t="s">
        <v>139</v>
      </c>
      <c r="AH362">
        <v>48</v>
      </c>
      <c r="AI362" t="s">
        <v>23</v>
      </c>
      <c r="AJ362">
        <v>3</v>
      </c>
      <c r="AK362">
        <v>11</v>
      </c>
      <c r="AL362">
        <v>11</v>
      </c>
      <c r="AM362" t="s">
        <v>5</v>
      </c>
      <c r="AN362">
        <v>1</v>
      </c>
      <c r="AO362">
        <v>1</v>
      </c>
      <c r="AP362">
        <v>0</v>
      </c>
      <c r="AQ362">
        <v>1</v>
      </c>
    </row>
    <row r="363" spans="1:43" x14ac:dyDescent="0.25">
      <c r="A363" t="s">
        <v>2979</v>
      </c>
      <c r="B363" t="s">
        <v>1070</v>
      </c>
      <c r="C363" t="s">
        <v>2978</v>
      </c>
      <c r="D363" s="1">
        <v>46011</v>
      </c>
      <c r="E363" t="s">
        <v>156</v>
      </c>
      <c r="F363" t="s">
        <v>325</v>
      </c>
      <c r="G363" t="s">
        <v>56</v>
      </c>
      <c r="H363" t="s">
        <v>77</v>
      </c>
      <c r="I363" t="s">
        <v>28</v>
      </c>
      <c r="J363" t="s">
        <v>55</v>
      </c>
      <c r="K363" t="s">
        <v>54</v>
      </c>
      <c r="L363" t="s">
        <v>117</v>
      </c>
      <c r="M363" t="s">
        <v>27</v>
      </c>
      <c r="N363" t="s">
        <v>41</v>
      </c>
      <c r="O363" t="s">
        <v>9</v>
      </c>
      <c r="P363" t="s">
        <v>63</v>
      </c>
      <c r="Q363" t="s">
        <v>7</v>
      </c>
      <c r="R363" t="s">
        <v>6</v>
      </c>
      <c r="S363">
        <v>7</v>
      </c>
      <c r="T363">
        <v>7</v>
      </c>
      <c r="U363">
        <v>183</v>
      </c>
      <c r="V363" t="s">
        <v>0</v>
      </c>
      <c r="W363" t="s">
        <v>5</v>
      </c>
      <c r="X363" t="s">
        <v>0</v>
      </c>
      <c r="Y363" t="s">
        <v>4</v>
      </c>
      <c r="Z363" t="s">
        <v>5</v>
      </c>
      <c r="AA363">
        <v>29.16</v>
      </c>
      <c r="AB363">
        <v>0</v>
      </c>
      <c r="AC363">
        <v>0.37</v>
      </c>
      <c r="AD363" t="s">
        <v>3</v>
      </c>
      <c r="AE363" t="s">
        <v>0</v>
      </c>
      <c r="AF363" t="s">
        <v>3</v>
      </c>
      <c r="AG363" t="s">
        <v>2</v>
      </c>
      <c r="AI363" t="s">
        <v>23</v>
      </c>
      <c r="AJ363">
        <v>3</v>
      </c>
      <c r="AK363">
        <v>2</v>
      </c>
      <c r="AL363">
        <v>0</v>
      </c>
      <c r="AM363" t="s">
        <v>5</v>
      </c>
      <c r="AN363">
        <v>1</v>
      </c>
      <c r="AO363">
        <v>1</v>
      </c>
      <c r="AP363">
        <v>0</v>
      </c>
      <c r="AQ363">
        <v>1</v>
      </c>
    </row>
    <row r="364" spans="1:43" x14ac:dyDescent="0.25">
      <c r="A364" t="s">
        <v>2977</v>
      </c>
      <c r="B364" t="s">
        <v>2976</v>
      </c>
      <c r="C364" t="s">
        <v>2975</v>
      </c>
      <c r="D364" s="1">
        <v>45675</v>
      </c>
      <c r="E364" t="s">
        <v>68</v>
      </c>
      <c r="F364" t="s">
        <v>67</v>
      </c>
      <c r="G364" t="s">
        <v>110</v>
      </c>
      <c r="H364" t="s">
        <v>77</v>
      </c>
      <c r="I364" t="s">
        <v>15</v>
      </c>
      <c r="J364" t="s">
        <v>55</v>
      </c>
      <c r="K364" t="s">
        <v>54</v>
      </c>
      <c r="L364" t="s">
        <v>64</v>
      </c>
      <c r="M364" t="s">
        <v>11</v>
      </c>
      <c r="N364" t="s">
        <v>52</v>
      </c>
      <c r="O364" t="s">
        <v>101</v>
      </c>
      <c r="P364" t="s">
        <v>39</v>
      </c>
      <c r="Q364" t="s">
        <v>7</v>
      </c>
      <c r="R364" t="s">
        <v>6</v>
      </c>
      <c r="S364">
        <v>4</v>
      </c>
      <c r="T364">
        <v>4</v>
      </c>
      <c r="U364">
        <v>121</v>
      </c>
      <c r="V364" t="s">
        <v>0</v>
      </c>
      <c r="W364" t="s">
        <v>5</v>
      </c>
      <c r="X364" t="s">
        <v>181</v>
      </c>
      <c r="Y364" t="s">
        <v>4</v>
      </c>
      <c r="Z364" t="s">
        <v>5</v>
      </c>
      <c r="AA364">
        <v>48.36</v>
      </c>
      <c r="AB364">
        <v>0.51</v>
      </c>
      <c r="AC364">
        <v>0</v>
      </c>
      <c r="AD364" t="s">
        <v>3</v>
      </c>
      <c r="AE364" t="s">
        <v>0</v>
      </c>
      <c r="AF364" t="s">
        <v>3</v>
      </c>
      <c r="AG364" t="s">
        <v>2</v>
      </c>
      <c r="AI364" t="s">
        <v>23</v>
      </c>
      <c r="AJ364">
        <v>4</v>
      </c>
      <c r="AK364">
        <v>45</v>
      </c>
      <c r="AL364">
        <v>11</v>
      </c>
      <c r="AM364" t="s">
        <v>5</v>
      </c>
      <c r="AN364">
        <v>1</v>
      </c>
      <c r="AO364">
        <v>1</v>
      </c>
      <c r="AP364">
        <v>0</v>
      </c>
      <c r="AQ364">
        <v>1</v>
      </c>
    </row>
    <row r="365" spans="1:43" x14ac:dyDescent="0.25">
      <c r="A365" t="s">
        <v>2974</v>
      </c>
      <c r="B365" t="s">
        <v>297</v>
      </c>
      <c r="C365" t="s">
        <v>2973</v>
      </c>
      <c r="D365" s="1">
        <v>46071</v>
      </c>
      <c r="E365" t="s">
        <v>68</v>
      </c>
      <c r="F365" t="s">
        <v>243</v>
      </c>
      <c r="G365" t="s">
        <v>56</v>
      </c>
      <c r="H365" t="s">
        <v>29</v>
      </c>
      <c r="I365" t="s">
        <v>28</v>
      </c>
      <c r="J365" t="s">
        <v>146</v>
      </c>
      <c r="K365" t="s">
        <v>145</v>
      </c>
      <c r="L365" t="s">
        <v>117</v>
      </c>
      <c r="M365" t="s">
        <v>27</v>
      </c>
      <c r="N365" t="s">
        <v>93</v>
      </c>
      <c r="O365" t="s">
        <v>87</v>
      </c>
      <c r="P365" t="s">
        <v>39</v>
      </c>
      <c r="Q365" t="s">
        <v>24</v>
      </c>
      <c r="R365" t="s">
        <v>38</v>
      </c>
      <c r="S365">
        <v>5</v>
      </c>
      <c r="T365">
        <v>5</v>
      </c>
      <c r="U365">
        <v>143</v>
      </c>
      <c r="V365" t="s">
        <v>0</v>
      </c>
      <c r="W365" t="s">
        <v>5</v>
      </c>
      <c r="X365" t="s">
        <v>0</v>
      </c>
      <c r="Y365" t="s">
        <v>4</v>
      </c>
      <c r="Z365" t="s">
        <v>5</v>
      </c>
      <c r="AA365">
        <v>118.63</v>
      </c>
      <c r="AB365">
        <v>0</v>
      </c>
      <c r="AC365">
        <v>0.37</v>
      </c>
      <c r="AD365" t="s">
        <v>3</v>
      </c>
      <c r="AE365" t="s">
        <v>0</v>
      </c>
      <c r="AF365" t="s">
        <v>3</v>
      </c>
      <c r="AG365" t="s">
        <v>2</v>
      </c>
      <c r="AI365" t="s">
        <v>23</v>
      </c>
      <c r="AJ365">
        <v>4</v>
      </c>
      <c r="AK365">
        <v>-7</v>
      </c>
      <c r="AL365">
        <v>49</v>
      </c>
      <c r="AM365" t="s">
        <v>5</v>
      </c>
      <c r="AN365">
        <v>1</v>
      </c>
      <c r="AO365">
        <v>1</v>
      </c>
      <c r="AP365">
        <v>0</v>
      </c>
      <c r="AQ365">
        <v>1</v>
      </c>
    </row>
    <row r="366" spans="1:43" x14ac:dyDescent="0.25">
      <c r="A366" t="s">
        <v>2972</v>
      </c>
      <c r="B366" t="s">
        <v>452</v>
      </c>
      <c r="C366" t="s">
        <v>2971</v>
      </c>
      <c r="D366" s="1">
        <v>45700</v>
      </c>
      <c r="E366" t="s">
        <v>45</v>
      </c>
      <c r="F366" t="s">
        <v>57</v>
      </c>
      <c r="G366" t="s">
        <v>83</v>
      </c>
      <c r="H366" t="s">
        <v>29</v>
      </c>
      <c r="I366" t="s">
        <v>15</v>
      </c>
      <c r="J366" t="s">
        <v>14</v>
      </c>
      <c r="K366" t="s">
        <v>13</v>
      </c>
      <c r="L366" t="s">
        <v>88</v>
      </c>
      <c r="M366" t="s">
        <v>11</v>
      </c>
      <c r="N366" t="s">
        <v>41</v>
      </c>
      <c r="O366" t="s">
        <v>9</v>
      </c>
      <c r="P366" t="s">
        <v>63</v>
      </c>
      <c r="Q366" t="s">
        <v>50</v>
      </c>
      <c r="R366" t="s">
        <v>38</v>
      </c>
      <c r="S366">
        <v>7</v>
      </c>
      <c r="T366">
        <v>7</v>
      </c>
      <c r="U366">
        <v>181</v>
      </c>
      <c r="V366" t="s">
        <v>0</v>
      </c>
      <c r="W366" t="s">
        <v>0</v>
      </c>
      <c r="X366" t="s">
        <v>135</v>
      </c>
      <c r="Y366" t="s">
        <v>4</v>
      </c>
      <c r="Z366" t="s">
        <v>0</v>
      </c>
      <c r="AA366">
        <v>0</v>
      </c>
      <c r="AB366">
        <v>0</v>
      </c>
      <c r="AC366">
        <v>0</v>
      </c>
      <c r="AD366" t="s">
        <v>3</v>
      </c>
      <c r="AE366" t="s">
        <v>0</v>
      </c>
      <c r="AF366" t="s">
        <v>3</v>
      </c>
      <c r="AG366" t="s">
        <v>2</v>
      </c>
      <c r="AI366" t="s">
        <v>1</v>
      </c>
      <c r="AJ366">
        <v>4</v>
      </c>
      <c r="AK366">
        <v>8</v>
      </c>
      <c r="AL366">
        <v>0</v>
      </c>
      <c r="AM366" t="s">
        <v>0</v>
      </c>
      <c r="AN366">
        <v>0</v>
      </c>
      <c r="AO366">
        <v>0</v>
      </c>
      <c r="AP366">
        <v>0</v>
      </c>
      <c r="AQ366">
        <v>0</v>
      </c>
    </row>
    <row r="367" spans="1:43" x14ac:dyDescent="0.25">
      <c r="A367" t="s">
        <v>2970</v>
      </c>
      <c r="B367" t="s">
        <v>959</v>
      </c>
      <c r="C367" t="s">
        <v>2969</v>
      </c>
      <c r="D367" s="1">
        <v>46012</v>
      </c>
      <c r="E367" t="s">
        <v>19</v>
      </c>
      <c r="F367" t="s">
        <v>89</v>
      </c>
      <c r="G367" t="s">
        <v>123</v>
      </c>
      <c r="H367" t="s">
        <v>77</v>
      </c>
      <c r="I367" t="s">
        <v>15</v>
      </c>
      <c r="J367" t="s">
        <v>146</v>
      </c>
      <c r="K367" t="s">
        <v>176</v>
      </c>
      <c r="L367" t="s">
        <v>64</v>
      </c>
      <c r="M367" t="s">
        <v>11</v>
      </c>
      <c r="N367" t="s">
        <v>93</v>
      </c>
      <c r="O367" t="s">
        <v>40</v>
      </c>
      <c r="P367" t="s">
        <v>63</v>
      </c>
      <c r="Q367" t="s">
        <v>7</v>
      </c>
      <c r="R367" t="s">
        <v>6</v>
      </c>
      <c r="S367">
        <v>8</v>
      </c>
      <c r="T367">
        <v>8</v>
      </c>
      <c r="U367">
        <v>294</v>
      </c>
      <c r="V367" t="s">
        <v>0</v>
      </c>
      <c r="W367" t="s">
        <v>5</v>
      </c>
      <c r="X367" t="s">
        <v>5</v>
      </c>
      <c r="Y367" t="s">
        <v>913</v>
      </c>
      <c r="Z367" t="s">
        <v>5</v>
      </c>
      <c r="AA367">
        <v>328.7</v>
      </c>
      <c r="AB367">
        <v>2.83</v>
      </c>
      <c r="AC367">
        <v>0</v>
      </c>
      <c r="AD367" t="s">
        <v>3</v>
      </c>
      <c r="AE367" t="s">
        <v>0</v>
      </c>
      <c r="AF367" t="s">
        <v>3</v>
      </c>
      <c r="AG367" t="s">
        <v>2</v>
      </c>
      <c r="AI367" t="s">
        <v>23</v>
      </c>
      <c r="AJ367">
        <v>2</v>
      </c>
      <c r="AK367">
        <v>-26</v>
      </c>
      <c r="AL367">
        <v>0</v>
      </c>
      <c r="AM367" t="s">
        <v>0</v>
      </c>
      <c r="AN367">
        <v>1</v>
      </c>
      <c r="AO367">
        <v>1</v>
      </c>
      <c r="AP367">
        <v>1</v>
      </c>
      <c r="AQ367">
        <v>0</v>
      </c>
    </row>
    <row r="368" spans="1:43" x14ac:dyDescent="0.25">
      <c r="A368" t="s">
        <v>2968</v>
      </c>
      <c r="B368" t="s">
        <v>2967</v>
      </c>
      <c r="C368" t="s">
        <v>2966</v>
      </c>
      <c r="D368" s="1">
        <v>45682</v>
      </c>
      <c r="E368" t="s">
        <v>162</v>
      </c>
      <c r="F368" t="s">
        <v>540</v>
      </c>
      <c r="G368" t="s">
        <v>17</v>
      </c>
      <c r="H368" t="s">
        <v>77</v>
      </c>
      <c r="I368" t="s">
        <v>15</v>
      </c>
      <c r="J368" t="s">
        <v>14</v>
      </c>
      <c r="K368" t="s">
        <v>13</v>
      </c>
      <c r="L368" t="s">
        <v>117</v>
      </c>
      <c r="M368" t="s">
        <v>11</v>
      </c>
      <c r="N368" t="s">
        <v>75</v>
      </c>
      <c r="O368" t="s">
        <v>40</v>
      </c>
      <c r="P368" t="s">
        <v>8</v>
      </c>
      <c r="Q368" t="s">
        <v>7</v>
      </c>
      <c r="R368" t="s">
        <v>6</v>
      </c>
      <c r="S368">
        <v>8</v>
      </c>
      <c r="T368">
        <v>6</v>
      </c>
      <c r="U368">
        <v>243</v>
      </c>
      <c r="V368" t="s">
        <v>287</v>
      </c>
      <c r="W368" t="s">
        <v>0</v>
      </c>
      <c r="X368" t="s">
        <v>5</v>
      </c>
      <c r="Y368" t="s">
        <v>160</v>
      </c>
      <c r="Z368" t="s">
        <v>0</v>
      </c>
      <c r="AA368">
        <v>0</v>
      </c>
      <c r="AB368">
        <v>0</v>
      </c>
      <c r="AC368">
        <v>0</v>
      </c>
      <c r="AD368" t="s">
        <v>37</v>
      </c>
      <c r="AE368" t="s">
        <v>5</v>
      </c>
      <c r="AF368" t="s">
        <v>37</v>
      </c>
      <c r="AG368" t="s">
        <v>36</v>
      </c>
      <c r="AH368">
        <v>46</v>
      </c>
      <c r="AI368" t="s">
        <v>332</v>
      </c>
      <c r="AJ368">
        <v>2</v>
      </c>
      <c r="AK368">
        <v>1</v>
      </c>
      <c r="AL368">
        <v>8</v>
      </c>
      <c r="AM368" t="s">
        <v>0</v>
      </c>
      <c r="AN368">
        <v>0</v>
      </c>
      <c r="AO368">
        <v>0</v>
      </c>
      <c r="AP368">
        <v>1</v>
      </c>
      <c r="AQ368">
        <v>0</v>
      </c>
    </row>
    <row r="369" spans="1:43" x14ac:dyDescent="0.25">
      <c r="A369" t="s">
        <v>2965</v>
      </c>
      <c r="B369" t="s">
        <v>2964</v>
      </c>
      <c r="C369" t="s">
        <v>2963</v>
      </c>
      <c r="D369" s="1">
        <v>45971</v>
      </c>
      <c r="E369" t="s">
        <v>95</v>
      </c>
      <c r="F369" t="s">
        <v>118</v>
      </c>
      <c r="G369" t="s">
        <v>17</v>
      </c>
      <c r="H369" t="s">
        <v>29</v>
      </c>
      <c r="I369" t="s">
        <v>28</v>
      </c>
      <c r="J369" t="s">
        <v>55</v>
      </c>
      <c r="K369" t="s">
        <v>54</v>
      </c>
      <c r="L369" t="s">
        <v>42</v>
      </c>
      <c r="M369" t="s">
        <v>53</v>
      </c>
      <c r="N369" t="s">
        <v>10</v>
      </c>
      <c r="O369" t="s">
        <v>193</v>
      </c>
      <c r="P369" t="s">
        <v>63</v>
      </c>
      <c r="Q369" t="s">
        <v>7</v>
      </c>
      <c r="R369" t="s">
        <v>6</v>
      </c>
      <c r="S369">
        <v>9</v>
      </c>
      <c r="T369">
        <v>9</v>
      </c>
      <c r="U369">
        <v>170</v>
      </c>
      <c r="V369" t="s">
        <v>0</v>
      </c>
      <c r="W369" t="s">
        <v>0</v>
      </c>
      <c r="X369" t="s">
        <v>0</v>
      </c>
      <c r="Y369" t="s">
        <v>4</v>
      </c>
      <c r="Z369" t="s">
        <v>0</v>
      </c>
      <c r="AA369">
        <v>0</v>
      </c>
      <c r="AB369">
        <v>0</v>
      </c>
      <c r="AC369">
        <v>0</v>
      </c>
      <c r="AD369" t="s">
        <v>3</v>
      </c>
      <c r="AE369" t="s">
        <v>0</v>
      </c>
      <c r="AF369" t="s">
        <v>3</v>
      </c>
      <c r="AG369" t="s">
        <v>2</v>
      </c>
      <c r="AI369" t="s">
        <v>23</v>
      </c>
      <c r="AJ369">
        <v>2</v>
      </c>
      <c r="AK369">
        <v>19</v>
      </c>
      <c r="AL369">
        <v>0</v>
      </c>
      <c r="AM369" t="s">
        <v>0</v>
      </c>
      <c r="AN369">
        <v>0</v>
      </c>
      <c r="AO369">
        <v>0</v>
      </c>
      <c r="AP369">
        <v>0</v>
      </c>
      <c r="AQ369">
        <v>0</v>
      </c>
    </row>
    <row r="370" spans="1:43" x14ac:dyDescent="0.25">
      <c r="A370" t="s">
        <v>2962</v>
      </c>
      <c r="B370" t="s">
        <v>1628</v>
      </c>
      <c r="C370" t="s">
        <v>2961</v>
      </c>
      <c r="D370" s="1">
        <v>46029</v>
      </c>
      <c r="E370" t="s">
        <v>168</v>
      </c>
      <c r="F370" t="s">
        <v>233</v>
      </c>
      <c r="G370" t="s">
        <v>17</v>
      </c>
      <c r="H370" t="s">
        <v>16</v>
      </c>
      <c r="I370" t="s">
        <v>15</v>
      </c>
      <c r="J370" t="s">
        <v>14</v>
      </c>
      <c r="K370" t="s">
        <v>13</v>
      </c>
      <c r="L370" t="s">
        <v>88</v>
      </c>
      <c r="M370" t="s">
        <v>247</v>
      </c>
      <c r="N370" t="s">
        <v>93</v>
      </c>
      <c r="O370" t="s">
        <v>51</v>
      </c>
      <c r="P370" t="s">
        <v>63</v>
      </c>
      <c r="Q370" t="s">
        <v>7</v>
      </c>
      <c r="R370" t="s">
        <v>6</v>
      </c>
      <c r="S370">
        <v>6</v>
      </c>
      <c r="T370">
        <v>4</v>
      </c>
      <c r="U370">
        <v>306</v>
      </c>
      <c r="V370" t="s">
        <v>5</v>
      </c>
      <c r="W370" t="s">
        <v>0</v>
      </c>
      <c r="X370" t="s">
        <v>5</v>
      </c>
      <c r="Y370" t="s">
        <v>634</v>
      </c>
      <c r="Z370" t="s">
        <v>0</v>
      </c>
      <c r="AA370">
        <v>0</v>
      </c>
      <c r="AB370">
        <v>0</v>
      </c>
      <c r="AC370">
        <v>0</v>
      </c>
      <c r="AD370" t="s">
        <v>3</v>
      </c>
      <c r="AE370" t="s">
        <v>0</v>
      </c>
      <c r="AF370" t="s">
        <v>3</v>
      </c>
      <c r="AG370" t="s">
        <v>2</v>
      </c>
      <c r="AI370" t="s">
        <v>1</v>
      </c>
      <c r="AJ370">
        <v>3</v>
      </c>
      <c r="AK370">
        <v>-33</v>
      </c>
      <c r="AL370">
        <v>0</v>
      </c>
      <c r="AM370" t="s">
        <v>0</v>
      </c>
      <c r="AN370">
        <v>0</v>
      </c>
      <c r="AO370">
        <v>0</v>
      </c>
      <c r="AP370">
        <v>1</v>
      </c>
      <c r="AQ370">
        <v>0</v>
      </c>
    </row>
    <row r="371" spans="1:43" x14ac:dyDescent="0.25">
      <c r="A371" t="s">
        <v>2960</v>
      </c>
      <c r="B371" t="s">
        <v>2959</v>
      </c>
      <c r="C371" t="s">
        <v>2958</v>
      </c>
      <c r="D371" s="1">
        <v>46148</v>
      </c>
      <c r="E371" t="s">
        <v>45</v>
      </c>
      <c r="F371" t="s">
        <v>670</v>
      </c>
      <c r="G371" t="s">
        <v>17</v>
      </c>
      <c r="H371" t="s">
        <v>43</v>
      </c>
      <c r="I371" t="s">
        <v>28</v>
      </c>
      <c r="J371" t="s">
        <v>55</v>
      </c>
      <c r="K371" t="s">
        <v>54</v>
      </c>
      <c r="L371" t="s">
        <v>117</v>
      </c>
      <c r="M371" t="s">
        <v>27</v>
      </c>
      <c r="N371" t="s">
        <v>41</v>
      </c>
      <c r="O371" t="s">
        <v>40</v>
      </c>
      <c r="P371" t="s">
        <v>63</v>
      </c>
      <c r="Q371" t="s">
        <v>24</v>
      </c>
      <c r="R371" t="s">
        <v>38</v>
      </c>
      <c r="S371">
        <v>8</v>
      </c>
      <c r="T371">
        <v>8</v>
      </c>
      <c r="U371">
        <v>205</v>
      </c>
      <c r="V371" t="s">
        <v>0</v>
      </c>
      <c r="W371" t="s">
        <v>5</v>
      </c>
      <c r="X371" t="s">
        <v>0</v>
      </c>
      <c r="Y371" t="s">
        <v>4</v>
      </c>
      <c r="Z371" t="s">
        <v>5</v>
      </c>
      <c r="AA371">
        <v>357.29</v>
      </c>
      <c r="AB371">
        <v>2.86</v>
      </c>
      <c r="AC371">
        <v>0.37</v>
      </c>
      <c r="AD371" t="s">
        <v>187</v>
      </c>
      <c r="AE371" t="s">
        <v>5</v>
      </c>
      <c r="AF371" t="s">
        <v>187</v>
      </c>
      <c r="AG371" t="s">
        <v>36</v>
      </c>
      <c r="AH371">
        <v>19</v>
      </c>
      <c r="AI371" t="s">
        <v>23</v>
      </c>
      <c r="AJ371">
        <v>4</v>
      </c>
      <c r="AK371">
        <v>7</v>
      </c>
      <c r="AL371" t="s">
        <v>347</v>
      </c>
      <c r="AM371" t="s">
        <v>5</v>
      </c>
      <c r="AN371">
        <v>1</v>
      </c>
      <c r="AO371">
        <v>1</v>
      </c>
      <c r="AP371">
        <v>0</v>
      </c>
      <c r="AQ371">
        <v>1</v>
      </c>
    </row>
    <row r="372" spans="1:43" x14ac:dyDescent="0.25">
      <c r="A372" t="s">
        <v>2957</v>
      </c>
      <c r="B372" t="s">
        <v>1777</v>
      </c>
      <c r="C372" t="s">
        <v>2956</v>
      </c>
      <c r="D372" s="1">
        <v>45885</v>
      </c>
      <c r="E372" t="s">
        <v>19</v>
      </c>
      <c r="F372" t="s">
        <v>89</v>
      </c>
      <c r="G372" t="s">
        <v>30</v>
      </c>
      <c r="H372" t="s">
        <v>16</v>
      </c>
      <c r="I372" t="s">
        <v>15</v>
      </c>
      <c r="J372" t="s">
        <v>55</v>
      </c>
      <c r="K372" t="s">
        <v>54</v>
      </c>
      <c r="L372" t="s">
        <v>64</v>
      </c>
      <c r="M372" t="s">
        <v>11</v>
      </c>
      <c r="N372" t="s">
        <v>41</v>
      </c>
      <c r="O372" t="s">
        <v>87</v>
      </c>
      <c r="P372" t="s">
        <v>39</v>
      </c>
      <c r="Q372" t="s">
        <v>100</v>
      </c>
      <c r="R372" t="s">
        <v>38</v>
      </c>
      <c r="S372">
        <v>5</v>
      </c>
      <c r="T372">
        <v>5</v>
      </c>
      <c r="U372">
        <v>116</v>
      </c>
      <c r="V372" t="s">
        <v>0</v>
      </c>
      <c r="W372" t="s">
        <v>5</v>
      </c>
      <c r="X372" t="s">
        <v>0</v>
      </c>
      <c r="Y372" t="s">
        <v>4</v>
      </c>
      <c r="Z372" t="s">
        <v>5</v>
      </c>
      <c r="AA372">
        <v>145.80000000000001</v>
      </c>
      <c r="AB372">
        <v>0</v>
      </c>
      <c r="AC372">
        <v>0</v>
      </c>
      <c r="AD372" t="s">
        <v>3</v>
      </c>
      <c r="AE372" t="s">
        <v>0</v>
      </c>
      <c r="AF372" t="s">
        <v>3</v>
      </c>
      <c r="AG372" t="s">
        <v>2</v>
      </c>
      <c r="AI372" t="s">
        <v>23</v>
      </c>
      <c r="AJ372">
        <v>4</v>
      </c>
      <c r="AK372">
        <v>53</v>
      </c>
      <c r="AL372">
        <v>9</v>
      </c>
      <c r="AM372" t="s">
        <v>5</v>
      </c>
      <c r="AN372">
        <v>1</v>
      </c>
      <c r="AO372">
        <v>1</v>
      </c>
      <c r="AP372">
        <v>0</v>
      </c>
      <c r="AQ372">
        <v>1</v>
      </c>
    </row>
    <row r="373" spans="1:43" x14ac:dyDescent="0.25">
      <c r="A373" t="s">
        <v>2955</v>
      </c>
      <c r="B373" t="s">
        <v>257</v>
      </c>
      <c r="C373" t="s">
        <v>2954</v>
      </c>
      <c r="D373" s="1">
        <v>46145</v>
      </c>
      <c r="E373" t="s">
        <v>112</v>
      </c>
      <c r="F373" t="s">
        <v>461</v>
      </c>
      <c r="G373" t="s">
        <v>83</v>
      </c>
      <c r="H373" t="s">
        <v>16</v>
      </c>
      <c r="I373" t="s">
        <v>15</v>
      </c>
      <c r="J373" t="s">
        <v>14</v>
      </c>
      <c r="K373" t="s">
        <v>13</v>
      </c>
      <c r="L373" t="s">
        <v>12</v>
      </c>
      <c r="M373" t="s">
        <v>53</v>
      </c>
      <c r="N373" t="s">
        <v>52</v>
      </c>
      <c r="O373" t="s">
        <v>51</v>
      </c>
      <c r="P373" t="s">
        <v>8</v>
      </c>
      <c r="Q373" t="s">
        <v>198</v>
      </c>
      <c r="R373" t="s">
        <v>38</v>
      </c>
      <c r="S373">
        <v>6</v>
      </c>
      <c r="T373">
        <v>6</v>
      </c>
      <c r="U373">
        <v>142</v>
      </c>
      <c r="V373" t="s">
        <v>0</v>
      </c>
      <c r="W373" t="s">
        <v>0</v>
      </c>
      <c r="X373" t="s">
        <v>181</v>
      </c>
      <c r="Y373" t="s">
        <v>4</v>
      </c>
      <c r="Z373" t="s">
        <v>0</v>
      </c>
      <c r="AA373">
        <v>0</v>
      </c>
      <c r="AB373">
        <v>0</v>
      </c>
      <c r="AC373">
        <v>0</v>
      </c>
      <c r="AD373" t="s">
        <v>3</v>
      </c>
      <c r="AE373" t="s">
        <v>0</v>
      </c>
      <c r="AF373" t="s">
        <v>3</v>
      </c>
      <c r="AG373" t="s">
        <v>2</v>
      </c>
      <c r="AI373" t="s">
        <v>544</v>
      </c>
      <c r="AJ373">
        <v>4</v>
      </c>
      <c r="AK373">
        <v>50</v>
      </c>
      <c r="AL373">
        <v>37</v>
      </c>
      <c r="AM373" t="s">
        <v>0</v>
      </c>
      <c r="AN373">
        <v>0</v>
      </c>
      <c r="AO373">
        <v>0</v>
      </c>
      <c r="AP373">
        <v>0</v>
      </c>
      <c r="AQ373">
        <v>0</v>
      </c>
    </row>
    <row r="374" spans="1:43" x14ac:dyDescent="0.25">
      <c r="A374" t="s">
        <v>2953</v>
      </c>
      <c r="B374" t="s">
        <v>1936</v>
      </c>
      <c r="C374" t="s">
        <v>2952</v>
      </c>
      <c r="D374" s="1">
        <v>45766</v>
      </c>
      <c r="E374" t="s">
        <v>45</v>
      </c>
      <c r="F374" t="s">
        <v>348</v>
      </c>
      <c r="G374" t="s">
        <v>131</v>
      </c>
      <c r="H374" t="s">
        <v>29</v>
      </c>
      <c r="I374" t="s">
        <v>15</v>
      </c>
      <c r="J374" t="s">
        <v>146</v>
      </c>
      <c r="K374" t="s">
        <v>145</v>
      </c>
      <c r="L374" t="s">
        <v>64</v>
      </c>
      <c r="M374" t="s">
        <v>27</v>
      </c>
      <c r="N374" t="s">
        <v>269</v>
      </c>
      <c r="O374" t="s">
        <v>26</v>
      </c>
      <c r="P374" t="s">
        <v>39</v>
      </c>
      <c r="Q374" t="s">
        <v>50</v>
      </c>
      <c r="R374" t="s">
        <v>38</v>
      </c>
      <c r="S374">
        <v>4</v>
      </c>
      <c r="T374">
        <v>2</v>
      </c>
      <c r="U374">
        <v>118</v>
      </c>
      <c r="V374" t="s">
        <v>5</v>
      </c>
      <c r="W374" t="s">
        <v>5</v>
      </c>
      <c r="X374" t="s">
        <v>0</v>
      </c>
      <c r="Y374" t="s">
        <v>4</v>
      </c>
      <c r="Z374" t="s">
        <v>5</v>
      </c>
      <c r="AA374">
        <v>192.46</v>
      </c>
      <c r="AB374">
        <v>0.18</v>
      </c>
      <c r="AC374">
        <v>0.37</v>
      </c>
      <c r="AD374" t="s">
        <v>227</v>
      </c>
      <c r="AE374" t="s">
        <v>5</v>
      </c>
      <c r="AF374" t="s">
        <v>227</v>
      </c>
      <c r="AG374" t="s">
        <v>36</v>
      </c>
      <c r="AH374">
        <v>48</v>
      </c>
      <c r="AI374" t="s">
        <v>23</v>
      </c>
      <c r="AJ374">
        <v>3</v>
      </c>
      <c r="AK374">
        <v>18</v>
      </c>
      <c r="AL374">
        <v>13</v>
      </c>
      <c r="AM374" t="s">
        <v>5</v>
      </c>
      <c r="AN374">
        <v>1</v>
      </c>
      <c r="AO374">
        <v>1</v>
      </c>
      <c r="AP374">
        <v>0</v>
      </c>
      <c r="AQ374">
        <v>1</v>
      </c>
    </row>
    <row r="375" spans="1:43" x14ac:dyDescent="0.25">
      <c r="A375" t="s">
        <v>2951</v>
      </c>
      <c r="B375" t="s">
        <v>1941</v>
      </c>
      <c r="C375" t="s">
        <v>2950</v>
      </c>
      <c r="D375" s="1">
        <v>45795</v>
      </c>
      <c r="E375" t="s">
        <v>162</v>
      </c>
      <c r="F375" t="s">
        <v>540</v>
      </c>
      <c r="G375" t="s">
        <v>110</v>
      </c>
      <c r="H375" t="s">
        <v>43</v>
      </c>
      <c r="I375" t="s">
        <v>28</v>
      </c>
      <c r="J375" t="s">
        <v>14</v>
      </c>
      <c r="K375" t="s">
        <v>13</v>
      </c>
      <c r="L375" t="s">
        <v>12</v>
      </c>
      <c r="M375" t="s">
        <v>11</v>
      </c>
      <c r="N375" t="s">
        <v>269</v>
      </c>
      <c r="O375" t="s">
        <v>40</v>
      </c>
      <c r="P375" t="s">
        <v>39</v>
      </c>
      <c r="Q375" t="s">
        <v>198</v>
      </c>
      <c r="R375" t="s">
        <v>6</v>
      </c>
      <c r="S375" t="s">
        <v>106</v>
      </c>
      <c r="T375">
        <v>8</v>
      </c>
      <c r="U375">
        <v>206</v>
      </c>
      <c r="V375" t="s">
        <v>0</v>
      </c>
      <c r="W375" t="s">
        <v>0</v>
      </c>
      <c r="X375" t="s">
        <v>5</v>
      </c>
      <c r="Y375" t="s">
        <v>913</v>
      </c>
      <c r="Z375" t="s">
        <v>0</v>
      </c>
      <c r="AA375">
        <v>0</v>
      </c>
      <c r="AB375">
        <v>0</v>
      </c>
      <c r="AC375">
        <v>0</v>
      </c>
      <c r="AD375" t="s">
        <v>61</v>
      </c>
      <c r="AE375" t="s">
        <v>5</v>
      </c>
      <c r="AF375" t="s">
        <v>61</v>
      </c>
      <c r="AG375" t="s">
        <v>36</v>
      </c>
      <c r="AH375">
        <v>6</v>
      </c>
      <c r="AI375" t="s">
        <v>23</v>
      </c>
      <c r="AJ375">
        <v>3</v>
      </c>
      <c r="AK375">
        <v>18</v>
      </c>
      <c r="AL375" t="s">
        <v>2949</v>
      </c>
      <c r="AM375" t="s">
        <v>0</v>
      </c>
      <c r="AN375">
        <v>0</v>
      </c>
      <c r="AO375">
        <v>0</v>
      </c>
      <c r="AP375">
        <v>1</v>
      </c>
      <c r="AQ375">
        <v>0</v>
      </c>
    </row>
    <row r="376" spans="1:43" x14ac:dyDescent="0.25">
      <c r="A376" t="s">
        <v>2948</v>
      </c>
      <c r="B376" t="s">
        <v>2947</v>
      </c>
      <c r="C376" t="s">
        <v>2946</v>
      </c>
      <c r="D376" s="1">
        <v>46069</v>
      </c>
      <c r="E376" t="s">
        <v>95</v>
      </c>
      <c r="F376" t="s">
        <v>321</v>
      </c>
      <c r="G376" t="s">
        <v>83</v>
      </c>
      <c r="H376" t="s">
        <v>77</v>
      </c>
      <c r="I376" t="s">
        <v>15</v>
      </c>
      <c r="J376" t="s">
        <v>14</v>
      </c>
      <c r="K376" t="s">
        <v>76</v>
      </c>
      <c r="L376" t="s">
        <v>42</v>
      </c>
      <c r="M376" t="s">
        <v>11</v>
      </c>
      <c r="N376" t="s">
        <v>41</v>
      </c>
      <c r="O376" t="s">
        <v>101</v>
      </c>
      <c r="P376" t="s">
        <v>39</v>
      </c>
      <c r="Q376" t="s">
        <v>100</v>
      </c>
      <c r="R376" t="s">
        <v>38</v>
      </c>
      <c r="S376">
        <v>4</v>
      </c>
      <c r="T376">
        <v>3</v>
      </c>
      <c r="U376">
        <v>148</v>
      </c>
      <c r="V376" t="s">
        <v>182</v>
      </c>
      <c r="W376" t="s">
        <v>5</v>
      </c>
      <c r="X376" t="s">
        <v>0</v>
      </c>
      <c r="Y376" t="s">
        <v>4</v>
      </c>
      <c r="Z376" t="s">
        <v>5</v>
      </c>
      <c r="AA376">
        <v>141.78</v>
      </c>
      <c r="AB376">
        <v>0.45</v>
      </c>
      <c r="AC376">
        <v>0</v>
      </c>
      <c r="AD376" t="s">
        <v>3</v>
      </c>
      <c r="AE376" t="s">
        <v>0</v>
      </c>
      <c r="AF376" t="s">
        <v>3</v>
      </c>
      <c r="AG376" t="s">
        <v>2</v>
      </c>
      <c r="AI376" t="s">
        <v>23</v>
      </c>
      <c r="AJ376">
        <v>4</v>
      </c>
      <c r="AK376">
        <v>28</v>
      </c>
      <c r="AL376">
        <v>20</v>
      </c>
      <c r="AM376" t="s">
        <v>5</v>
      </c>
      <c r="AN376">
        <v>1</v>
      </c>
      <c r="AO376">
        <v>1</v>
      </c>
      <c r="AP376">
        <v>0</v>
      </c>
      <c r="AQ376">
        <v>1</v>
      </c>
    </row>
    <row r="377" spans="1:43" x14ac:dyDescent="0.25">
      <c r="A377" t="s">
        <v>2945</v>
      </c>
      <c r="B377" t="s">
        <v>2181</v>
      </c>
      <c r="C377" t="s">
        <v>2944</v>
      </c>
      <c r="D377" s="1">
        <v>45871</v>
      </c>
      <c r="E377" t="s">
        <v>168</v>
      </c>
      <c r="F377" t="s">
        <v>177</v>
      </c>
      <c r="G377" t="s">
        <v>83</v>
      </c>
      <c r="H377" t="s">
        <v>77</v>
      </c>
      <c r="I377" t="s">
        <v>15</v>
      </c>
      <c r="J377" t="s">
        <v>14</v>
      </c>
      <c r="K377" t="s">
        <v>13</v>
      </c>
      <c r="L377" t="s">
        <v>88</v>
      </c>
      <c r="M377" t="s">
        <v>11</v>
      </c>
      <c r="N377" t="s">
        <v>41</v>
      </c>
      <c r="O377" t="s">
        <v>9</v>
      </c>
      <c r="P377" t="s">
        <v>39</v>
      </c>
      <c r="Q377" t="s">
        <v>7</v>
      </c>
      <c r="R377" t="s">
        <v>6</v>
      </c>
      <c r="S377">
        <v>7</v>
      </c>
      <c r="T377">
        <v>6</v>
      </c>
      <c r="U377">
        <v>191</v>
      </c>
      <c r="V377" t="s">
        <v>5</v>
      </c>
      <c r="W377" t="s">
        <v>0</v>
      </c>
      <c r="X377" t="s">
        <v>0</v>
      </c>
      <c r="Y377" t="s">
        <v>4</v>
      </c>
      <c r="Z377" t="s">
        <v>5</v>
      </c>
      <c r="AA377">
        <v>24.05</v>
      </c>
      <c r="AB377">
        <v>0</v>
      </c>
      <c r="AC377">
        <v>0</v>
      </c>
      <c r="AD377" t="s">
        <v>3</v>
      </c>
      <c r="AE377" t="s">
        <v>0</v>
      </c>
      <c r="AF377" t="s">
        <v>3</v>
      </c>
      <c r="AG377" t="s">
        <v>2</v>
      </c>
      <c r="AI377" t="s">
        <v>191</v>
      </c>
      <c r="AJ377">
        <v>2</v>
      </c>
      <c r="AK377">
        <v>-21</v>
      </c>
      <c r="AL377">
        <v>17</v>
      </c>
      <c r="AM377" t="s">
        <v>5</v>
      </c>
      <c r="AN377">
        <v>0</v>
      </c>
      <c r="AO377">
        <v>1</v>
      </c>
      <c r="AP377">
        <v>0</v>
      </c>
      <c r="AQ377">
        <v>1</v>
      </c>
    </row>
    <row r="378" spans="1:43" x14ac:dyDescent="0.25">
      <c r="A378" t="s">
        <v>2943</v>
      </c>
      <c r="B378" t="s">
        <v>2942</v>
      </c>
      <c r="C378" t="s">
        <v>2941</v>
      </c>
      <c r="D378" s="1">
        <v>45983</v>
      </c>
      <c r="E378" t="s">
        <v>19</v>
      </c>
      <c r="F378" t="s">
        <v>511</v>
      </c>
      <c r="G378" t="s">
        <v>30</v>
      </c>
      <c r="H378" t="s">
        <v>237</v>
      </c>
      <c r="I378" t="s">
        <v>28</v>
      </c>
      <c r="J378" t="s">
        <v>14</v>
      </c>
      <c r="K378" t="s">
        <v>13</v>
      </c>
      <c r="L378" t="s">
        <v>12</v>
      </c>
      <c r="M378" t="s">
        <v>11</v>
      </c>
      <c r="N378" t="s">
        <v>116</v>
      </c>
      <c r="O378" t="s">
        <v>74</v>
      </c>
      <c r="P378" t="s">
        <v>63</v>
      </c>
      <c r="Q378" t="s">
        <v>7</v>
      </c>
      <c r="R378" t="s">
        <v>6</v>
      </c>
      <c r="S378">
        <v>6</v>
      </c>
      <c r="T378">
        <v>5</v>
      </c>
      <c r="U378">
        <v>190</v>
      </c>
      <c r="V378" t="s">
        <v>5</v>
      </c>
      <c r="W378" t="s">
        <v>0</v>
      </c>
      <c r="X378" t="s">
        <v>0</v>
      </c>
      <c r="Y378" t="s">
        <v>4</v>
      </c>
      <c r="Z378" t="s">
        <v>0</v>
      </c>
      <c r="AA378">
        <v>0</v>
      </c>
      <c r="AB378">
        <v>0</v>
      </c>
      <c r="AC378">
        <v>0</v>
      </c>
      <c r="AD378" t="s">
        <v>3</v>
      </c>
      <c r="AE378" t="s">
        <v>0</v>
      </c>
      <c r="AF378" t="s">
        <v>3</v>
      </c>
      <c r="AG378" t="s">
        <v>2</v>
      </c>
      <c r="AI378" t="s">
        <v>332</v>
      </c>
      <c r="AJ378">
        <v>3</v>
      </c>
      <c r="AK378">
        <v>-1</v>
      </c>
      <c r="AL378">
        <v>0</v>
      </c>
      <c r="AM378" t="s">
        <v>0</v>
      </c>
      <c r="AN378">
        <v>0</v>
      </c>
      <c r="AO378">
        <v>0</v>
      </c>
      <c r="AP378">
        <v>0</v>
      </c>
      <c r="AQ378">
        <v>0</v>
      </c>
    </row>
    <row r="379" spans="1:43" x14ac:dyDescent="0.25">
      <c r="A379" t="s">
        <v>2940</v>
      </c>
      <c r="B379" t="s">
        <v>694</v>
      </c>
      <c r="C379" t="s">
        <v>2939</v>
      </c>
      <c r="D379" s="1">
        <v>46109</v>
      </c>
      <c r="E379" t="s">
        <v>156</v>
      </c>
      <c r="F379" t="s">
        <v>155</v>
      </c>
      <c r="G379" t="s">
        <v>110</v>
      </c>
      <c r="H379" t="s">
        <v>43</v>
      </c>
      <c r="I379" t="s">
        <v>147</v>
      </c>
      <c r="J379" t="s">
        <v>55</v>
      </c>
      <c r="K379" t="s">
        <v>54</v>
      </c>
      <c r="L379" t="s">
        <v>42</v>
      </c>
      <c r="M379" t="s">
        <v>27</v>
      </c>
      <c r="N379" t="s">
        <v>10</v>
      </c>
      <c r="O379" t="s">
        <v>40</v>
      </c>
      <c r="P379" t="s">
        <v>39</v>
      </c>
      <c r="Q379" t="s">
        <v>7</v>
      </c>
      <c r="R379" t="s">
        <v>6</v>
      </c>
      <c r="S379" t="s">
        <v>106</v>
      </c>
      <c r="T379">
        <v>8</v>
      </c>
      <c r="U379">
        <v>215</v>
      </c>
      <c r="V379" t="s">
        <v>0</v>
      </c>
      <c r="W379" t="s">
        <v>5</v>
      </c>
      <c r="X379" t="s">
        <v>5</v>
      </c>
      <c r="Y379" t="s">
        <v>489</v>
      </c>
      <c r="Z379" t="s">
        <v>0</v>
      </c>
      <c r="AA379">
        <v>0</v>
      </c>
      <c r="AB379">
        <v>0</v>
      </c>
      <c r="AC379">
        <v>0</v>
      </c>
      <c r="AD379" t="s">
        <v>227</v>
      </c>
      <c r="AE379" t="s">
        <v>5</v>
      </c>
      <c r="AF379" t="s">
        <v>227</v>
      </c>
      <c r="AG379" t="s">
        <v>36</v>
      </c>
      <c r="AH379">
        <v>20</v>
      </c>
      <c r="AI379" t="s">
        <v>23</v>
      </c>
      <c r="AJ379">
        <v>3</v>
      </c>
      <c r="AK379">
        <v>-40</v>
      </c>
      <c r="AL379">
        <v>45</v>
      </c>
      <c r="AM379" t="s">
        <v>5</v>
      </c>
      <c r="AN379">
        <v>1</v>
      </c>
      <c r="AO379">
        <v>0</v>
      </c>
      <c r="AP379">
        <v>1</v>
      </c>
      <c r="AQ379">
        <v>1</v>
      </c>
    </row>
    <row r="380" spans="1:43" x14ac:dyDescent="0.25">
      <c r="A380" t="s">
        <v>2938</v>
      </c>
      <c r="B380" t="s">
        <v>2937</v>
      </c>
      <c r="C380" t="s">
        <v>2936</v>
      </c>
      <c r="D380" s="1">
        <v>46155</v>
      </c>
      <c r="E380" t="s">
        <v>162</v>
      </c>
      <c r="F380" t="s">
        <v>540</v>
      </c>
      <c r="G380" t="s">
        <v>56</v>
      </c>
      <c r="H380" t="s">
        <v>43</v>
      </c>
      <c r="I380" t="s">
        <v>15</v>
      </c>
      <c r="J380" t="s">
        <v>146</v>
      </c>
      <c r="K380" t="s">
        <v>145</v>
      </c>
      <c r="L380" t="s">
        <v>64</v>
      </c>
      <c r="M380" t="s">
        <v>11</v>
      </c>
      <c r="N380" t="s">
        <v>41</v>
      </c>
      <c r="O380" t="s">
        <v>199</v>
      </c>
      <c r="P380" t="s">
        <v>39</v>
      </c>
      <c r="Q380" t="s">
        <v>24</v>
      </c>
      <c r="R380" t="s">
        <v>6</v>
      </c>
      <c r="S380">
        <v>5</v>
      </c>
      <c r="T380">
        <v>5</v>
      </c>
      <c r="U380">
        <v>93</v>
      </c>
      <c r="V380" t="s">
        <v>0</v>
      </c>
      <c r="W380" t="s">
        <v>5</v>
      </c>
      <c r="X380" t="s">
        <v>0</v>
      </c>
      <c r="Y380" t="s">
        <v>4</v>
      </c>
      <c r="Z380" t="s">
        <v>5</v>
      </c>
      <c r="AA380">
        <v>31.18</v>
      </c>
      <c r="AB380">
        <v>0</v>
      </c>
      <c r="AC380">
        <v>0</v>
      </c>
      <c r="AD380" t="s">
        <v>3</v>
      </c>
      <c r="AE380" t="s">
        <v>0</v>
      </c>
      <c r="AF380" t="s">
        <v>3</v>
      </c>
      <c r="AG380" t="s">
        <v>2</v>
      </c>
      <c r="AI380" t="s">
        <v>23</v>
      </c>
      <c r="AJ380">
        <v>4</v>
      </c>
      <c r="AK380">
        <v>24</v>
      </c>
      <c r="AL380">
        <v>40</v>
      </c>
      <c r="AM380" t="s">
        <v>5</v>
      </c>
      <c r="AN380">
        <v>1</v>
      </c>
      <c r="AO380">
        <v>1</v>
      </c>
      <c r="AP380">
        <v>0</v>
      </c>
      <c r="AQ380">
        <v>1</v>
      </c>
    </row>
    <row r="381" spans="1:43" x14ac:dyDescent="0.25">
      <c r="A381" t="s">
        <v>2935</v>
      </c>
      <c r="B381" t="s">
        <v>2934</v>
      </c>
      <c r="C381" t="s">
        <v>2933</v>
      </c>
      <c r="D381" s="1">
        <v>45729</v>
      </c>
      <c r="E381" t="s">
        <v>45</v>
      </c>
      <c r="F381" t="s">
        <v>670</v>
      </c>
      <c r="G381" t="s">
        <v>30</v>
      </c>
      <c r="H381" t="s">
        <v>77</v>
      </c>
      <c r="I381" t="s">
        <v>15</v>
      </c>
      <c r="J381" t="s">
        <v>146</v>
      </c>
      <c r="K381" t="s">
        <v>145</v>
      </c>
      <c r="L381" t="s">
        <v>88</v>
      </c>
      <c r="M381" t="s">
        <v>11</v>
      </c>
      <c r="N381" t="s">
        <v>75</v>
      </c>
      <c r="O381" t="s">
        <v>40</v>
      </c>
      <c r="P381" t="s">
        <v>39</v>
      </c>
      <c r="Q381" t="s">
        <v>7</v>
      </c>
      <c r="R381" t="s">
        <v>6</v>
      </c>
      <c r="S381">
        <v>8</v>
      </c>
      <c r="T381">
        <v>8</v>
      </c>
      <c r="U381">
        <v>212</v>
      </c>
      <c r="V381" t="s">
        <v>0</v>
      </c>
      <c r="W381" t="s">
        <v>0</v>
      </c>
      <c r="X381" t="s">
        <v>0</v>
      </c>
      <c r="Y381" t="s">
        <v>4</v>
      </c>
      <c r="Z381" t="s">
        <v>0</v>
      </c>
      <c r="AA381">
        <v>0</v>
      </c>
      <c r="AB381">
        <v>0</v>
      </c>
      <c r="AC381">
        <v>0</v>
      </c>
      <c r="AD381" t="s">
        <v>3</v>
      </c>
      <c r="AE381" t="s">
        <v>0</v>
      </c>
      <c r="AF381" t="s">
        <v>3</v>
      </c>
      <c r="AG381" t="s">
        <v>2</v>
      </c>
      <c r="AI381" t="s">
        <v>122</v>
      </c>
      <c r="AJ381">
        <v>3</v>
      </c>
      <c r="AK381">
        <v>19</v>
      </c>
      <c r="AL381">
        <v>26</v>
      </c>
      <c r="AM381" t="s">
        <v>0</v>
      </c>
      <c r="AN381">
        <v>0</v>
      </c>
      <c r="AO381">
        <v>0</v>
      </c>
      <c r="AP381">
        <v>0</v>
      </c>
      <c r="AQ381">
        <v>0</v>
      </c>
    </row>
    <row r="382" spans="1:43" x14ac:dyDescent="0.25">
      <c r="A382" t="s">
        <v>2932</v>
      </c>
      <c r="B382" t="s">
        <v>1342</v>
      </c>
      <c r="C382" t="s">
        <v>2931</v>
      </c>
      <c r="D382" s="1">
        <v>45839</v>
      </c>
      <c r="E382" t="s">
        <v>95</v>
      </c>
      <c r="F382" t="s">
        <v>270</v>
      </c>
      <c r="G382" t="s">
        <v>123</v>
      </c>
      <c r="H382" t="s">
        <v>29</v>
      </c>
      <c r="I382" t="s">
        <v>28</v>
      </c>
      <c r="J382" t="s">
        <v>14</v>
      </c>
      <c r="K382" t="s">
        <v>13</v>
      </c>
      <c r="L382" t="s">
        <v>12</v>
      </c>
      <c r="M382" t="s">
        <v>53</v>
      </c>
      <c r="N382" t="s">
        <v>41</v>
      </c>
      <c r="O382" t="s">
        <v>199</v>
      </c>
      <c r="P382" t="s">
        <v>39</v>
      </c>
      <c r="Q382" t="s">
        <v>7</v>
      </c>
      <c r="R382" t="s">
        <v>6</v>
      </c>
      <c r="S382">
        <v>5</v>
      </c>
      <c r="T382">
        <v>4</v>
      </c>
      <c r="U382">
        <v>183</v>
      </c>
      <c r="V382" t="s">
        <v>5</v>
      </c>
      <c r="W382" t="s">
        <v>0</v>
      </c>
      <c r="X382" t="s">
        <v>0</v>
      </c>
      <c r="Y382" t="s">
        <v>4</v>
      </c>
      <c r="Z382" t="s">
        <v>5</v>
      </c>
      <c r="AA382">
        <v>140.65</v>
      </c>
      <c r="AB382">
        <v>0</v>
      </c>
      <c r="AC382">
        <v>0.17</v>
      </c>
      <c r="AD382" t="s">
        <v>3</v>
      </c>
      <c r="AE382" t="s">
        <v>0</v>
      </c>
      <c r="AF382" t="s">
        <v>3</v>
      </c>
      <c r="AG382" t="s">
        <v>2</v>
      </c>
      <c r="AI382" t="s">
        <v>191</v>
      </c>
      <c r="AJ382">
        <v>4</v>
      </c>
      <c r="AK382">
        <v>47</v>
      </c>
      <c r="AL382">
        <v>1</v>
      </c>
      <c r="AM382" t="s">
        <v>0</v>
      </c>
      <c r="AN382">
        <v>0</v>
      </c>
      <c r="AO382">
        <v>1</v>
      </c>
      <c r="AP382">
        <v>0</v>
      </c>
      <c r="AQ382">
        <v>0</v>
      </c>
    </row>
    <row r="383" spans="1:43" x14ac:dyDescent="0.25">
      <c r="A383" t="s">
        <v>2930</v>
      </c>
      <c r="B383" t="s">
        <v>2929</v>
      </c>
      <c r="C383" t="s">
        <v>2928</v>
      </c>
      <c r="D383" s="1">
        <v>46018</v>
      </c>
      <c r="E383" t="s">
        <v>125</v>
      </c>
      <c r="F383" t="s">
        <v>124</v>
      </c>
      <c r="G383" t="s">
        <v>56</v>
      </c>
      <c r="H383" t="s">
        <v>43</v>
      </c>
      <c r="I383" t="s">
        <v>15</v>
      </c>
      <c r="J383" t="s">
        <v>14</v>
      </c>
      <c r="K383" t="s">
        <v>13</v>
      </c>
      <c r="L383" t="s">
        <v>12</v>
      </c>
      <c r="M383" t="s">
        <v>11</v>
      </c>
      <c r="N383" t="s">
        <v>52</v>
      </c>
      <c r="O383" t="s">
        <v>26</v>
      </c>
      <c r="P383" t="s">
        <v>63</v>
      </c>
      <c r="Q383" t="s">
        <v>7</v>
      </c>
      <c r="R383" t="s">
        <v>6</v>
      </c>
      <c r="S383">
        <v>4</v>
      </c>
      <c r="T383">
        <v>4</v>
      </c>
      <c r="U383">
        <v>97</v>
      </c>
      <c r="V383" t="s">
        <v>0</v>
      </c>
      <c r="W383" t="s">
        <v>5</v>
      </c>
      <c r="X383" t="s">
        <v>135</v>
      </c>
      <c r="Y383" t="s">
        <v>4</v>
      </c>
      <c r="Z383" t="s">
        <v>5</v>
      </c>
      <c r="AA383">
        <v>138.37</v>
      </c>
      <c r="AB383">
        <v>0.19</v>
      </c>
      <c r="AC383">
        <v>0</v>
      </c>
      <c r="AD383" t="s">
        <v>3</v>
      </c>
      <c r="AE383" t="s">
        <v>0</v>
      </c>
      <c r="AF383" t="s">
        <v>3</v>
      </c>
      <c r="AG383" t="s">
        <v>2</v>
      </c>
      <c r="AI383" t="s">
        <v>23</v>
      </c>
      <c r="AJ383">
        <v>3</v>
      </c>
      <c r="AK383">
        <v>-17</v>
      </c>
      <c r="AL383">
        <v>0</v>
      </c>
      <c r="AM383" t="s">
        <v>5</v>
      </c>
      <c r="AN383">
        <v>1</v>
      </c>
      <c r="AO383">
        <v>1</v>
      </c>
      <c r="AP383">
        <v>0</v>
      </c>
      <c r="AQ383">
        <v>1</v>
      </c>
    </row>
    <row r="384" spans="1:43" x14ac:dyDescent="0.25">
      <c r="A384" t="s">
        <v>2927</v>
      </c>
      <c r="B384" t="s">
        <v>2926</v>
      </c>
      <c r="C384" t="s">
        <v>2925</v>
      </c>
      <c r="D384" s="1">
        <v>45724</v>
      </c>
      <c r="E384" t="s">
        <v>149</v>
      </c>
      <c r="F384" t="s">
        <v>248</v>
      </c>
      <c r="G384" t="s">
        <v>83</v>
      </c>
      <c r="H384" t="s">
        <v>29</v>
      </c>
      <c r="I384" t="s">
        <v>28</v>
      </c>
      <c r="J384" t="s">
        <v>55</v>
      </c>
      <c r="K384" t="s">
        <v>54</v>
      </c>
      <c r="L384" t="s">
        <v>64</v>
      </c>
      <c r="M384" t="s">
        <v>11</v>
      </c>
      <c r="N384" t="s">
        <v>75</v>
      </c>
      <c r="O384" t="s">
        <v>199</v>
      </c>
      <c r="P384" t="s">
        <v>39</v>
      </c>
      <c r="Q384" t="s">
        <v>7</v>
      </c>
      <c r="R384" t="s">
        <v>6</v>
      </c>
      <c r="S384">
        <v>5</v>
      </c>
      <c r="T384">
        <v>4</v>
      </c>
      <c r="U384">
        <v>186</v>
      </c>
      <c r="V384" t="s">
        <v>5</v>
      </c>
      <c r="W384" t="s">
        <v>5</v>
      </c>
      <c r="X384" t="s">
        <v>0</v>
      </c>
      <c r="Y384" t="s">
        <v>4</v>
      </c>
      <c r="Z384" t="s">
        <v>0</v>
      </c>
      <c r="AA384">
        <v>0</v>
      </c>
      <c r="AB384">
        <v>0</v>
      </c>
      <c r="AC384">
        <v>0</v>
      </c>
      <c r="AD384" t="s">
        <v>3</v>
      </c>
      <c r="AE384" t="s">
        <v>0</v>
      </c>
      <c r="AF384" t="s">
        <v>3</v>
      </c>
      <c r="AG384" t="s">
        <v>2</v>
      </c>
      <c r="AI384" t="s">
        <v>23</v>
      </c>
      <c r="AJ384">
        <v>4</v>
      </c>
      <c r="AK384">
        <v>-7</v>
      </c>
      <c r="AL384">
        <v>25</v>
      </c>
      <c r="AM384" t="s">
        <v>5</v>
      </c>
      <c r="AN384">
        <v>1</v>
      </c>
      <c r="AO384">
        <v>0</v>
      </c>
      <c r="AP384">
        <v>0</v>
      </c>
      <c r="AQ384">
        <v>1</v>
      </c>
    </row>
    <row r="385" spans="1:43" x14ac:dyDescent="0.25">
      <c r="A385" t="s">
        <v>2924</v>
      </c>
      <c r="B385" t="s">
        <v>898</v>
      </c>
      <c r="C385" t="s">
        <v>2923</v>
      </c>
      <c r="D385" s="1">
        <v>45724</v>
      </c>
      <c r="E385" t="s">
        <v>156</v>
      </c>
      <c r="F385" t="s">
        <v>550</v>
      </c>
      <c r="G385" t="s">
        <v>83</v>
      </c>
      <c r="H385" t="s">
        <v>29</v>
      </c>
      <c r="I385" t="s">
        <v>15</v>
      </c>
      <c r="J385" t="s">
        <v>14</v>
      </c>
      <c r="K385" t="s">
        <v>13</v>
      </c>
      <c r="L385" t="s">
        <v>64</v>
      </c>
      <c r="M385" t="s">
        <v>27</v>
      </c>
      <c r="N385" t="s">
        <v>75</v>
      </c>
      <c r="O385" t="s">
        <v>9</v>
      </c>
      <c r="P385" t="s">
        <v>39</v>
      </c>
      <c r="Q385" t="s">
        <v>7</v>
      </c>
      <c r="R385" t="s">
        <v>6</v>
      </c>
      <c r="S385">
        <v>7</v>
      </c>
      <c r="T385">
        <v>7</v>
      </c>
      <c r="U385">
        <v>194</v>
      </c>
      <c r="V385" t="s">
        <v>0</v>
      </c>
      <c r="W385" t="s">
        <v>5</v>
      </c>
      <c r="X385" t="s">
        <v>0</v>
      </c>
      <c r="Y385" t="s">
        <v>4</v>
      </c>
      <c r="Z385" t="s">
        <v>5</v>
      </c>
      <c r="AA385">
        <v>0</v>
      </c>
      <c r="AB385">
        <v>0</v>
      </c>
      <c r="AC385">
        <v>0.37</v>
      </c>
      <c r="AD385" t="s">
        <v>3</v>
      </c>
      <c r="AE385" t="s">
        <v>0</v>
      </c>
      <c r="AF385" t="s">
        <v>3</v>
      </c>
      <c r="AG385" t="s">
        <v>2</v>
      </c>
      <c r="AI385" t="s">
        <v>23</v>
      </c>
      <c r="AJ385">
        <v>4</v>
      </c>
      <c r="AK385">
        <v>33</v>
      </c>
      <c r="AL385">
        <v>-5</v>
      </c>
      <c r="AM385" t="s">
        <v>5</v>
      </c>
      <c r="AN385">
        <v>1</v>
      </c>
      <c r="AO385">
        <v>1</v>
      </c>
      <c r="AP385">
        <v>0</v>
      </c>
      <c r="AQ385">
        <v>1</v>
      </c>
    </row>
    <row r="386" spans="1:43" x14ac:dyDescent="0.25">
      <c r="A386" t="s">
        <v>2922</v>
      </c>
      <c r="B386" t="s">
        <v>715</v>
      </c>
      <c r="C386" t="s">
        <v>2921</v>
      </c>
      <c r="D386" s="1">
        <v>45766</v>
      </c>
      <c r="E386" t="s">
        <v>156</v>
      </c>
      <c r="F386" t="s">
        <v>155</v>
      </c>
      <c r="G386" t="s">
        <v>17</v>
      </c>
      <c r="H386" t="s">
        <v>16</v>
      </c>
      <c r="I386" t="s">
        <v>15</v>
      </c>
      <c r="J386" t="s">
        <v>14</v>
      </c>
      <c r="K386" t="s">
        <v>13</v>
      </c>
      <c r="L386" t="s">
        <v>64</v>
      </c>
      <c r="M386" t="s">
        <v>11</v>
      </c>
      <c r="N386" t="s">
        <v>154</v>
      </c>
      <c r="O386" t="s">
        <v>9</v>
      </c>
      <c r="P386" t="s">
        <v>39</v>
      </c>
      <c r="Q386" t="s">
        <v>100</v>
      </c>
      <c r="R386" t="s">
        <v>6</v>
      </c>
      <c r="S386">
        <v>7</v>
      </c>
      <c r="T386">
        <v>5</v>
      </c>
      <c r="U386">
        <v>256</v>
      </c>
      <c r="V386" t="s">
        <v>5</v>
      </c>
      <c r="W386" t="s">
        <v>0</v>
      </c>
      <c r="X386" t="s">
        <v>0</v>
      </c>
      <c r="Y386" t="s">
        <v>4</v>
      </c>
      <c r="Z386" t="s">
        <v>0</v>
      </c>
      <c r="AA386">
        <v>0</v>
      </c>
      <c r="AB386">
        <v>-10</v>
      </c>
      <c r="AC386">
        <v>0</v>
      </c>
      <c r="AD386" t="s">
        <v>37</v>
      </c>
      <c r="AE386" t="s">
        <v>5</v>
      </c>
      <c r="AF386" t="s">
        <v>37</v>
      </c>
      <c r="AG386" t="s">
        <v>36</v>
      </c>
      <c r="AH386">
        <v>9</v>
      </c>
      <c r="AI386" t="s">
        <v>1</v>
      </c>
      <c r="AJ386">
        <v>2</v>
      </c>
      <c r="AK386">
        <v>-22</v>
      </c>
      <c r="AL386">
        <v>13</v>
      </c>
      <c r="AM386" t="s">
        <v>5</v>
      </c>
      <c r="AN386">
        <v>0</v>
      </c>
      <c r="AO386">
        <v>0</v>
      </c>
      <c r="AP386">
        <v>0</v>
      </c>
      <c r="AQ386">
        <v>1</v>
      </c>
    </row>
    <row r="387" spans="1:43" x14ac:dyDescent="0.25">
      <c r="A387" t="s">
        <v>2920</v>
      </c>
      <c r="B387" t="s">
        <v>142</v>
      </c>
      <c r="C387" t="s">
        <v>2919</v>
      </c>
      <c r="D387" s="1">
        <v>45736</v>
      </c>
      <c r="E387" t="s">
        <v>45</v>
      </c>
      <c r="F387" t="s">
        <v>57</v>
      </c>
      <c r="G387" t="s">
        <v>83</v>
      </c>
      <c r="H387" t="s">
        <v>16</v>
      </c>
      <c r="I387" t="s">
        <v>15</v>
      </c>
      <c r="J387" t="s">
        <v>14</v>
      </c>
      <c r="K387" t="s">
        <v>13</v>
      </c>
      <c r="L387" t="s">
        <v>117</v>
      </c>
      <c r="M387" t="s">
        <v>53</v>
      </c>
      <c r="N387" t="s">
        <v>52</v>
      </c>
      <c r="O387" t="s">
        <v>26</v>
      </c>
      <c r="P387" t="s">
        <v>25</v>
      </c>
      <c r="Q387" t="s">
        <v>7</v>
      </c>
      <c r="R387" t="s">
        <v>6</v>
      </c>
      <c r="S387">
        <v>4</v>
      </c>
      <c r="T387">
        <v>4</v>
      </c>
      <c r="U387">
        <v>120</v>
      </c>
      <c r="V387" t="s">
        <v>0</v>
      </c>
      <c r="W387" t="s">
        <v>5</v>
      </c>
      <c r="X387" t="s">
        <v>0</v>
      </c>
      <c r="Y387" t="s">
        <v>4</v>
      </c>
      <c r="Z387" t="s">
        <v>5</v>
      </c>
      <c r="AA387">
        <v>142.9</v>
      </c>
      <c r="AB387">
        <v>0.21</v>
      </c>
      <c r="AC387">
        <v>0.17</v>
      </c>
      <c r="AD387" t="s">
        <v>3</v>
      </c>
      <c r="AE387" t="s">
        <v>0</v>
      </c>
      <c r="AF387" t="s">
        <v>3</v>
      </c>
      <c r="AG387" t="s">
        <v>2</v>
      </c>
      <c r="AI387" t="s">
        <v>23</v>
      </c>
      <c r="AJ387">
        <v>4</v>
      </c>
      <c r="AK387">
        <v>34</v>
      </c>
      <c r="AL387">
        <v>1</v>
      </c>
      <c r="AM387" t="s">
        <v>5</v>
      </c>
      <c r="AN387">
        <v>1</v>
      </c>
      <c r="AO387">
        <v>1</v>
      </c>
      <c r="AP387">
        <v>0</v>
      </c>
      <c r="AQ387">
        <v>1</v>
      </c>
    </row>
    <row r="388" spans="1:43" x14ac:dyDescent="0.25">
      <c r="A388" t="s">
        <v>2918</v>
      </c>
      <c r="B388" t="s">
        <v>1322</v>
      </c>
      <c r="C388" t="s">
        <v>2917</v>
      </c>
      <c r="D388" s="1">
        <v>45664</v>
      </c>
      <c r="E388" t="s">
        <v>68</v>
      </c>
      <c r="F388" t="s">
        <v>67</v>
      </c>
      <c r="G388" t="s">
        <v>83</v>
      </c>
      <c r="H388" t="s">
        <v>77</v>
      </c>
      <c r="I388" t="s">
        <v>28</v>
      </c>
      <c r="J388" t="s">
        <v>146</v>
      </c>
      <c r="K388" t="s">
        <v>176</v>
      </c>
      <c r="L388" t="s">
        <v>88</v>
      </c>
      <c r="M388" t="s">
        <v>11</v>
      </c>
      <c r="N388" t="s">
        <v>10</v>
      </c>
      <c r="O388" t="s">
        <v>26</v>
      </c>
      <c r="P388" t="s">
        <v>63</v>
      </c>
      <c r="Q388" t="s">
        <v>50</v>
      </c>
      <c r="R388" t="s">
        <v>38</v>
      </c>
      <c r="S388" t="s">
        <v>99</v>
      </c>
      <c r="T388">
        <v>4</v>
      </c>
      <c r="U388">
        <v>89</v>
      </c>
      <c r="V388" t="s">
        <v>0</v>
      </c>
      <c r="W388" t="s">
        <v>5</v>
      </c>
      <c r="X388" t="s">
        <v>181</v>
      </c>
      <c r="Y388" t="s">
        <v>4</v>
      </c>
      <c r="Z388" t="s">
        <v>5</v>
      </c>
      <c r="AA388">
        <v>153.44999999999999</v>
      </c>
      <c r="AB388">
        <v>0.17</v>
      </c>
      <c r="AC388">
        <v>0</v>
      </c>
      <c r="AD388" t="s">
        <v>3</v>
      </c>
      <c r="AE388" t="s">
        <v>0</v>
      </c>
      <c r="AF388" t="s">
        <v>3</v>
      </c>
      <c r="AG388" t="s">
        <v>2</v>
      </c>
      <c r="AI388" t="s">
        <v>23</v>
      </c>
      <c r="AJ388">
        <v>5</v>
      </c>
      <c r="AK388">
        <v>17</v>
      </c>
      <c r="AL388">
        <v>0</v>
      </c>
      <c r="AM388" t="s">
        <v>5</v>
      </c>
      <c r="AN388">
        <v>1</v>
      </c>
      <c r="AO388">
        <v>1</v>
      </c>
      <c r="AP388">
        <v>0</v>
      </c>
      <c r="AQ388">
        <v>1</v>
      </c>
    </row>
    <row r="389" spans="1:43" x14ac:dyDescent="0.25">
      <c r="A389" t="s">
        <v>2916</v>
      </c>
      <c r="B389" t="s">
        <v>142</v>
      </c>
      <c r="C389" t="s">
        <v>2915</v>
      </c>
      <c r="D389" s="1">
        <v>45730</v>
      </c>
      <c r="E389" t="s">
        <v>156</v>
      </c>
      <c r="F389" t="s">
        <v>550</v>
      </c>
      <c r="G389" t="s">
        <v>110</v>
      </c>
      <c r="H389" t="s">
        <v>77</v>
      </c>
      <c r="I389" t="s">
        <v>28</v>
      </c>
      <c r="J389" t="s">
        <v>14</v>
      </c>
      <c r="K389" t="s">
        <v>13</v>
      </c>
      <c r="L389" t="s">
        <v>42</v>
      </c>
      <c r="M389" t="s">
        <v>11</v>
      </c>
      <c r="N389" t="s">
        <v>41</v>
      </c>
      <c r="O389" t="s">
        <v>51</v>
      </c>
      <c r="P389" t="s">
        <v>63</v>
      </c>
      <c r="Q389" t="s">
        <v>24</v>
      </c>
      <c r="R389" t="s">
        <v>38</v>
      </c>
      <c r="S389">
        <v>6</v>
      </c>
      <c r="T389">
        <v>6</v>
      </c>
      <c r="U389">
        <v>183</v>
      </c>
      <c r="V389" t="s">
        <v>0</v>
      </c>
      <c r="W389" t="s">
        <v>5</v>
      </c>
      <c r="X389" t="s">
        <v>0</v>
      </c>
      <c r="Y389" t="s">
        <v>4</v>
      </c>
      <c r="Z389" t="s">
        <v>5</v>
      </c>
      <c r="AA389">
        <v>0</v>
      </c>
      <c r="AB389">
        <v>0.09</v>
      </c>
      <c r="AC389">
        <v>0</v>
      </c>
      <c r="AD389" t="s">
        <v>3</v>
      </c>
      <c r="AE389" t="s">
        <v>0</v>
      </c>
      <c r="AF389" t="s">
        <v>3</v>
      </c>
      <c r="AG389" t="s">
        <v>2</v>
      </c>
      <c r="AI389" t="s">
        <v>23</v>
      </c>
      <c r="AJ389">
        <v>5</v>
      </c>
      <c r="AK389">
        <v>37</v>
      </c>
      <c r="AL389">
        <v>0</v>
      </c>
      <c r="AM389" t="s">
        <v>5</v>
      </c>
      <c r="AN389">
        <v>1</v>
      </c>
      <c r="AO389">
        <v>1</v>
      </c>
      <c r="AP389">
        <v>0</v>
      </c>
      <c r="AQ389">
        <v>1</v>
      </c>
    </row>
    <row r="390" spans="1:43" x14ac:dyDescent="0.25">
      <c r="A390" t="s">
        <v>2914</v>
      </c>
      <c r="B390" t="s">
        <v>1176</v>
      </c>
      <c r="C390" t="s">
        <v>2913</v>
      </c>
      <c r="D390" s="1">
        <v>46161</v>
      </c>
      <c r="E390" t="s">
        <v>112</v>
      </c>
      <c r="F390" t="s">
        <v>111</v>
      </c>
      <c r="G390" t="s">
        <v>110</v>
      </c>
      <c r="H390" t="s">
        <v>77</v>
      </c>
      <c r="I390" t="s">
        <v>15</v>
      </c>
      <c r="J390" t="s">
        <v>14</v>
      </c>
      <c r="K390" t="s">
        <v>13</v>
      </c>
      <c r="L390" t="s">
        <v>88</v>
      </c>
      <c r="M390" t="s">
        <v>53</v>
      </c>
      <c r="N390" t="s">
        <v>41</v>
      </c>
      <c r="O390" t="s">
        <v>26</v>
      </c>
      <c r="P390" t="s">
        <v>39</v>
      </c>
      <c r="Q390" t="s">
        <v>7</v>
      </c>
      <c r="R390" t="s">
        <v>6</v>
      </c>
      <c r="S390" t="s">
        <v>99</v>
      </c>
      <c r="T390">
        <v>4</v>
      </c>
      <c r="U390">
        <v>126</v>
      </c>
      <c r="V390" t="s">
        <v>0</v>
      </c>
      <c r="W390" t="s">
        <v>5</v>
      </c>
      <c r="X390" t="s">
        <v>0</v>
      </c>
      <c r="Y390" t="s">
        <v>4</v>
      </c>
      <c r="Z390" t="s">
        <v>5</v>
      </c>
      <c r="AA390">
        <v>141.36000000000001</v>
      </c>
      <c r="AB390">
        <v>0.18</v>
      </c>
      <c r="AC390">
        <v>0.17</v>
      </c>
      <c r="AD390" t="s">
        <v>37</v>
      </c>
      <c r="AE390" t="s">
        <v>5</v>
      </c>
      <c r="AF390" t="s">
        <v>37</v>
      </c>
      <c r="AG390" t="s">
        <v>36</v>
      </c>
      <c r="AH390">
        <v>26</v>
      </c>
      <c r="AI390" t="s">
        <v>23</v>
      </c>
      <c r="AJ390">
        <v>5</v>
      </c>
      <c r="AK390">
        <v>-19</v>
      </c>
      <c r="AL390">
        <v>50</v>
      </c>
      <c r="AM390" t="s">
        <v>5</v>
      </c>
      <c r="AN390">
        <v>1</v>
      </c>
      <c r="AO390">
        <v>1</v>
      </c>
      <c r="AP390">
        <v>0</v>
      </c>
      <c r="AQ390">
        <v>1</v>
      </c>
    </row>
    <row r="391" spans="1:43" x14ac:dyDescent="0.25">
      <c r="A391" t="s">
        <v>2912</v>
      </c>
      <c r="B391" t="s">
        <v>2247</v>
      </c>
      <c r="C391" t="s">
        <v>2911</v>
      </c>
      <c r="D391" s="1">
        <v>45986</v>
      </c>
      <c r="E391" t="s">
        <v>95</v>
      </c>
      <c r="F391" t="s">
        <v>270</v>
      </c>
      <c r="G391" t="s">
        <v>17</v>
      </c>
      <c r="H391" t="s">
        <v>16</v>
      </c>
      <c r="I391" t="s">
        <v>28</v>
      </c>
      <c r="J391" t="s">
        <v>14</v>
      </c>
      <c r="K391" t="s">
        <v>13</v>
      </c>
      <c r="L391" t="s">
        <v>12</v>
      </c>
      <c r="M391" t="s">
        <v>11</v>
      </c>
      <c r="N391" t="s">
        <v>52</v>
      </c>
      <c r="O391" t="s">
        <v>40</v>
      </c>
      <c r="P391" t="s">
        <v>39</v>
      </c>
      <c r="Q391" t="s">
        <v>7</v>
      </c>
      <c r="R391" t="s">
        <v>6</v>
      </c>
      <c r="S391">
        <v>8</v>
      </c>
      <c r="T391">
        <v>8</v>
      </c>
      <c r="U391">
        <v>171</v>
      </c>
      <c r="V391" t="s">
        <v>0</v>
      </c>
      <c r="W391" t="s">
        <v>5</v>
      </c>
      <c r="X391" t="s">
        <v>0</v>
      </c>
      <c r="Y391" t="s">
        <v>4</v>
      </c>
      <c r="Z391" t="s">
        <v>5</v>
      </c>
      <c r="AA391">
        <v>487.51</v>
      </c>
      <c r="AB391">
        <v>2.69</v>
      </c>
      <c r="AC391">
        <v>0</v>
      </c>
      <c r="AD391" t="s">
        <v>436</v>
      </c>
      <c r="AE391" t="s">
        <v>5</v>
      </c>
      <c r="AF391" t="s">
        <v>436</v>
      </c>
      <c r="AG391" t="s">
        <v>36</v>
      </c>
      <c r="AH391">
        <v>44</v>
      </c>
      <c r="AI391" t="s">
        <v>23</v>
      </c>
      <c r="AJ391">
        <v>3</v>
      </c>
      <c r="AK391">
        <v>4</v>
      </c>
      <c r="AL391">
        <v>68</v>
      </c>
      <c r="AM391" t="s">
        <v>5</v>
      </c>
      <c r="AN391">
        <v>1</v>
      </c>
      <c r="AO391">
        <v>1</v>
      </c>
      <c r="AP391">
        <v>0</v>
      </c>
      <c r="AQ391">
        <v>1</v>
      </c>
    </row>
    <row r="392" spans="1:43" x14ac:dyDescent="0.25">
      <c r="A392" t="s">
        <v>2910</v>
      </c>
      <c r="B392" t="s">
        <v>2909</v>
      </c>
      <c r="C392" t="s">
        <v>2908</v>
      </c>
      <c r="D392" s="1">
        <v>45835</v>
      </c>
      <c r="E392" t="s">
        <v>95</v>
      </c>
      <c r="F392" t="s">
        <v>338</v>
      </c>
      <c r="G392" t="s">
        <v>83</v>
      </c>
      <c r="H392" t="s">
        <v>66</v>
      </c>
      <c r="I392" t="s">
        <v>28</v>
      </c>
      <c r="J392" t="s">
        <v>55</v>
      </c>
      <c r="K392" t="s">
        <v>54</v>
      </c>
      <c r="L392" t="s">
        <v>88</v>
      </c>
      <c r="M392" t="s">
        <v>53</v>
      </c>
      <c r="N392" t="s">
        <v>52</v>
      </c>
      <c r="O392" t="s">
        <v>87</v>
      </c>
      <c r="P392" t="s">
        <v>8</v>
      </c>
      <c r="Q392" t="s">
        <v>7</v>
      </c>
      <c r="R392" t="s">
        <v>6</v>
      </c>
      <c r="S392">
        <v>5</v>
      </c>
      <c r="T392">
        <v>5</v>
      </c>
      <c r="U392">
        <v>103</v>
      </c>
      <c r="V392" t="s">
        <v>0</v>
      </c>
      <c r="W392" t="s">
        <v>5</v>
      </c>
      <c r="X392" t="s">
        <v>0</v>
      </c>
      <c r="Y392" t="s">
        <v>4</v>
      </c>
      <c r="Z392" t="s">
        <v>5</v>
      </c>
      <c r="AA392">
        <v>58.87</v>
      </c>
      <c r="AB392">
        <v>0</v>
      </c>
      <c r="AC392">
        <v>0.17</v>
      </c>
      <c r="AD392" t="s">
        <v>436</v>
      </c>
      <c r="AE392" t="s">
        <v>5</v>
      </c>
      <c r="AF392" t="s">
        <v>436</v>
      </c>
      <c r="AG392" t="s">
        <v>36</v>
      </c>
      <c r="AH392">
        <v>23</v>
      </c>
      <c r="AI392" t="s">
        <v>23</v>
      </c>
      <c r="AJ392">
        <v>5</v>
      </c>
      <c r="AK392">
        <v>67</v>
      </c>
      <c r="AL392">
        <v>41</v>
      </c>
      <c r="AM392" t="s">
        <v>5</v>
      </c>
      <c r="AN392">
        <v>1</v>
      </c>
      <c r="AO392">
        <v>1</v>
      </c>
      <c r="AP392">
        <v>0</v>
      </c>
      <c r="AQ392">
        <v>1</v>
      </c>
    </row>
    <row r="393" spans="1:43" x14ac:dyDescent="0.25">
      <c r="A393" t="s">
        <v>2907</v>
      </c>
      <c r="B393" t="s">
        <v>2906</v>
      </c>
      <c r="C393" t="s">
        <v>2905</v>
      </c>
      <c r="D393" s="1">
        <v>45859</v>
      </c>
      <c r="E393" t="s">
        <v>168</v>
      </c>
      <c r="F393" t="s">
        <v>177</v>
      </c>
      <c r="G393" t="s">
        <v>56</v>
      </c>
      <c r="H393" t="s">
        <v>16</v>
      </c>
      <c r="I393" t="s">
        <v>15</v>
      </c>
      <c r="J393" t="s">
        <v>146</v>
      </c>
      <c r="K393" t="s">
        <v>176</v>
      </c>
      <c r="L393" t="s">
        <v>42</v>
      </c>
      <c r="M393" t="s">
        <v>53</v>
      </c>
      <c r="N393" t="s">
        <v>116</v>
      </c>
      <c r="O393" t="s">
        <v>101</v>
      </c>
      <c r="P393" t="s">
        <v>63</v>
      </c>
      <c r="Q393" t="s">
        <v>24</v>
      </c>
      <c r="R393" t="s">
        <v>6</v>
      </c>
      <c r="S393">
        <v>4</v>
      </c>
      <c r="T393">
        <v>4</v>
      </c>
      <c r="U393">
        <v>112</v>
      </c>
      <c r="V393" t="s">
        <v>0</v>
      </c>
      <c r="W393" t="s">
        <v>5</v>
      </c>
      <c r="X393" t="s">
        <v>0</v>
      </c>
      <c r="Y393" t="s">
        <v>4</v>
      </c>
      <c r="Z393" t="s">
        <v>5</v>
      </c>
      <c r="AA393">
        <v>71.64</v>
      </c>
      <c r="AB393">
        <v>0.46</v>
      </c>
      <c r="AC393">
        <v>0.17</v>
      </c>
      <c r="AD393" t="s">
        <v>3</v>
      </c>
      <c r="AE393" t="s">
        <v>0</v>
      </c>
      <c r="AF393" t="s">
        <v>3</v>
      </c>
      <c r="AG393" t="s">
        <v>2</v>
      </c>
      <c r="AI393" t="s">
        <v>23</v>
      </c>
      <c r="AJ393">
        <v>4</v>
      </c>
      <c r="AK393">
        <v>40</v>
      </c>
      <c r="AL393">
        <v>0</v>
      </c>
      <c r="AM393" t="s">
        <v>5</v>
      </c>
      <c r="AN393">
        <v>1</v>
      </c>
      <c r="AO393">
        <v>1</v>
      </c>
      <c r="AP393">
        <v>0</v>
      </c>
      <c r="AQ393">
        <v>1</v>
      </c>
    </row>
    <row r="394" spans="1:43" x14ac:dyDescent="0.25">
      <c r="A394" t="s">
        <v>2904</v>
      </c>
      <c r="B394" t="s">
        <v>2241</v>
      </c>
      <c r="C394" t="s">
        <v>2903</v>
      </c>
      <c r="D394" s="1">
        <v>46125</v>
      </c>
      <c r="E394" t="s">
        <v>95</v>
      </c>
      <c r="F394" t="s">
        <v>94</v>
      </c>
      <c r="G394" t="s">
        <v>83</v>
      </c>
      <c r="H394" t="s">
        <v>43</v>
      </c>
      <c r="I394" t="s">
        <v>28</v>
      </c>
      <c r="J394" t="s">
        <v>55</v>
      </c>
      <c r="K394" t="s">
        <v>54</v>
      </c>
      <c r="L394" t="s">
        <v>117</v>
      </c>
      <c r="M394" t="s">
        <v>11</v>
      </c>
      <c r="N394" t="s">
        <v>10</v>
      </c>
      <c r="O394" t="s">
        <v>101</v>
      </c>
      <c r="P394" t="s">
        <v>39</v>
      </c>
      <c r="Q394" t="s">
        <v>50</v>
      </c>
      <c r="R394" t="s">
        <v>6</v>
      </c>
      <c r="S394">
        <v>4</v>
      </c>
      <c r="T394">
        <v>4</v>
      </c>
      <c r="U394">
        <v>97</v>
      </c>
      <c r="V394" t="s">
        <v>0</v>
      </c>
      <c r="W394" t="s">
        <v>5</v>
      </c>
      <c r="X394" t="s">
        <v>0</v>
      </c>
      <c r="Y394" t="s">
        <v>4</v>
      </c>
      <c r="Z394" t="s">
        <v>5</v>
      </c>
      <c r="AA394">
        <v>97.2</v>
      </c>
      <c r="AB394">
        <v>0.56999999999999995</v>
      </c>
      <c r="AC394">
        <v>0</v>
      </c>
      <c r="AD394" t="s">
        <v>3</v>
      </c>
      <c r="AE394" t="s">
        <v>0</v>
      </c>
      <c r="AF394" t="s">
        <v>3</v>
      </c>
      <c r="AG394" t="s">
        <v>2</v>
      </c>
      <c r="AI394" t="s">
        <v>23</v>
      </c>
      <c r="AJ394">
        <v>5</v>
      </c>
      <c r="AK394">
        <v>30</v>
      </c>
      <c r="AL394">
        <v>28</v>
      </c>
      <c r="AM394" t="s">
        <v>5</v>
      </c>
      <c r="AN394">
        <v>1</v>
      </c>
      <c r="AO394">
        <v>1</v>
      </c>
      <c r="AP394">
        <v>0</v>
      </c>
      <c r="AQ394">
        <v>1</v>
      </c>
    </row>
    <row r="395" spans="1:43" x14ac:dyDescent="0.25">
      <c r="A395" t="s">
        <v>2902</v>
      </c>
      <c r="B395" t="s">
        <v>777</v>
      </c>
      <c r="C395" t="s">
        <v>2901</v>
      </c>
      <c r="D395" s="1">
        <v>46071</v>
      </c>
      <c r="E395" t="s">
        <v>79</v>
      </c>
      <c r="F395" t="s">
        <v>223</v>
      </c>
      <c r="G395" t="s">
        <v>56</v>
      </c>
      <c r="H395" t="s">
        <v>43</v>
      </c>
      <c r="I395" t="s">
        <v>15</v>
      </c>
      <c r="J395" t="s">
        <v>14</v>
      </c>
      <c r="K395" t="s">
        <v>76</v>
      </c>
      <c r="L395" t="s">
        <v>88</v>
      </c>
      <c r="M395" t="s">
        <v>11</v>
      </c>
      <c r="N395" t="s">
        <v>41</v>
      </c>
      <c r="O395" t="s">
        <v>26</v>
      </c>
      <c r="P395" t="s">
        <v>39</v>
      </c>
      <c r="Q395" t="s">
        <v>24</v>
      </c>
      <c r="R395" t="s">
        <v>6</v>
      </c>
      <c r="S395">
        <v>4</v>
      </c>
      <c r="T395">
        <v>4</v>
      </c>
      <c r="U395">
        <v>75</v>
      </c>
      <c r="V395" t="s">
        <v>0</v>
      </c>
      <c r="W395" t="s">
        <v>5</v>
      </c>
      <c r="X395" t="s">
        <v>0</v>
      </c>
      <c r="Y395" t="s">
        <v>4</v>
      </c>
      <c r="Z395" t="s">
        <v>5</v>
      </c>
      <c r="AA395">
        <v>152.51</v>
      </c>
      <c r="AB395">
        <v>0.22</v>
      </c>
      <c r="AC395">
        <v>0</v>
      </c>
      <c r="AD395" t="s">
        <v>3</v>
      </c>
      <c r="AE395" t="s">
        <v>0</v>
      </c>
      <c r="AF395" t="s">
        <v>3</v>
      </c>
      <c r="AG395" t="s">
        <v>2</v>
      </c>
      <c r="AI395" t="s">
        <v>23</v>
      </c>
      <c r="AJ395">
        <v>3</v>
      </c>
      <c r="AK395">
        <v>25</v>
      </c>
      <c r="AL395">
        <v>34</v>
      </c>
      <c r="AM395" t="s">
        <v>5</v>
      </c>
      <c r="AN395">
        <v>1</v>
      </c>
      <c r="AO395">
        <v>1</v>
      </c>
      <c r="AP395">
        <v>0</v>
      </c>
      <c r="AQ395">
        <v>1</v>
      </c>
    </row>
    <row r="396" spans="1:43" x14ac:dyDescent="0.25">
      <c r="A396" t="s">
        <v>2900</v>
      </c>
      <c r="B396" t="s">
        <v>997</v>
      </c>
      <c r="C396" t="s">
        <v>2899</v>
      </c>
      <c r="D396" s="1">
        <v>45919</v>
      </c>
      <c r="E396" t="s">
        <v>79</v>
      </c>
      <c r="F396" t="s">
        <v>223</v>
      </c>
      <c r="G396" t="s">
        <v>17</v>
      </c>
      <c r="H396" t="s">
        <v>16</v>
      </c>
      <c r="I396" t="s">
        <v>28</v>
      </c>
      <c r="J396" t="s">
        <v>55</v>
      </c>
      <c r="K396" t="s">
        <v>54</v>
      </c>
      <c r="L396" t="s">
        <v>64</v>
      </c>
      <c r="M396" t="s">
        <v>11</v>
      </c>
      <c r="N396" t="s">
        <v>10</v>
      </c>
      <c r="O396" t="s">
        <v>9</v>
      </c>
      <c r="P396" t="s">
        <v>39</v>
      </c>
      <c r="Q396" t="s">
        <v>7</v>
      </c>
      <c r="R396" t="s">
        <v>6</v>
      </c>
      <c r="S396">
        <v>7</v>
      </c>
      <c r="T396">
        <v>7</v>
      </c>
      <c r="U396">
        <v>162</v>
      </c>
      <c r="V396" t="s">
        <v>0</v>
      </c>
      <c r="W396" t="s">
        <v>5</v>
      </c>
      <c r="X396" t="s">
        <v>0</v>
      </c>
      <c r="Y396" t="s">
        <v>4</v>
      </c>
      <c r="Z396" t="s">
        <v>0</v>
      </c>
      <c r="AA396">
        <v>0</v>
      </c>
      <c r="AB396">
        <v>0</v>
      </c>
      <c r="AC396">
        <v>0</v>
      </c>
      <c r="AD396" t="s">
        <v>3</v>
      </c>
      <c r="AE396" t="s">
        <v>0</v>
      </c>
      <c r="AF396" t="s">
        <v>3</v>
      </c>
      <c r="AG396" t="s">
        <v>2</v>
      </c>
      <c r="AI396" t="s">
        <v>23</v>
      </c>
      <c r="AJ396">
        <v>5</v>
      </c>
      <c r="AK396">
        <v>31</v>
      </c>
      <c r="AL396">
        <v>24</v>
      </c>
      <c r="AM396" t="s">
        <v>5</v>
      </c>
      <c r="AN396">
        <v>1</v>
      </c>
      <c r="AO396">
        <v>0</v>
      </c>
      <c r="AP396">
        <v>0</v>
      </c>
      <c r="AQ396">
        <v>1</v>
      </c>
    </row>
    <row r="397" spans="1:43" x14ac:dyDescent="0.25">
      <c r="A397" t="s">
        <v>2898</v>
      </c>
      <c r="B397" t="s">
        <v>405</v>
      </c>
      <c r="C397" t="s">
        <v>2897</v>
      </c>
      <c r="D397" s="1">
        <v>46106</v>
      </c>
      <c r="E397" t="s">
        <v>79</v>
      </c>
      <c r="F397" t="s">
        <v>206</v>
      </c>
      <c r="G397" t="s">
        <v>17</v>
      </c>
      <c r="H397" t="s">
        <v>77</v>
      </c>
      <c r="I397" t="s">
        <v>15</v>
      </c>
      <c r="J397" t="s">
        <v>146</v>
      </c>
      <c r="K397" t="s">
        <v>145</v>
      </c>
      <c r="L397" t="s">
        <v>12</v>
      </c>
      <c r="M397" t="s">
        <v>11</v>
      </c>
      <c r="N397" t="s">
        <v>116</v>
      </c>
      <c r="O397" t="s">
        <v>199</v>
      </c>
      <c r="P397" t="s">
        <v>63</v>
      </c>
      <c r="Q397" t="s">
        <v>100</v>
      </c>
      <c r="R397" t="s">
        <v>6</v>
      </c>
      <c r="S397">
        <v>5</v>
      </c>
      <c r="T397">
        <v>5</v>
      </c>
      <c r="U397">
        <v>126</v>
      </c>
      <c r="V397" t="s">
        <v>0</v>
      </c>
      <c r="W397" t="s">
        <v>0</v>
      </c>
      <c r="X397" t="s">
        <v>0</v>
      </c>
      <c r="Y397" t="s">
        <v>4</v>
      </c>
      <c r="Z397" t="s">
        <v>5</v>
      </c>
      <c r="AA397">
        <v>92.25</v>
      </c>
      <c r="AB397">
        <v>0</v>
      </c>
      <c r="AC397">
        <v>0</v>
      </c>
      <c r="AD397" t="s">
        <v>3</v>
      </c>
      <c r="AE397" t="s">
        <v>0</v>
      </c>
      <c r="AF397" t="s">
        <v>3</v>
      </c>
      <c r="AG397" t="s">
        <v>2</v>
      </c>
      <c r="AI397" t="s">
        <v>544</v>
      </c>
      <c r="AJ397">
        <v>4</v>
      </c>
      <c r="AK397">
        <v>33</v>
      </c>
      <c r="AL397">
        <v>0</v>
      </c>
      <c r="AM397" t="s">
        <v>5</v>
      </c>
      <c r="AN397">
        <v>0</v>
      </c>
      <c r="AO397">
        <v>1</v>
      </c>
      <c r="AP397">
        <v>0</v>
      </c>
      <c r="AQ397">
        <v>1</v>
      </c>
    </row>
    <row r="398" spans="1:43" x14ac:dyDescent="0.25">
      <c r="A398" t="s">
        <v>2896</v>
      </c>
      <c r="B398" t="s">
        <v>612</v>
      </c>
      <c r="C398" t="s">
        <v>2895</v>
      </c>
      <c r="D398" s="1">
        <v>45855</v>
      </c>
      <c r="E398" t="s">
        <v>32</v>
      </c>
      <c r="F398" t="s">
        <v>31</v>
      </c>
      <c r="G398" t="s">
        <v>30</v>
      </c>
      <c r="H398" t="s">
        <v>43</v>
      </c>
      <c r="I398" t="s">
        <v>28</v>
      </c>
      <c r="J398" t="s">
        <v>14</v>
      </c>
      <c r="K398" t="s">
        <v>13</v>
      </c>
      <c r="L398" t="s">
        <v>88</v>
      </c>
      <c r="M398" t="s">
        <v>11</v>
      </c>
      <c r="N398" t="s">
        <v>269</v>
      </c>
      <c r="O398" t="s">
        <v>40</v>
      </c>
      <c r="P398" t="s">
        <v>25</v>
      </c>
      <c r="Q398" t="s">
        <v>7</v>
      </c>
      <c r="R398" t="s">
        <v>6</v>
      </c>
      <c r="S398">
        <v>8</v>
      </c>
      <c r="T398">
        <v>8</v>
      </c>
      <c r="U398">
        <v>236</v>
      </c>
      <c r="V398" t="s">
        <v>0</v>
      </c>
      <c r="W398" t="s">
        <v>181</v>
      </c>
      <c r="X398" t="s">
        <v>5</v>
      </c>
      <c r="Y398" t="s">
        <v>913</v>
      </c>
      <c r="Z398" t="s">
        <v>0</v>
      </c>
      <c r="AA398">
        <v>0</v>
      </c>
      <c r="AB398">
        <v>0</v>
      </c>
      <c r="AC398">
        <v>0</v>
      </c>
      <c r="AD398" t="s">
        <v>3</v>
      </c>
      <c r="AE398" t="s">
        <v>0</v>
      </c>
      <c r="AF398" t="s">
        <v>3</v>
      </c>
      <c r="AG398" t="s">
        <v>2</v>
      </c>
      <c r="AI398" t="s">
        <v>129</v>
      </c>
      <c r="AJ398">
        <v>2</v>
      </c>
      <c r="AK398">
        <v>-29</v>
      </c>
      <c r="AL398">
        <v>1</v>
      </c>
      <c r="AM398" t="s">
        <v>0</v>
      </c>
      <c r="AN398">
        <v>0</v>
      </c>
      <c r="AO398">
        <v>0</v>
      </c>
      <c r="AP398">
        <v>1</v>
      </c>
      <c r="AQ398">
        <v>0</v>
      </c>
    </row>
    <row r="399" spans="1:43" x14ac:dyDescent="0.25">
      <c r="A399" t="s">
        <v>2894</v>
      </c>
      <c r="B399" t="s">
        <v>2893</v>
      </c>
      <c r="C399" t="s">
        <v>2892</v>
      </c>
      <c r="D399" s="1">
        <v>46011</v>
      </c>
      <c r="E399" t="s">
        <v>162</v>
      </c>
      <c r="F399" t="s">
        <v>161</v>
      </c>
      <c r="G399" t="s">
        <v>30</v>
      </c>
      <c r="H399" t="s">
        <v>16</v>
      </c>
      <c r="I399" t="s">
        <v>15</v>
      </c>
      <c r="J399" t="s">
        <v>55</v>
      </c>
      <c r="K399" t="s">
        <v>54</v>
      </c>
      <c r="L399" t="s">
        <v>117</v>
      </c>
      <c r="M399" t="s">
        <v>11</v>
      </c>
      <c r="N399" t="s">
        <v>10</v>
      </c>
      <c r="O399" t="s">
        <v>74</v>
      </c>
      <c r="P399" t="s">
        <v>8</v>
      </c>
      <c r="Q399" t="s">
        <v>100</v>
      </c>
      <c r="R399" t="s">
        <v>6</v>
      </c>
      <c r="S399">
        <v>6</v>
      </c>
      <c r="T399">
        <v>6</v>
      </c>
      <c r="U399">
        <v>236</v>
      </c>
      <c r="V399" t="s">
        <v>0</v>
      </c>
      <c r="W399" t="s">
        <v>5</v>
      </c>
      <c r="X399" t="s">
        <v>5</v>
      </c>
      <c r="Y399" t="s">
        <v>314</v>
      </c>
      <c r="Z399" t="s">
        <v>0</v>
      </c>
      <c r="AA399">
        <v>0</v>
      </c>
      <c r="AB399">
        <v>0</v>
      </c>
      <c r="AC399">
        <v>0</v>
      </c>
      <c r="AD399" t="s">
        <v>3</v>
      </c>
      <c r="AE399" t="s">
        <v>0</v>
      </c>
      <c r="AF399" t="s">
        <v>3</v>
      </c>
      <c r="AG399" t="s">
        <v>2</v>
      </c>
      <c r="AI399" t="s">
        <v>23</v>
      </c>
      <c r="AJ399">
        <v>3</v>
      </c>
      <c r="AK399">
        <v>10</v>
      </c>
      <c r="AL399">
        <v>60</v>
      </c>
      <c r="AM399" t="s">
        <v>5</v>
      </c>
      <c r="AN399">
        <v>1</v>
      </c>
      <c r="AO399">
        <v>0</v>
      </c>
      <c r="AP399">
        <v>1</v>
      </c>
      <c r="AQ399">
        <v>1</v>
      </c>
    </row>
    <row r="400" spans="1:43" x14ac:dyDescent="0.25">
      <c r="A400" t="s">
        <v>1197</v>
      </c>
      <c r="B400" t="s">
        <v>422</v>
      </c>
      <c r="C400" t="s">
        <v>1196</v>
      </c>
      <c r="D400" s="1">
        <v>46032</v>
      </c>
      <c r="E400" t="s">
        <v>156</v>
      </c>
      <c r="F400" t="s">
        <v>325</v>
      </c>
      <c r="G400" t="s">
        <v>30</v>
      </c>
      <c r="H400" t="s">
        <v>77</v>
      </c>
      <c r="I400" t="s">
        <v>28</v>
      </c>
      <c r="J400" t="s">
        <v>146</v>
      </c>
      <c r="K400" t="s">
        <v>145</v>
      </c>
      <c r="L400" t="s">
        <v>117</v>
      </c>
      <c r="M400" t="s">
        <v>11</v>
      </c>
      <c r="N400" t="s">
        <v>93</v>
      </c>
      <c r="O400" t="s">
        <v>9</v>
      </c>
      <c r="P400" t="s">
        <v>39</v>
      </c>
      <c r="Q400" t="s">
        <v>198</v>
      </c>
      <c r="R400" t="s">
        <v>38</v>
      </c>
      <c r="S400" t="s">
        <v>242</v>
      </c>
      <c r="T400">
        <v>7</v>
      </c>
      <c r="U400">
        <v>221</v>
      </c>
      <c r="V400" t="s">
        <v>0</v>
      </c>
      <c r="W400" t="s">
        <v>5</v>
      </c>
      <c r="X400" t="s">
        <v>0</v>
      </c>
      <c r="Y400" t="s">
        <v>4</v>
      </c>
      <c r="Z400" t="s">
        <v>0</v>
      </c>
      <c r="AA400">
        <v>0</v>
      </c>
      <c r="AB400">
        <v>0</v>
      </c>
      <c r="AC400">
        <v>0</v>
      </c>
      <c r="AD400" t="s">
        <v>3</v>
      </c>
      <c r="AE400" t="s">
        <v>0</v>
      </c>
      <c r="AF400" t="s">
        <v>3</v>
      </c>
      <c r="AG400" t="s">
        <v>2</v>
      </c>
      <c r="AI400" t="s">
        <v>23</v>
      </c>
      <c r="AJ400">
        <v>4</v>
      </c>
      <c r="AK400">
        <v>7</v>
      </c>
      <c r="AL400">
        <v>16</v>
      </c>
      <c r="AM400" t="s">
        <v>0</v>
      </c>
      <c r="AN400">
        <v>1</v>
      </c>
      <c r="AO400">
        <v>0</v>
      </c>
      <c r="AP400">
        <v>0</v>
      </c>
      <c r="AQ400">
        <v>0</v>
      </c>
    </row>
    <row r="401" spans="1:43" x14ac:dyDescent="0.25">
      <c r="A401" t="s">
        <v>2891</v>
      </c>
      <c r="B401" t="s">
        <v>2475</v>
      </c>
      <c r="C401" t="s">
        <v>2890</v>
      </c>
      <c r="D401" s="1">
        <v>45664</v>
      </c>
      <c r="E401" t="s">
        <v>19</v>
      </c>
      <c r="F401" t="s">
        <v>295</v>
      </c>
      <c r="G401" t="s">
        <v>56</v>
      </c>
      <c r="H401" t="s">
        <v>43</v>
      </c>
      <c r="I401" t="s">
        <v>15</v>
      </c>
      <c r="J401" t="s">
        <v>146</v>
      </c>
      <c r="K401" t="s">
        <v>145</v>
      </c>
      <c r="L401" t="s">
        <v>42</v>
      </c>
      <c r="M401" t="s">
        <v>11</v>
      </c>
      <c r="N401" t="s">
        <v>52</v>
      </c>
      <c r="O401" t="s">
        <v>193</v>
      </c>
      <c r="P401" t="s">
        <v>39</v>
      </c>
      <c r="Q401" t="s">
        <v>198</v>
      </c>
      <c r="R401" t="s">
        <v>38</v>
      </c>
      <c r="S401">
        <v>9</v>
      </c>
      <c r="T401">
        <v>9</v>
      </c>
      <c r="U401">
        <v>197</v>
      </c>
      <c r="V401" t="s">
        <v>0</v>
      </c>
      <c r="W401" t="s">
        <v>5</v>
      </c>
      <c r="X401" t="s">
        <v>0</v>
      </c>
      <c r="Y401" t="s">
        <v>4</v>
      </c>
      <c r="Z401" t="s">
        <v>5</v>
      </c>
      <c r="AA401">
        <v>237.1</v>
      </c>
      <c r="AB401">
        <v>2.92</v>
      </c>
      <c r="AC401">
        <v>0</v>
      </c>
      <c r="AD401" t="s">
        <v>3</v>
      </c>
      <c r="AE401" t="s">
        <v>0</v>
      </c>
      <c r="AF401" t="s">
        <v>3</v>
      </c>
      <c r="AG401" t="s">
        <v>2</v>
      </c>
      <c r="AI401" t="s">
        <v>23</v>
      </c>
      <c r="AJ401">
        <v>3</v>
      </c>
      <c r="AK401">
        <v>36</v>
      </c>
      <c r="AL401">
        <v>55</v>
      </c>
      <c r="AM401" t="s">
        <v>0</v>
      </c>
      <c r="AN401">
        <v>1</v>
      </c>
      <c r="AO401">
        <v>1</v>
      </c>
      <c r="AP401">
        <v>0</v>
      </c>
      <c r="AQ401">
        <v>0</v>
      </c>
    </row>
    <row r="402" spans="1:43" x14ac:dyDescent="0.25">
      <c r="A402" t="s">
        <v>2889</v>
      </c>
      <c r="B402" t="s">
        <v>2888</v>
      </c>
      <c r="C402" t="s">
        <v>2887</v>
      </c>
      <c r="D402" s="1">
        <v>46097</v>
      </c>
      <c r="E402" t="s">
        <v>95</v>
      </c>
      <c r="F402" t="s">
        <v>118</v>
      </c>
      <c r="G402" t="s">
        <v>56</v>
      </c>
      <c r="H402" t="s">
        <v>237</v>
      </c>
      <c r="I402" t="s">
        <v>15</v>
      </c>
      <c r="J402" t="s">
        <v>14</v>
      </c>
      <c r="K402" t="s">
        <v>13</v>
      </c>
      <c r="L402" t="s">
        <v>88</v>
      </c>
      <c r="M402" t="s">
        <v>11</v>
      </c>
      <c r="N402" t="s">
        <v>75</v>
      </c>
      <c r="O402" t="s">
        <v>26</v>
      </c>
      <c r="P402" t="s">
        <v>39</v>
      </c>
      <c r="Q402" t="s">
        <v>100</v>
      </c>
      <c r="R402" t="s">
        <v>38</v>
      </c>
      <c r="S402">
        <v>4</v>
      </c>
      <c r="T402">
        <v>4</v>
      </c>
      <c r="U402">
        <v>89</v>
      </c>
      <c r="V402" t="s">
        <v>0</v>
      </c>
      <c r="W402" t="s">
        <v>5</v>
      </c>
      <c r="X402" t="s">
        <v>0</v>
      </c>
      <c r="Y402" t="s">
        <v>4</v>
      </c>
      <c r="Z402" t="s">
        <v>5</v>
      </c>
      <c r="AA402">
        <v>171.17</v>
      </c>
      <c r="AB402">
        <v>0.22</v>
      </c>
      <c r="AC402">
        <v>0</v>
      </c>
      <c r="AD402" t="s">
        <v>3</v>
      </c>
      <c r="AE402" t="s">
        <v>0</v>
      </c>
      <c r="AF402" t="s">
        <v>3</v>
      </c>
      <c r="AG402" t="s">
        <v>2</v>
      </c>
      <c r="AI402" t="s">
        <v>23</v>
      </c>
      <c r="AJ402">
        <v>5</v>
      </c>
      <c r="AK402">
        <v>20</v>
      </c>
      <c r="AL402">
        <v>28</v>
      </c>
      <c r="AM402" t="s">
        <v>5</v>
      </c>
      <c r="AN402">
        <v>1</v>
      </c>
      <c r="AO402">
        <v>1</v>
      </c>
      <c r="AP402">
        <v>0</v>
      </c>
      <c r="AQ402">
        <v>1</v>
      </c>
    </row>
    <row r="403" spans="1:43" x14ac:dyDescent="0.25">
      <c r="A403" t="s">
        <v>2886</v>
      </c>
      <c r="B403" t="s">
        <v>2885</v>
      </c>
      <c r="C403" t="s">
        <v>2884</v>
      </c>
      <c r="D403" s="1">
        <v>45797</v>
      </c>
      <c r="E403" t="s">
        <v>162</v>
      </c>
      <c r="F403" t="s">
        <v>200</v>
      </c>
      <c r="G403" t="s">
        <v>30</v>
      </c>
      <c r="H403" t="s">
        <v>29</v>
      </c>
      <c r="I403" t="s">
        <v>28</v>
      </c>
      <c r="J403" t="s">
        <v>55</v>
      </c>
      <c r="K403" t="s">
        <v>54</v>
      </c>
      <c r="L403" t="s">
        <v>88</v>
      </c>
      <c r="M403" t="s">
        <v>53</v>
      </c>
      <c r="N403" t="s">
        <v>10</v>
      </c>
      <c r="O403" t="s">
        <v>74</v>
      </c>
      <c r="P403" t="s">
        <v>39</v>
      </c>
      <c r="Q403" t="s">
        <v>198</v>
      </c>
      <c r="R403" t="s">
        <v>6</v>
      </c>
      <c r="S403">
        <v>6</v>
      </c>
      <c r="T403">
        <v>4</v>
      </c>
      <c r="U403">
        <v>244</v>
      </c>
      <c r="V403" t="s">
        <v>5</v>
      </c>
      <c r="W403" t="s">
        <v>0</v>
      </c>
      <c r="X403" t="s">
        <v>0</v>
      </c>
      <c r="Y403" t="s">
        <v>4</v>
      </c>
      <c r="Z403" t="s">
        <v>0</v>
      </c>
      <c r="AA403">
        <v>0</v>
      </c>
      <c r="AB403">
        <v>0</v>
      </c>
      <c r="AC403">
        <v>0</v>
      </c>
      <c r="AD403" t="s">
        <v>61</v>
      </c>
      <c r="AE403" t="s">
        <v>5</v>
      </c>
      <c r="AF403" t="s">
        <v>61</v>
      </c>
      <c r="AG403" t="s">
        <v>36</v>
      </c>
      <c r="AH403">
        <v>41</v>
      </c>
      <c r="AI403" t="s">
        <v>332</v>
      </c>
      <c r="AJ403">
        <v>3</v>
      </c>
      <c r="AK403">
        <v>21</v>
      </c>
      <c r="AL403">
        <v>37</v>
      </c>
      <c r="AM403" t="s">
        <v>0</v>
      </c>
      <c r="AN403">
        <v>0</v>
      </c>
      <c r="AO403">
        <v>0</v>
      </c>
      <c r="AP403">
        <v>0</v>
      </c>
      <c r="AQ403">
        <v>0</v>
      </c>
    </row>
    <row r="404" spans="1:43" x14ac:dyDescent="0.25">
      <c r="A404" t="s">
        <v>2883</v>
      </c>
      <c r="B404" t="s">
        <v>2882</v>
      </c>
      <c r="C404" t="s">
        <v>2881</v>
      </c>
      <c r="D404" s="1">
        <v>45676</v>
      </c>
      <c r="E404" t="s">
        <v>79</v>
      </c>
      <c r="F404" t="s">
        <v>78</v>
      </c>
      <c r="G404" t="s">
        <v>17</v>
      </c>
      <c r="H404" t="s">
        <v>29</v>
      </c>
      <c r="I404" t="s">
        <v>15</v>
      </c>
      <c r="J404" t="s">
        <v>14</v>
      </c>
      <c r="K404" t="s">
        <v>13</v>
      </c>
      <c r="L404" t="s">
        <v>88</v>
      </c>
      <c r="M404" t="s">
        <v>27</v>
      </c>
      <c r="N404" t="s">
        <v>10</v>
      </c>
      <c r="O404" t="s">
        <v>199</v>
      </c>
      <c r="P404" t="s">
        <v>8</v>
      </c>
      <c r="Q404" t="s">
        <v>100</v>
      </c>
      <c r="R404" t="s">
        <v>38</v>
      </c>
      <c r="S404" t="s">
        <v>277</v>
      </c>
      <c r="T404">
        <v>5</v>
      </c>
      <c r="U404">
        <v>101</v>
      </c>
      <c r="V404" t="s">
        <v>0</v>
      </c>
      <c r="W404" t="s">
        <v>5</v>
      </c>
      <c r="X404" t="s">
        <v>0</v>
      </c>
      <c r="Y404" t="s">
        <v>4</v>
      </c>
      <c r="Z404" t="s">
        <v>5</v>
      </c>
      <c r="AA404">
        <v>117.03</v>
      </c>
      <c r="AB404">
        <v>0</v>
      </c>
      <c r="AC404">
        <v>0.37</v>
      </c>
      <c r="AD404" t="s">
        <v>3</v>
      </c>
      <c r="AE404" t="s">
        <v>0</v>
      </c>
      <c r="AF404" t="s">
        <v>3</v>
      </c>
      <c r="AG404" t="s">
        <v>2</v>
      </c>
      <c r="AI404" t="s">
        <v>23</v>
      </c>
      <c r="AJ404">
        <v>5</v>
      </c>
      <c r="AK404">
        <v>52</v>
      </c>
      <c r="AL404">
        <v>46</v>
      </c>
      <c r="AM404" t="s">
        <v>5</v>
      </c>
      <c r="AN404">
        <v>1</v>
      </c>
      <c r="AO404">
        <v>1</v>
      </c>
      <c r="AP404">
        <v>0</v>
      </c>
      <c r="AQ404">
        <v>1</v>
      </c>
    </row>
    <row r="405" spans="1:43" x14ac:dyDescent="0.25">
      <c r="A405" t="s">
        <v>2880</v>
      </c>
      <c r="B405" t="s">
        <v>2296</v>
      </c>
      <c r="C405" t="s">
        <v>2879</v>
      </c>
      <c r="D405" s="1">
        <v>45697</v>
      </c>
      <c r="E405" t="s">
        <v>112</v>
      </c>
      <c r="F405" t="s">
        <v>111</v>
      </c>
      <c r="G405" t="s">
        <v>56</v>
      </c>
      <c r="H405" t="s">
        <v>29</v>
      </c>
      <c r="I405" t="s">
        <v>15</v>
      </c>
      <c r="J405" t="s">
        <v>55</v>
      </c>
      <c r="K405" t="s">
        <v>65</v>
      </c>
      <c r="L405" t="s">
        <v>64</v>
      </c>
      <c r="M405" t="s">
        <v>53</v>
      </c>
      <c r="N405" t="s">
        <v>52</v>
      </c>
      <c r="O405" t="s">
        <v>87</v>
      </c>
      <c r="P405" t="s">
        <v>8</v>
      </c>
      <c r="Q405" t="s">
        <v>100</v>
      </c>
      <c r="R405" t="s">
        <v>6</v>
      </c>
      <c r="S405">
        <v>5</v>
      </c>
      <c r="T405" t="s">
        <v>99</v>
      </c>
      <c r="U405">
        <v>178</v>
      </c>
      <c r="V405" t="s">
        <v>5</v>
      </c>
      <c r="W405" t="s">
        <v>0</v>
      </c>
      <c r="X405" t="s">
        <v>0</v>
      </c>
      <c r="Y405" t="s">
        <v>4</v>
      </c>
      <c r="Z405" t="s">
        <v>0</v>
      </c>
      <c r="AA405">
        <v>0</v>
      </c>
      <c r="AB405">
        <v>0</v>
      </c>
      <c r="AC405">
        <v>0</v>
      </c>
      <c r="AD405" t="s">
        <v>3</v>
      </c>
      <c r="AE405" t="s">
        <v>0</v>
      </c>
      <c r="AF405" t="s">
        <v>3</v>
      </c>
      <c r="AG405" t="s">
        <v>2</v>
      </c>
      <c r="AI405" t="s">
        <v>191</v>
      </c>
      <c r="AJ405">
        <v>2</v>
      </c>
      <c r="AK405">
        <v>54</v>
      </c>
      <c r="AL405">
        <v>31</v>
      </c>
      <c r="AM405" t="s">
        <v>0</v>
      </c>
      <c r="AN405">
        <v>0</v>
      </c>
      <c r="AO405">
        <v>0</v>
      </c>
      <c r="AP405">
        <v>0</v>
      </c>
      <c r="AQ405">
        <v>0</v>
      </c>
    </row>
    <row r="406" spans="1:43" x14ac:dyDescent="0.25">
      <c r="A406" t="s">
        <v>2878</v>
      </c>
      <c r="B406" t="s">
        <v>2493</v>
      </c>
      <c r="C406" t="s">
        <v>2877</v>
      </c>
      <c r="D406" s="1">
        <v>45964</v>
      </c>
      <c r="E406" t="s">
        <v>19</v>
      </c>
      <c r="F406" t="s">
        <v>295</v>
      </c>
      <c r="G406" t="s">
        <v>131</v>
      </c>
      <c r="H406" t="s">
        <v>77</v>
      </c>
      <c r="I406" t="s">
        <v>15</v>
      </c>
      <c r="J406" t="s">
        <v>55</v>
      </c>
      <c r="K406" t="s">
        <v>65</v>
      </c>
      <c r="L406" t="s">
        <v>88</v>
      </c>
      <c r="M406" t="s">
        <v>53</v>
      </c>
      <c r="N406" t="s">
        <v>52</v>
      </c>
      <c r="O406" t="s">
        <v>199</v>
      </c>
      <c r="P406" t="s">
        <v>63</v>
      </c>
      <c r="Q406" t="s">
        <v>7</v>
      </c>
      <c r="R406" t="s">
        <v>6</v>
      </c>
      <c r="S406">
        <v>5</v>
      </c>
      <c r="T406">
        <v>5</v>
      </c>
      <c r="U406">
        <v>129</v>
      </c>
      <c r="V406" t="s">
        <v>0</v>
      </c>
      <c r="W406" t="s">
        <v>5</v>
      </c>
      <c r="X406" t="s">
        <v>0</v>
      </c>
      <c r="Y406" t="s">
        <v>4</v>
      </c>
      <c r="Z406" t="s">
        <v>5</v>
      </c>
      <c r="AA406">
        <v>50.02</v>
      </c>
      <c r="AB406">
        <v>0</v>
      </c>
      <c r="AC406">
        <v>0.17</v>
      </c>
      <c r="AD406" t="s">
        <v>3</v>
      </c>
      <c r="AE406" t="s">
        <v>0</v>
      </c>
      <c r="AF406" t="s">
        <v>3</v>
      </c>
      <c r="AG406" t="s">
        <v>2</v>
      </c>
      <c r="AI406" t="s">
        <v>23</v>
      </c>
      <c r="AJ406">
        <v>4</v>
      </c>
      <c r="AK406">
        <v>16</v>
      </c>
      <c r="AL406">
        <v>0</v>
      </c>
      <c r="AM406" t="s">
        <v>0</v>
      </c>
      <c r="AN406">
        <v>1</v>
      </c>
      <c r="AO406">
        <v>1</v>
      </c>
      <c r="AP406">
        <v>0</v>
      </c>
      <c r="AQ406">
        <v>0</v>
      </c>
    </row>
    <row r="407" spans="1:43" x14ac:dyDescent="0.25">
      <c r="A407" t="s">
        <v>2876</v>
      </c>
      <c r="B407" t="s">
        <v>1757</v>
      </c>
      <c r="C407" t="s">
        <v>2875</v>
      </c>
      <c r="D407" s="1">
        <v>45784</v>
      </c>
      <c r="E407" t="s">
        <v>156</v>
      </c>
      <c r="F407" t="s">
        <v>550</v>
      </c>
      <c r="G407" t="s">
        <v>17</v>
      </c>
      <c r="H407" t="s">
        <v>43</v>
      </c>
      <c r="I407" t="s">
        <v>28</v>
      </c>
      <c r="J407" t="s">
        <v>146</v>
      </c>
      <c r="K407" t="s">
        <v>176</v>
      </c>
      <c r="L407" t="s">
        <v>42</v>
      </c>
      <c r="M407" t="s">
        <v>11</v>
      </c>
      <c r="N407" t="s">
        <v>75</v>
      </c>
      <c r="O407" t="s">
        <v>87</v>
      </c>
      <c r="P407" t="s">
        <v>25</v>
      </c>
      <c r="Q407" t="s">
        <v>7</v>
      </c>
      <c r="R407" t="s">
        <v>6</v>
      </c>
      <c r="S407">
        <v>5</v>
      </c>
      <c r="T407">
        <v>5</v>
      </c>
      <c r="U407">
        <v>96</v>
      </c>
      <c r="V407" t="s">
        <v>0</v>
      </c>
      <c r="W407" t="s">
        <v>5</v>
      </c>
      <c r="X407" t="s">
        <v>181</v>
      </c>
      <c r="Y407" t="s">
        <v>4</v>
      </c>
      <c r="Z407" t="s">
        <v>5</v>
      </c>
      <c r="AA407">
        <v>156.19999999999999</v>
      </c>
      <c r="AB407">
        <v>0</v>
      </c>
      <c r="AC407">
        <v>0</v>
      </c>
      <c r="AD407" t="s">
        <v>3</v>
      </c>
      <c r="AE407" t="s">
        <v>0</v>
      </c>
      <c r="AF407" t="s">
        <v>3</v>
      </c>
      <c r="AG407" t="s">
        <v>2</v>
      </c>
      <c r="AI407" t="s">
        <v>23</v>
      </c>
      <c r="AJ407">
        <v>4</v>
      </c>
      <c r="AK407">
        <v>65</v>
      </c>
      <c r="AL407">
        <v>39</v>
      </c>
      <c r="AM407" t="s">
        <v>5</v>
      </c>
      <c r="AN407">
        <v>1</v>
      </c>
      <c r="AO407">
        <v>1</v>
      </c>
      <c r="AP407">
        <v>0</v>
      </c>
      <c r="AQ407">
        <v>1</v>
      </c>
    </row>
    <row r="408" spans="1:43" x14ac:dyDescent="0.25">
      <c r="A408" t="s">
        <v>2874</v>
      </c>
      <c r="B408" t="s">
        <v>640</v>
      </c>
      <c r="C408" t="s">
        <v>2873</v>
      </c>
      <c r="D408" s="1">
        <v>45797</v>
      </c>
      <c r="E408" t="s">
        <v>45</v>
      </c>
      <c r="F408" t="s">
        <v>348</v>
      </c>
      <c r="G408" t="s">
        <v>131</v>
      </c>
      <c r="H408" t="s">
        <v>77</v>
      </c>
      <c r="I408" t="s">
        <v>15</v>
      </c>
      <c r="J408" t="s">
        <v>14</v>
      </c>
      <c r="K408" t="s">
        <v>13</v>
      </c>
      <c r="L408" t="s">
        <v>88</v>
      </c>
      <c r="M408" t="s">
        <v>11</v>
      </c>
      <c r="N408" t="s">
        <v>10</v>
      </c>
      <c r="O408" t="s">
        <v>26</v>
      </c>
      <c r="P408" t="s">
        <v>39</v>
      </c>
      <c r="Q408" t="s">
        <v>7</v>
      </c>
      <c r="R408" t="s">
        <v>6</v>
      </c>
      <c r="S408">
        <v>4</v>
      </c>
      <c r="T408" t="s">
        <v>99</v>
      </c>
      <c r="U408">
        <v>87</v>
      </c>
      <c r="V408" t="s">
        <v>0</v>
      </c>
      <c r="W408" t="s">
        <v>5</v>
      </c>
      <c r="X408" t="s">
        <v>0</v>
      </c>
      <c r="Y408" t="s">
        <v>4</v>
      </c>
      <c r="Z408" t="s">
        <v>0</v>
      </c>
      <c r="AA408">
        <v>0</v>
      </c>
      <c r="AB408">
        <v>0</v>
      </c>
      <c r="AC408">
        <v>0</v>
      </c>
      <c r="AD408" t="s">
        <v>3</v>
      </c>
      <c r="AE408" t="s">
        <v>0</v>
      </c>
      <c r="AF408" t="s">
        <v>3</v>
      </c>
      <c r="AG408" t="s">
        <v>2</v>
      </c>
      <c r="AI408" t="s">
        <v>23</v>
      </c>
      <c r="AJ408">
        <v>5</v>
      </c>
      <c r="AK408">
        <v>46</v>
      </c>
      <c r="AL408">
        <v>17</v>
      </c>
      <c r="AM408" t="s">
        <v>5</v>
      </c>
      <c r="AN408">
        <v>1</v>
      </c>
      <c r="AO408">
        <v>0</v>
      </c>
      <c r="AP408">
        <v>0</v>
      </c>
      <c r="AQ408">
        <v>1</v>
      </c>
    </row>
    <row r="409" spans="1:43" x14ac:dyDescent="0.25">
      <c r="A409" t="s">
        <v>2044</v>
      </c>
      <c r="B409" t="s">
        <v>2043</v>
      </c>
      <c r="C409" t="s">
        <v>2042</v>
      </c>
      <c r="D409" s="1">
        <v>45715</v>
      </c>
      <c r="E409" t="s">
        <v>79</v>
      </c>
      <c r="F409" t="s">
        <v>78</v>
      </c>
      <c r="G409" t="s">
        <v>110</v>
      </c>
      <c r="H409" t="s">
        <v>29</v>
      </c>
      <c r="I409" t="s">
        <v>28</v>
      </c>
      <c r="J409" t="s">
        <v>14</v>
      </c>
      <c r="K409" t="s">
        <v>13</v>
      </c>
      <c r="L409" t="s">
        <v>117</v>
      </c>
      <c r="M409" t="s">
        <v>11</v>
      </c>
      <c r="N409" t="s">
        <v>10</v>
      </c>
      <c r="O409" t="s">
        <v>26</v>
      </c>
      <c r="P409" t="s">
        <v>8</v>
      </c>
      <c r="Q409" t="s">
        <v>7</v>
      </c>
      <c r="R409" t="s">
        <v>6</v>
      </c>
      <c r="S409">
        <v>4</v>
      </c>
      <c r="T409">
        <v>2</v>
      </c>
      <c r="U409">
        <v>174</v>
      </c>
      <c r="V409" t="s">
        <v>5</v>
      </c>
      <c r="W409" t="s">
        <v>5</v>
      </c>
      <c r="X409" t="s">
        <v>0</v>
      </c>
      <c r="Y409" t="s">
        <v>4</v>
      </c>
      <c r="Z409" t="s">
        <v>5</v>
      </c>
      <c r="AA409">
        <v>80.790000000000006</v>
      </c>
      <c r="AB409">
        <v>0.22</v>
      </c>
      <c r="AC409">
        <v>0</v>
      </c>
      <c r="AD409" t="s">
        <v>3</v>
      </c>
      <c r="AE409" t="s">
        <v>0</v>
      </c>
      <c r="AF409" t="s">
        <v>3</v>
      </c>
      <c r="AG409" t="s">
        <v>2</v>
      </c>
      <c r="AI409" t="s">
        <v>23</v>
      </c>
      <c r="AJ409">
        <v>3</v>
      </c>
      <c r="AK409">
        <v>-3</v>
      </c>
      <c r="AL409">
        <v>12</v>
      </c>
      <c r="AM409" t="s">
        <v>5</v>
      </c>
      <c r="AN409">
        <v>1</v>
      </c>
      <c r="AO409">
        <v>1</v>
      </c>
      <c r="AP409">
        <v>0</v>
      </c>
      <c r="AQ409">
        <v>1</v>
      </c>
    </row>
    <row r="410" spans="1:43" x14ac:dyDescent="0.25">
      <c r="A410" t="s">
        <v>2872</v>
      </c>
      <c r="B410" t="s">
        <v>214</v>
      </c>
      <c r="C410" t="s">
        <v>2871</v>
      </c>
      <c r="D410" s="1">
        <v>45917</v>
      </c>
      <c r="E410" t="s">
        <v>95</v>
      </c>
      <c r="F410" t="s">
        <v>94</v>
      </c>
      <c r="G410" t="s">
        <v>17</v>
      </c>
      <c r="H410" t="s">
        <v>77</v>
      </c>
      <c r="I410" t="s">
        <v>15</v>
      </c>
      <c r="J410" t="s">
        <v>14</v>
      </c>
      <c r="K410" t="s">
        <v>13</v>
      </c>
      <c r="L410" t="s">
        <v>88</v>
      </c>
      <c r="M410" t="s">
        <v>11</v>
      </c>
      <c r="N410" t="s">
        <v>93</v>
      </c>
      <c r="O410" t="s">
        <v>26</v>
      </c>
      <c r="P410" t="s">
        <v>39</v>
      </c>
      <c r="Q410" t="s">
        <v>172</v>
      </c>
      <c r="R410" t="s">
        <v>6</v>
      </c>
      <c r="S410" t="s">
        <v>99</v>
      </c>
      <c r="T410">
        <v>4</v>
      </c>
      <c r="U410">
        <v>108</v>
      </c>
      <c r="V410" t="s">
        <v>0</v>
      </c>
      <c r="W410" t="s">
        <v>5</v>
      </c>
      <c r="X410" t="s">
        <v>0</v>
      </c>
      <c r="Y410" t="s">
        <v>4</v>
      </c>
      <c r="Z410" t="s">
        <v>5</v>
      </c>
      <c r="AA410">
        <v>154.96</v>
      </c>
      <c r="AB410">
        <v>0.2</v>
      </c>
      <c r="AC410">
        <v>0</v>
      </c>
      <c r="AD410" t="s">
        <v>3</v>
      </c>
      <c r="AE410" t="s">
        <v>0</v>
      </c>
      <c r="AF410" t="s">
        <v>3</v>
      </c>
      <c r="AG410" t="s">
        <v>2</v>
      </c>
      <c r="AI410" t="s">
        <v>23</v>
      </c>
      <c r="AJ410">
        <v>3</v>
      </c>
      <c r="AK410">
        <v>20</v>
      </c>
      <c r="AL410">
        <v>1</v>
      </c>
      <c r="AM410" t="s">
        <v>0</v>
      </c>
      <c r="AN410">
        <v>1</v>
      </c>
      <c r="AO410">
        <v>1</v>
      </c>
      <c r="AP410">
        <v>0</v>
      </c>
      <c r="AQ410">
        <v>0</v>
      </c>
    </row>
    <row r="411" spans="1:43" x14ac:dyDescent="0.25">
      <c r="A411" t="s">
        <v>2870</v>
      </c>
      <c r="B411" t="s">
        <v>2869</v>
      </c>
      <c r="C411" t="s">
        <v>2868</v>
      </c>
      <c r="D411" s="1">
        <v>45994</v>
      </c>
      <c r="E411" t="s">
        <v>112</v>
      </c>
      <c r="F411" t="s">
        <v>642</v>
      </c>
      <c r="G411" t="s">
        <v>17</v>
      </c>
      <c r="H411" t="s">
        <v>66</v>
      </c>
      <c r="I411" t="s">
        <v>15</v>
      </c>
      <c r="J411" t="s">
        <v>55</v>
      </c>
      <c r="K411" t="s">
        <v>54</v>
      </c>
      <c r="L411" t="s">
        <v>117</v>
      </c>
      <c r="M411" t="s">
        <v>11</v>
      </c>
      <c r="N411" t="s">
        <v>154</v>
      </c>
      <c r="O411" t="s">
        <v>101</v>
      </c>
      <c r="P411" t="s">
        <v>39</v>
      </c>
      <c r="Q411" t="s">
        <v>172</v>
      </c>
      <c r="R411" t="s">
        <v>38</v>
      </c>
      <c r="S411">
        <v>4</v>
      </c>
      <c r="T411">
        <v>2</v>
      </c>
      <c r="U411">
        <v>145</v>
      </c>
      <c r="V411" t="s">
        <v>5</v>
      </c>
      <c r="W411" t="s">
        <v>0</v>
      </c>
      <c r="X411" t="s">
        <v>0</v>
      </c>
      <c r="Y411" t="s">
        <v>4</v>
      </c>
      <c r="Z411" t="s">
        <v>5</v>
      </c>
      <c r="AA411">
        <v>98.69</v>
      </c>
      <c r="AB411">
        <v>0.55000000000000004</v>
      </c>
      <c r="AC411">
        <v>0</v>
      </c>
      <c r="AD411" t="s">
        <v>3</v>
      </c>
      <c r="AE411" t="s">
        <v>0</v>
      </c>
      <c r="AF411" t="s">
        <v>3</v>
      </c>
      <c r="AG411" t="s">
        <v>2</v>
      </c>
      <c r="AI411" t="s">
        <v>23</v>
      </c>
      <c r="AJ411">
        <v>4</v>
      </c>
      <c r="AK411">
        <v>17</v>
      </c>
      <c r="AL411">
        <v>59</v>
      </c>
      <c r="AM411" t="s">
        <v>5</v>
      </c>
      <c r="AN411">
        <v>0</v>
      </c>
      <c r="AO411">
        <v>1</v>
      </c>
      <c r="AP411">
        <v>0</v>
      </c>
      <c r="AQ411">
        <v>1</v>
      </c>
    </row>
    <row r="412" spans="1:43" x14ac:dyDescent="0.25">
      <c r="A412" t="s">
        <v>2867</v>
      </c>
      <c r="B412" t="s">
        <v>1231</v>
      </c>
      <c r="C412" t="s">
        <v>2866</v>
      </c>
      <c r="D412" s="1">
        <v>45713</v>
      </c>
      <c r="E412" t="s">
        <v>125</v>
      </c>
      <c r="F412" t="s">
        <v>265</v>
      </c>
      <c r="G412" t="s">
        <v>17</v>
      </c>
      <c r="H412" t="s">
        <v>43</v>
      </c>
      <c r="I412" t="s">
        <v>15</v>
      </c>
      <c r="J412" t="s">
        <v>14</v>
      </c>
      <c r="K412" t="s">
        <v>13</v>
      </c>
      <c r="L412" t="s">
        <v>42</v>
      </c>
      <c r="M412" t="s">
        <v>53</v>
      </c>
      <c r="N412" t="s">
        <v>52</v>
      </c>
      <c r="O412" t="s">
        <v>51</v>
      </c>
      <c r="P412" t="s">
        <v>39</v>
      </c>
      <c r="Q412" t="s">
        <v>7</v>
      </c>
      <c r="R412" t="s">
        <v>6</v>
      </c>
      <c r="S412">
        <v>6</v>
      </c>
      <c r="T412">
        <v>6</v>
      </c>
      <c r="U412">
        <v>184</v>
      </c>
      <c r="V412" t="s">
        <v>247</v>
      </c>
      <c r="W412" t="s">
        <v>5</v>
      </c>
      <c r="X412" t="s">
        <v>0</v>
      </c>
      <c r="Y412" t="s">
        <v>4</v>
      </c>
      <c r="Z412" t="s">
        <v>5</v>
      </c>
      <c r="AA412">
        <v>65.44</v>
      </c>
      <c r="AB412">
        <v>0.11</v>
      </c>
      <c r="AC412">
        <v>0.17</v>
      </c>
      <c r="AD412" t="s">
        <v>3</v>
      </c>
      <c r="AE412" t="s">
        <v>0</v>
      </c>
      <c r="AF412" t="s">
        <v>3</v>
      </c>
      <c r="AG412" t="s">
        <v>2</v>
      </c>
      <c r="AI412" t="s">
        <v>23</v>
      </c>
      <c r="AJ412">
        <v>4</v>
      </c>
      <c r="AK412">
        <v>8</v>
      </c>
      <c r="AL412">
        <v>41</v>
      </c>
      <c r="AM412" t="s">
        <v>5</v>
      </c>
      <c r="AN412">
        <v>1</v>
      </c>
      <c r="AO412">
        <v>1</v>
      </c>
      <c r="AP412">
        <v>0</v>
      </c>
      <c r="AQ412">
        <v>1</v>
      </c>
    </row>
    <row r="413" spans="1:43" x14ac:dyDescent="0.25">
      <c r="A413" t="s">
        <v>2865</v>
      </c>
      <c r="B413" t="s">
        <v>2864</v>
      </c>
      <c r="C413" t="s">
        <v>2863</v>
      </c>
      <c r="D413" s="1">
        <v>45827</v>
      </c>
      <c r="E413" t="s">
        <v>149</v>
      </c>
      <c r="F413" t="s">
        <v>148</v>
      </c>
      <c r="G413" t="s">
        <v>131</v>
      </c>
      <c r="H413" t="s">
        <v>29</v>
      </c>
      <c r="I413" t="s">
        <v>15</v>
      </c>
      <c r="J413" t="s">
        <v>146</v>
      </c>
      <c r="K413" t="s">
        <v>145</v>
      </c>
      <c r="L413" t="s">
        <v>117</v>
      </c>
      <c r="M413" t="s">
        <v>11</v>
      </c>
      <c r="N413" t="s">
        <v>52</v>
      </c>
      <c r="O413" t="s">
        <v>87</v>
      </c>
      <c r="P413" t="s">
        <v>39</v>
      </c>
      <c r="Q413" t="s">
        <v>24</v>
      </c>
      <c r="R413" t="s">
        <v>38</v>
      </c>
      <c r="S413">
        <v>5</v>
      </c>
      <c r="T413" t="s">
        <v>277</v>
      </c>
      <c r="U413">
        <v>143</v>
      </c>
      <c r="V413" t="s">
        <v>0</v>
      </c>
      <c r="W413" t="s">
        <v>5</v>
      </c>
      <c r="X413" t="s">
        <v>0</v>
      </c>
      <c r="Y413" t="s">
        <v>4</v>
      </c>
      <c r="Z413" t="s">
        <v>5</v>
      </c>
      <c r="AA413">
        <v>80.64</v>
      </c>
      <c r="AB413">
        <v>0</v>
      </c>
      <c r="AC413">
        <v>0</v>
      </c>
      <c r="AD413" t="s">
        <v>3</v>
      </c>
      <c r="AE413" t="s">
        <v>0</v>
      </c>
      <c r="AF413" t="s">
        <v>3</v>
      </c>
      <c r="AG413" t="s">
        <v>2</v>
      </c>
      <c r="AI413" t="s">
        <v>23</v>
      </c>
      <c r="AJ413">
        <v>5</v>
      </c>
      <c r="AK413">
        <v>57</v>
      </c>
      <c r="AL413">
        <v>33</v>
      </c>
      <c r="AM413" t="s">
        <v>5</v>
      </c>
      <c r="AN413">
        <v>1</v>
      </c>
      <c r="AO413">
        <v>1</v>
      </c>
      <c r="AP413">
        <v>0</v>
      </c>
      <c r="AQ413">
        <v>1</v>
      </c>
    </row>
    <row r="414" spans="1:43" x14ac:dyDescent="0.25">
      <c r="A414" t="s">
        <v>2862</v>
      </c>
      <c r="B414" t="s">
        <v>1322</v>
      </c>
      <c r="C414" t="s">
        <v>2861</v>
      </c>
      <c r="D414" s="1">
        <v>45851</v>
      </c>
      <c r="E414" t="s">
        <v>45</v>
      </c>
      <c r="F414" t="s">
        <v>44</v>
      </c>
      <c r="G414" t="s">
        <v>17</v>
      </c>
      <c r="H414" t="s">
        <v>66</v>
      </c>
      <c r="I414" t="s">
        <v>28</v>
      </c>
      <c r="J414" t="s">
        <v>55</v>
      </c>
      <c r="K414" t="s">
        <v>54</v>
      </c>
      <c r="L414" t="s">
        <v>42</v>
      </c>
      <c r="M414" t="s">
        <v>11</v>
      </c>
      <c r="N414" t="s">
        <v>75</v>
      </c>
      <c r="O414" t="s">
        <v>101</v>
      </c>
      <c r="P414" t="s">
        <v>39</v>
      </c>
      <c r="Q414" t="s">
        <v>7</v>
      </c>
      <c r="R414" t="s">
        <v>6</v>
      </c>
      <c r="S414">
        <v>4</v>
      </c>
      <c r="T414">
        <v>3</v>
      </c>
      <c r="U414">
        <v>180</v>
      </c>
      <c r="V414" t="s">
        <v>5</v>
      </c>
      <c r="W414" t="s">
        <v>5</v>
      </c>
      <c r="X414" t="s">
        <v>0</v>
      </c>
      <c r="Y414" t="s">
        <v>4</v>
      </c>
      <c r="Z414" t="s">
        <v>5</v>
      </c>
      <c r="AA414">
        <v>74.209999999999994</v>
      </c>
      <c r="AB414">
        <v>0.49</v>
      </c>
      <c r="AC414">
        <v>0</v>
      </c>
      <c r="AD414" t="s">
        <v>37</v>
      </c>
      <c r="AE414" t="s">
        <v>5</v>
      </c>
      <c r="AF414" t="s">
        <v>37</v>
      </c>
      <c r="AG414" t="s">
        <v>139</v>
      </c>
      <c r="AH414">
        <v>17</v>
      </c>
      <c r="AI414" t="s">
        <v>23</v>
      </c>
      <c r="AJ414">
        <v>3</v>
      </c>
      <c r="AK414">
        <v>22</v>
      </c>
      <c r="AL414">
        <v>46</v>
      </c>
      <c r="AM414" t="s">
        <v>5</v>
      </c>
      <c r="AN414">
        <v>1</v>
      </c>
      <c r="AO414">
        <v>1</v>
      </c>
      <c r="AP414">
        <v>0</v>
      </c>
      <c r="AQ414">
        <v>1</v>
      </c>
    </row>
    <row r="415" spans="1:43" x14ac:dyDescent="0.25">
      <c r="A415" t="s">
        <v>2860</v>
      </c>
      <c r="B415" t="s">
        <v>1076</v>
      </c>
      <c r="C415" t="s">
        <v>2859</v>
      </c>
      <c r="D415" s="1">
        <v>45925</v>
      </c>
      <c r="E415" t="s">
        <v>125</v>
      </c>
      <c r="F415" t="s">
        <v>132</v>
      </c>
      <c r="G415" t="s">
        <v>56</v>
      </c>
      <c r="H415" t="s">
        <v>29</v>
      </c>
      <c r="I415" t="s">
        <v>15</v>
      </c>
      <c r="J415" t="s">
        <v>55</v>
      </c>
      <c r="K415" t="s">
        <v>54</v>
      </c>
      <c r="L415" t="s">
        <v>88</v>
      </c>
      <c r="M415" t="s">
        <v>11</v>
      </c>
      <c r="N415" t="s">
        <v>52</v>
      </c>
      <c r="O415" t="s">
        <v>101</v>
      </c>
      <c r="P415" t="s">
        <v>39</v>
      </c>
      <c r="Q415" t="s">
        <v>198</v>
      </c>
      <c r="R415" t="s">
        <v>6</v>
      </c>
      <c r="S415">
        <v>4</v>
      </c>
      <c r="T415">
        <v>2</v>
      </c>
      <c r="U415">
        <v>109</v>
      </c>
      <c r="V415" t="s">
        <v>5</v>
      </c>
      <c r="W415" t="s">
        <v>5</v>
      </c>
      <c r="X415" t="s">
        <v>0</v>
      </c>
      <c r="Y415" t="s">
        <v>4</v>
      </c>
      <c r="Z415" t="s">
        <v>5</v>
      </c>
      <c r="AA415">
        <v>80.12</v>
      </c>
      <c r="AB415">
        <v>0.44</v>
      </c>
      <c r="AC415">
        <v>0</v>
      </c>
      <c r="AD415" t="s">
        <v>3</v>
      </c>
      <c r="AE415" t="s">
        <v>0</v>
      </c>
      <c r="AF415" t="s">
        <v>3</v>
      </c>
      <c r="AG415" t="s">
        <v>2</v>
      </c>
      <c r="AI415" t="s">
        <v>23</v>
      </c>
      <c r="AJ415">
        <v>3</v>
      </c>
      <c r="AK415">
        <v>-24</v>
      </c>
      <c r="AL415">
        <v>31</v>
      </c>
      <c r="AM415" t="s">
        <v>0</v>
      </c>
      <c r="AN415">
        <v>1</v>
      </c>
      <c r="AO415">
        <v>1</v>
      </c>
      <c r="AP415">
        <v>0</v>
      </c>
      <c r="AQ415">
        <v>0</v>
      </c>
    </row>
    <row r="416" spans="1:43" x14ac:dyDescent="0.25">
      <c r="A416" t="s">
        <v>1050</v>
      </c>
      <c r="B416" t="s">
        <v>1049</v>
      </c>
      <c r="C416" t="s">
        <v>1048</v>
      </c>
      <c r="D416" s="1">
        <v>46094</v>
      </c>
      <c r="E416" t="s">
        <v>95</v>
      </c>
      <c r="F416" t="s">
        <v>118</v>
      </c>
      <c r="G416" t="s">
        <v>123</v>
      </c>
      <c r="H416" t="s">
        <v>29</v>
      </c>
      <c r="I416" t="s">
        <v>15</v>
      </c>
      <c r="J416" t="s">
        <v>14</v>
      </c>
      <c r="K416" t="s">
        <v>13</v>
      </c>
      <c r="L416" t="s">
        <v>64</v>
      </c>
      <c r="M416" t="s">
        <v>11</v>
      </c>
      <c r="N416" t="s">
        <v>269</v>
      </c>
      <c r="O416" t="s">
        <v>26</v>
      </c>
      <c r="P416" t="s">
        <v>39</v>
      </c>
      <c r="Q416" t="s">
        <v>24</v>
      </c>
      <c r="R416" t="s">
        <v>38</v>
      </c>
      <c r="S416">
        <v>4</v>
      </c>
      <c r="T416">
        <v>2</v>
      </c>
      <c r="U416">
        <v>199</v>
      </c>
      <c r="V416" t="s">
        <v>5</v>
      </c>
      <c r="W416" t="s">
        <v>5</v>
      </c>
      <c r="X416" t="s">
        <v>5</v>
      </c>
      <c r="Y416" t="s">
        <v>62</v>
      </c>
      <c r="Z416" t="s">
        <v>5</v>
      </c>
      <c r="AA416">
        <v>171.32</v>
      </c>
      <c r="AB416">
        <v>0.17</v>
      </c>
      <c r="AC416">
        <v>0</v>
      </c>
      <c r="AD416" t="s">
        <v>436</v>
      </c>
      <c r="AE416" t="s">
        <v>5</v>
      </c>
      <c r="AF416" t="s">
        <v>436</v>
      </c>
      <c r="AG416" t="s">
        <v>36</v>
      </c>
      <c r="AH416">
        <v>62</v>
      </c>
      <c r="AI416" t="s">
        <v>23</v>
      </c>
      <c r="AJ416">
        <v>3</v>
      </c>
      <c r="AK416">
        <v>-18</v>
      </c>
      <c r="AL416" t="s">
        <v>204</v>
      </c>
      <c r="AM416" t="s">
        <v>0</v>
      </c>
      <c r="AN416">
        <v>1</v>
      </c>
      <c r="AO416">
        <v>1</v>
      </c>
      <c r="AP416">
        <v>1</v>
      </c>
      <c r="AQ416">
        <v>0</v>
      </c>
    </row>
    <row r="417" spans="1:43" x14ac:dyDescent="0.25">
      <c r="A417" t="s">
        <v>2858</v>
      </c>
      <c r="B417" t="s">
        <v>2043</v>
      </c>
      <c r="C417" t="s">
        <v>2857</v>
      </c>
      <c r="D417" s="1">
        <v>45939</v>
      </c>
      <c r="E417" t="s">
        <v>45</v>
      </c>
      <c r="F417" t="s">
        <v>348</v>
      </c>
      <c r="G417" t="s">
        <v>110</v>
      </c>
      <c r="H417" t="s">
        <v>66</v>
      </c>
      <c r="I417" t="s">
        <v>15</v>
      </c>
      <c r="J417" t="s">
        <v>55</v>
      </c>
      <c r="K417" t="s">
        <v>54</v>
      </c>
      <c r="L417" t="s">
        <v>64</v>
      </c>
      <c r="M417" t="s">
        <v>11</v>
      </c>
      <c r="N417" t="s">
        <v>52</v>
      </c>
      <c r="O417" t="s">
        <v>26</v>
      </c>
      <c r="P417" t="s">
        <v>39</v>
      </c>
      <c r="Q417" t="s">
        <v>7</v>
      </c>
      <c r="R417" t="s">
        <v>6</v>
      </c>
      <c r="S417">
        <v>4</v>
      </c>
      <c r="T417">
        <v>4</v>
      </c>
      <c r="U417">
        <v>101</v>
      </c>
      <c r="V417" t="s">
        <v>0</v>
      </c>
      <c r="W417" t="s">
        <v>5</v>
      </c>
      <c r="X417" t="s">
        <v>0</v>
      </c>
      <c r="Y417" t="s">
        <v>4</v>
      </c>
      <c r="Z417" t="s">
        <v>0</v>
      </c>
      <c r="AA417">
        <v>0</v>
      </c>
      <c r="AB417">
        <v>0</v>
      </c>
      <c r="AC417">
        <v>0</v>
      </c>
      <c r="AD417" t="s">
        <v>3</v>
      </c>
      <c r="AE417" t="s">
        <v>0</v>
      </c>
      <c r="AF417" t="s">
        <v>3</v>
      </c>
      <c r="AG417" t="s">
        <v>2</v>
      </c>
      <c r="AI417" t="s">
        <v>23</v>
      </c>
      <c r="AJ417">
        <v>4</v>
      </c>
      <c r="AK417">
        <v>54</v>
      </c>
      <c r="AL417">
        <v>26</v>
      </c>
      <c r="AM417" t="s">
        <v>0</v>
      </c>
      <c r="AN417">
        <v>1</v>
      </c>
      <c r="AO417">
        <v>0</v>
      </c>
      <c r="AP417">
        <v>0</v>
      </c>
      <c r="AQ417">
        <v>0</v>
      </c>
    </row>
    <row r="418" spans="1:43" x14ac:dyDescent="0.25">
      <c r="A418" t="s">
        <v>2856</v>
      </c>
      <c r="B418" t="s">
        <v>1231</v>
      </c>
      <c r="C418" t="s">
        <v>2855</v>
      </c>
      <c r="D418" s="1">
        <v>45834</v>
      </c>
      <c r="E418" t="s">
        <v>168</v>
      </c>
      <c r="F418" t="s">
        <v>283</v>
      </c>
      <c r="G418" t="s">
        <v>83</v>
      </c>
      <c r="H418" t="s">
        <v>29</v>
      </c>
      <c r="I418" t="s">
        <v>15</v>
      </c>
      <c r="J418" t="s">
        <v>14</v>
      </c>
      <c r="K418" t="s">
        <v>13</v>
      </c>
      <c r="L418" t="s">
        <v>12</v>
      </c>
      <c r="M418" t="s">
        <v>11</v>
      </c>
      <c r="N418" t="s">
        <v>154</v>
      </c>
      <c r="O418" t="s">
        <v>74</v>
      </c>
      <c r="P418" t="s">
        <v>39</v>
      </c>
      <c r="Q418" t="s">
        <v>7</v>
      </c>
      <c r="R418" t="s">
        <v>6</v>
      </c>
      <c r="S418">
        <v>6</v>
      </c>
      <c r="T418">
        <v>6</v>
      </c>
      <c r="U418">
        <v>190</v>
      </c>
      <c r="V418" t="s">
        <v>0</v>
      </c>
      <c r="W418" t="s">
        <v>5</v>
      </c>
      <c r="X418" t="s">
        <v>0</v>
      </c>
      <c r="Y418" t="s">
        <v>4</v>
      </c>
      <c r="Z418" t="s">
        <v>0</v>
      </c>
      <c r="AA418">
        <v>0</v>
      </c>
      <c r="AB418">
        <v>0</v>
      </c>
      <c r="AC418">
        <v>0</v>
      </c>
      <c r="AD418" t="s">
        <v>3</v>
      </c>
      <c r="AE418" t="s">
        <v>0</v>
      </c>
      <c r="AF418" t="s">
        <v>3</v>
      </c>
      <c r="AG418" t="s">
        <v>2</v>
      </c>
      <c r="AI418" t="s">
        <v>23</v>
      </c>
      <c r="AJ418">
        <v>3</v>
      </c>
      <c r="AK418">
        <v>-17</v>
      </c>
      <c r="AL418">
        <v>44</v>
      </c>
      <c r="AM418" t="s">
        <v>5</v>
      </c>
      <c r="AN418">
        <v>1</v>
      </c>
      <c r="AO418">
        <v>0</v>
      </c>
      <c r="AP418">
        <v>0</v>
      </c>
      <c r="AQ418">
        <v>1</v>
      </c>
    </row>
    <row r="419" spans="1:43" x14ac:dyDescent="0.25">
      <c r="A419" t="s">
        <v>2854</v>
      </c>
      <c r="B419" t="s">
        <v>1493</v>
      </c>
      <c r="C419" t="s">
        <v>2853</v>
      </c>
      <c r="D419" s="1">
        <v>46024</v>
      </c>
      <c r="E419" t="s">
        <v>125</v>
      </c>
      <c r="F419" t="s">
        <v>140</v>
      </c>
      <c r="G419" t="s">
        <v>123</v>
      </c>
      <c r="H419" t="s">
        <v>29</v>
      </c>
      <c r="I419" t="s">
        <v>15</v>
      </c>
      <c r="J419" t="s">
        <v>55</v>
      </c>
      <c r="K419" t="s">
        <v>54</v>
      </c>
      <c r="L419" t="s">
        <v>42</v>
      </c>
      <c r="M419" t="s">
        <v>11</v>
      </c>
      <c r="N419" t="s">
        <v>93</v>
      </c>
      <c r="O419" t="s">
        <v>26</v>
      </c>
      <c r="P419" t="s">
        <v>25</v>
      </c>
      <c r="Q419" t="s">
        <v>24</v>
      </c>
      <c r="R419" t="s">
        <v>6</v>
      </c>
      <c r="S419">
        <v>4</v>
      </c>
      <c r="T419" t="s">
        <v>99</v>
      </c>
      <c r="U419">
        <v>102</v>
      </c>
      <c r="V419" t="s">
        <v>0</v>
      </c>
      <c r="W419" t="s">
        <v>0</v>
      </c>
      <c r="X419" t="s">
        <v>0</v>
      </c>
      <c r="Y419" t="s">
        <v>4</v>
      </c>
      <c r="Z419" t="s">
        <v>0</v>
      </c>
      <c r="AA419">
        <v>0</v>
      </c>
      <c r="AB419">
        <v>0</v>
      </c>
      <c r="AC419">
        <v>0</v>
      </c>
      <c r="AD419" t="s">
        <v>3</v>
      </c>
      <c r="AE419" t="s">
        <v>0</v>
      </c>
      <c r="AF419" t="s">
        <v>3</v>
      </c>
      <c r="AG419" t="s">
        <v>2</v>
      </c>
      <c r="AI419" t="s">
        <v>23</v>
      </c>
      <c r="AJ419">
        <v>3</v>
      </c>
      <c r="AK419">
        <v>20</v>
      </c>
      <c r="AL419">
        <v>17</v>
      </c>
      <c r="AM419" t="s">
        <v>5</v>
      </c>
      <c r="AN419">
        <v>0</v>
      </c>
      <c r="AO419">
        <v>0</v>
      </c>
      <c r="AP419">
        <v>0</v>
      </c>
      <c r="AQ419">
        <v>1</v>
      </c>
    </row>
    <row r="420" spans="1:43" x14ac:dyDescent="0.25">
      <c r="A420" t="s">
        <v>2852</v>
      </c>
      <c r="B420" t="s">
        <v>2498</v>
      </c>
      <c r="C420" t="s">
        <v>2851</v>
      </c>
      <c r="D420" s="1">
        <v>45963</v>
      </c>
      <c r="E420" t="s">
        <v>168</v>
      </c>
      <c r="F420" t="s">
        <v>233</v>
      </c>
      <c r="G420" t="s">
        <v>17</v>
      </c>
      <c r="H420" t="s">
        <v>16</v>
      </c>
      <c r="I420" t="s">
        <v>15</v>
      </c>
      <c r="J420" t="s">
        <v>55</v>
      </c>
      <c r="K420" t="s">
        <v>65</v>
      </c>
      <c r="L420" t="s">
        <v>88</v>
      </c>
      <c r="M420" t="s">
        <v>53</v>
      </c>
      <c r="N420" t="s">
        <v>269</v>
      </c>
      <c r="O420" t="s">
        <v>40</v>
      </c>
      <c r="P420" t="s">
        <v>8</v>
      </c>
      <c r="Q420" t="s">
        <v>7</v>
      </c>
      <c r="R420" t="s">
        <v>6</v>
      </c>
      <c r="S420">
        <v>8</v>
      </c>
      <c r="T420">
        <v>6</v>
      </c>
      <c r="U420">
        <v>224</v>
      </c>
      <c r="V420" t="s">
        <v>5</v>
      </c>
      <c r="W420" t="s">
        <v>0</v>
      </c>
      <c r="X420" t="s">
        <v>0</v>
      </c>
      <c r="Y420" t="s">
        <v>4</v>
      </c>
      <c r="Z420" t="s">
        <v>5</v>
      </c>
      <c r="AA420">
        <v>419.88</v>
      </c>
      <c r="AB420">
        <v>2.61</v>
      </c>
      <c r="AC420">
        <v>0.17</v>
      </c>
      <c r="AD420" t="s">
        <v>3</v>
      </c>
      <c r="AE420" t="s">
        <v>0</v>
      </c>
      <c r="AF420" t="s">
        <v>3</v>
      </c>
      <c r="AG420" t="s">
        <v>2</v>
      </c>
      <c r="AI420" t="s">
        <v>1</v>
      </c>
      <c r="AJ420">
        <v>2</v>
      </c>
      <c r="AK420">
        <v>9</v>
      </c>
      <c r="AL420">
        <v>36</v>
      </c>
      <c r="AM420" t="s">
        <v>0</v>
      </c>
      <c r="AN420">
        <v>0</v>
      </c>
      <c r="AO420">
        <v>1</v>
      </c>
      <c r="AP420">
        <v>0</v>
      </c>
      <c r="AQ420">
        <v>0</v>
      </c>
    </row>
    <row r="421" spans="1:43" x14ac:dyDescent="0.25">
      <c r="A421" t="s">
        <v>2850</v>
      </c>
      <c r="B421" t="s">
        <v>708</v>
      </c>
      <c r="C421" t="s">
        <v>2849</v>
      </c>
      <c r="D421" s="1">
        <v>45786</v>
      </c>
      <c r="E421" t="s">
        <v>162</v>
      </c>
      <c r="F421" t="s">
        <v>2249</v>
      </c>
      <c r="G421" t="s">
        <v>131</v>
      </c>
      <c r="H421" t="s">
        <v>16</v>
      </c>
      <c r="I421" t="s">
        <v>147</v>
      </c>
      <c r="J421" t="s">
        <v>55</v>
      </c>
      <c r="K421" t="s">
        <v>54</v>
      </c>
      <c r="L421" t="s">
        <v>64</v>
      </c>
      <c r="M421" t="s">
        <v>299</v>
      </c>
      <c r="N421" t="s">
        <v>269</v>
      </c>
      <c r="O421" t="s">
        <v>101</v>
      </c>
      <c r="P421" t="s">
        <v>39</v>
      </c>
      <c r="Q421" t="s">
        <v>7</v>
      </c>
      <c r="R421" t="s">
        <v>6</v>
      </c>
      <c r="S421">
        <v>4</v>
      </c>
      <c r="T421">
        <v>4</v>
      </c>
      <c r="U421">
        <v>87</v>
      </c>
      <c r="V421" t="s">
        <v>0</v>
      </c>
      <c r="W421" t="s">
        <v>0</v>
      </c>
      <c r="X421" t="s">
        <v>0</v>
      </c>
      <c r="Y421" t="s">
        <v>4</v>
      </c>
      <c r="Z421" t="s">
        <v>5</v>
      </c>
      <c r="AA421">
        <v>88.52</v>
      </c>
      <c r="AB421">
        <v>0.49</v>
      </c>
      <c r="AC421">
        <v>0</v>
      </c>
      <c r="AD421" t="s">
        <v>3</v>
      </c>
      <c r="AE421" t="s">
        <v>0</v>
      </c>
      <c r="AF421" t="s">
        <v>3</v>
      </c>
      <c r="AG421" t="s">
        <v>2</v>
      </c>
      <c r="AI421" t="s">
        <v>23</v>
      </c>
      <c r="AJ421">
        <v>4</v>
      </c>
      <c r="AK421">
        <v>30</v>
      </c>
      <c r="AL421">
        <v>26</v>
      </c>
      <c r="AM421" t="s">
        <v>0</v>
      </c>
      <c r="AN421">
        <v>0</v>
      </c>
      <c r="AO421">
        <v>1</v>
      </c>
      <c r="AP421">
        <v>0</v>
      </c>
      <c r="AQ421">
        <v>0</v>
      </c>
    </row>
    <row r="422" spans="1:43" x14ac:dyDescent="0.25">
      <c r="A422" t="s">
        <v>2848</v>
      </c>
      <c r="B422" t="s">
        <v>2847</v>
      </c>
      <c r="C422" t="s">
        <v>2846</v>
      </c>
      <c r="D422" s="1">
        <v>45884</v>
      </c>
      <c r="E422" t="s">
        <v>45</v>
      </c>
      <c r="F422" t="s">
        <v>1335</v>
      </c>
      <c r="G422" t="s">
        <v>56</v>
      </c>
      <c r="H422" t="s">
        <v>29</v>
      </c>
      <c r="I422" t="s">
        <v>15</v>
      </c>
      <c r="J422" t="s">
        <v>55</v>
      </c>
      <c r="K422" t="s">
        <v>54</v>
      </c>
      <c r="L422" t="s">
        <v>12</v>
      </c>
      <c r="M422" t="s">
        <v>53</v>
      </c>
      <c r="N422" t="s">
        <v>52</v>
      </c>
      <c r="O422" t="s">
        <v>51</v>
      </c>
      <c r="P422" t="s">
        <v>39</v>
      </c>
      <c r="Q422" t="s">
        <v>50</v>
      </c>
      <c r="R422" t="s">
        <v>38</v>
      </c>
      <c r="S422">
        <v>6</v>
      </c>
      <c r="T422">
        <v>6</v>
      </c>
      <c r="U422">
        <v>179</v>
      </c>
      <c r="V422" t="s">
        <v>0</v>
      </c>
      <c r="W422" t="s">
        <v>5</v>
      </c>
      <c r="X422" t="s">
        <v>247</v>
      </c>
      <c r="Y422" t="s">
        <v>49</v>
      </c>
      <c r="Z422" t="s">
        <v>0</v>
      </c>
      <c r="AA422">
        <v>0</v>
      </c>
      <c r="AB422">
        <v>0</v>
      </c>
      <c r="AC422">
        <v>0</v>
      </c>
      <c r="AD422" t="s">
        <v>3</v>
      </c>
      <c r="AE422" t="s">
        <v>0</v>
      </c>
      <c r="AF422" t="s">
        <v>3</v>
      </c>
      <c r="AG422" t="s">
        <v>2</v>
      </c>
      <c r="AI422" t="s">
        <v>23</v>
      </c>
      <c r="AJ422">
        <v>3</v>
      </c>
      <c r="AK422">
        <v>8</v>
      </c>
      <c r="AL422">
        <v>1</v>
      </c>
      <c r="AM422" t="s">
        <v>5</v>
      </c>
      <c r="AN422">
        <v>1</v>
      </c>
      <c r="AO422">
        <v>0</v>
      </c>
      <c r="AP422">
        <v>0</v>
      </c>
      <c r="AQ422">
        <v>1</v>
      </c>
    </row>
    <row r="423" spans="1:43" x14ac:dyDescent="0.25">
      <c r="A423" t="s">
        <v>2845</v>
      </c>
      <c r="B423" t="s">
        <v>2098</v>
      </c>
      <c r="C423" t="s">
        <v>2844</v>
      </c>
      <c r="D423" s="1">
        <v>46127</v>
      </c>
      <c r="E423" t="s">
        <v>19</v>
      </c>
      <c r="F423" t="s">
        <v>18</v>
      </c>
      <c r="G423" t="s">
        <v>110</v>
      </c>
      <c r="H423" t="s">
        <v>16</v>
      </c>
      <c r="I423" t="s">
        <v>15</v>
      </c>
      <c r="J423" t="s">
        <v>146</v>
      </c>
      <c r="K423" t="s">
        <v>460</v>
      </c>
      <c r="L423" t="s">
        <v>42</v>
      </c>
      <c r="M423" t="s">
        <v>53</v>
      </c>
      <c r="N423" t="s">
        <v>75</v>
      </c>
      <c r="O423" t="s">
        <v>51</v>
      </c>
      <c r="P423" t="s">
        <v>39</v>
      </c>
      <c r="Q423" t="s">
        <v>24</v>
      </c>
      <c r="R423" t="s">
        <v>38</v>
      </c>
      <c r="S423">
        <v>6</v>
      </c>
      <c r="T423">
        <v>6</v>
      </c>
      <c r="U423">
        <v>134</v>
      </c>
      <c r="V423" t="s">
        <v>0</v>
      </c>
      <c r="W423" t="s">
        <v>0</v>
      </c>
      <c r="X423" t="s">
        <v>0</v>
      </c>
      <c r="Y423" t="s">
        <v>4</v>
      </c>
      <c r="Z423" t="s">
        <v>0</v>
      </c>
      <c r="AA423">
        <v>0</v>
      </c>
      <c r="AB423">
        <v>0</v>
      </c>
      <c r="AC423">
        <v>0</v>
      </c>
      <c r="AD423" t="s">
        <v>3</v>
      </c>
      <c r="AE423" t="s">
        <v>0</v>
      </c>
      <c r="AF423" t="s">
        <v>3</v>
      </c>
      <c r="AG423" t="s">
        <v>2</v>
      </c>
      <c r="AI423" t="s">
        <v>23</v>
      </c>
      <c r="AJ423">
        <v>4</v>
      </c>
      <c r="AK423">
        <v>32</v>
      </c>
      <c r="AL423">
        <v>54</v>
      </c>
      <c r="AM423" t="s">
        <v>0</v>
      </c>
      <c r="AN423">
        <v>0</v>
      </c>
      <c r="AO423">
        <v>0</v>
      </c>
      <c r="AP423">
        <v>0</v>
      </c>
      <c r="AQ423">
        <v>0</v>
      </c>
    </row>
    <row r="424" spans="1:43" x14ac:dyDescent="0.25">
      <c r="A424" t="s">
        <v>2843</v>
      </c>
      <c r="B424" t="s">
        <v>1680</v>
      </c>
      <c r="C424" t="s">
        <v>2842</v>
      </c>
      <c r="D424" s="1">
        <v>45970</v>
      </c>
      <c r="E424" t="s">
        <v>162</v>
      </c>
      <c r="F424" t="s">
        <v>200</v>
      </c>
      <c r="G424" t="s">
        <v>17</v>
      </c>
      <c r="H424" t="s">
        <v>77</v>
      </c>
      <c r="I424" t="s">
        <v>15</v>
      </c>
      <c r="J424" t="s">
        <v>14</v>
      </c>
      <c r="K424" t="s">
        <v>13</v>
      </c>
      <c r="L424" t="s">
        <v>42</v>
      </c>
      <c r="M424" t="s">
        <v>53</v>
      </c>
      <c r="N424" t="s">
        <v>75</v>
      </c>
      <c r="O424" t="s">
        <v>51</v>
      </c>
      <c r="P424" t="s">
        <v>39</v>
      </c>
      <c r="Q424" t="s">
        <v>24</v>
      </c>
      <c r="R424" t="s">
        <v>38</v>
      </c>
      <c r="S424">
        <v>6</v>
      </c>
      <c r="T424" t="s">
        <v>99</v>
      </c>
      <c r="U424">
        <v>184</v>
      </c>
      <c r="V424" t="s">
        <v>5</v>
      </c>
      <c r="W424" t="s">
        <v>5</v>
      </c>
      <c r="X424" t="s">
        <v>0</v>
      </c>
      <c r="Y424" t="s">
        <v>4</v>
      </c>
      <c r="Z424" t="s">
        <v>5</v>
      </c>
      <c r="AA424">
        <v>0.59</v>
      </c>
      <c r="AB424">
        <v>0.11</v>
      </c>
      <c r="AC424">
        <v>0.17</v>
      </c>
      <c r="AD424" t="s">
        <v>3</v>
      </c>
      <c r="AE424" t="s">
        <v>0</v>
      </c>
      <c r="AF424" t="s">
        <v>3</v>
      </c>
      <c r="AG424" t="s">
        <v>2</v>
      </c>
      <c r="AI424" t="s">
        <v>23</v>
      </c>
      <c r="AJ424">
        <v>4</v>
      </c>
      <c r="AK424">
        <v>1</v>
      </c>
      <c r="AL424">
        <v>30</v>
      </c>
      <c r="AM424" t="s">
        <v>5</v>
      </c>
      <c r="AN424">
        <v>1</v>
      </c>
      <c r="AO424">
        <v>1</v>
      </c>
      <c r="AP424">
        <v>0</v>
      </c>
      <c r="AQ424">
        <v>1</v>
      </c>
    </row>
    <row r="425" spans="1:43" x14ac:dyDescent="0.25">
      <c r="A425" t="s">
        <v>2841</v>
      </c>
      <c r="B425" t="s">
        <v>2840</v>
      </c>
      <c r="C425" t="s">
        <v>2839</v>
      </c>
      <c r="D425" s="1">
        <v>45742</v>
      </c>
      <c r="E425" t="s">
        <v>79</v>
      </c>
      <c r="F425" t="s">
        <v>102</v>
      </c>
      <c r="G425" t="s">
        <v>17</v>
      </c>
      <c r="H425" t="s">
        <v>43</v>
      </c>
      <c r="I425" t="s">
        <v>15</v>
      </c>
      <c r="J425" t="s">
        <v>14</v>
      </c>
      <c r="K425" t="s">
        <v>76</v>
      </c>
      <c r="L425" t="s">
        <v>64</v>
      </c>
      <c r="M425" t="s">
        <v>11</v>
      </c>
      <c r="N425" t="s">
        <v>52</v>
      </c>
      <c r="O425" t="s">
        <v>26</v>
      </c>
      <c r="P425" t="s">
        <v>39</v>
      </c>
      <c r="Q425" t="s">
        <v>50</v>
      </c>
      <c r="R425" t="s">
        <v>38</v>
      </c>
      <c r="S425">
        <v>4</v>
      </c>
      <c r="T425">
        <v>4</v>
      </c>
      <c r="U425">
        <v>100</v>
      </c>
      <c r="V425" t="s">
        <v>0</v>
      </c>
      <c r="W425" t="s">
        <v>5</v>
      </c>
      <c r="X425" t="s">
        <v>0</v>
      </c>
      <c r="Y425" t="s">
        <v>4</v>
      </c>
      <c r="Z425" t="s">
        <v>5</v>
      </c>
      <c r="AA425">
        <v>192.03</v>
      </c>
      <c r="AB425">
        <v>0.18</v>
      </c>
      <c r="AC425">
        <v>0</v>
      </c>
      <c r="AD425" t="s">
        <v>37</v>
      </c>
      <c r="AE425" t="s">
        <v>5</v>
      </c>
      <c r="AF425" t="s">
        <v>37</v>
      </c>
      <c r="AG425" t="s">
        <v>36</v>
      </c>
      <c r="AH425">
        <v>37</v>
      </c>
      <c r="AI425" t="s">
        <v>23</v>
      </c>
      <c r="AJ425">
        <v>4</v>
      </c>
      <c r="AK425">
        <v>12</v>
      </c>
      <c r="AL425">
        <v>14</v>
      </c>
      <c r="AM425" t="s">
        <v>5</v>
      </c>
      <c r="AN425">
        <v>1</v>
      </c>
      <c r="AO425">
        <v>1</v>
      </c>
      <c r="AP425">
        <v>0</v>
      </c>
      <c r="AQ425">
        <v>1</v>
      </c>
    </row>
    <row r="426" spans="1:43" x14ac:dyDescent="0.25">
      <c r="A426" t="s">
        <v>2838</v>
      </c>
      <c r="B426" t="s">
        <v>2837</v>
      </c>
      <c r="C426" t="s">
        <v>2836</v>
      </c>
      <c r="D426" s="1">
        <v>45764</v>
      </c>
      <c r="E426" t="s">
        <v>32</v>
      </c>
      <c r="F426" t="s">
        <v>382</v>
      </c>
      <c r="G426" t="s">
        <v>30</v>
      </c>
      <c r="H426" t="s">
        <v>16</v>
      </c>
      <c r="I426" t="s">
        <v>28</v>
      </c>
      <c r="J426" t="s">
        <v>14</v>
      </c>
      <c r="K426" t="s">
        <v>13</v>
      </c>
      <c r="L426" t="s">
        <v>42</v>
      </c>
      <c r="M426" t="s">
        <v>11</v>
      </c>
      <c r="N426" t="s">
        <v>52</v>
      </c>
      <c r="O426" t="s">
        <v>40</v>
      </c>
      <c r="P426" t="s">
        <v>8</v>
      </c>
      <c r="Q426" t="s">
        <v>7</v>
      </c>
      <c r="R426" t="s">
        <v>6</v>
      </c>
      <c r="S426">
        <v>8</v>
      </c>
      <c r="T426">
        <v>8</v>
      </c>
      <c r="U426">
        <v>192</v>
      </c>
      <c r="V426" t="s">
        <v>0</v>
      </c>
      <c r="W426" t="s">
        <v>0</v>
      </c>
      <c r="X426" t="s">
        <v>0</v>
      </c>
      <c r="Y426" t="s">
        <v>4</v>
      </c>
      <c r="Z426" t="s">
        <v>0</v>
      </c>
      <c r="AA426">
        <v>0</v>
      </c>
      <c r="AB426">
        <v>0</v>
      </c>
      <c r="AC426">
        <v>0</v>
      </c>
      <c r="AD426" t="s">
        <v>3</v>
      </c>
      <c r="AE426" t="s">
        <v>0</v>
      </c>
      <c r="AF426" t="s">
        <v>3</v>
      </c>
      <c r="AG426" t="s">
        <v>2</v>
      </c>
      <c r="AI426" t="s">
        <v>1</v>
      </c>
      <c r="AJ426">
        <v>3</v>
      </c>
      <c r="AK426">
        <v>-16</v>
      </c>
      <c r="AL426">
        <v>43</v>
      </c>
      <c r="AM426" t="s">
        <v>5</v>
      </c>
      <c r="AN426">
        <v>0</v>
      </c>
      <c r="AO426">
        <v>0</v>
      </c>
      <c r="AP426">
        <v>0</v>
      </c>
      <c r="AQ426">
        <v>1</v>
      </c>
    </row>
    <row r="427" spans="1:43" x14ac:dyDescent="0.25">
      <c r="A427" t="s">
        <v>2835</v>
      </c>
      <c r="B427" t="s">
        <v>2834</v>
      </c>
      <c r="C427" t="s">
        <v>2833</v>
      </c>
      <c r="D427" s="1">
        <v>46130</v>
      </c>
      <c r="E427" t="s">
        <v>125</v>
      </c>
      <c r="F427" t="s">
        <v>265</v>
      </c>
      <c r="G427" t="s">
        <v>56</v>
      </c>
      <c r="H427" t="s">
        <v>237</v>
      </c>
      <c r="I427" t="s">
        <v>15</v>
      </c>
      <c r="J427" t="s">
        <v>55</v>
      </c>
      <c r="K427" t="s">
        <v>54</v>
      </c>
      <c r="L427" t="s">
        <v>88</v>
      </c>
      <c r="M427" t="s">
        <v>11</v>
      </c>
      <c r="N427" t="s">
        <v>10</v>
      </c>
      <c r="O427" t="s">
        <v>101</v>
      </c>
      <c r="P427" t="s">
        <v>39</v>
      </c>
      <c r="Q427" t="s">
        <v>24</v>
      </c>
      <c r="R427" t="s">
        <v>6</v>
      </c>
      <c r="S427">
        <v>4</v>
      </c>
      <c r="T427">
        <v>4</v>
      </c>
      <c r="U427">
        <v>115</v>
      </c>
      <c r="V427" t="s">
        <v>0</v>
      </c>
      <c r="W427" t="s">
        <v>5</v>
      </c>
      <c r="X427" t="s">
        <v>5</v>
      </c>
      <c r="Y427" t="s">
        <v>1163</v>
      </c>
      <c r="Z427" t="s">
        <v>5</v>
      </c>
      <c r="AA427">
        <v>110.88</v>
      </c>
      <c r="AB427">
        <v>0.47</v>
      </c>
      <c r="AC427">
        <v>0</v>
      </c>
      <c r="AD427" t="s">
        <v>61</v>
      </c>
      <c r="AE427" t="s">
        <v>247</v>
      </c>
      <c r="AF427" t="s">
        <v>61</v>
      </c>
      <c r="AG427" t="s">
        <v>36</v>
      </c>
      <c r="AH427">
        <v>11</v>
      </c>
      <c r="AI427" t="s">
        <v>23</v>
      </c>
      <c r="AJ427">
        <v>3</v>
      </c>
      <c r="AK427">
        <v>-23</v>
      </c>
      <c r="AL427">
        <v>49</v>
      </c>
      <c r="AM427" t="s">
        <v>0</v>
      </c>
      <c r="AN427">
        <v>1</v>
      </c>
      <c r="AO427">
        <v>1</v>
      </c>
      <c r="AP427">
        <v>1</v>
      </c>
      <c r="AQ427">
        <v>0</v>
      </c>
    </row>
    <row r="428" spans="1:43" x14ac:dyDescent="0.25">
      <c r="A428" t="s">
        <v>2832</v>
      </c>
      <c r="B428" t="s">
        <v>380</v>
      </c>
      <c r="C428" t="s">
        <v>2831</v>
      </c>
      <c r="D428" s="1">
        <v>46080</v>
      </c>
      <c r="E428" t="s">
        <v>149</v>
      </c>
      <c r="F428" t="s">
        <v>148</v>
      </c>
      <c r="G428" t="s">
        <v>123</v>
      </c>
      <c r="H428" t="s">
        <v>29</v>
      </c>
      <c r="I428" t="s">
        <v>963</v>
      </c>
      <c r="J428" t="s">
        <v>55</v>
      </c>
      <c r="K428" t="s">
        <v>54</v>
      </c>
      <c r="L428" t="s">
        <v>12</v>
      </c>
      <c r="M428" t="s">
        <v>11</v>
      </c>
      <c r="N428" t="s">
        <v>52</v>
      </c>
      <c r="O428" t="s">
        <v>9</v>
      </c>
      <c r="P428" t="s">
        <v>39</v>
      </c>
      <c r="Q428" t="s">
        <v>7</v>
      </c>
      <c r="R428" t="s">
        <v>6</v>
      </c>
      <c r="S428">
        <v>7</v>
      </c>
      <c r="T428">
        <v>7</v>
      </c>
      <c r="U428">
        <v>154</v>
      </c>
      <c r="V428" t="s">
        <v>0</v>
      </c>
      <c r="W428" t="s">
        <v>5</v>
      </c>
      <c r="X428" t="s">
        <v>0</v>
      </c>
      <c r="Y428" t="s">
        <v>4</v>
      </c>
      <c r="Z428" t="s">
        <v>5</v>
      </c>
      <c r="AA428">
        <v>0</v>
      </c>
      <c r="AB428">
        <v>0</v>
      </c>
      <c r="AC428">
        <v>0</v>
      </c>
      <c r="AD428" t="s">
        <v>1399</v>
      </c>
      <c r="AE428" t="s">
        <v>5</v>
      </c>
      <c r="AF428" t="s">
        <v>1399</v>
      </c>
      <c r="AG428" t="s">
        <v>36</v>
      </c>
      <c r="AH428">
        <v>33</v>
      </c>
      <c r="AI428" t="s">
        <v>23</v>
      </c>
      <c r="AJ428">
        <v>0</v>
      </c>
      <c r="AK428">
        <v>0</v>
      </c>
      <c r="AL428">
        <v>40</v>
      </c>
      <c r="AM428" t="s">
        <v>5</v>
      </c>
      <c r="AN428">
        <v>1</v>
      </c>
      <c r="AO428">
        <v>1</v>
      </c>
      <c r="AP428">
        <v>0</v>
      </c>
      <c r="AQ428">
        <v>1</v>
      </c>
    </row>
    <row r="429" spans="1:43" x14ac:dyDescent="0.25">
      <c r="A429" t="s">
        <v>2830</v>
      </c>
      <c r="B429" t="s">
        <v>2829</v>
      </c>
      <c r="C429" t="s">
        <v>2828</v>
      </c>
      <c r="D429" s="1">
        <v>46033</v>
      </c>
      <c r="E429" t="s">
        <v>125</v>
      </c>
      <c r="F429" t="s">
        <v>124</v>
      </c>
      <c r="G429" t="s">
        <v>30</v>
      </c>
      <c r="H429" t="s">
        <v>16</v>
      </c>
      <c r="I429" t="s">
        <v>28</v>
      </c>
      <c r="J429" t="s">
        <v>14</v>
      </c>
      <c r="K429" t="s">
        <v>13</v>
      </c>
      <c r="L429" t="s">
        <v>88</v>
      </c>
      <c r="M429" t="s">
        <v>11</v>
      </c>
      <c r="N429" t="s">
        <v>93</v>
      </c>
      <c r="O429" t="s">
        <v>101</v>
      </c>
      <c r="P429" t="s">
        <v>63</v>
      </c>
      <c r="Q429" t="s">
        <v>7</v>
      </c>
      <c r="R429" t="s">
        <v>6</v>
      </c>
      <c r="S429">
        <v>4</v>
      </c>
      <c r="T429">
        <v>4</v>
      </c>
      <c r="U429">
        <v>104</v>
      </c>
      <c r="V429" t="s">
        <v>0</v>
      </c>
      <c r="W429" t="s">
        <v>5</v>
      </c>
      <c r="X429" t="s">
        <v>0</v>
      </c>
      <c r="Y429" t="s">
        <v>4</v>
      </c>
      <c r="Z429" t="s">
        <v>5</v>
      </c>
      <c r="AA429">
        <v>37.19</v>
      </c>
      <c r="AB429">
        <v>0.49</v>
      </c>
      <c r="AC429">
        <v>0</v>
      </c>
      <c r="AD429" t="s">
        <v>3</v>
      </c>
      <c r="AE429" t="s">
        <v>0</v>
      </c>
      <c r="AF429" t="s">
        <v>3</v>
      </c>
      <c r="AG429" t="s">
        <v>2</v>
      </c>
      <c r="AI429" t="s">
        <v>23</v>
      </c>
      <c r="AJ429">
        <v>5</v>
      </c>
      <c r="AK429">
        <v>26</v>
      </c>
      <c r="AL429">
        <v>0</v>
      </c>
      <c r="AM429" t="s">
        <v>0</v>
      </c>
      <c r="AN429">
        <v>1</v>
      </c>
      <c r="AO429">
        <v>1</v>
      </c>
      <c r="AP429">
        <v>0</v>
      </c>
      <c r="AQ429">
        <v>0</v>
      </c>
    </row>
    <row r="430" spans="1:43" x14ac:dyDescent="0.25">
      <c r="A430" t="s">
        <v>2539</v>
      </c>
      <c r="B430" t="s">
        <v>2538</v>
      </c>
      <c r="C430" t="s">
        <v>2537</v>
      </c>
      <c r="D430" s="1">
        <v>45899</v>
      </c>
      <c r="E430" t="s">
        <v>79</v>
      </c>
      <c r="F430" t="s">
        <v>223</v>
      </c>
      <c r="G430" t="s">
        <v>17</v>
      </c>
      <c r="H430" t="s">
        <v>77</v>
      </c>
      <c r="I430" t="s">
        <v>15</v>
      </c>
      <c r="J430" t="s">
        <v>146</v>
      </c>
      <c r="K430" t="s">
        <v>176</v>
      </c>
      <c r="L430" t="s">
        <v>88</v>
      </c>
      <c r="M430" t="s">
        <v>53</v>
      </c>
      <c r="N430" t="s">
        <v>41</v>
      </c>
      <c r="O430" t="s">
        <v>74</v>
      </c>
      <c r="P430" t="s">
        <v>39</v>
      </c>
      <c r="Q430" t="s">
        <v>24</v>
      </c>
      <c r="R430" t="s">
        <v>38</v>
      </c>
      <c r="S430">
        <v>6</v>
      </c>
      <c r="T430">
        <v>6</v>
      </c>
      <c r="U430">
        <v>123</v>
      </c>
      <c r="V430" t="s">
        <v>0</v>
      </c>
      <c r="W430" t="s">
        <v>0</v>
      </c>
      <c r="X430" t="s">
        <v>0</v>
      </c>
      <c r="Y430" t="s">
        <v>4</v>
      </c>
      <c r="Z430" t="s">
        <v>5</v>
      </c>
      <c r="AA430">
        <v>0</v>
      </c>
      <c r="AB430">
        <v>0</v>
      </c>
      <c r="AC430">
        <v>0.17</v>
      </c>
      <c r="AD430" t="s">
        <v>37</v>
      </c>
      <c r="AE430" t="s">
        <v>5</v>
      </c>
      <c r="AF430" t="s">
        <v>37</v>
      </c>
      <c r="AG430" t="s">
        <v>36</v>
      </c>
      <c r="AH430">
        <v>18</v>
      </c>
      <c r="AI430" t="s">
        <v>23</v>
      </c>
      <c r="AJ430">
        <v>3</v>
      </c>
      <c r="AK430">
        <v>0</v>
      </c>
      <c r="AL430">
        <v>11</v>
      </c>
      <c r="AM430" t="s">
        <v>5</v>
      </c>
      <c r="AN430">
        <v>0</v>
      </c>
      <c r="AO430">
        <v>1</v>
      </c>
      <c r="AP430">
        <v>0</v>
      </c>
      <c r="AQ430">
        <v>1</v>
      </c>
    </row>
    <row r="431" spans="1:43" x14ac:dyDescent="0.25">
      <c r="A431" t="s">
        <v>2827</v>
      </c>
      <c r="B431" t="s">
        <v>1496</v>
      </c>
      <c r="C431" t="s">
        <v>2826</v>
      </c>
      <c r="D431" s="1">
        <v>45965</v>
      </c>
      <c r="E431" t="s">
        <v>32</v>
      </c>
      <c r="F431" t="s">
        <v>382</v>
      </c>
      <c r="G431" t="s">
        <v>17</v>
      </c>
      <c r="H431" t="s">
        <v>43</v>
      </c>
      <c r="I431" t="s">
        <v>15</v>
      </c>
      <c r="J431" t="s">
        <v>55</v>
      </c>
      <c r="K431" t="s">
        <v>54</v>
      </c>
      <c r="L431" t="s">
        <v>64</v>
      </c>
      <c r="M431" t="s">
        <v>11</v>
      </c>
      <c r="N431" t="s">
        <v>10</v>
      </c>
      <c r="O431" t="s">
        <v>9</v>
      </c>
      <c r="P431" t="s">
        <v>39</v>
      </c>
      <c r="Q431" t="s">
        <v>24</v>
      </c>
      <c r="R431" t="s">
        <v>6</v>
      </c>
      <c r="S431">
        <v>7</v>
      </c>
      <c r="T431">
        <v>4</v>
      </c>
      <c r="U431">
        <v>352</v>
      </c>
      <c r="V431" t="s">
        <v>5</v>
      </c>
      <c r="W431" t="s">
        <v>0</v>
      </c>
      <c r="X431" t="s">
        <v>0</v>
      </c>
      <c r="Y431" t="s">
        <v>4</v>
      </c>
      <c r="Z431" t="s">
        <v>5</v>
      </c>
      <c r="AA431">
        <v>0</v>
      </c>
      <c r="AB431">
        <v>0</v>
      </c>
      <c r="AC431">
        <v>0</v>
      </c>
      <c r="AD431" t="s">
        <v>3</v>
      </c>
      <c r="AE431" t="s">
        <v>0</v>
      </c>
      <c r="AF431" t="s">
        <v>3</v>
      </c>
      <c r="AG431" t="s">
        <v>2</v>
      </c>
      <c r="AI431" t="s">
        <v>129</v>
      </c>
      <c r="AJ431">
        <v>4</v>
      </c>
      <c r="AK431">
        <v>-32</v>
      </c>
      <c r="AL431">
        <v>21</v>
      </c>
      <c r="AM431" t="s">
        <v>0</v>
      </c>
      <c r="AN431">
        <v>0</v>
      </c>
      <c r="AO431">
        <v>1</v>
      </c>
      <c r="AP431">
        <v>0</v>
      </c>
      <c r="AQ431">
        <v>0</v>
      </c>
    </row>
    <row r="432" spans="1:43" x14ac:dyDescent="0.25">
      <c r="A432" t="s">
        <v>2825</v>
      </c>
      <c r="B432" t="s">
        <v>2824</v>
      </c>
      <c r="C432" t="s">
        <v>2823</v>
      </c>
      <c r="D432" s="1">
        <v>45717</v>
      </c>
      <c r="E432" t="s">
        <v>32</v>
      </c>
      <c r="F432" t="s">
        <v>107</v>
      </c>
      <c r="G432" t="s">
        <v>131</v>
      </c>
      <c r="H432" t="s">
        <v>77</v>
      </c>
      <c r="I432" t="s">
        <v>28</v>
      </c>
      <c r="J432" t="s">
        <v>55</v>
      </c>
      <c r="K432" t="s">
        <v>54</v>
      </c>
      <c r="L432" t="s">
        <v>64</v>
      </c>
      <c r="M432" t="s">
        <v>53</v>
      </c>
      <c r="N432" t="s">
        <v>41</v>
      </c>
      <c r="O432" t="s">
        <v>87</v>
      </c>
      <c r="P432" t="s">
        <v>39</v>
      </c>
      <c r="Q432" t="s">
        <v>7</v>
      </c>
      <c r="R432" t="s">
        <v>6</v>
      </c>
      <c r="S432">
        <v>5</v>
      </c>
      <c r="T432">
        <v>3</v>
      </c>
      <c r="U432">
        <v>210</v>
      </c>
      <c r="V432" t="s">
        <v>5</v>
      </c>
      <c r="W432" t="s">
        <v>5</v>
      </c>
      <c r="X432" t="s">
        <v>0</v>
      </c>
      <c r="Y432" t="s">
        <v>4</v>
      </c>
      <c r="Z432" t="s">
        <v>5</v>
      </c>
      <c r="AA432">
        <v>133.18</v>
      </c>
      <c r="AB432">
        <v>0</v>
      </c>
      <c r="AC432">
        <v>0.17</v>
      </c>
      <c r="AD432" t="s">
        <v>3</v>
      </c>
      <c r="AE432" t="s">
        <v>0</v>
      </c>
      <c r="AF432" t="s">
        <v>3</v>
      </c>
      <c r="AG432" t="s">
        <v>2</v>
      </c>
      <c r="AI432" t="s">
        <v>23</v>
      </c>
      <c r="AJ432">
        <v>4</v>
      </c>
      <c r="AK432">
        <v>-9</v>
      </c>
      <c r="AL432">
        <v>67</v>
      </c>
      <c r="AM432" t="s">
        <v>0</v>
      </c>
      <c r="AN432">
        <v>1</v>
      </c>
      <c r="AO432">
        <v>1</v>
      </c>
      <c r="AP432">
        <v>0</v>
      </c>
      <c r="AQ432">
        <v>0</v>
      </c>
    </row>
    <row r="433" spans="1:43" x14ac:dyDescent="0.25">
      <c r="A433" t="s">
        <v>2822</v>
      </c>
      <c r="B433" t="s">
        <v>2518</v>
      </c>
      <c r="C433" t="s">
        <v>2821</v>
      </c>
      <c r="D433" s="1">
        <v>45671</v>
      </c>
      <c r="E433" t="s">
        <v>95</v>
      </c>
      <c r="F433" t="s">
        <v>270</v>
      </c>
      <c r="G433" t="s">
        <v>17</v>
      </c>
      <c r="H433" t="s">
        <v>77</v>
      </c>
      <c r="I433" t="s">
        <v>28</v>
      </c>
      <c r="J433" t="s">
        <v>14</v>
      </c>
      <c r="K433" t="s">
        <v>13</v>
      </c>
      <c r="L433" t="s">
        <v>117</v>
      </c>
      <c r="M433" t="s">
        <v>53</v>
      </c>
      <c r="N433" t="s">
        <v>52</v>
      </c>
      <c r="O433" t="s">
        <v>101</v>
      </c>
      <c r="P433" t="s">
        <v>39</v>
      </c>
      <c r="Q433" t="s">
        <v>7</v>
      </c>
      <c r="R433" t="s">
        <v>6</v>
      </c>
      <c r="S433" t="s">
        <v>99</v>
      </c>
      <c r="T433">
        <v>4</v>
      </c>
      <c r="U433">
        <v>86</v>
      </c>
      <c r="V433" t="s">
        <v>0</v>
      </c>
      <c r="W433" t="s">
        <v>5</v>
      </c>
      <c r="X433" t="s">
        <v>0</v>
      </c>
      <c r="Y433" t="s">
        <v>4</v>
      </c>
      <c r="Z433" t="s">
        <v>5</v>
      </c>
      <c r="AA433">
        <v>69.73</v>
      </c>
      <c r="AB433">
        <v>0.44</v>
      </c>
      <c r="AC433">
        <v>0.17</v>
      </c>
      <c r="AD433" t="s">
        <v>3</v>
      </c>
      <c r="AE433" t="s">
        <v>0</v>
      </c>
      <c r="AF433" t="s">
        <v>3</v>
      </c>
      <c r="AG433" t="s">
        <v>2</v>
      </c>
      <c r="AI433" t="s">
        <v>23</v>
      </c>
      <c r="AJ433">
        <v>4</v>
      </c>
      <c r="AK433">
        <v>11</v>
      </c>
      <c r="AL433" t="s">
        <v>2820</v>
      </c>
      <c r="AM433" t="s">
        <v>5</v>
      </c>
      <c r="AN433">
        <v>1</v>
      </c>
      <c r="AO433">
        <v>1</v>
      </c>
      <c r="AP433">
        <v>0</v>
      </c>
      <c r="AQ433">
        <v>1</v>
      </c>
    </row>
    <row r="434" spans="1:43" x14ac:dyDescent="0.25">
      <c r="A434" t="s">
        <v>2819</v>
      </c>
      <c r="B434" t="s">
        <v>2818</v>
      </c>
      <c r="C434" t="s">
        <v>2817</v>
      </c>
      <c r="D434" s="1">
        <v>46011</v>
      </c>
      <c r="E434" t="s">
        <v>95</v>
      </c>
      <c r="F434" t="s">
        <v>338</v>
      </c>
      <c r="G434" t="s">
        <v>30</v>
      </c>
      <c r="H434" t="s">
        <v>16</v>
      </c>
      <c r="I434" t="s">
        <v>28</v>
      </c>
      <c r="J434" t="s">
        <v>55</v>
      </c>
      <c r="K434" t="s">
        <v>54</v>
      </c>
      <c r="L434" t="s">
        <v>42</v>
      </c>
      <c r="M434" t="s">
        <v>11</v>
      </c>
      <c r="N434" t="s">
        <v>269</v>
      </c>
      <c r="O434" t="s">
        <v>40</v>
      </c>
      <c r="P434" t="s">
        <v>63</v>
      </c>
      <c r="Q434" t="s">
        <v>7</v>
      </c>
      <c r="R434" t="s">
        <v>6</v>
      </c>
      <c r="S434">
        <v>8</v>
      </c>
      <c r="T434">
        <v>8</v>
      </c>
      <c r="U434">
        <v>168</v>
      </c>
      <c r="V434" t="s">
        <v>0</v>
      </c>
      <c r="W434" t="s">
        <v>0</v>
      </c>
      <c r="X434" t="s">
        <v>0</v>
      </c>
      <c r="Y434" t="s">
        <v>4</v>
      </c>
      <c r="Z434" t="s">
        <v>5</v>
      </c>
      <c r="AA434">
        <v>303.89</v>
      </c>
      <c r="AB434">
        <v>2.35</v>
      </c>
      <c r="AC434">
        <v>0</v>
      </c>
      <c r="AD434" t="s">
        <v>3</v>
      </c>
      <c r="AE434" t="s">
        <v>0</v>
      </c>
      <c r="AF434" t="s">
        <v>3</v>
      </c>
      <c r="AG434" t="s">
        <v>2</v>
      </c>
      <c r="AI434" t="s">
        <v>23</v>
      </c>
      <c r="AJ434">
        <v>4</v>
      </c>
      <c r="AK434">
        <v>-3</v>
      </c>
      <c r="AL434">
        <v>0</v>
      </c>
      <c r="AM434" t="s">
        <v>0</v>
      </c>
      <c r="AN434">
        <v>0</v>
      </c>
      <c r="AO434">
        <v>1</v>
      </c>
      <c r="AP434">
        <v>0</v>
      </c>
      <c r="AQ434">
        <v>0</v>
      </c>
    </row>
    <row r="435" spans="1:43" x14ac:dyDescent="0.25">
      <c r="A435" t="s">
        <v>2816</v>
      </c>
      <c r="B435" t="s">
        <v>2815</v>
      </c>
      <c r="C435" t="s">
        <v>2814</v>
      </c>
      <c r="D435" s="1">
        <v>45859</v>
      </c>
      <c r="E435" t="s">
        <v>45</v>
      </c>
      <c r="F435" t="s">
        <v>670</v>
      </c>
      <c r="G435" t="s">
        <v>56</v>
      </c>
      <c r="H435" t="s">
        <v>66</v>
      </c>
      <c r="I435" t="s">
        <v>15</v>
      </c>
      <c r="J435" t="s">
        <v>55</v>
      </c>
      <c r="K435" t="s">
        <v>54</v>
      </c>
      <c r="L435" t="s">
        <v>117</v>
      </c>
      <c r="M435" t="s">
        <v>11</v>
      </c>
      <c r="N435" t="s">
        <v>93</v>
      </c>
      <c r="O435" t="s">
        <v>9</v>
      </c>
      <c r="P435" t="s">
        <v>8</v>
      </c>
      <c r="Q435" t="s">
        <v>100</v>
      </c>
      <c r="R435" t="s">
        <v>38</v>
      </c>
      <c r="S435">
        <v>7</v>
      </c>
      <c r="T435">
        <v>7</v>
      </c>
      <c r="U435">
        <v>244</v>
      </c>
      <c r="V435" t="s">
        <v>0</v>
      </c>
      <c r="W435" t="s">
        <v>5</v>
      </c>
      <c r="X435" t="s">
        <v>5</v>
      </c>
      <c r="Y435" t="s">
        <v>294</v>
      </c>
      <c r="Z435" t="s">
        <v>5</v>
      </c>
      <c r="AA435">
        <v>0</v>
      </c>
      <c r="AB435">
        <v>0</v>
      </c>
      <c r="AC435">
        <v>0</v>
      </c>
      <c r="AD435" t="s">
        <v>3</v>
      </c>
      <c r="AE435" t="s">
        <v>0</v>
      </c>
      <c r="AF435" t="s">
        <v>3</v>
      </c>
      <c r="AG435" t="s">
        <v>2</v>
      </c>
      <c r="AI435" t="s">
        <v>23</v>
      </c>
      <c r="AJ435">
        <v>4</v>
      </c>
      <c r="AK435">
        <v>-31</v>
      </c>
      <c r="AL435">
        <v>33</v>
      </c>
      <c r="AM435" t="s">
        <v>5</v>
      </c>
      <c r="AN435">
        <v>1</v>
      </c>
      <c r="AO435">
        <v>1</v>
      </c>
      <c r="AP435">
        <v>1</v>
      </c>
      <c r="AQ435">
        <v>1</v>
      </c>
    </row>
    <row r="436" spans="1:43" x14ac:dyDescent="0.25">
      <c r="A436" t="s">
        <v>2813</v>
      </c>
      <c r="B436" t="s">
        <v>2335</v>
      </c>
      <c r="C436" t="s">
        <v>2812</v>
      </c>
      <c r="D436" s="1">
        <v>45733</v>
      </c>
      <c r="E436" t="s">
        <v>125</v>
      </c>
      <c r="F436" t="s">
        <v>140</v>
      </c>
      <c r="G436" t="s">
        <v>17</v>
      </c>
      <c r="H436" t="s">
        <v>16</v>
      </c>
      <c r="I436" t="s">
        <v>28</v>
      </c>
      <c r="J436" t="s">
        <v>55</v>
      </c>
      <c r="K436" t="s">
        <v>54</v>
      </c>
      <c r="L436" t="s">
        <v>117</v>
      </c>
      <c r="M436" t="s">
        <v>53</v>
      </c>
      <c r="N436" t="s">
        <v>154</v>
      </c>
      <c r="O436" t="s">
        <v>130</v>
      </c>
      <c r="P436" t="s">
        <v>39</v>
      </c>
      <c r="Q436" t="s">
        <v>24</v>
      </c>
      <c r="R436" t="s">
        <v>38</v>
      </c>
      <c r="S436">
        <v>5</v>
      </c>
      <c r="T436">
        <v>4</v>
      </c>
      <c r="U436">
        <v>239</v>
      </c>
      <c r="V436" t="s">
        <v>5</v>
      </c>
      <c r="W436" t="s">
        <v>5</v>
      </c>
      <c r="X436" t="s">
        <v>0</v>
      </c>
      <c r="Y436" t="s">
        <v>4</v>
      </c>
      <c r="Z436" t="s">
        <v>5</v>
      </c>
      <c r="AA436">
        <v>0</v>
      </c>
      <c r="AB436">
        <v>0</v>
      </c>
      <c r="AC436">
        <v>0.17</v>
      </c>
      <c r="AD436" t="s">
        <v>61</v>
      </c>
      <c r="AE436" t="s">
        <v>5</v>
      </c>
      <c r="AF436" t="s">
        <v>61</v>
      </c>
      <c r="AG436" t="s">
        <v>36</v>
      </c>
      <c r="AH436">
        <v>31</v>
      </c>
      <c r="AI436" t="s">
        <v>23</v>
      </c>
      <c r="AJ436">
        <v>3</v>
      </c>
      <c r="AK436">
        <v>67</v>
      </c>
      <c r="AL436">
        <v>49</v>
      </c>
      <c r="AM436" t="s">
        <v>0</v>
      </c>
      <c r="AN436">
        <v>1</v>
      </c>
      <c r="AO436">
        <v>1</v>
      </c>
      <c r="AP436">
        <v>0</v>
      </c>
      <c r="AQ436">
        <v>0</v>
      </c>
    </row>
    <row r="437" spans="1:43" x14ac:dyDescent="0.25">
      <c r="A437" t="s">
        <v>2811</v>
      </c>
      <c r="B437" t="s">
        <v>513</v>
      </c>
      <c r="C437" t="s">
        <v>2810</v>
      </c>
      <c r="D437" s="1">
        <v>46011</v>
      </c>
      <c r="E437" t="s">
        <v>125</v>
      </c>
      <c r="F437" t="s">
        <v>132</v>
      </c>
      <c r="G437" t="s">
        <v>56</v>
      </c>
      <c r="H437" t="s">
        <v>29</v>
      </c>
      <c r="I437" t="s">
        <v>15</v>
      </c>
      <c r="J437" t="s">
        <v>55</v>
      </c>
      <c r="K437" t="s">
        <v>54</v>
      </c>
      <c r="L437" t="s">
        <v>88</v>
      </c>
      <c r="M437" t="s">
        <v>11</v>
      </c>
      <c r="N437" t="s">
        <v>93</v>
      </c>
      <c r="O437" t="s">
        <v>101</v>
      </c>
      <c r="P437" t="s">
        <v>25</v>
      </c>
      <c r="Q437" t="s">
        <v>7</v>
      </c>
      <c r="R437" t="s">
        <v>6</v>
      </c>
      <c r="S437">
        <v>4</v>
      </c>
      <c r="T437">
        <v>4</v>
      </c>
      <c r="U437">
        <v>86</v>
      </c>
      <c r="V437" t="s">
        <v>0</v>
      </c>
      <c r="W437" t="s">
        <v>5</v>
      </c>
      <c r="X437" t="s">
        <v>0</v>
      </c>
      <c r="Y437" t="s">
        <v>4</v>
      </c>
      <c r="Z437" t="s">
        <v>5</v>
      </c>
      <c r="AA437">
        <v>68.91</v>
      </c>
      <c r="AB437">
        <v>0.46</v>
      </c>
      <c r="AC437">
        <v>0</v>
      </c>
      <c r="AD437" t="s">
        <v>3</v>
      </c>
      <c r="AE437" t="s">
        <v>0</v>
      </c>
      <c r="AF437" t="s">
        <v>3</v>
      </c>
      <c r="AG437" t="s">
        <v>2</v>
      </c>
      <c r="AI437" t="s">
        <v>23</v>
      </c>
      <c r="AJ437">
        <v>3</v>
      </c>
      <c r="AK437">
        <v>73</v>
      </c>
      <c r="AL437">
        <v>29</v>
      </c>
      <c r="AM437" t="s">
        <v>5</v>
      </c>
      <c r="AN437">
        <v>1</v>
      </c>
      <c r="AO437">
        <v>1</v>
      </c>
      <c r="AP437">
        <v>0</v>
      </c>
      <c r="AQ437">
        <v>1</v>
      </c>
    </row>
    <row r="438" spans="1:43" x14ac:dyDescent="0.25">
      <c r="A438" t="s">
        <v>2809</v>
      </c>
      <c r="B438" t="s">
        <v>705</v>
      </c>
      <c r="C438" t="s">
        <v>2808</v>
      </c>
      <c r="D438" s="1">
        <v>45992</v>
      </c>
      <c r="E438" t="s">
        <v>45</v>
      </c>
      <c r="F438" t="s">
        <v>670</v>
      </c>
      <c r="G438" t="s">
        <v>83</v>
      </c>
      <c r="H438" t="s">
        <v>77</v>
      </c>
      <c r="I438" t="s">
        <v>15</v>
      </c>
      <c r="J438" t="s">
        <v>146</v>
      </c>
      <c r="K438" t="s">
        <v>176</v>
      </c>
      <c r="L438" t="s">
        <v>42</v>
      </c>
      <c r="M438" t="s">
        <v>11</v>
      </c>
      <c r="N438" t="s">
        <v>10</v>
      </c>
      <c r="O438" t="s">
        <v>40</v>
      </c>
      <c r="P438" t="s">
        <v>39</v>
      </c>
      <c r="Q438" t="s">
        <v>7</v>
      </c>
      <c r="R438" t="s">
        <v>6</v>
      </c>
      <c r="S438">
        <v>8</v>
      </c>
      <c r="T438">
        <v>8</v>
      </c>
      <c r="U438">
        <v>261</v>
      </c>
      <c r="V438" t="s">
        <v>0</v>
      </c>
      <c r="W438" t="s">
        <v>0</v>
      </c>
      <c r="X438" t="s">
        <v>5</v>
      </c>
      <c r="Y438" t="s">
        <v>160</v>
      </c>
      <c r="Z438" t="s">
        <v>0</v>
      </c>
      <c r="AA438">
        <v>0</v>
      </c>
      <c r="AB438">
        <v>0</v>
      </c>
      <c r="AC438">
        <v>0</v>
      </c>
      <c r="AD438" t="s">
        <v>61</v>
      </c>
      <c r="AE438" t="s">
        <v>5</v>
      </c>
      <c r="AF438" t="s">
        <v>61</v>
      </c>
      <c r="AG438" t="s">
        <v>36</v>
      </c>
      <c r="AH438">
        <v>27</v>
      </c>
      <c r="AI438" t="s">
        <v>122</v>
      </c>
      <c r="AJ438">
        <v>3</v>
      </c>
      <c r="AK438">
        <v>-39</v>
      </c>
      <c r="AL438">
        <v>11</v>
      </c>
      <c r="AM438" t="s">
        <v>0</v>
      </c>
      <c r="AN438">
        <v>0</v>
      </c>
      <c r="AO438">
        <v>0</v>
      </c>
      <c r="AP438">
        <v>1</v>
      </c>
      <c r="AQ438">
        <v>0</v>
      </c>
    </row>
    <row r="439" spans="1:43" x14ac:dyDescent="0.25">
      <c r="A439" t="s">
        <v>2807</v>
      </c>
      <c r="B439" t="s">
        <v>1379</v>
      </c>
      <c r="C439" t="s">
        <v>2806</v>
      </c>
      <c r="D439" s="1">
        <v>45760</v>
      </c>
      <c r="E439" t="s">
        <v>95</v>
      </c>
      <c r="F439" t="s">
        <v>94</v>
      </c>
      <c r="G439" t="s">
        <v>30</v>
      </c>
      <c r="H439" t="s">
        <v>77</v>
      </c>
      <c r="I439" t="s">
        <v>28</v>
      </c>
      <c r="J439" t="s">
        <v>55</v>
      </c>
      <c r="K439" t="s">
        <v>54</v>
      </c>
      <c r="L439" t="s">
        <v>64</v>
      </c>
      <c r="M439" t="s">
        <v>11</v>
      </c>
      <c r="N439" t="s">
        <v>116</v>
      </c>
      <c r="O439" t="s">
        <v>199</v>
      </c>
      <c r="P439" t="s">
        <v>63</v>
      </c>
      <c r="Q439" t="s">
        <v>24</v>
      </c>
      <c r="R439" t="s">
        <v>6</v>
      </c>
      <c r="S439" t="s">
        <v>277</v>
      </c>
      <c r="T439">
        <v>5</v>
      </c>
      <c r="U439">
        <v>101</v>
      </c>
      <c r="V439" t="s">
        <v>0</v>
      </c>
      <c r="W439" t="s">
        <v>0</v>
      </c>
      <c r="X439" t="s">
        <v>0</v>
      </c>
      <c r="Y439" t="s">
        <v>4</v>
      </c>
      <c r="Z439" t="s">
        <v>5</v>
      </c>
      <c r="AA439">
        <v>63.33</v>
      </c>
      <c r="AB439">
        <v>0</v>
      </c>
      <c r="AC439">
        <v>0</v>
      </c>
      <c r="AD439" t="s">
        <v>3</v>
      </c>
      <c r="AE439" t="s">
        <v>0</v>
      </c>
      <c r="AF439" t="s">
        <v>3</v>
      </c>
      <c r="AG439" t="s">
        <v>2</v>
      </c>
      <c r="AI439" t="s">
        <v>332</v>
      </c>
      <c r="AJ439">
        <v>4</v>
      </c>
      <c r="AK439">
        <v>2</v>
      </c>
      <c r="AL439">
        <v>0</v>
      </c>
      <c r="AM439" t="s">
        <v>5</v>
      </c>
      <c r="AN439">
        <v>0</v>
      </c>
      <c r="AO439">
        <v>1</v>
      </c>
      <c r="AP439">
        <v>0</v>
      </c>
      <c r="AQ439">
        <v>1</v>
      </c>
    </row>
    <row r="440" spans="1:43" x14ac:dyDescent="0.25">
      <c r="A440" t="s">
        <v>2805</v>
      </c>
      <c r="B440" t="s">
        <v>2804</v>
      </c>
      <c r="C440" t="s">
        <v>2803</v>
      </c>
      <c r="D440" s="1">
        <v>45739</v>
      </c>
      <c r="E440" t="s">
        <v>112</v>
      </c>
      <c r="F440" t="s">
        <v>111</v>
      </c>
      <c r="G440" t="s">
        <v>30</v>
      </c>
      <c r="H440" t="s">
        <v>77</v>
      </c>
      <c r="I440" t="s">
        <v>28</v>
      </c>
      <c r="J440" t="s">
        <v>14</v>
      </c>
      <c r="K440" t="s">
        <v>13</v>
      </c>
      <c r="L440" t="s">
        <v>88</v>
      </c>
      <c r="M440" t="s">
        <v>27</v>
      </c>
      <c r="N440" t="s">
        <v>10</v>
      </c>
      <c r="O440" t="s">
        <v>101</v>
      </c>
      <c r="P440" t="s">
        <v>63</v>
      </c>
      <c r="Q440" t="s">
        <v>100</v>
      </c>
      <c r="R440" t="s">
        <v>6</v>
      </c>
      <c r="S440">
        <v>4</v>
      </c>
      <c r="T440">
        <v>4</v>
      </c>
      <c r="U440">
        <v>73</v>
      </c>
      <c r="V440" t="s">
        <v>0</v>
      </c>
      <c r="W440" t="s">
        <v>5</v>
      </c>
      <c r="X440" t="s">
        <v>0</v>
      </c>
      <c r="Y440" t="s">
        <v>4</v>
      </c>
      <c r="Z440" t="s">
        <v>5</v>
      </c>
      <c r="AA440">
        <v>17.29</v>
      </c>
      <c r="AB440">
        <v>0.49</v>
      </c>
      <c r="AC440">
        <v>0.37</v>
      </c>
      <c r="AD440" t="s">
        <v>3</v>
      </c>
      <c r="AE440" t="s">
        <v>0</v>
      </c>
      <c r="AF440" t="s">
        <v>3</v>
      </c>
      <c r="AG440" t="s">
        <v>2</v>
      </c>
      <c r="AI440" t="s">
        <v>23</v>
      </c>
      <c r="AJ440">
        <v>4</v>
      </c>
      <c r="AK440">
        <v>9</v>
      </c>
      <c r="AL440">
        <v>0</v>
      </c>
      <c r="AM440" t="s">
        <v>5</v>
      </c>
      <c r="AN440">
        <v>1</v>
      </c>
      <c r="AO440">
        <v>1</v>
      </c>
      <c r="AP440">
        <v>0</v>
      </c>
      <c r="AQ440">
        <v>1</v>
      </c>
    </row>
    <row r="441" spans="1:43" x14ac:dyDescent="0.25">
      <c r="A441" t="s">
        <v>2802</v>
      </c>
      <c r="B441" t="s">
        <v>1867</v>
      </c>
      <c r="C441" t="s">
        <v>2801</v>
      </c>
      <c r="D441" s="1">
        <v>46139</v>
      </c>
      <c r="E441" t="s">
        <v>95</v>
      </c>
      <c r="F441" t="s">
        <v>338</v>
      </c>
      <c r="G441" t="s">
        <v>83</v>
      </c>
      <c r="H441" t="s">
        <v>16</v>
      </c>
      <c r="I441" t="s">
        <v>147</v>
      </c>
      <c r="J441" t="s">
        <v>14</v>
      </c>
      <c r="K441" t="s">
        <v>13</v>
      </c>
      <c r="L441" t="s">
        <v>64</v>
      </c>
      <c r="M441" t="s">
        <v>11</v>
      </c>
      <c r="N441" t="s">
        <v>93</v>
      </c>
      <c r="O441" t="s">
        <v>9</v>
      </c>
      <c r="P441" t="s">
        <v>25</v>
      </c>
      <c r="Q441" t="s">
        <v>100</v>
      </c>
      <c r="R441" t="s">
        <v>38</v>
      </c>
      <c r="S441">
        <v>7</v>
      </c>
      <c r="T441">
        <v>7</v>
      </c>
      <c r="U441">
        <v>181</v>
      </c>
      <c r="V441" t="s">
        <v>0</v>
      </c>
      <c r="W441" t="s">
        <v>0</v>
      </c>
      <c r="X441" t="s">
        <v>0</v>
      </c>
      <c r="Y441" t="s">
        <v>4</v>
      </c>
      <c r="Z441" t="s">
        <v>5</v>
      </c>
      <c r="AA441">
        <v>75.069999999999993</v>
      </c>
      <c r="AB441">
        <v>0</v>
      </c>
      <c r="AC441">
        <v>0</v>
      </c>
      <c r="AD441" t="s">
        <v>3</v>
      </c>
      <c r="AE441" t="s">
        <v>0</v>
      </c>
      <c r="AF441" t="s">
        <v>3</v>
      </c>
      <c r="AG441" t="s">
        <v>2</v>
      </c>
      <c r="AI441" t="s">
        <v>332</v>
      </c>
      <c r="AJ441">
        <v>3</v>
      </c>
      <c r="AK441">
        <v>-12</v>
      </c>
      <c r="AL441">
        <v>45</v>
      </c>
      <c r="AM441" t="s">
        <v>0</v>
      </c>
      <c r="AN441">
        <v>0</v>
      </c>
      <c r="AO441">
        <v>1</v>
      </c>
      <c r="AP441">
        <v>0</v>
      </c>
      <c r="AQ441">
        <v>0</v>
      </c>
    </row>
    <row r="442" spans="1:43" x14ac:dyDescent="0.25">
      <c r="A442" t="s">
        <v>2800</v>
      </c>
      <c r="B442" t="s">
        <v>2799</v>
      </c>
      <c r="C442" t="s">
        <v>2798</v>
      </c>
      <c r="D442" s="1">
        <v>45778</v>
      </c>
      <c r="E442" t="s">
        <v>149</v>
      </c>
      <c r="F442" t="s">
        <v>183</v>
      </c>
      <c r="G442" t="s">
        <v>123</v>
      </c>
      <c r="H442" t="s">
        <v>29</v>
      </c>
      <c r="I442" t="s">
        <v>15</v>
      </c>
      <c r="J442" t="s">
        <v>146</v>
      </c>
      <c r="K442" t="s">
        <v>176</v>
      </c>
      <c r="L442" t="s">
        <v>12</v>
      </c>
      <c r="M442" t="s">
        <v>53</v>
      </c>
      <c r="N442" t="s">
        <v>52</v>
      </c>
      <c r="O442" t="s">
        <v>51</v>
      </c>
      <c r="P442" t="s">
        <v>63</v>
      </c>
      <c r="Q442" t="s">
        <v>7</v>
      </c>
      <c r="R442" t="s">
        <v>6</v>
      </c>
      <c r="S442">
        <v>6</v>
      </c>
      <c r="T442">
        <v>4</v>
      </c>
      <c r="U442">
        <v>304</v>
      </c>
      <c r="V442" t="s">
        <v>5</v>
      </c>
      <c r="W442" t="s">
        <v>0</v>
      </c>
      <c r="X442" t="s">
        <v>0</v>
      </c>
      <c r="Y442" t="s">
        <v>4</v>
      </c>
      <c r="Z442" t="s">
        <v>5</v>
      </c>
      <c r="AA442">
        <v>26</v>
      </c>
      <c r="AB442">
        <v>0.1</v>
      </c>
      <c r="AC442">
        <v>0.17</v>
      </c>
      <c r="AD442" t="s">
        <v>3</v>
      </c>
      <c r="AE442" t="s">
        <v>0</v>
      </c>
      <c r="AF442" t="s">
        <v>3</v>
      </c>
      <c r="AG442" t="s">
        <v>2</v>
      </c>
      <c r="AI442" t="s">
        <v>1</v>
      </c>
      <c r="AJ442">
        <v>3</v>
      </c>
      <c r="AK442">
        <v>30</v>
      </c>
      <c r="AL442">
        <v>0</v>
      </c>
      <c r="AM442" t="s">
        <v>5</v>
      </c>
      <c r="AN442">
        <v>0</v>
      </c>
      <c r="AO442">
        <v>1</v>
      </c>
      <c r="AP442">
        <v>0</v>
      </c>
      <c r="AQ442">
        <v>1</v>
      </c>
    </row>
    <row r="443" spans="1:43" x14ac:dyDescent="0.25">
      <c r="A443" t="s">
        <v>2797</v>
      </c>
      <c r="B443" t="s">
        <v>1744</v>
      </c>
      <c r="C443" t="s">
        <v>2796</v>
      </c>
      <c r="D443" s="1">
        <v>46137</v>
      </c>
      <c r="E443" t="s">
        <v>149</v>
      </c>
      <c r="F443" t="s">
        <v>248</v>
      </c>
      <c r="G443" t="s">
        <v>110</v>
      </c>
      <c r="H443" t="s">
        <v>66</v>
      </c>
      <c r="I443" t="s">
        <v>28</v>
      </c>
      <c r="J443" t="s">
        <v>55</v>
      </c>
      <c r="K443" t="s">
        <v>54</v>
      </c>
      <c r="L443" t="s">
        <v>64</v>
      </c>
      <c r="M443" t="s">
        <v>11</v>
      </c>
      <c r="N443" t="s">
        <v>116</v>
      </c>
      <c r="O443" t="s">
        <v>74</v>
      </c>
      <c r="P443" t="s">
        <v>39</v>
      </c>
      <c r="Q443" t="s">
        <v>198</v>
      </c>
      <c r="R443" t="s">
        <v>6</v>
      </c>
      <c r="S443">
        <v>6</v>
      </c>
      <c r="T443">
        <v>6</v>
      </c>
      <c r="U443">
        <v>207</v>
      </c>
      <c r="V443" t="s">
        <v>0</v>
      </c>
      <c r="W443" t="s">
        <v>287</v>
      </c>
      <c r="X443" t="s">
        <v>5</v>
      </c>
      <c r="Y443" t="s">
        <v>1444</v>
      </c>
      <c r="Z443" t="s">
        <v>5</v>
      </c>
      <c r="AA443">
        <v>13.73</v>
      </c>
      <c r="AB443">
        <v>0</v>
      </c>
      <c r="AC443">
        <v>0</v>
      </c>
      <c r="AD443" t="s">
        <v>37</v>
      </c>
      <c r="AE443" t="s">
        <v>5</v>
      </c>
      <c r="AF443" t="s">
        <v>37</v>
      </c>
      <c r="AG443" t="s">
        <v>36</v>
      </c>
      <c r="AH443">
        <v>21</v>
      </c>
      <c r="AI443" t="s">
        <v>23</v>
      </c>
      <c r="AJ443">
        <v>3</v>
      </c>
      <c r="AK443">
        <v>-73</v>
      </c>
      <c r="AL443">
        <v>34</v>
      </c>
      <c r="AM443" t="s">
        <v>0</v>
      </c>
      <c r="AN443">
        <v>1</v>
      </c>
      <c r="AO443">
        <v>1</v>
      </c>
      <c r="AP443">
        <v>1</v>
      </c>
      <c r="AQ443">
        <v>0</v>
      </c>
    </row>
    <row r="444" spans="1:43" x14ac:dyDescent="0.25">
      <c r="A444" t="s">
        <v>628</v>
      </c>
      <c r="B444" t="s">
        <v>627</v>
      </c>
      <c r="C444" t="s">
        <v>626</v>
      </c>
      <c r="D444" s="1">
        <v>46086</v>
      </c>
      <c r="E444" t="s">
        <v>112</v>
      </c>
      <c r="F444" t="s">
        <v>307</v>
      </c>
      <c r="G444" t="s">
        <v>17</v>
      </c>
      <c r="H444" t="s">
        <v>43</v>
      </c>
      <c r="I444" t="s">
        <v>28</v>
      </c>
      <c r="J444" t="s">
        <v>14</v>
      </c>
      <c r="K444" t="s">
        <v>13</v>
      </c>
      <c r="L444" t="s">
        <v>12</v>
      </c>
      <c r="M444" t="s">
        <v>11</v>
      </c>
      <c r="N444" t="s">
        <v>52</v>
      </c>
      <c r="O444" t="s">
        <v>87</v>
      </c>
      <c r="P444" t="s">
        <v>39</v>
      </c>
      <c r="Q444" t="s">
        <v>7</v>
      </c>
      <c r="R444" t="s">
        <v>6</v>
      </c>
      <c r="S444">
        <v>5</v>
      </c>
      <c r="T444">
        <v>5</v>
      </c>
      <c r="U444">
        <v>155</v>
      </c>
      <c r="V444" t="s">
        <v>0</v>
      </c>
      <c r="W444" t="s">
        <v>5</v>
      </c>
      <c r="X444" t="s">
        <v>0</v>
      </c>
      <c r="Y444" t="s">
        <v>4</v>
      </c>
      <c r="Z444" t="s">
        <v>5</v>
      </c>
      <c r="AA444">
        <v>24.79</v>
      </c>
      <c r="AB444">
        <v>0</v>
      </c>
      <c r="AC444">
        <v>0</v>
      </c>
      <c r="AD444" t="s">
        <v>3</v>
      </c>
      <c r="AE444" t="s">
        <v>0</v>
      </c>
      <c r="AF444" t="s">
        <v>3</v>
      </c>
      <c r="AG444" t="s">
        <v>2</v>
      </c>
      <c r="AI444" t="s">
        <v>23</v>
      </c>
      <c r="AJ444">
        <v>4</v>
      </c>
      <c r="AK444">
        <v>60</v>
      </c>
      <c r="AL444">
        <v>17</v>
      </c>
      <c r="AM444" t="s">
        <v>5</v>
      </c>
      <c r="AN444">
        <v>1</v>
      </c>
      <c r="AO444">
        <v>1</v>
      </c>
      <c r="AP444">
        <v>0</v>
      </c>
      <c r="AQ444">
        <v>1</v>
      </c>
    </row>
    <row r="445" spans="1:43" x14ac:dyDescent="0.25">
      <c r="A445" t="s">
        <v>2795</v>
      </c>
      <c r="B445" t="s">
        <v>921</v>
      </c>
      <c r="C445" t="s">
        <v>2794</v>
      </c>
      <c r="D445" s="1">
        <v>45855</v>
      </c>
      <c r="E445" t="s">
        <v>125</v>
      </c>
      <c r="F445" t="s">
        <v>140</v>
      </c>
      <c r="G445" t="s">
        <v>30</v>
      </c>
      <c r="H445" t="s">
        <v>43</v>
      </c>
      <c r="I445" t="s">
        <v>15</v>
      </c>
      <c r="J445" t="s">
        <v>146</v>
      </c>
      <c r="K445" t="s">
        <v>145</v>
      </c>
      <c r="L445" t="s">
        <v>117</v>
      </c>
      <c r="M445" t="s">
        <v>11</v>
      </c>
      <c r="N445" t="s">
        <v>154</v>
      </c>
      <c r="O445" t="s">
        <v>87</v>
      </c>
      <c r="P445" t="s">
        <v>25</v>
      </c>
      <c r="Q445" t="s">
        <v>50</v>
      </c>
      <c r="R445" t="s">
        <v>38</v>
      </c>
      <c r="S445">
        <v>5</v>
      </c>
      <c r="T445">
        <v>5</v>
      </c>
      <c r="U445">
        <v>143</v>
      </c>
      <c r="V445" t="s">
        <v>0</v>
      </c>
      <c r="W445" t="s">
        <v>5</v>
      </c>
      <c r="X445" t="s">
        <v>135</v>
      </c>
      <c r="Y445" t="s">
        <v>4</v>
      </c>
      <c r="Z445" t="s">
        <v>5</v>
      </c>
      <c r="AA445">
        <v>1.69</v>
      </c>
      <c r="AB445">
        <v>0</v>
      </c>
      <c r="AC445">
        <v>0</v>
      </c>
      <c r="AD445" t="s">
        <v>3</v>
      </c>
      <c r="AE445" t="s">
        <v>0</v>
      </c>
      <c r="AF445" t="s">
        <v>3</v>
      </c>
      <c r="AG445" t="s">
        <v>2</v>
      </c>
      <c r="AI445" t="s">
        <v>23</v>
      </c>
      <c r="AJ445">
        <v>4</v>
      </c>
      <c r="AK445">
        <v>38</v>
      </c>
      <c r="AL445">
        <v>26</v>
      </c>
      <c r="AM445" t="s">
        <v>5</v>
      </c>
      <c r="AN445">
        <v>1</v>
      </c>
      <c r="AO445">
        <v>1</v>
      </c>
      <c r="AP445">
        <v>0</v>
      </c>
      <c r="AQ445">
        <v>1</v>
      </c>
    </row>
    <row r="446" spans="1:43" x14ac:dyDescent="0.25">
      <c r="A446" t="s">
        <v>2793</v>
      </c>
      <c r="B446" t="s">
        <v>1680</v>
      </c>
      <c r="C446" t="s">
        <v>2792</v>
      </c>
      <c r="D446" s="1">
        <v>46095</v>
      </c>
      <c r="E446" t="s">
        <v>112</v>
      </c>
      <c r="F446" t="s">
        <v>461</v>
      </c>
      <c r="G446" t="s">
        <v>83</v>
      </c>
      <c r="H446" t="s">
        <v>43</v>
      </c>
      <c r="I446" t="s">
        <v>28</v>
      </c>
      <c r="J446" t="s">
        <v>14</v>
      </c>
      <c r="K446" t="s">
        <v>13</v>
      </c>
      <c r="L446" t="s">
        <v>12</v>
      </c>
      <c r="M446" t="s">
        <v>53</v>
      </c>
      <c r="N446" t="s">
        <v>269</v>
      </c>
      <c r="O446" t="s">
        <v>74</v>
      </c>
      <c r="P446" t="s">
        <v>8</v>
      </c>
      <c r="Q446" t="s">
        <v>198</v>
      </c>
      <c r="R446" t="s">
        <v>38</v>
      </c>
      <c r="S446">
        <v>6</v>
      </c>
      <c r="T446">
        <v>4</v>
      </c>
      <c r="U446">
        <v>195</v>
      </c>
      <c r="V446" t="s">
        <v>5</v>
      </c>
      <c r="W446" t="s">
        <v>0</v>
      </c>
      <c r="X446" t="s">
        <v>0</v>
      </c>
      <c r="Y446" t="s">
        <v>4</v>
      </c>
      <c r="Z446" t="s">
        <v>5</v>
      </c>
      <c r="AA446">
        <v>37.979999999999997</v>
      </c>
      <c r="AB446">
        <v>0</v>
      </c>
      <c r="AC446">
        <v>0.17</v>
      </c>
      <c r="AD446" t="s">
        <v>3</v>
      </c>
      <c r="AE446" t="s">
        <v>0</v>
      </c>
      <c r="AF446" t="s">
        <v>3</v>
      </c>
      <c r="AG446" t="s">
        <v>2</v>
      </c>
      <c r="AI446" t="s">
        <v>332</v>
      </c>
      <c r="AJ446">
        <v>3</v>
      </c>
      <c r="AK446">
        <v>12</v>
      </c>
      <c r="AL446">
        <v>22</v>
      </c>
      <c r="AM446" t="s">
        <v>0</v>
      </c>
      <c r="AN446">
        <v>0</v>
      </c>
      <c r="AO446">
        <v>1</v>
      </c>
      <c r="AP446">
        <v>0</v>
      </c>
      <c r="AQ446">
        <v>0</v>
      </c>
    </row>
    <row r="447" spans="1:43" x14ac:dyDescent="0.25">
      <c r="A447" t="s">
        <v>2791</v>
      </c>
      <c r="B447" t="s">
        <v>2790</v>
      </c>
      <c r="C447" t="s">
        <v>2789</v>
      </c>
      <c r="D447" s="1">
        <v>46111</v>
      </c>
      <c r="E447" t="s">
        <v>112</v>
      </c>
      <c r="F447" t="s">
        <v>111</v>
      </c>
      <c r="G447" t="s">
        <v>56</v>
      </c>
      <c r="H447" t="s">
        <v>77</v>
      </c>
      <c r="I447" t="s">
        <v>15</v>
      </c>
      <c r="J447" t="s">
        <v>55</v>
      </c>
      <c r="K447" t="s">
        <v>54</v>
      </c>
      <c r="L447" t="s">
        <v>117</v>
      </c>
      <c r="M447" t="s">
        <v>53</v>
      </c>
      <c r="N447" t="s">
        <v>41</v>
      </c>
      <c r="O447" t="s">
        <v>40</v>
      </c>
      <c r="P447" t="s">
        <v>8</v>
      </c>
      <c r="Q447" t="s">
        <v>100</v>
      </c>
      <c r="R447" t="s">
        <v>38</v>
      </c>
      <c r="S447">
        <v>8</v>
      </c>
      <c r="T447">
        <v>8</v>
      </c>
      <c r="U447">
        <v>201</v>
      </c>
      <c r="V447" t="s">
        <v>0</v>
      </c>
      <c r="W447" t="s">
        <v>5</v>
      </c>
      <c r="X447" t="s">
        <v>5</v>
      </c>
      <c r="Y447" t="s">
        <v>913</v>
      </c>
      <c r="Z447" t="s">
        <v>0</v>
      </c>
      <c r="AA447">
        <v>0</v>
      </c>
      <c r="AB447">
        <v>0</v>
      </c>
      <c r="AC447">
        <v>0</v>
      </c>
      <c r="AD447" t="s">
        <v>37</v>
      </c>
      <c r="AE447" t="s">
        <v>5</v>
      </c>
      <c r="AF447" t="s">
        <v>37</v>
      </c>
      <c r="AG447" t="s">
        <v>139</v>
      </c>
      <c r="AH447">
        <v>33</v>
      </c>
      <c r="AI447" t="s">
        <v>23</v>
      </c>
      <c r="AJ447">
        <v>1</v>
      </c>
      <c r="AK447">
        <v>-3</v>
      </c>
      <c r="AL447">
        <v>38</v>
      </c>
      <c r="AM447" t="s">
        <v>5</v>
      </c>
      <c r="AN447">
        <v>1</v>
      </c>
      <c r="AO447">
        <v>0</v>
      </c>
      <c r="AP447">
        <v>1</v>
      </c>
      <c r="AQ447">
        <v>1</v>
      </c>
    </row>
    <row r="448" spans="1:43" x14ac:dyDescent="0.25">
      <c r="A448" t="s">
        <v>2788</v>
      </c>
      <c r="B448" t="s">
        <v>2188</v>
      </c>
      <c r="C448" t="s">
        <v>2787</v>
      </c>
      <c r="D448" s="1">
        <v>45883</v>
      </c>
      <c r="E448" t="s">
        <v>125</v>
      </c>
      <c r="F448" t="s">
        <v>124</v>
      </c>
      <c r="G448" t="s">
        <v>83</v>
      </c>
      <c r="H448" t="s">
        <v>77</v>
      </c>
      <c r="I448" t="s">
        <v>15</v>
      </c>
      <c r="J448" t="s">
        <v>55</v>
      </c>
      <c r="K448" t="s">
        <v>54</v>
      </c>
      <c r="L448" t="s">
        <v>64</v>
      </c>
      <c r="M448" t="s">
        <v>11</v>
      </c>
      <c r="N448" t="s">
        <v>41</v>
      </c>
      <c r="O448" t="s">
        <v>199</v>
      </c>
      <c r="P448" t="s">
        <v>63</v>
      </c>
      <c r="Q448" t="s">
        <v>198</v>
      </c>
      <c r="R448" t="s">
        <v>38</v>
      </c>
      <c r="S448">
        <v>5</v>
      </c>
      <c r="T448">
        <v>5</v>
      </c>
      <c r="U448">
        <v>104</v>
      </c>
      <c r="V448" t="s">
        <v>0</v>
      </c>
      <c r="W448" t="s">
        <v>5</v>
      </c>
      <c r="X448" t="s">
        <v>0</v>
      </c>
      <c r="Y448" t="s">
        <v>4</v>
      </c>
      <c r="Z448" t="s">
        <v>0</v>
      </c>
      <c r="AA448">
        <v>0</v>
      </c>
      <c r="AB448">
        <v>0</v>
      </c>
      <c r="AC448">
        <v>0</v>
      </c>
      <c r="AD448" t="s">
        <v>3</v>
      </c>
      <c r="AE448" t="s">
        <v>0</v>
      </c>
      <c r="AF448" t="s">
        <v>3</v>
      </c>
      <c r="AG448" t="s">
        <v>2</v>
      </c>
      <c r="AI448" t="s">
        <v>23</v>
      </c>
      <c r="AJ448">
        <v>4</v>
      </c>
      <c r="AK448">
        <v>37</v>
      </c>
      <c r="AL448">
        <v>0</v>
      </c>
      <c r="AM448" t="s">
        <v>5</v>
      </c>
      <c r="AN448">
        <v>1</v>
      </c>
      <c r="AO448">
        <v>0</v>
      </c>
      <c r="AP448">
        <v>0</v>
      </c>
      <c r="AQ448">
        <v>1</v>
      </c>
    </row>
    <row r="449" spans="1:43" x14ac:dyDescent="0.25">
      <c r="A449" t="s">
        <v>2786</v>
      </c>
      <c r="B449" t="s">
        <v>2785</v>
      </c>
      <c r="C449" t="s">
        <v>2784</v>
      </c>
      <c r="D449" s="1">
        <v>45701</v>
      </c>
      <c r="E449" t="s">
        <v>162</v>
      </c>
      <c r="F449" t="s">
        <v>161</v>
      </c>
      <c r="G449" t="s">
        <v>17</v>
      </c>
      <c r="H449" t="s">
        <v>77</v>
      </c>
      <c r="I449" t="s">
        <v>28</v>
      </c>
      <c r="J449" t="s">
        <v>55</v>
      </c>
      <c r="K449" t="s">
        <v>54</v>
      </c>
      <c r="L449" t="s">
        <v>64</v>
      </c>
      <c r="M449" t="s">
        <v>11</v>
      </c>
      <c r="N449" t="s">
        <v>41</v>
      </c>
      <c r="O449" t="s">
        <v>9</v>
      </c>
      <c r="P449" t="s">
        <v>39</v>
      </c>
      <c r="Q449" t="s">
        <v>7</v>
      </c>
      <c r="R449" t="s">
        <v>6</v>
      </c>
      <c r="S449" t="s">
        <v>242</v>
      </c>
      <c r="T449">
        <v>7</v>
      </c>
      <c r="U449">
        <v>271</v>
      </c>
      <c r="V449" t="s">
        <v>0</v>
      </c>
      <c r="W449" t="s">
        <v>0</v>
      </c>
      <c r="X449" t="s">
        <v>5</v>
      </c>
      <c r="Y449" t="s">
        <v>294</v>
      </c>
      <c r="Z449" t="s">
        <v>0</v>
      </c>
      <c r="AA449">
        <v>0</v>
      </c>
      <c r="AB449">
        <v>0</v>
      </c>
      <c r="AC449">
        <v>0</v>
      </c>
      <c r="AD449" t="s">
        <v>3</v>
      </c>
      <c r="AE449" t="s">
        <v>0</v>
      </c>
      <c r="AF449" t="s">
        <v>3</v>
      </c>
      <c r="AG449" t="s">
        <v>2</v>
      </c>
      <c r="AI449" t="s">
        <v>122</v>
      </c>
      <c r="AJ449">
        <v>3</v>
      </c>
      <c r="AK449">
        <v>19</v>
      </c>
      <c r="AL449">
        <v>16</v>
      </c>
      <c r="AM449" t="s">
        <v>0</v>
      </c>
      <c r="AN449">
        <v>0</v>
      </c>
      <c r="AO449">
        <v>0</v>
      </c>
      <c r="AP449">
        <v>1</v>
      </c>
      <c r="AQ449">
        <v>0</v>
      </c>
    </row>
    <row r="450" spans="1:43" x14ac:dyDescent="0.25">
      <c r="A450" t="s">
        <v>2783</v>
      </c>
      <c r="B450" t="s">
        <v>305</v>
      </c>
      <c r="C450" t="s">
        <v>2782</v>
      </c>
      <c r="D450" s="1">
        <v>45718</v>
      </c>
      <c r="E450" t="s">
        <v>79</v>
      </c>
      <c r="F450" t="s">
        <v>78</v>
      </c>
      <c r="G450" t="s">
        <v>131</v>
      </c>
      <c r="H450" t="s">
        <v>43</v>
      </c>
      <c r="I450" t="s">
        <v>28</v>
      </c>
      <c r="J450" t="s">
        <v>55</v>
      </c>
      <c r="K450" t="s">
        <v>54</v>
      </c>
      <c r="L450" t="s">
        <v>117</v>
      </c>
      <c r="M450" t="s">
        <v>11</v>
      </c>
      <c r="N450" t="s">
        <v>247</v>
      </c>
      <c r="O450" t="s">
        <v>40</v>
      </c>
      <c r="P450" t="s">
        <v>63</v>
      </c>
      <c r="Q450" t="s">
        <v>24</v>
      </c>
      <c r="R450" t="s">
        <v>38</v>
      </c>
      <c r="S450">
        <v>8</v>
      </c>
      <c r="T450">
        <v>8</v>
      </c>
      <c r="U450">
        <v>156</v>
      </c>
      <c r="V450" t="s">
        <v>0</v>
      </c>
      <c r="W450" t="s">
        <v>5</v>
      </c>
      <c r="X450" t="s">
        <v>0</v>
      </c>
      <c r="Y450" t="s">
        <v>4</v>
      </c>
      <c r="Z450" t="s">
        <v>5</v>
      </c>
      <c r="AA450">
        <v>426.51</v>
      </c>
      <c r="AB450">
        <v>2.64</v>
      </c>
      <c r="AC450">
        <v>0</v>
      </c>
      <c r="AD450" t="s">
        <v>3</v>
      </c>
      <c r="AE450" t="s">
        <v>0</v>
      </c>
      <c r="AF450" t="s">
        <v>3</v>
      </c>
      <c r="AG450" t="s">
        <v>2</v>
      </c>
      <c r="AI450" t="s">
        <v>23</v>
      </c>
      <c r="AJ450">
        <v>4</v>
      </c>
      <c r="AK450">
        <v>-18</v>
      </c>
      <c r="AL450">
        <v>0</v>
      </c>
      <c r="AM450" t="s">
        <v>0</v>
      </c>
      <c r="AN450">
        <v>1</v>
      </c>
      <c r="AO450">
        <v>1</v>
      </c>
      <c r="AP450">
        <v>0</v>
      </c>
      <c r="AQ450">
        <v>0</v>
      </c>
    </row>
    <row r="451" spans="1:43" x14ac:dyDescent="0.25">
      <c r="A451" t="s">
        <v>2781</v>
      </c>
      <c r="B451" t="s">
        <v>272</v>
      </c>
      <c r="C451" t="s">
        <v>2780</v>
      </c>
      <c r="D451" s="1">
        <v>45712</v>
      </c>
      <c r="E451" t="s">
        <v>162</v>
      </c>
      <c r="F451" t="s">
        <v>2080</v>
      </c>
      <c r="G451" t="s">
        <v>83</v>
      </c>
      <c r="H451" t="s">
        <v>43</v>
      </c>
      <c r="I451" t="s">
        <v>28</v>
      </c>
      <c r="J451" t="s">
        <v>55</v>
      </c>
      <c r="K451" t="s">
        <v>54</v>
      </c>
      <c r="L451" t="s">
        <v>64</v>
      </c>
      <c r="M451" t="s">
        <v>11</v>
      </c>
      <c r="N451" t="s">
        <v>116</v>
      </c>
      <c r="O451" t="s">
        <v>199</v>
      </c>
      <c r="P451" t="s">
        <v>63</v>
      </c>
      <c r="Q451" t="s">
        <v>7</v>
      </c>
      <c r="R451" t="s">
        <v>6</v>
      </c>
      <c r="S451">
        <v>5</v>
      </c>
      <c r="T451">
        <v>5</v>
      </c>
      <c r="U451">
        <v>137</v>
      </c>
      <c r="V451" t="s">
        <v>0</v>
      </c>
      <c r="W451" t="s">
        <v>0</v>
      </c>
      <c r="X451" t="s">
        <v>0</v>
      </c>
      <c r="Y451" t="s">
        <v>4</v>
      </c>
      <c r="Z451" t="s">
        <v>0</v>
      </c>
      <c r="AA451">
        <v>0</v>
      </c>
      <c r="AB451">
        <v>0</v>
      </c>
      <c r="AC451">
        <v>0</v>
      </c>
      <c r="AD451" t="s">
        <v>3</v>
      </c>
      <c r="AE451" t="s">
        <v>0</v>
      </c>
      <c r="AF451" t="s">
        <v>3</v>
      </c>
      <c r="AG451" t="s">
        <v>2</v>
      </c>
      <c r="AI451" t="s">
        <v>23</v>
      </c>
      <c r="AJ451">
        <v>4</v>
      </c>
      <c r="AK451">
        <v>46</v>
      </c>
      <c r="AL451">
        <v>0</v>
      </c>
      <c r="AM451" t="s">
        <v>0</v>
      </c>
      <c r="AN451">
        <v>0</v>
      </c>
      <c r="AO451">
        <v>0</v>
      </c>
      <c r="AP451">
        <v>0</v>
      </c>
      <c r="AQ451">
        <v>0</v>
      </c>
    </row>
    <row r="452" spans="1:43" x14ac:dyDescent="0.25">
      <c r="A452" t="s">
        <v>2779</v>
      </c>
      <c r="B452" t="s">
        <v>817</v>
      </c>
      <c r="C452" t="s">
        <v>2778</v>
      </c>
      <c r="D452" s="1">
        <v>45859</v>
      </c>
      <c r="E452" t="s">
        <v>168</v>
      </c>
      <c r="F452" t="s">
        <v>167</v>
      </c>
      <c r="G452" t="s">
        <v>56</v>
      </c>
      <c r="H452" t="s">
        <v>16</v>
      </c>
      <c r="I452" t="s">
        <v>15</v>
      </c>
      <c r="J452" t="s">
        <v>146</v>
      </c>
      <c r="K452" t="s">
        <v>145</v>
      </c>
      <c r="L452" t="s">
        <v>42</v>
      </c>
      <c r="M452" t="s">
        <v>11</v>
      </c>
      <c r="N452" t="s">
        <v>52</v>
      </c>
      <c r="O452" t="s">
        <v>26</v>
      </c>
      <c r="P452" t="s">
        <v>8</v>
      </c>
      <c r="Q452" t="s">
        <v>7</v>
      </c>
      <c r="R452" t="s">
        <v>6</v>
      </c>
      <c r="S452">
        <v>4</v>
      </c>
      <c r="T452">
        <v>4</v>
      </c>
      <c r="U452">
        <v>73</v>
      </c>
      <c r="V452" t="s">
        <v>0</v>
      </c>
      <c r="W452" t="s">
        <v>5</v>
      </c>
      <c r="X452" t="s">
        <v>0</v>
      </c>
      <c r="Y452" t="s">
        <v>4</v>
      </c>
      <c r="Z452" t="s">
        <v>5</v>
      </c>
      <c r="AA452">
        <v>130.63999999999999</v>
      </c>
      <c r="AB452">
        <v>0.19</v>
      </c>
      <c r="AC452">
        <v>0</v>
      </c>
      <c r="AD452" t="s">
        <v>3</v>
      </c>
      <c r="AE452" t="s">
        <v>0</v>
      </c>
      <c r="AF452" t="s">
        <v>3</v>
      </c>
      <c r="AG452" t="s">
        <v>2</v>
      </c>
      <c r="AI452" t="s">
        <v>23</v>
      </c>
      <c r="AJ452">
        <v>3</v>
      </c>
      <c r="AK452">
        <v>49</v>
      </c>
      <c r="AL452">
        <v>42</v>
      </c>
      <c r="AM452" t="s">
        <v>5</v>
      </c>
      <c r="AN452">
        <v>1</v>
      </c>
      <c r="AO452">
        <v>1</v>
      </c>
      <c r="AP452">
        <v>0</v>
      </c>
      <c r="AQ452">
        <v>1</v>
      </c>
    </row>
    <row r="453" spans="1:43" x14ac:dyDescent="0.25">
      <c r="A453" t="s">
        <v>2777</v>
      </c>
      <c r="B453" t="s">
        <v>748</v>
      </c>
      <c r="C453" t="s">
        <v>2776</v>
      </c>
      <c r="D453" s="1">
        <v>45736</v>
      </c>
      <c r="E453" t="s">
        <v>112</v>
      </c>
      <c r="F453" t="s">
        <v>307</v>
      </c>
      <c r="G453" t="s">
        <v>83</v>
      </c>
      <c r="H453" t="s">
        <v>43</v>
      </c>
      <c r="I453" t="s">
        <v>15</v>
      </c>
      <c r="J453" t="s">
        <v>55</v>
      </c>
      <c r="K453" t="s">
        <v>54</v>
      </c>
      <c r="L453" t="s">
        <v>88</v>
      </c>
      <c r="M453" t="s">
        <v>11</v>
      </c>
      <c r="N453" t="s">
        <v>52</v>
      </c>
      <c r="O453" t="s">
        <v>51</v>
      </c>
      <c r="P453" t="s">
        <v>8</v>
      </c>
      <c r="Q453" t="s">
        <v>198</v>
      </c>
      <c r="R453" t="s">
        <v>6</v>
      </c>
      <c r="S453">
        <v>6</v>
      </c>
      <c r="T453">
        <v>6</v>
      </c>
      <c r="U453">
        <v>173</v>
      </c>
      <c r="V453" t="s">
        <v>0</v>
      </c>
      <c r="W453" t="s">
        <v>5</v>
      </c>
      <c r="X453" t="s">
        <v>0</v>
      </c>
      <c r="Y453" t="s">
        <v>4</v>
      </c>
      <c r="Z453" t="s">
        <v>5</v>
      </c>
      <c r="AA453">
        <v>40.18</v>
      </c>
      <c r="AB453">
        <v>0.09</v>
      </c>
      <c r="AC453">
        <v>0</v>
      </c>
      <c r="AD453" t="s">
        <v>3</v>
      </c>
      <c r="AE453" t="s">
        <v>0</v>
      </c>
      <c r="AF453" t="s">
        <v>3</v>
      </c>
      <c r="AG453" t="s">
        <v>479</v>
      </c>
      <c r="AI453" t="s">
        <v>23</v>
      </c>
      <c r="AJ453">
        <v>4</v>
      </c>
      <c r="AK453">
        <v>59</v>
      </c>
      <c r="AL453">
        <v>24</v>
      </c>
      <c r="AM453" t="s">
        <v>5</v>
      </c>
      <c r="AN453">
        <v>1</v>
      </c>
      <c r="AO453">
        <v>1</v>
      </c>
      <c r="AP453">
        <v>0</v>
      </c>
      <c r="AQ453">
        <v>1</v>
      </c>
    </row>
    <row r="454" spans="1:43" x14ac:dyDescent="0.25">
      <c r="A454" t="s">
        <v>2775</v>
      </c>
      <c r="B454" t="s">
        <v>1490</v>
      </c>
      <c r="C454" t="s">
        <v>2774</v>
      </c>
      <c r="D454" s="1">
        <v>45723</v>
      </c>
      <c r="E454" t="s">
        <v>45</v>
      </c>
      <c r="F454" t="s">
        <v>44</v>
      </c>
      <c r="G454" t="s">
        <v>56</v>
      </c>
      <c r="H454" t="s">
        <v>77</v>
      </c>
      <c r="I454" t="s">
        <v>28</v>
      </c>
      <c r="J454" t="s">
        <v>55</v>
      </c>
      <c r="K454" t="s">
        <v>54</v>
      </c>
      <c r="L454" t="s">
        <v>64</v>
      </c>
      <c r="M454" t="s">
        <v>53</v>
      </c>
      <c r="N454" t="s">
        <v>93</v>
      </c>
      <c r="O454" t="s">
        <v>199</v>
      </c>
      <c r="P454" t="s">
        <v>63</v>
      </c>
      <c r="Q454" t="s">
        <v>7</v>
      </c>
      <c r="R454" t="s">
        <v>6</v>
      </c>
      <c r="S454">
        <v>5</v>
      </c>
      <c r="T454">
        <v>5</v>
      </c>
      <c r="U454">
        <v>108</v>
      </c>
      <c r="V454" t="s">
        <v>0</v>
      </c>
      <c r="W454" t="s">
        <v>5</v>
      </c>
      <c r="X454" t="s">
        <v>0</v>
      </c>
      <c r="Y454" t="s">
        <v>4</v>
      </c>
      <c r="Z454" t="s">
        <v>0</v>
      </c>
      <c r="AA454">
        <v>0</v>
      </c>
      <c r="AB454">
        <v>0</v>
      </c>
      <c r="AC454">
        <v>0</v>
      </c>
      <c r="AD454" t="s">
        <v>3</v>
      </c>
      <c r="AE454" t="s">
        <v>0</v>
      </c>
      <c r="AF454" t="s">
        <v>3</v>
      </c>
      <c r="AG454" t="s">
        <v>2</v>
      </c>
      <c r="AI454" t="s">
        <v>23</v>
      </c>
      <c r="AJ454">
        <v>5</v>
      </c>
      <c r="AK454">
        <v>15</v>
      </c>
      <c r="AL454">
        <v>0</v>
      </c>
      <c r="AM454" t="s">
        <v>5</v>
      </c>
      <c r="AN454">
        <v>1</v>
      </c>
      <c r="AO454">
        <v>0</v>
      </c>
      <c r="AP454">
        <v>0</v>
      </c>
      <c r="AQ454">
        <v>1</v>
      </c>
    </row>
    <row r="455" spans="1:43" x14ac:dyDescent="0.25">
      <c r="A455" t="s">
        <v>2773</v>
      </c>
      <c r="B455" t="s">
        <v>698</v>
      </c>
      <c r="C455" t="s">
        <v>2772</v>
      </c>
      <c r="D455" s="1">
        <v>46130</v>
      </c>
      <c r="E455" t="s">
        <v>79</v>
      </c>
      <c r="F455" t="s">
        <v>223</v>
      </c>
      <c r="G455" t="s">
        <v>83</v>
      </c>
      <c r="H455" t="s">
        <v>16</v>
      </c>
      <c r="I455" t="s">
        <v>28</v>
      </c>
      <c r="J455" t="s">
        <v>55</v>
      </c>
      <c r="K455" t="s">
        <v>54</v>
      </c>
      <c r="L455" t="s">
        <v>12</v>
      </c>
      <c r="M455" t="s">
        <v>11</v>
      </c>
      <c r="N455" t="s">
        <v>75</v>
      </c>
      <c r="O455" t="s">
        <v>193</v>
      </c>
      <c r="P455" t="s">
        <v>8</v>
      </c>
      <c r="Q455" t="s">
        <v>24</v>
      </c>
      <c r="R455" t="s">
        <v>38</v>
      </c>
      <c r="S455">
        <v>9</v>
      </c>
      <c r="T455">
        <v>9</v>
      </c>
      <c r="U455">
        <v>243</v>
      </c>
      <c r="V455" t="s">
        <v>0</v>
      </c>
      <c r="W455" t="s">
        <v>5</v>
      </c>
      <c r="X455" t="s">
        <v>0</v>
      </c>
      <c r="Y455" t="s">
        <v>4</v>
      </c>
      <c r="Z455" t="s">
        <v>5</v>
      </c>
      <c r="AA455">
        <v>165.03</v>
      </c>
      <c r="AB455">
        <v>3.14</v>
      </c>
      <c r="AC455">
        <v>0</v>
      </c>
      <c r="AD455" t="s">
        <v>3</v>
      </c>
      <c r="AE455" t="s">
        <v>0</v>
      </c>
      <c r="AF455" t="s">
        <v>3</v>
      </c>
      <c r="AG455" t="s">
        <v>2</v>
      </c>
      <c r="AI455" t="s">
        <v>23</v>
      </c>
      <c r="AJ455">
        <v>4</v>
      </c>
      <c r="AK455">
        <v>5</v>
      </c>
      <c r="AL455">
        <v>40</v>
      </c>
      <c r="AM455" t="s">
        <v>5</v>
      </c>
      <c r="AN455">
        <v>1</v>
      </c>
      <c r="AO455">
        <v>1</v>
      </c>
      <c r="AP455">
        <v>0</v>
      </c>
      <c r="AQ455">
        <v>1</v>
      </c>
    </row>
    <row r="456" spans="1:43" x14ac:dyDescent="0.25">
      <c r="A456" t="s">
        <v>2771</v>
      </c>
      <c r="B456" t="s">
        <v>2770</v>
      </c>
      <c r="C456" t="s">
        <v>2769</v>
      </c>
      <c r="D456" s="1">
        <v>46182</v>
      </c>
      <c r="E456" t="s">
        <v>168</v>
      </c>
      <c r="F456" t="s">
        <v>283</v>
      </c>
      <c r="G456" t="s">
        <v>123</v>
      </c>
      <c r="H456" t="s">
        <v>66</v>
      </c>
      <c r="I456" t="s">
        <v>28</v>
      </c>
      <c r="J456" t="s">
        <v>55</v>
      </c>
      <c r="K456" t="s">
        <v>54</v>
      </c>
      <c r="L456" t="s">
        <v>64</v>
      </c>
      <c r="M456" t="s">
        <v>53</v>
      </c>
      <c r="N456" t="s">
        <v>93</v>
      </c>
      <c r="O456" t="s">
        <v>101</v>
      </c>
      <c r="P456" t="s">
        <v>39</v>
      </c>
      <c r="Q456" t="s">
        <v>7</v>
      </c>
      <c r="R456" t="s">
        <v>6</v>
      </c>
      <c r="S456">
        <v>4</v>
      </c>
      <c r="T456">
        <v>4</v>
      </c>
      <c r="U456">
        <v>83</v>
      </c>
      <c r="V456" t="s">
        <v>0</v>
      </c>
      <c r="W456" t="s">
        <v>0</v>
      </c>
      <c r="X456" t="s">
        <v>0</v>
      </c>
      <c r="Y456" t="s">
        <v>4</v>
      </c>
      <c r="Z456" t="s">
        <v>0</v>
      </c>
      <c r="AA456">
        <v>0</v>
      </c>
      <c r="AB456">
        <v>0</v>
      </c>
      <c r="AC456">
        <v>0</v>
      </c>
      <c r="AD456" t="s">
        <v>3</v>
      </c>
      <c r="AE456" t="s">
        <v>0</v>
      </c>
      <c r="AF456" t="s">
        <v>3</v>
      </c>
      <c r="AG456" t="s">
        <v>2</v>
      </c>
      <c r="AI456" t="s">
        <v>23</v>
      </c>
      <c r="AJ456">
        <v>3</v>
      </c>
      <c r="AK456">
        <v>-13</v>
      </c>
      <c r="AL456">
        <v>55</v>
      </c>
      <c r="AM456" t="s">
        <v>0</v>
      </c>
      <c r="AN456">
        <v>0</v>
      </c>
      <c r="AO456">
        <v>0</v>
      </c>
      <c r="AP456">
        <v>0</v>
      </c>
      <c r="AQ456">
        <v>0</v>
      </c>
    </row>
    <row r="457" spans="1:43" x14ac:dyDescent="0.25">
      <c r="A457" t="s">
        <v>2768</v>
      </c>
      <c r="B457" t="s">
        <v>2767</v>
      </c>
      <c r="C457" t="s">
        <v>2766</v>
      </c>
      <c r="D457" s="1">
        <v>45764</v>
      </c>
      <c r="E457" t="s">
        <v>45</v>
      </c>
      <c r="F457" t="s">
        <v>57</v>
      </c>
      <c r="G457" t="s">
        <v>56</v>
      </c>
      <c r="H457" t="s">
        <v>29</v>
      </c>
      <c r="I457" t="s">
        <v>28</v>
      </c>
      <c r="J457" t="s">
        <v>14</v>
      </c>
      <c r="K457" t="s">
        <v>13</v>
      </c>
      <c r="L457" t="s">
        <v>12</v>
      </c>
      <c r="M457" t="s">
        <v>11</v>
      </c>
      <c r="N457" t="s">
        <v>93</v>
      </c>
      <c r="O457" t="s">
        <v>51</v>
      </c>
      <c r="P457" t="s">
        <v>39</v>
      </c>
      <c r="Q457" t="s">
        <v>7</v>
      </c>
      <c r="R457" t="s">
        <v>6</v>
      </c>
      <c r="S457">
        <v>6</v>
      </c>
      <c r="T457">
        <v>6</v>
      </c>
      <c r="U457">
        <v>202</v>
      </c>
      <c r="V457" t="s">
        <v>0</v>
      </c>
      <c r="W457" t="s">
        <v>5</v>
      </c>
      <c r="X457" t="s">
        <v>5</v>
      </c>
      <c r="Y457" t="s">
        <v>49</v>
      </c>
      <c r="Z457" t="s">
        <v>0</v>
      </c>
      <c r="AA457">
        <v>0</v>
      </c>
      <c r="AB457">
        <v>0</v>
      </c>
      <c r="AC457">
        <v>0</v>
      </c>
      <c r="AD457" t="s">
        <v>436</v>
      </c>
      <c r="AE457" t="s">
        <v>5</v>
      </c>
      <c r="AF457" t="s">
        <v>436</v>
      </c>
      <c r="AG457" t="s">
        <v>139</v>
      </c>
      <c r="AH457">
        <v>32</v>
      </c>
      <c r="AI457" t="s">
        <v>23</v>
      </c>
      <c r="AJ457">
        <v>4</v>
      </c>
      <c r="AK457">
        <v>-13</v>
      </c>
      <c r="AL457" t="s">
        <v>2765</v>
      </c>
      <c r="AM457" t="s">
        <v>5</v>
      </c>
      <c r="AN457">
        <v>1</v>
      </c>
      <c r="AO457">
        <v>0</v>
      </c>
      <c r="AP457">
        <v>1</v>
      </c>
      <c r="AQ457">
        <v>1</v>
      </c>
    </row>
    <row r="458" spans="1:43" x14ac:dyDescent="0.25">
      <c r="A458" t="s">
        <v>2764</v>
      </c>
      <c r="B458" t="s">
        <v>1267</v>
      </c>
      <c r="C458" t="s">
        <v>2763</v>
      </c>
      <c r="D458" s="1">
        <v>45891</v>
      </c>
      <c r="E458" t="s">
        <v>149</v>
      </c>
      <c r="F458" t="s">
        <v>248</v>
      </c>
      <c r="G458" t="s">
        <v>110</v>
      </c>
      <c r="H458" t="s">
        <v>66</v>
      </c>
      <c r="I458" t="s">
        <v>28</v>
      </c>
      <c r="J458" t="s">
        <v>55</v>
      </c>
      <c r="K458" t="s">
        <v>54</v>
      </c>
      <c r="L458" t="s">
        <v>64</v>
      </c>
      <c r="M458" t="s">
        <v>53</v>
      </c>
      <c r="N458" t="s">
        <v>75</v>
      </c>
      <c r="O458" t="s">
        <v>26</v>
      </c>
      <c r="P458" t="s">
        <v>39</v>
      </c>
      <c r="Q458" t="s">
        <v>24</v>
      </c>
      <c r="R458" t="s">
        <v>38</v>
      </c>
      <c r="S458">
        <v>4</v>
      </c>
      <c r="T458">
        <v>4</v>
      </c>
      <c r="U458">
        <v>113</v>
      </c>
      <c r="V458" t="s">
        <v>0</v>
      </c>
      <c r="W458" t="s">
        <v>5</v>
      </c>
      <c r="X458" t="s">
        <v>0</v>
      </c>
      <c r="Y458" t="s">
        <v>4</v>
      </c>
      <c r="Z458" t="s">
        <v>5</v>
      </c>
      <c r="AA458">
        <v>212.63</v>
      </c>
      <c r="AB458">
        <v>0.2</v>
      </c>
      <c r="AC458">
        <v>0.17</v>
      </c>
      <c r="AD458" t="s">
        <v>3</v>
      </c>
      <c r="AE458" t="s">
        <v>0</v>
      </c>
      <c r="AF458" t="s">
        <v>3</v>
      </c>
      <c r="AG458" t="s">
        <v>2</v>
      </c>
      <c r="AI458" t="s">
        <v>23</v>
      </c>
      <c r="AJ458">
        <v>5</v>
      </c>
      <c r="AK458">
        <v>44</v>
      </c>
      <c r="AL458">
        <v>47</v>
      </c>
      <c r="AM458" t="s">
        <v>5</v>
      </c>
      <c r="AN458">
        <v>1</v>
      </c>
      <c r="AO458">
        <v>1</v>
      </c>
      <c r="AP458">
        <v>0</v>
      </c>
      <c r="AQ458">
        <v>1</v>
      </c>
    </row>
    <row r="459" spans="1:43" x14ac:dyDescent="0.25">
      <c r="A459" t="s">
        <v>2762</v>
      </c>
      <c r="B459" t="s">
        <v>2761</v>
      </c>
      <c r="C459" t="s">
        <v>2760</v>
      </c>
      <c r="D459" s="1">
        <v>45973</v>
      </c>
      <c r="E459" t="s">
        <v>162</v>
      </c>
      <c r="F459" t="s">
        <v>161</v>
      </c>
      <c r="G459" t="s">
        <v>30</v>
      </c>
      <c r="H459" t="s">
        <v>66</v>
      </c>
      <c r="I459" t="s">
        <v>15</v>
      </c>
      <c r="J459" t="s">
        <v>55</v>
      </c>
      <c r="K459" t="s">
        <v>54</v>
      </c>
      <c r="L459" t="s">
        <v>117</v>
      </c>
      <c r="M459" t="s">
        <v>11</v>
      </c>
      <c r="N459" t="s">
        <v>41</v>
      </c>
      <c r="O459" t="s">
        <v>26</v>
      </c>
      <c r="P459" t="s">
        <v>39</v>
      </c>
      <c r="Q459" t="s">
        <v>50</v>
      </c>
      <c r="R459" t="s">
        <v>38</v>
      </c>
      <c r="S459">
        <v>4</v>
      </c>
      <c r="T459">
        <v>4</v>
      </c>
      <c r="U459">
        <v>166</v>
      </c>
      <c r="V459" t="s">
        <v>0</v>
      </c>
      <c r="W459" t="s">
        <v>5</v>
      </c>
      <c r="X459" t="s">
        <v>5</v>
      </c>
      <c r="Y459" t="s">
        <v>62</v>
      </c>
      <c r="Z459" t="s">
        <v>5</v>
      </c>
      <c r="AA459">
        <v>77.12</v>
      </c>
      <c r="AB459">
        <v>0.18</v>
      </c>
      <c r="AC459">
        <v>0</v>
      </c>
      <c r="AD459" t="s">
        <v>61</v>
      </c>
      <c r="AE459" t="s">
        <v>5</v>
      </c>
      <c r="AF459" t="s">
        <v>61</v>
      </c>
      <c r="AG459" t="s">
        <v>36</v>
      </c>
      <c r="AH459">
        <v>2</v>
      </c>
      <c r="AI459" t="s">
        <v>23</v>
      </c>
      <c r="AJ459">
        <v>5</v>
      </c>
      <c r="AK459">
        <v>-26</v>
      </c>
      <c r="AL459">
        <v>33</v>
      </c>
      <c r="AM459" t="s">
        <v>5</v>
      </c>
      <c r="AN459">
        <v>1</v>
      </c>
      <c r="AO459">
        <v>1</v>
      </c>
      <c r="AP459">
        <v>1</v>
      </c>
      <c r="AQ459">
        <v>1</v>
      </c>
    </row>
    <row r="460" spans="1:43" x14ac:dyDescent="0.25">
      <c r="A460" t="s">
        <v>2759</v>
      </c>
      <c r="B460" t="s">
        <v>2642</v>
      </c>
      <c r="C460" t="s">
        <v>2758</v>
      </c>
      <c r="D460" s="1">
        <v>45694</v>
      </c>
      <c r="E460" t="s">
        <v>162</v>
      </c>
      <c r="F460" t="s">
        <v>310</v>
      </c>
      <c r="G460" t="s">
        <v>17</v>
      </c>
      <c r="H460" t="s">
        <v>16</v>
      </c>
      <c r="I460" t="s">
        <v>15</v>
      </c>
      <c r="J460" t="s">
        <v>55</v>
      </c>
      <c r="K460" t="s">
        <v>54</v>
      </c>
      <c r="L460" t="s">
        <v>42</v>
      </c>
      <c r="M460" t="s">
        <v>53</v>
      </c>
      <c r="N460" t="s">
        <v>154</v>
      </c>
      <c r="O460" t="s">
        <v>26</v>
      </c>
      <c r="P460" t="s">
        <v>39</v>
      </c>
      <c r="Q460" t="s">
        <v>7</v>
      </c>
      <c r="R460" t="s">
        <v>6</v>
      </c>
      <c r="S460">
        <v>4</v>
      </c>
      <c r="T460">
        <v>4</v>
      </c>
      <c r="U460">
        <v>106</v>
      </c>
      <c r="V460" t="s">
        <v>0</v>
      </c>
      <c r="W460" t="s">
        <v>5</v>
      </c>
      <c r="X460" t="s">
        <v>0</v>
      </c>
      <c r="Y460" t="s">
        <v>4</v>
      </c>
      <c r="Z460" t="s">
        <v>5</v>
      </c>
      <c r="AA460">
        <v>47.13</v>
      </c>
      <c r="AB460">
        <v>0.21</v>
      </c>
      <c r="AC460">
        <v>0.17</v>
      </c>
      <c r="AD460" t="s">
        <v>3</v>
      </c>
      <c r="AE460" t="s">
        <v>0</v>
      </c>
      <c r="AF460" t="s">
        <v>3</v>
      </c>
      <c r="AG460" t="s">
        <v>2</v>
      </c>
      <c r="AI460" t="s">
        <v>23</v>
      </c>
      <c r="AJ460">
        <v>4</v>
      </c>
      <c r="AK460">
        <v>49</v>
      </c>
      <c r="AL460" t="s">
        <v>1100</v>
      </c>
      <c r="AM460" t="s">
        <v>5</v>
      </c>
      <c r="AN460">
        <v>1</v>
      </c>
      <c r="AO460">
        <v>1</v>
      </c>
      <c r="AP460">
        <v>0</v>
      </c>
      <c r="AQ460">
        <v>1</v>
      </c>
    </row>
    <row r="461" spans="1:43" x14ac:dyDescent="0.25">
      <c r="A461" t="s">
        <v>2757</v>
      </c>
      <c r="B461" t="s">
        <v>1884</v>
      </c>
      <c r="C461" t="s">
        <v>2756</v>
      </c>
      <c r="D461" s="1">
        <v>45971</v>
      </c>
      <c r="E461" t="s">
        <v>32</v>
      </c>
      <c r="F461" t="s">
        <v>356</v>
      </c>
      <c r="G461" t="s">
        <v>30</v>
      </c>
      <c r="H461" t="s">
        <v>66</v>
      </c>
      <c r="I461" t="s">
        <v>28</v>
      </c>
      <c r="J461" t="s">
        <v>146</v>
      </c>
      <c r="K461" t="s">
        <v>145</v>
      </c>
      <c r="L461" t="s">
        <v>88</v>
      </c>
      <c r="M461" t="s">
        <v>11</v>
      </c>
      <c r="N461" t="s">
        <v>93</v>
      </c>
      <c r="O461" t="s">
        <v>199</v>
      </c>
      <c r="P461" t="s">
        <v>8</v>
      </c>
      <c r="Q461" t="s">
        <v>7</v>
      </c>
      <c r="R461" t="s">
        <v>6</v>
      </c>
      <c r="S461">
        <v>5</v>
      </c>
      <c r="T461">
        <v>5</v>
      </c>
      <c r="U461">
        <v>117</v>
      </c>
      <c r="V461" t="s">
        <v>0</v>
      </c>
      <c r="W461" t="s">
        <v>5</v>
      </c>
      <c r="X461" t="s">
        <v>0</v>
      </c>
      <c r="Y461" t="s">
        <v>4</v>
      </c>
      <c r="Z461" t="s">
        <v>5</v>
      </c>
      <c r="AA461">
        <v>97.42</v>
      </c>
      <c r="AB461">
        <v>0</v>
      </c>
      <c r="AC461">
        <v>0</v>
      </c>
      <c r="AD461" t="s">
        <v>3</v>
      </c>
      <c r="AE461" t="s">
        <v>0</v>
      </c>
      <c r="AF461" t="s">
        <v>3</v>
      </c>
      <c r="AG461" t="s">
        <v>2</v>
      </c>
      <c r="AI461" t="s">
        <v>23</v>
      </c>
      <c r="AJ461">
        <v>4</v>
      </c>
      <c r="AK461">
        <v>20</v>
      </c>
      <c r="AL461">
        <v>29</v>
      </c>
      <c r="AM461" t="s">
        <v>5</v>
      </c>
      <c r="AN461">
        <v>1</v>
      </c>
      <c r="AO461">
        <v>1</v>
      </c>
      <c r="AP461">
        <v>0</v>
      </c>
      <c r="AQ461">
        <v>1</v>
      </c>
    </row>
    <row r="462" spans="1:43" x14ac:dyDescent="0.25">
      <c r="A462" t="s">
        <v>2755</v>
      </c>
      <c r="B462" t="s">
        <v>428</v>
      </c>
      <c r="C462" t="s">
        <v>2754</v>
      </c>
      <c r="D462" s="1">
        <v>45751</v>
      </c>
      <c r="E462" t="s">
        <v>68</v>
      </c>
      <c r="F462" t="s">
        <v>243</v>
      </c>
      <c r="G462" t="s">
        <v>110</v>
      </c>
      <c r="H462" t="s">
        <v>16</v>
      </c>
      <c r="I462" t="s">
        <v>28</v>
      </c>
      <c r="J462" t="s">
        <v>14</v>
      </c>
      <c r="K462" t="s">
        <v>13</v>
      </c>
      <c r="L462" t="s">
        <v>64</v>
      </c>
      <c r="M462" t="s">
        <v>11</v>
      </c>
      <c r="N462" t="s">
        <v>52</v>
      </c>
      <c r="O462" t="s">
        <v>87</v>
      </c>
      <c r="P462" t="s">
        <v>39</v>
      </c>
      <c r="Q462" t="s">
        <v>50</v>
      </c>
      <c r="R462" t="s">
        <v>6</v>
      </c>
      <c r="S462">
        <v>5</v>
      </c>
      <c r="T462">
        <v>5</v>
      </c>
      <c r="U462">
        <v>127</v>
      </c>
      <c r="V462" t="s">
        <v>0</v>
      </c>
      <c r="W462" t="s">
        <v>5</v>
      </c>
      <c r="X462" t="s">
        <v>135</v>
      </c>
      <c r="Y462" t="s">
        <v>4</v>
      </c>
      <c r="Z462" t="s">
        <v>5</v>
      </c>
      <c r="AA462">
        <v>39.78</v>
      </c>
      <c r="AB462">
        <v>0</v>
      </c>
      <c r="AC462">
        <v>0</v>
      </c>
      <c r="AD462" t="s">
        <v>3</v>
      </c>
      <c r="AE462" t="s">
        <v>0</v>
      </c>
      <c r="AF462" t="s">
        <v>3</v>
      </c>
      <c r="AG462" t="s">
        <v>2</v>
      </c>
      <c r="AI462" t="s">
        <v>23</v>
      </c>
      <c r="AJ462">
        <v>4</v>
      </c>
      <c r="AK462">
        <v>19</v>
      </c>
      <c r="AL462">
        <v>24</v>
      </c>
      <c r="AM462" t="s">
        <v>5</v>
      </c>
      <c r="AN462">
        <v>1</v>
      </c>
      <c r="AO462">
        <v>1</v>
      </c>
      <c r="AP462">
        <v>0</v>
      </c>
      <c r="AQ462">
        <v>1</v>
      </c>
    </row>
    <row r="463" spans="1:43" x14ac:dyDescent="0.25">
      <c r="A463" t="s">
        <v>2753</v>
      </c>
      <c r="B463" t="s">
        <v>2752</v>
      </c>
      <c r="C463" t="s">
        <v>2751</v>
      </c>
      <c r="D463" s="1">
        <v>45921</v>
      </c>
      <c r="E463" t="s">
        <v>79</v>
      </c>
      <c r="F463" t="s">
        <v>102</v>
      </c>
      <c r="G463" t="s">
        <v>83</v>
      </c>
      <c r="H463" t="s">
        <v>16</v>
      </c>
      <c r="I463" t="s">
        <v>28</v>
      </c>
      <c r="J463" t="s">
        <v>146</v>
      </c>
      <c r="K463" t="s">
        <v>145</v>
      </c>
      <c r="L463" t="s">
        <v>64</v>
      </c>
      <c r="M463" t="s">
        <v>11</v>
      </c>
      <c r="N463" t="s">
        <v>52</v>
      </c>
      <c r="O463" t="s">
        <v>87</v>
      </c>
      <c r="P463" t="s">
        <v>39</v>
      </c>
      <c r="Q463" t="s">
        <v>100</v>
      </c>
      <c r="R463" t="s">
        <v>38</v>
      </c>
      <c r="S463">
        <v>5</v>
      </c>
      <c r="T463">
        <v>5</v>
      </c>
      <c r="U463">
        <v>122</v>
      </c>
      <c r="V463" t="s">
        <v>0</v>
      </c>
      <c r="W463" t="s">
        <v>5</v>
      </c>
      <c r="X463" t="s">
        <v>0</v>
      </c>
      <c r="Y463" t="s">
        <v>4</v>
      </c>
      <c r="Z463" t="s">
        <v>5</v>
      </c>
      <c r="AA463">
        <v>50.55</v>
      </c>
      <c r="AB463">
        <v>0</v>
      </c>
      <c r="AC463">
        <v>0</v>
      </c>
      <c r="AD463" t="s">
        <v>3</v>
      </c>
      <c r="AE463" t="s">
        <v>0</v>
      </c>
      <c r="AF463" t="s">
        <v>3</v>
      </c>
      <c r="AG463" t="s">
        <v>2</v>
      </c>
      <c r="AI463" t="s">
        <v>23</v>
      </c>
      <c r="AJ463">
        <v>3</v>
      </c>
      <c r="AK463">
        <v>64</v>
      </c>
      <c r="AL463">
        <v>38</v>
      </c>
      <c r="AM463" t="s">
        <v>0</v>
      </c>
      <c r="AN463">
        <v>1</v>
      </c>
      <c r="AO463">
        <v>1</v>
      </c>
      <c r="AP463">
        <v>0</v>
      </c>
      <c r="AQ463">
        <v>0</v>
      </c>
    </row>
    <row r="464" spans="1:43" x14ac:dyDescent="0.25">
      <c r="A464" t="s">
        <v>2750</v>
      </c>
      <c r="B464" t="s">
        <v>2019</v>
      </c>
      <c r="C464" t="s">
        <v>2749</v>
      </c>
      <c r="D464" s="1">
        <v>46113</v>
      </c>
      <c r="E464" t="s">
        <v>112</v>
      </c>
      <c r="F464" t="s">
        <v>461</v>
      </c>
      <c r="G464" t="s">
        <v>110</v>
      </c>
      <c r="H464" t="s">
        <v>43</v>
      </c>
      <c r="I464" t="s">
        <v>15</v>
      </c>
      <c r="J464" t="s">
        <v>14</v>
      </c>
      <c r="K464" t="s">
        <v>76</v>
      </c>
      <c r="L464" t="s">
        <v>42</v>
      </c>
      <c r="M464" t="s">
        <v>11</v>
      </c>
      <c r="N464" t="s">
        <v>52</v>
      </c>
      <c r="O464" t="s">
        <v>26</v>
      </c>
      <c r="P464" t="s">
        <v>25</v>
      </c>
      <c r="Q464" t="s">
        <v>7</v>
      </c>
      <c r="R464" t="s">
        <v>6</v>
      </c>
      <c r="S464">
        <v>4</v>
      </c>
      <c r="T464">
        <v>4</v>
      </c>
      <c r="U464">
        <v>106</v>
      </c>
      <c r="V464" t="s">
        <v>0</v>
      </c>
      <c r="W464" t="s">
        <v>5</v>
      </c>
      <c r="X464" t="s">
        <v>5</v>
      </c>
      <c r="Y464" t="s">
        <v>144</v>
      </c>
      <c r="Z464" t="s">
        <v>5</v>
      </c>
      <c r="AA464">
        <v>138.97</v>
      </c>
      <c r="AB464">
        <v>0.2</v>
      </c>
      <c r="AC464">
        <v>0</v>
      </c>
      <c r="AD464" t="s">
        <v>3</v>
      </c>
      <c r="AE464" t="s">
        <v>0</v>
      </c>
      <c r="AF464" t="s">
        <v>3</v>
      </c>
      <c r="AG464" t="s">
        <v>2</v>
      </c>
      <c r="AI464" t="s">
        <v>23</v>
      </c>
      <c r="AJ464">
        <v>4</v>
      </c>
      <c r="AK464">
        <v>4</v>
      </c>
      <c r="AL464">
        <v>45</v>
      </c>
      <c r="AM464" t="s">
        <v>5</v>
      </c>
      <c r="AN464">
        <v>1</v>
      </c>
      <c r="AO464">
        <v>1</v>
      </c>
      <c r="AP464">
        <v>1</v>
      </c>
      <c r="AQ464">
        <v>1</v>
      </c>
    </row>
    <row r="465" spans="1:43" x14ac:dyDescent="0.25">
      <c r="A465" t="s">
        <v>2748</v>
      </c>
      <c r="B465" t="s">
        <v>1157</v>
      </c>
      <c r="C465" t="s">
        <v>2747</v>
      </c>
      <c r="D465" s="1">
        <v>46102</v>
      </c>
      <c r="E465" t="s">
        <v>162</v>
      </c>
      <c r="F465" t="s">
        <v>540</v>
      </c>
      <c r="G465" t="s">
        <v>56</v>
      </c>
      <c r="H465" t="s">
        <v>29</v>
      </c>
      <c r="I465" t="s">
        <v>15</v>
      </c>
      <c r="J465" t="s">
        <v>55</v>
      </c>
      <c r="K465" t="s">
        <v>54</v>
      </c>
      <c r="L465" t="s">
        <v>117</v>
      </c>
      <c r="M465" t="s">
        <v>11</v>
      </c>
      <c r="N465" t="s">
        <v>269</v>
      </c>
      <c r="O465" t="s">
        <v>26</v>
      </c>
      <c r="P465" t="s">
        <v>25</v>
      </c>
      <c r="Q465" t="s">
        <v>50</v>
      </c>
      <c r="R465" t="s">
        <v>38</v>
      </c>
      <c r="S465">
        <v>4</v>
      </c>
      <c r="T465">
        <v>4</v>
      </c>
      <c r="U465">
        <v>79</v>
      </c>
      <c r="V465" t="s">
        <v>0</v>
      </c>
      <c r="W465" t="s">
        <v>5</v>
      </c>
      <c r="X465" t="s">
        <v>0</v>
      </c>
      <c r="Y465" t="s">
        <v>4</v>
      </c>
      <c r="Z465" t="s">
        <v>5</v>
      </c>
      <c r="AA465">
        <v>143.65</v>
      </c>
      <c r="AB465">
        <v>0.2</v>
      </c>
      <c r="AC465">
        <v>0</v>
      </c>
      <c r="AD465" t="s">
        <v>3</v>
      </c>
      <c r="AE465" t="s">
        <v>0</v>
      </c>
      <c r="AF465" t="s">
        <v>3</v>
      </c>
      <c r="AG465" t="s">
        <v>2</v>
      </c>
      <c r="AI465" t="s">
        <v>23</v>
      </c>
      <c r="AJ465">
        <v>5</v>
      </c>
      <c r="AK465">
        <v>-12</v>
      </c>
      <c r="AL465">
        <v>29</v>
      </c>
      <c r="AM465" t="s">
        <v>5</v>
      </c>
      <c r="AN465">
        <v>1</v>
      </c>
      <c r="AO465">
        <v>1</v>
      </c>
      <c r="AP465">
        <v>0</v>
      </c>
      <c r="AQ465">
        <v>1</v>
      </c>
    </row>
    <row r="466" spans="1:43" x14ac:dyDescent="0.25">
      <c r="A466" t="s">
        <v>2746</v>
      </c>
      <c r="B466" t="s">
        <v>297</v>
      </c>
      <c r="C466" t="s">
        <v>2745</v>
      </c>
      <c r="D466" s="1">
        <v>45688</v>
      </c>
      <c r="E466" t="s">
        <v>32</v>
      </c>
      <c r="F466" t="s">
        <v>356</v>
      </c>
      <c r="G466" t="s">
        <v>17</v>
      </c>
      <c r="H466" t="s">
        <v>29</v>
      </c>
      <c r="I466" t="s">
        <v>15</v>
      </c>
      <c r="J466" t="s">
        <v>14</v>
      </c>
      <c r="K466" t="s">
        <v>13</v>
      </c>
      <c r="L466" t="s">
        <v>12</v>
      </c>
      <c r="M466" t="s">
        <v>27</v>
      </c>
      <c r="N466" t="s">
        <v>10</v>
      </c>
      <c r="O466" t="s">
        <v>199</v>
      </c>
      <c r="P466" t="s">
        <v>39</v>
      </c>
      <c r="Q466" t="s">
        <v>7</v>
      </c>
      <c r="R466" t="s">
        <v>6</v>
      </c>
      <c r="S466">
        <v>5</v>
      </c>
      <c r="T466">
        <v>5</v>
      </c>
      <c r="U466">
        <v>119</v>
      </c>
      <c r="V466" t="s">
        <v>0</v>
      </c>
      <c r="W466" t="s">
        <v>5</v>
      </c>
      <c r="X466" t="s">
        <v>0</v>
      </c>
      <c r="Y466" t="s">
        <v>4</v>
      </c>
      <c r="Z466" t="s">
        <v>5</v>
      </c>
      <c r="AA466">
        <v>80.849999999999994</v>
      </c>
      <c r="AB466">
        <v>0</v>
      </c>
      <c r="AC466">
        <v>0.37</v>
      </c>
      <c r="AD466" t="s">
        <v>3</v>
      </c>
      <c r="AE466" t="s">
        <v>0</v>
      </c>
      <c r="AF466" t="s">
        <v>3</v>
      </c>
      <c r="AG466" t="s">
        <v>2</v>
      </c>
      <c r="AI466" t="s">
        <v>23</v>
      </c>
      <c r="AJ466">
        <v>4</v>
      </c>
      <c r="AK466">
        <v>31</v>
      </c>
      <c r="AL466">
        <v>32</v>
      </c>
      <c r="AM466" t="s">
        <v>5</v>
      </c>
      <c r="AN466">
        <v>1</v>
      </c>
      <c r="AO466">
        <v>1</v>
      </c>
      <c r="AP466">
        <v>0</v>
      </c>
      <c r="AQ466">
        <v>1</v>
      </c>
    </row>
    <row r="467" spans="1:43" x14ac:dyDescent="0.25">
      <c r="A467" t="s">
        <v>2744</v>
      </c>
      <c r="B467" t="s">
        <v>1487</v>
      </c>
      <c r="C467" t="s">
        <v>2743</v>
      </c>
      <c r="D467" s="1">
        <v>46095</v>
      </c>
      <c r="E467" t="s">
        <v>156</v>
      </c>
      <c r="F467" t="s">
        <v>1671</v>
      </c>
      <c r="G467" t="s">
        <v>30</v>
      </c>
      <c r="H467" t="s">
        <v>29</v>
      </c>
      <c r="I467" t="s">
        <v>28</v>
      </c>
      <c r="J467" t="s">
        <v>55</v>
      </c>
      <c r="K467" t="s">
        <v>54</v>
      </c>
      <c r="L467" t="s">
        <v>42</v>
      </c>
      <c r="M467" t="s">
        <v>11</v>
      </c>
      <c r="N467" t="s">
        <v>52</v>
      </c>
      <c r="O467" t="s">
        <v>199</v>
      </c>
      <c r="P467" t="s">
        <v>25</v>
      </c>
      <c r="Q467" t="s">
        <v>7</v>
      </c>
      <c r="R467" t="s">
        <v>6</v>
      </c>
      <c r="S467" t="s">
        <v>277</v>
      </c>
      <c r="T467">
        <v>3</v>
      </c>
      <c r="U467">
        <v>132</v>
      </c>
      <c r="V467" t="s">
        <v>5</v>
      </c>
      <c r="W467" t="s">
        <v>5</v>
      </c>
      <c r="X467" t="s">
        <v>0</v>
      </c>
      <c r="Y467" t="s">
        <v>4</v>
      </c>
      <c r="Z467" t="s">
        <v>5</v>
      </c>
      <c r="AA467">
        <v>23.67</v>
      </c>
      <c r="AB467">
        <v>0</v>
      </c>
      <c r="AC467">
        <v>0</v>
      </c>
      <c r="AD467" t="s">
        <v>3</v>
      </c>
      <c r="AE467" t="s">
        <v>0</v>
      </c>
      <c r="AF467" t="s">
        <v>3</v>
      </c>
      <c r="AG467" t="s">
        <v>2</v>
      </c>
      <c r="AI467" t="s">
        <v>23</v>
      </c>
      <c r="AJ467">
        <v>3</v>
      </c>
      <c r="AK467">
        <v>10</v>
      </c>
      <c r="AL467">
        <v>34</v>
      </c>
      <c r="AM467" t="s">
        <v>0</v>
      </c>
      <c r="AN467">
        <v>1</v>
      </c>
      <c r="AO467">
        <v>1</v>
      </c>
      <c r="AP467">
        <v>0</v>
      </c>
      <c r="AQ467">
        <v>0</v>
      </c>
    </row>
    <row r="468" spans="1:43" x14ac:dyDescent="0.25">
      <c r="A468" t="s">
        <v>2742</v>
      </c>
      <c r="B468" t="s">
        <v>2029</v>
      </c>
      <c r="C468" t="s">
        <v>2741</v>
      </c>
      <c r="D468" s="1">
        <v>46088</v>
      </c>
      <c r="E468" t="s">
        <v>45</v>
      </c>
      <c r="F468" t="s">
        <v>57</v>
      </c>
      <c r="G468" t="s">
        <v>56</v>
      </c>
      <c r="H468" t="s">
        <v>16</v>
      </c>
      <c r="I468" t="s">
        <v>15</v>
      </c>
      <c r="J468" t="s">
        <v>55</v>
      </c>
      <c r="K468" t="s">
        <v>54</v>
      </c>
      <c r="L468" t="s">
        <v>117</v>
      </c>
      <c r="M468" t="s">
        <v>11</v>
      </c>
      <c r="N468" t="s">
        <v>52</v>
      </c>
      <c r="O468" t="s">
        <v>130</v>
      </c>
      <c r="P468" t="s">
        <v>63</v>
      </c>
      <c r="Q468" t="s">
        <v>7</v>
      </c>
      <c r="R468" t="s">
        <v>6</v>
      </c>
      <c r="S468">
        <v>5</v>
      </c>
      <c r="T468">
        <v>5</v>
      </c>
      <c r="U468">
        <v>186</v>
      </c>
      <c r="V468" t="s">
        <v>0</v>
      </c>
      <c r="W468" t="s">
        <v>5</v>
      </c>
      <c r="X468" t="s">
        <v>287</v>
      </c>
      <c r="Y468" t="s">
        <v>1249</v>
      </c>
      <c r="Z468" t="s">
        <v>5</v>
      </c>
      <c r="AA468">
        <v>47.54</v>
      </c>
      <c r="AB468">
        <v>0</v>
      </c>
      <c r="AC468">
        <v>0</v>
      </c>
      <c r="AD468" t="s">
        <v>3</v>
      </c>
      <c r="AE468" t="s">
        <v>0</v>
      </c>
      <c r="AF468" t="s">
        <v>3</v>
      </c>
      <c r="AG468" t="s">
        <v>2</v>
      </c>
      <c r="AI468" t="s">
        <v>23</v>
      </c>
      <c r="AJ468">
        <v>4</v>
      </c>
      <c r="AK468">
        <v>-18</v>
      </c>
      <c r="AL468" t="s">
        <v>347</v>
      </c>
      <c r="AM468" t="s">
        <v>5</v>
      </c>
      <c r="AN468">
        <v>1</v>
      </c>
      <c r="AO468">
        <v>1</v>
      </c>
      <c r="AP468">
        <v>1</v>
      </c>
      <c r="AQ468">
        <v>1</v>
      </c>
    </row>
    <row r="469" spans="1:43" x14ac:dyDescent="0.25">
      <c r="A469" t="s">
        <v>2740</v>
      </c>
      <c r="B469" t="s">
        <v>2739</v>
      </c>
      <c r="C469" t="s">
        <v>2738</v>
      </c>
      <c r="D469" s="1">
        <v>45831</v>
      </c>
      <c r="E469" t="s">
        <v>45</v>
      </c>
      <c r="F469" t="s">
        <v>57</v>
      </c>
      <c r="G469" t="s">
        <v>110</v>
      </c>
      <c r="H469" t="s">
        <v>77</v>
      </c>
      <c r="I469" t="s">
        <v>28</v>
      </c>
      <c r="J469" t="s">
        <v>55</v>
      </c>
      <c r="K469" t="s">
        <v>54</v>
      </c>
      <c r="L469" t="s">
        <v>117</v>
      </c>
      <c r="M469" t="s">
        <v>11</v>
      </c>
      <c r="N469" t="s">
        <v>52</v>
      </c>
      <c r="O469" t="s">
        <v>101</v>
      </c>
      <c r="P469" t="s">
        <v>39</v>
      </c>
      <c r="Q469" t="s">
        <v>24</v>
      </c>
      <c r="R469" t="s">
        <v>38</v>
      </c>
      <c r="S469">
        <v>4</v>
      </c>
      <c r="T469">
        <v>4</v>
      </c>
      <c r="U469">
        <v>113</v>
      </c>
      <c r="V469" t="s">
        <v>0</v>
      </c>
      <c r="W469" t="s">
        <v>5</v>
      </c>
      <c r="X469" t="s">
        <v>0</v>
      </c>
      <c r="Y469" t="s">
        <v>4</v>
      </c>
      <c r="Z469" t="s">
        <v>5</v>
      </c>
      <c r="AA469">
        <v>20.190000000000001</v>
      </c>
      <c r="AB469">
        <v>0</v>
      </c>
      <c r="AC469">
        <v>0</v>
      </c>
      <c r="AD469" t="s">
        <v>3</v>
      </c>
      <c r="AE469" t="s">
        <v>0</v>
      </c>
      <c r="AF469" t="s">
        <v>3</v>
      </c>
      <c r="AG469" t="s">
        <v>2</v>
      </c>
      <c r="AI469" t="s">
        <v>23</v>
      </c>
      <c r="AJ469">
        <v>5</v>
      </c>
      <c r="AK469">
        <v>66</v>
      </c>
      <c r="AL469">
        <v>50</v>
      </c>
      <c r="AM469" t="s">
        <v>5</v>
      </c>
      <c r="AN469">
        <v>1</v>
      </c>
      <c r="AO469">
        <v>1</v>
      </c>
      <c r="AP469">
        <v>0</v>
      </c>
      <c r="AQ469">
        <v>1</v>
      </c>
    </row>
    <row r="470" spans="1:43" x14ac:dyDescent="0.25">
      <c r="A470" t="s">
        <v>2737</v>
      </c>
      <c r="B470" t="s">
        <v>885</v>
      </c>
      <c r="C470" t="s">
        <v>2736</v>
      </c>
      <c r="D470" s="1">
        <v>46050</v>
      </c>
      <c r="E470" t="s">
        <v>156</v>
      </c>
      <c r="F470" t="s">
        <v>155</v>
      </c>
      <c r="G470" t="s">
        <v>56</v>
      </c>
      <c r="H470" t="s">
        <v>16</v>
      </c>
      <c r="I470" t="s">
        <v>15</v>
      </c>
      <c r="J470" t="s">
        <v>14</v>
      </c>
      <c r="K470" t="s">
        <v>13</v>
      </c>
      <c r="L470" t="s">
        <v>88</v>
      </c>
      <c r="M470" t="s">
        <v>11</v>
      </c>
      <c r="N470" t="s">
        <v>75</v>
      </c>
      <c r="O470" t="s">
        <v>26</v>
      </c>
      <c r="P470" t="s">
        <v>39</v>
      </c>
      <c r="Q470" t="s">
        <v>24</v>
      </c>
      <c r="R470" t="s">
        <v>6</v>
      </c>
      <c r="S470">
        <v>4</v>
      </c>
      <c r="T470">
        <v>3</v>
      </c>
      <c r="U470">
        <v>143</v>
      </c>
      <c r="V470" t="s">
        <v>5</v>
      </c>
      <c r="W470" t="s">
        <v>5</v>
      </c>
      <c r="X470" t="s">
        <v>0</v>
      </c>
      <c r="Y470" t="s">
        <v>4</v>
      </c>
      <c r="Z470" t="s">
        <v>5</v>
      </c>
      <c r="AA470">
        <v>152.06</v>
      </c>
      <c r="AB470">
        <v>0.2</v>
      </c>
      <c r="AC470">
        <v>0</v>
      </c>
      <c r="AD470" t="s">
        <v>3</v>
      </c>
      <c r="AE470" t="s">
        <v>0</v>
      </c>
      <c r="AF470" t="s">
        <v>3</v>
      </c>
      <c r="AG470" t="s">
        <v>2</v>
      </c>
      <c r="AI470" t="s">
        <v>23</v>
      </c>
      <c r="AJ470">
        <v>5</v>
      </c>
      <c r="AK470">
        <v>3</v>
      </c>
      <c r="AL470">
        <v>42</v>
      </c>
      <c r="AM470" t="s">
        <v>5</v>
      </c>
      <c r="AN470">
        <v>1</v>
      </c>
      <c r="AO470">
        <v>1</v>
      </c>
      <c r="AP470">
        <v>0</v>
      </c>
      <c r="AQ470">
        <v>1</v>
      </c>
    </row>
    <row r="471" spans="1:43" x14ac:dyDescent="0.25">
      <c r="A471" t="s">
        <v>2735</v>
      </c>
      <c r="B471" t="s">
        <v>2734</v>
      </c>
      <c r="C471" t="s">
        <v>2733</v>
      </c>
      <c r="D471" s="1">
        <v>45816</v>
      </c>
      <c r="E471" t="s">
        <v>162</v>
      </c>
      <c r="F471" t="s">
        <v>2249</v>
      </c>
      <c r="G471" t="s">
        <v>17</v>
      </c>
      <c r="H471" t="s">
        <v>66</v>
      </c>
      <c r="I471" t="s">
        <v>15</v>
      </c>
      <c r="J471" t="s">
        <v>55</v>
      </c>
      <c r="K471" t="s">
        <v>54</v>
      </c>
      <c r="L471" t="s">
        <v>64</v>
      </c>
      <c r="M471" t="s">
        <v>11</v>
      </c>
      <c r="N471" t="s">
        <v>116</v>
      </c>
      <c r="O471" t="s">
        <v>101</v>
      </c>
      <c r="P471" t="s">
        <v>63</v>
      </c>
      <c r="Q471" t="s">
        <v>7</v>
      </c>
      <c r="R471" t="s">
        <v>6</v>
      </c>
      <c r="S471" t="s">
        <v>99</v>
      </c>
      <c r="T471">
        <v>4</v>
      </c>
      <c r="U471">
        <v>83</v>
      </c>
      <c r="V471" t="s">
        <v>0</v>
      </c>
      <c r="W471" t="s">
        <v>5</v>
      </c>
      <c r="X471" t="s">
        <v>0</v>
      </c>
      <c r="Y471" t="s">
        <v>4</v>
      </c>
      <c r="Z471" t="s">
        <v>5</v>
      </c>
      <c r="AA471">
        <v>31.09</v>
      </c>
      <c r="AB471">
        <v>0.45</v>
      </c>
      <c r="AC471">
        <v>0</v>
      </c>
      <c r="AD471" t="s">
        <v>3</v>
      </c>
      <c r="AE471" t="s">
        <v>0</v>
      </c>
      <c r="AF471" t="s">
        <v>3</v>
      </c>
      <c r="AG471" t="s">
        <v>2</v>
      </c>
      <c r="AI471" t="s">
        <v>23</v>
      </c>
      <c r="AJ471">
        <v>5</v>
      </c>
      <c r="AK471">
        <v>13</v>
      </c>
      <c r="AL471">
        <v>0</v>
      </c>
      <c r="AM471" t="s">
        <v>5</v>
      </c>
      <c r="AN471">
        <v>1</v>
      </c>
      <c r="AO471">
        <v>1</v>
      </c>
      <c r="AP471">
        <v>0</v>
      </c>
      <c r="AQ471">
        <v>1</v>
      </c>
    </row>
    <row r="472" spans="1:43" x14ac:dyDescent="0.25">
      <c r="A472" t="s">
        <v>2732</v>
      </c>
      <c r="B472" t="s">
        <v>2731</v>
      </c>
      <c r="C472" t="s">
        <v>2730</v>
      </c>
      <c r="D472" s="1">
        <v>46001</v>
      </c>
      <c r="E472" t="s">
        <v>79</v>
      </c>
      <c r="F472" t="s">
        <v>206</v>
      </c>
      <c r="G472" t="s">
        <v>17</v>
      </c>
      <c r="H472" t="s">
        <v>66</v>
      </c>
      <c r="I472" t="s">
        <v>15</v>
      </c>
      <c r="J472" t="s">
        <v>14</v>
      </c>
      <c r="K472" t="s">
        <v>13</v>
      </c>
      <c r="L472" t="s">
        <v>64</v>
      </c>
      <c r="M472" t="s">
        <v>11</v>
      </c>
      <c r="N472" t="s">
        <v>52</v>
      </c>
      <c r="O472" t="s">
        <v>51</v>
      </c>
      <c r="P472" t="s">
        <v>8</v>
      </c>
      <c r="Q472" t="s">
        <v>7</v>
      </c>
      <c r="R472" t="s">
        <v>6</v>
      </c>
      <c r="S472">
        <v>6</v>
      </c>
      <c r="T472">
        <v>6</v>
      </c>
      <c r="U472">
        <v>153</v>
      </c>
      <c r="V472" t="s">
        <v>0</v>
      </c>
      <c r="W472" t="s">
        <v>5</v>
      </c>
      <c r="X472" t="s">
        <v>0</v>
      </c>
      <c r="Y472" t="s">
        <v>4</v>
      </c>
      <c r="Z472" t="s">
        <v>5</v>
      </c>
      <c r="AA472">
        <v>58.69</v>
      </c>
      <c r="AB472">
        <v>0.1</v>
      </c>
      <c r="AC472">
        <v>0</v>
      </c>
      <c r="AD472" t="s">
        <v>3</v>
      </c>
      <c r="AE472" t="s">
        <v>0</v>
      </c>
      <c r="AF472" t="s">
        <v>3</v>
      </c>
      <c r="AG472" t="s">
        <v>2</v>
      </c>
      <c r="AI472" t="s">
        <v>23</v>
      </c>
      <c r="AJ472">
        <v>2</v>
      </c>
      <c r="AK472">
        <v>39</v>
      </c>
      <c r="AL472">
        <v>13</v>
      </c>
      <c r="AM472" t="s">
        <v>5</v>
      </c>
      <c r="AN472">
        <v>1</v>
      </c>
      <c r="AO472">
        <v>1</v>
      </c>
      <c r="AP472">
        <v>0</v>
      </c>
      <c r="AQ472">
        <v>1</v>
      </c>
    </row>
    <row r="473" spans="1:43" x14ac:dyDescent="0.25">
      <c r="A473" t="s">
        <v>2729</v>
      </c>
      <c r="B473" t="s">
        <v>2254</v>
      </c>
      <c r="C473" t="s">
        <v>2728</v>
      </c>
      <c r="D473" s="1">
        <v>45876</v>
      </c>
      <c r="E473" t="s">
        <v>32</v>
      </c>
      <c r="F473" t="s">
        <v>356</v>
      </c>
      <c r="G473" t="s">
        <v>17</v>
      </c>
      <c r="H473" t="s">
        <v>29</v>
      </c>
      <c r="I473" t="s">
        <v>28</v>
      </c>
      <c r="J473" t="s">
        <v>14</v>
      </c>
      <c r="K473" t="s">
        <v>13</v>
      </c>
      <c r="L473" t="s">
        <v>88</v>
      </c>
      <c r="M473" t="s">
        <v>53</v>
      </c>
      <c r="N473" t="s">
        <v>93</v>
      </c>
      <c r="O473" t="s">
        <v>51</v>
      </c>
      <c r="P473" t="s">
        <v>8</v>
      </c>
      <c r="Q473" t="s">
        <v>7</v>
      </c>
      <c r="R473" t="s">
        <v>6</v>
      </c>
      <c r="S473">
        <v>6</v>
      </c>
      <c r="T473">
        <v>6</v>
      </c>
      <c r="U473">
        <v>183</v>
      </c>
      <c r="V473" t="s">
        <v>0</v>
      </c>
      <c r="W473" t="s">
        <v>0</v>
      </c>
      <c r="X473" t="s">
        <v>5</v>
      </c>
      <c r="Y473" t="s">
        <v>153</v>
      </c>
      <c r="Z473" t="s">
        <v>0</v>
      </c>
      <c r="AA473">
        <v>0</v>
      </c>
      <c r="AB473">
        <v>0</v>
      </c>
      <c r="AC473">
        <v>0</v>
      </c>
      <c r="AD473" t="s">
        <v>61</v>
      </c>
      <c r="AE473" t="s">
        <v>5</v>
      </c>
      <c r="AF473" t="s">
        <v>61</v>
      </c>
      <c r="AG473" t="s">
        <v>36</v>
      </c>
      <c r="AH473">
        <v>32</v>
      </c>
      <c r="AI473" t="s">
        <v>122</v>
      </c>
      <c r="AJ473">
        <v>2</v>
      </c>
      <c r="AK473">
        <v>-7</v>
      </c>
      <c r="AL473">
        <v>16</v>
      </c>
      <c r="AM473" t="s">
        <v>0</v>
      </c>
      <c r="AN473">
        <v>0</v>
      </c>
      <c r="AO473">
        <v>0</v>
      </c>
      <c r="AP473">
        <v>1</v>
      </c>
      <c r="AQ473">
        <v>0</v>
      </c>
    </row>
    <row r="474" spans="1:43" x14ac:dyDescent="0.25">
      <c r="A474" t="s">
        <v>2727</v>
      </c>
      <c r="B474" t="s">
        <v>1386</v>
      </c>
      <c r="C474" t="s">
        <v>2726</v>
      </c>
      <c r="D474" s="1">
        <v>45675</v>
      </c>
      <c r="E474" t="s">
        <v>32</v>
      </c>
      <c r="F474" t="s">
        <v>31</v>
      </c>
      <c r="G474" t="s">
        <v>56</v>
      </c>
      <c r="H474" t="s">
        <v>16</v>
      </c>
      <c r="I474" t="s">
        <v>28</v>
      </c>
      <c r="J474" t="s">
        <v>14</v>
      </c>
      <c r="K474" t="s">
        <v>13</v>
      </c>
      <c r="L474" t="s">
        <v>64</v>
      </c>
      <c r="M474" t="s">
        <v>11</v>
      </c>
      <c r="N474" t="s">
        <v>41</v>
      </c>
      <c r="O474" t="s">
        <v>9</v>
      </c>
      <c r="P474" t="s">
        <v>25</v>
      </c>
      <c r="Q474" t="s">
        <v>7</v>
      </c>
      <c r="R474" t="s">
        <v>6</v>
      </c>
      <c r="S474">
        <v>7</v>
      </c>
      <c r="T474">
        <v>7</v>
      </c>
      <c r="U474">
        <v>181</v>
      </c>
      <c r="V474" t="s">
        <v>0</v>
      </c>
      <c r="W474" t="s">
        <v>0</v>
      </c>
      <c r="X474" t="s">
        <v>0</v>
      </c>
      <c r="Y474" t="s">
        <v>4</v>
      </c>
      <c r="Z474" t="s">
        <v>0</v>
      </c>
      <c r="AA474">
        <v>0</v>
      </c>
      <c r="AB474">
        <v>0</v>
      </c>
      <c r="AC474">
        <v>0</v>
      </c>
      <c r="AD474" t="s">
        <v>3</v>
      </c>
      <c r="AE474" t="s">
        <v>0</v>
      </c>
      <c r="AF474" t="s">
        <v>3</v>
      </c>
      <c r="AG474" t="s">
        <v>2</v>
      </c>
      <c r="AI474" t="s">
        <v>544</v>
      </c>
      <c r="AJ474">
        <v>3</v>
      </c>
      <c r="AK474">
        <v>27</v>
      </c>
      <c r="AL474">
        <v>15</v>
      </c>
      <c r="AM474" t="s">
        <v>0</v>
      </c>
      <c r="AN474">
        <v>0</v>
      </c>
      <c r="AO474">
        <v>0</v>
      </c>
      <c r="AP474">
        <v>0</v>
      </c>
      <c r="AQ474">
        <v>0</v>
      </c>
    </row>
    <row r="475" spans="1:43" x14ac:dyDescent="0.25">
      <c r="A475" t="s">
        <v>2725</v>
      </c>
      <c r="B475" t="s">
        <v>1558</v>
      </c>
      <c r="C475" t="s">
        <v>2724</v>
      </c>
      <c r="D475" s="1">
        <v>45772</v>
      </c>
      <c r="E475" t="s">
        <v>79</v>
      </c>
      <c r="F475" t="s">
        <v>78</v>
      </c>
      <c r="G475" t="s">
        <v>17</v>
      </c>
      <c r="H475" t="s">
        <v>29</v>
      </c>
      <c r="I475" t="s">
        <v>15</v>
      </c>
      <c r="J475" t="s">
        <v>146</v>
      </c>
      <c r="K475" t="s">
        <v>145</v>
      </c>
      <c r="L475" t="s">
        <v>64</v>
      </c>
      <c r="M475" t="s">
        <v>11</v>
      </c>
      <c r="N475" t="s">
        <v>93</v>
      </c>
      <c r="O475" t="s">
        <v>101</v>
      </c>
      <c r="P475" t="s">
        <v>39</v>
      </c>
      <c r="Q475" t="s">
        <v>7</v>
      </c>
      <c r="R475" t="s">
        <v>6</v>
      </c>
      <c r="S475">
        <v>4</v>
      </c>
      <c r="T475">
        <v>4</v>
      </c>
      <c r="U475">
        <v>107</v>
      </c>
      <c r="V475" t="s">
        <v>0</v>
      </c>
      <c r="W475" t="s">
        <v>5</v>
      </c>
      <c r="X475" t="s">
        <v>0</v>
      </c>
      <c r="Y475" t="s">
        <v>4</v>
      </c>
      <c r="Z475" t="s">
        <v>5</v>
      </c>
      <c r="AA475">
        <v>121.33</v>
      </c>
      <c r="AB475">
        <v>0.45</v>
      </c>
      <c r="AC475">
        <v>0</v>
      </c>
      <c r="AD475" t="s">
        <v>3</v>
      </c>
      <c r="AE475" t="s">
        <v>0</v>
      </c>
      <c r="AF475" t="s">
        <v>3</v>
      </c>
      <c r="AG475" t="s">
        <v>2</v>
      </c>
      <c r="AI475" t="s">
        <v>23</v>
      </c>
      <c r="AJ475">
        <v>4</v>
      </c>
      <c r="AK475">
        <v>21</v>
      </c>
      <c r="AL475">
        <v>1</v>
      </c>
      <c r="AM475" t="s">
        <v>5</v>
      </c>
      <c r="AN475">
        <v>1</v>
      </c>
      <c r="AO475">
        <v>1</v>
      </c>
      <c r="AP475">
        <v>0</v>
      </c>
      <c r="AQ475">
        <v>1</v>
      </c>
    </row>
    <row r="476" spans="1:43" x14ac:dyDescent="0.25">
      <c r="A476" t="s">
        <v>2723</v>
      </c>
      <c r="B476" t="s">
        <v>2526</v>
      </c>
      <c r="C476" t="s">
        <v>2722</v>
      </c>
      <c r="D476" s="1">
        <v>46040</v>
      </c>
      <c r="E476" t="s">
        <v>156</v>
      </c>
      <c r="F476" t="s">
        <v>238</v>
      </c>
      <c r="G476" t="s">
        <v>123</v>
      </c>
      <c r="H476" t="s">
        <v>77</v>
      </c>
      <c r="I476" t="s">
        <v>15</v>
      </c>
      <c r="J476" t="s">
        <v>146</v>
      </c>
      <c r="K476" t="s">
        <v>145</v>
      </c>
      <c r="L476" t="s">
        <v>64</v>
      </c>
      <c r="M476" t="s">
        <v>11</v>
      </c>
      <c r="N476" t="s">
        <v>41</v>
      </c>
      <c r="O476" t="s">
        <v>193</v>
      </c>
      <c r="P476" t="s">
        <v>8</v>
      </c>
      <c r="Q476" t="s">
        <v>7</v>
      </c>
      <c r="R476" t="s">
        <v>6</v>
      </c>
      <c r="S476">
        <v>9</v>
      </c>
      <c r="T476">
        <v>9</v>
      </c>
      <c r="U476">
        <v>254</v>
      </c>
      <c r="V476" t="s">
        <v>0</v>
      </c>
      <c r="W476" t="s">
        <v>5</v>
      </c>
      <c r="X476" t="s">
        <v>135</v>
      </c>
      <c r="Y476" t="s">
        <v>4</v>
      </c>
      <c r="Z476" t="s">
        <v>0</v>
      </c>
      <c r="AA476">
        <v>0</v>
      </c>
      <c r="AB476">
        <v>0</v>
      </c>
      <c r="AC476">
        <v>0</v>
      </c>
      <c r="AD476" t="s">
        <v>37</v>
      </c>
      <c r="AE476" t="s">
        <v>5</v>
      </c>
      <c r="AF476" t="s">
        <v>37</v>
      </c>
      <c r="AG476" t="s">
        <v>139</v>
      </c>
      <c r="AH476">
        <v>45</v>
      </c>
      <c r="AI476" t="s">
        <v>23</v>
      </c>
      <c r="AJ476">
        <v>4</v>
      </c>
      <c r="AK476">
        <v>13</v>
      </c>
      <c r="AL476">
        <v>13</v>
      </c>
      <c r="AM476" t="s">
        <v>5</v>
      </c>
      <c r="AN476">
        <v>1</v>
      </c>
      <c r="AO476">
        <v>0</v>
      </c>
      <c r="AP476">
        <v>0</v>
      </c>
      <c r="AQ476">
        <v>1</v>
      </c>
    </row>
    <row r="477" spans="1:43" x14ac:dyDescent="0.25">
      <c r="A477" t="s">
        <v>2721</v>
      </c>
      <c r="B477" t="s">
        <v>918</v>
      </c>
      <c r="C477" t="s">
        <v>2720</v>
      </c>
      <c r="D477" s="1">
        <v>45979</v>
      </c>
      <c r="E477" t="s">
        <v>68</v>
      </c>
      <c r="F477" t="s">
        <v>216</v>
      </c>
      <c r="G477" t="s">
        <v>17</v>
      </c>
      <c r="H477" t="s">
        <v>77</v>
      </c>
      <c r="I477" t="s">
        <v>15</v>
      </c>
      <c r="J477" t="s">
        <v>14</v>
      </c>
      <c r="K477" t="s">
        <v>13</v>
      </c>
      <c r="L477" t="s">
        <v>88</v>
      </c>
      <c r="M477" t="s">
        <v>11</v>
      </c>
      <c r="N477" t="s">
        <v>269</v>
      </c>
      <c r="O477" t="s">
        <v>199</v>
      </c>
      <c r="P477" t="s">
        <v>39</v>
      </c>
      <c r="Q477" t="s">
        <v>50</v>
      </c>
      <c r="R477" t="s">
        <v>38</v>
      </c>
      <c r="S477">
        <v>5</v>
      </c>
      <c r="T477">
        <v>5</v>
      </c>
      <c r="U477">
        <v>155</v>
      </c>
      <c r="V477" t="s">
        <v>0</v>
      </c>
      <c r="W477" t="s">
        <v>5</v>
      </c>
      <c r="X477" t="s">
        <v>0</v>
      </c>
      <c r="Y477" t="s">
        <v>4</v>
      </c>
      <c r="Z477" t="s">
        <v>5</v>
      </c>
      <c r="AA477">
        <v>4.82</v>
      </c>
      <c r="AB477">
        <v>0</v>
      </c>
      <c r="AC477">
        <v>0</v>
      </c>
      <c r="AD477" t="s">
        <v>3</v>
      </c>
      <c r="AE477" t="s">
        <v>0</v>
      </c>
      <c r="AF477" t="s">
        <v>3</v>
      </c>
      <c r="AG477" t="s">
        <v>2</v>
      </c>
      <c r="AI477" t="s">
        <v>23</v>
      </c>
      <c r="AJ477">
        <v>5</v>
      </c>
      <c r="AK477">
        <v>62</v>
      </c>
      <c r="AL477">
        <v>1</v>
      </c>
      <c r="AM477" t="s">
        <v>0</v>
      </c>
      <c r="AN477">
        <v>1</v>
      </c>
      <c r="AO477">
        <v>1</v>
      </c>
      <c r="AP477">
        <v>0</v>
      </c>
      <c r="AQ477">
        <v>0</v>
      </c>
    </row>
    <row r="478" spans="1:43" x14ac:dyDescent="0.25">
      <c r="A478" t="s">
        <v>2719</v>
      </c>
      <c r="B478" t="s">
        <v>1204</v>
      </c>
      <c r="C478" t="s">
        <v>2718</v>
      </c>
      <c r="D478" s="1">
        <v>45830</v>
      </c>
      <c r="E478" t="s">
        <v>156</v>
      </c>
      <c r="F478" t="s">
        <v>155</v>
      </c>
      <c r="G478" t="s">
        <v>83</v>
      </c>
      <c r="H478" t="s">
        <v>16</v>
      </c>
      <c r="I478" t="s">
        <v>28</v>
      </c>
      <c r="J478" t="s">
        <v>55</v>
      </c>
      <c r="K478" t="s">
        <v>54</v>
      </c>
      <c r="L478" t="s">
        <v>88</v>
      </c>
      <c r="M478" t="s">
        <v>11</v>
      </c>
      <c r="N478" t="s">
        <v>154</v>
      </c>
      <c r="O478" t="s">
        <v>51</v>
      </c>
      <c r="P478" t="s">
        <v>39</v>
      </c>
      <c r="Q478" t="s">
        <v>7</v>
      </c>
      <c r="R478" t="s">
        <v>6</v>
      </c>
      <c r="S478">
        <v>6</v>
      </c>
      <c r="T478">
        <v>6</v>
      </c>
      <c r="U478">
        <v>167</v>
      </c>
      <c r="V478" t="s">
        <v>0</v>
      </c>
      <c r="W478" t="s">
        <v>5</v>
      </c>
      <c r="X478" t="s">
        <v>0</v>
      </c>
      <c r="Y478" t="s">
        <v>4</v>
      </c>
      <c r="Z478" t="s">
        <v>5</v>
      </c>
      <c r="AA478">
        <v>0</v>
      </c>
      <c r="AB478">
        <v>0.11</v>
      </c>
      <c r="AC478">
        <v>0</v>
      </c>
      <c r="AD478" t="s">
        <v>3</v>
      </c>
      <c r="AE478" t="s">
        <v>0</v>
      </c>
      <c r="AF478" t="s">
        <v>3</v>
      </c>
      <c r="AG478" t="s">
        <v>2</v>
      </c>
      <c r="AI478" t="s">
        <v>23</v>
      </c>
      <c r="AJ478">
        <v>3</v>
      </c>
      <c r="AK478">
        <v>29</v>
      </c>
      <c r="AL478">
        <v>57</v>
      </c>
      <c r="AM478" t="s">
        <v>5</v>
      </c>
      <c r="AN478">
        <v>1</v>
      </c>
      <c r="AO478">
        <v>1</v>
      </c>
      <c r="AP478">
        <v>0</v>
      </c>
      <c r="AQ478">
        <v>1</v>
      </c>
    </row>
    <row r="479" spans="1:43" x14ac:dyDescent="0.25">
      <c r="A479" t="s">
        <v>2717</v>
      </c>
      <c r="B479" t="s">
        <v>1884</v>
      </c>
      <c r="C479" t="s">
        <v>2716</v>
      </c>
      <c r="D479" s="1">
        <v>46111</v>
      </c>
      <c r="E479" t="s">
        <v>68</v>
      </c>
      <c r="F479" t="s">
        <v>67</v>
      </c>
      <c r="G479" t="s">
        <v>17</v>
      </c>
      <c r="H479" t="s">
        <v>77</v>
      </c>
      <c r="I479" t="s">
        <v>15</v>
      </c>
      <c r="J479" t="s">
        <v>14</v>
      </c>
      <c r="K479" t="s">
        <v>13</v>
      </c>
      <c r="L479" t="s">
        <v>88</v>
      </c>
      <c r="M479" t="s">
        <v>11</v>
      </c>
      <c r="N479" t="s">
        <v>10</v>
      </c>
      <c r="O479" t="s">
        <v>26</v>
      </c>
      <c r="P479" t="s">
        <v>63</v>
      </c>
      <c r="Q479" t="s">
        <v>7</v>
      </c>
      <c r="R479" t="s">
        <v>6</v>
      </c>
      <c r="S479">
        <v>4</v>
      </c>
      <c r="T479">
        <v>4</v>
      </c>
      <c r="U479">
        <v>114</v>
      </c>
      <c r="V479" t="s">
        <v>0</v>
      </c>
      <c r="W479" t="s">
        <v>5</v>
      </c>
      <c r="X479" t="s">
        <v>0</v>
      </c>
      <c r="Y479" t="s">
        <v>4</v>
      </c>
      <c r="Z479" t="s">
        <v>5</v>
      </c>
      <c r="AA479">
        <v>130.12</v>
      </c>
      <c r="AB479">
        <v>0.22</v>
      </c>
      <c r="AC479">
        <v>0</v>
      </c>
      <c r="AD479" t="s">
        <v>61</v>
      </c>
      <c r="AE479" t="s">
        <v>5</v>
      </c>
      <c r="AF479" t="s">
        <v>61</v>
      </c>
      <c r="AG479" t="s">
        <v>36</v>
      </c>
      <c r="AH479">
        <v>31</v>
      </c>
      <c r="AI479" t="s">
        <v>23</v>
      </c>
      <c r="AJ479">
        <v>5</v>
      </c>
      <c r="AK479">
        <v>25</v>
      </c>
      <c r="AL479">
        <v>0</v>
      </c>
      <c r="AM479" t="s">
        <v>5</v>
      </c>
      <c r="AN479">
        <v>1</v>
      </c>
      <c r="AO479">
        <v>1</v>
      </c>
      <c r="AP479">
        <v>0</v>
      </c>
      <c r="AQ479">
        <v>1</v>
      </c>
    </row>
    <row r="480" spans="1:43" x14ac:dyDescent="0.25">
      <c r="A480" t="s">
        <v>2715</v>
      </c>
      <c r="B480" t="s">
        <v>2408</v>
      </c>
      <c r="C480" t="s">
        <v>2714</v>
      </c>
      <c r="D480" s="1">
        <v>45754</v>
      </c>
      <c r="E480" t="s">
        <v>156</v>
      </c>
      <c r="F480" t="s">
        <v>550</v>
      </c>
      <c r="G480" t="s">
        <v>17</v>
      </c>
      <c r="H480" t="s">
        <v>77</v>
      </c>
      <c r="I480" t="s">
        <v>15</v>
      </c>
      <c r="J480" t="s">
        <v>14</v>
      </c>
      <c r="K480" t="s">
        <v>13</v>
      </c>
      <c r="L480" t="s">
        <v>117</v>
      </c>
      <c r="M480" t="s">
        <v>11</v>
      </c>
      <c r="N480" t="s">
        <v>116</v>
      </c>
      <c r="O480" t="s">
        <v>40</v>
      </c>
      <c r="P480" t="s">
        <v>25</v>
      </c>
      <c r="Q480" t="s">
        <v>172</v>
      </c>
      <c r="R480" t="s">
        <v>38</v>
      </c>
      <c r="S480">
        <v>8</v>
      </c>
      <c r="T480">
        <v>8</v>
      </c>
      <c r="U480">
        <v>166</v>
      </c>
      <c r="V480" t="s">
        <v>0</v>
      </c>
      <c r="W480" t="s">
        <v>0</v>
      </c>
      <c r="X480" t="s">
        <v>0</v>
      </c>
      <c r="Y480" t="s">
        <v>4</v>
      </c>
      <c r="Z480" t="s">
        <v>0</v>
      </c>
      <c r="AA480">
        <v>0</v>
      </c>
      <c r="AB480">
        <v>0</v>
      </c>
      <c r="AC480">
        <v>0</v>
      </c>
      <c r="AD480" t="s">
        <v>3</v>
      </c>
      <c r="AE480" t="s">
        <v>0</v>
      </c>
      <c r="AF480" t="s">
        <v>3</v>
      </c>
      <c r="AG480" t="s">
        <v>2</v>
      </c>
      <c r="AI480" t="s">
        <v>23</v>
      </c>
      <c r="AJ480">
        <v>5</v>
      </c>
      <c r="AK480">
        <v>17</v>
      </c>
      <c r="AL480">
        <v>55</v>
      </c>
      <c r="AM480" t="s">
        <v>5</v>
      </c>
      <c r="AN480">
        <v>0</v>
      </c>
      <c r="AO480">
        <v>0</v>
      </c>
      <c r="AP480">
        <v>0</v>
      </c>
      <c r="AQ480">
        <v>1</v>
      </c>
    </row>
    <row r="481" spans="1:43" x14ac:dyDescent="0.25">
      <c r="A481" t="s">
        <v>2713</v>
      </c>
      <c r="B481" t="s">
        <v>442</v>
      </c>
      <c r="C481" t="s">
        <v>2712</v>
      </c>
      <c r="D481" s="1">
        <v>45707</v>
      </c>
      <c r="E481" t="s">
        <v>19</v>
      </c>
      <c r="F481" t="s">
        <v>1749</v>
      </c>
      <c r="G481" t="s">
        <v>131</v>
      </c>
      <c r="H481" t="s">
        <v>29</v>
      </c>
      <c r="I481" t="s">
        <v>28</v>
      </c>
      <c r="J481" t="s">
        <v>146</v>
      </c>
      <c r="K481" t="s">
        <v>176</v>
      </c>
      <c r="L481" t="s">
        <v>12</v>
      </c>
      <c r="M481" t="s">
        <v>11</v>
      </c>
      <c r="N481" t="s">
        <v>75</v>
      </c>
      <c r="O481" t="s">
        <v>74</v>
      </c>
      <c r="P481" t="s">
        <v>39</v>
      </c>
      <c r="Q481" t="s">
        <v>50</v>
      </c>
      <c r="R481" t="s">
        <v>38</v>
      </c>
      <c r="S481" t="s">
        <v>205</v>
      </c>
      <c r="T481">
        <v>6</v>
      </c>
      <c r="U481">
        <v>179</v>
      </c>
      <c r="V481" t="s">
        <v>0</v>
      </c>
      <c r="W481" t="s">
        <v>0</v>
      </c>
      <c r="X481" t="s">
        <v>5</v>
      </c>
      <c r="Y481" t="s">
        <v>314</v>
      </c>
      <c r="Z481" t="s">
        <v>0</v>
      </c>
      <c r="AA481">
        <v>0</v>
      </c>
      <c r="AB481">
        <v>0</v>
      </c>
      <c r="AC481">
        <v>0</v>
      </c>
      <c r="AD481" t="s">
        <v>436</v>
      </c>
      <c r="AE481" t="s">
        <v>5</v>
      </c>
      <c r="AF481" t="s">
        <v>436</v>
      </c>
      <c r="AG481" t="s">
        <v>36</v>
      </c>
      <c r="AH481">
        <v>47</v>
      </c>
      <c r="AI481" t="s">
        <v>122</v>
      </c>
      <c r="AJ481">
        <v>3</v>
      </c>
      <c r="AK481">
        <v>-13</v>
      </c>
      <c r="AL481">
        <v>26</v>
      </c>
      <c r="AM481" t="s">
        <v>0</v>
      </c>
      <c r="AN481">
        <v>0</v>
      </c>
      <c r="AO481">
        <v>0</v>
      </c>
      <c r="AP481">
        <v>1</v>
      </c>
      <c r="AQ481">
        <v>0</v>
      </c>
    </row>
    <row r="482" spans="1:43" x14ac:dyDescent="0.25">
      <c r="A482" t="s">
        <v>2711</v>
      </c>
      <c r="B482" t="s">
        <v>2677</v>
      </c>
      <c r="C482" t="s">
        <v>2710</v>
      </c>
      <c r="D482" s="1">
        <v>45761</v>
      </c>
      <c r="E482" t="s">
        <v>79</v>
      </c>
      <c r="F482" t="s">
        <v>206</v>
      </c>
      <c r="G482" t="s">
        <v>17</v>
      </c>
      <c r="H482" t="s">
        <v>29</v>
      </c>
      <c r="I482" t="s">
        <v>15</v>
      </c>
      <c r="J482" t="s">
        <v>55</v>
      </c>
      <c r="K482" t="s">
        <v>54</v>
      </c>
      <c r="L482" t="s">
        <v>42</v>
      </c>
      <c r="M482" t="s">
        <v>299</v>
      </c>
      <c r="N482" t="s">
        <v>75</v>
      </c>
      <c r="O482" t="s">
        <v>87</v>
      </c>
      <c r="P482" t="s">
        <v>63</v>
      </c>
      <c r="Q482" t="s">
        <v>50</v>
      </c>
      <c r="R482" t="s">
        <v>38</v>
      </c>
      <c r="S482">
        <v>5</v>
      </c>
      <c r="T482">
        <v>5</v>
      </c>
      <c r="U482">
        <v>101</v>
      </c>
      <c r="V482" t="s">
        <v>0</v>
      </c>
      <c r="W482" t="s">
        <v>5</v>
      </c>
      <c r="X482" t="s">
        <v>135</v>
      </c>
      <c r="Y482" t="s">
        <v>4</v>
      </c>
      <c r="Z482" t="s">
        <v>5</v>
      </c>
      <c r="AA482">
        <v>104.93</v>
      </c>
      <c r="AB482">
        <v>0</v>
      </c>
      <c r="AC482">
        <v>0</v>
      </c>
      <c r="AD482" t="s">
        <v>3</v>
      </c>
      <c r="AE482" t="s">
        <v>0</v>
      </c>
      <c r="AF482" t="s">
        <v>3</v>
      </c>
      <c r="AG482" t="s">
        <v>2</v>
      </c>
      <c r="AI482" t="s">
        <v>23</v>
      </c>
      <c r="AJ482">
        <v>3</v>
      </c>
      <c r="AK482">
        <v>56</v>
      </c>
      <c r="AL482" t="s">
        <v>347</v>
      </c>
      <c r="AM482" t="s">
        <v>5</v>
      </c>
      <c r="AN482">
        <v>1</v>
      </c>
      <c r="AO482">
        <v>1</v>
      </c>
      <c r="AP482">
        <v>0</v>
      </c>
      <c r="AQ482">
        <v>1</v>
      </c>
    </row>
    <row r="483" spans="1:43" x14ac:dyDescent="0.25">
      <c r="A483" t="s">
        <v>2709</v>
      </c>
      <c r="B483" t="s">
        <v>34</v>
      </c>
      <c r="C483" t="s">
        <v>2708</v>
      </c>
      <c r="D483" s="1">
        <v>45806</v>
      </c>
      <c r="E483" t="s">
        <v>156</v>
      </c>
      <c r="F483" t="s">
        <v>550</v>
      </c>
      <c r="G483" t="s">
        <v>110</v>
      </c>
      <c r="H483" t="s">
        <v>43</v>
      </c>
      <c r="I483" t="s">
        <v>28</v>
      </c>
      <c r="J483" t="s">
        <v>55</v>
      </c>
      <c r="K483" t="s">
        <v>54</v>
      </c>
      <c r="L483" t="s">
        <v>12</v>
      </c>
      <c r="M483" t="s">
        <v>27</v>
      </c>
      <c r="N483" t="s">
        <v>269</v>
      </c>
      <c r="O483" t="s">
        <v>87</v>
      </c>
      <c r="P483" t="s">
        <v>25</v>
      </c>
      <c r="Q483" t="s">
        <v>7</v>
      </c>
      <c r="R483" t="s">
        <v>6</v>
      </c>
      <c r="S483" t="s">
        <v>277</v>
      </c>
      <c r="T483">
        <v>5</v>
      </c>
      <c r="U483">
        <v>155</v>
      </c>
      <c r="V483" t="s">
        <v>0</v>
      </c>
      <c r="W483" t="s">
        <v>5</v>
      </c>
      <c r="X483" t="s">
        <v>0</v>
      </c>
      <c r="Y483" t="s">
        <v>4</v>
      </c>
      <c r="Z483" t="s">
        <v>5</v>
      </c>
      <c r="AA483">
        <v>97.69</v>
      </c>
      <c r="AB483">
        <v>0</v>
      </c>
      <c r="AC483">
        <v>0.37</v>
      </c>
      <c r="AD483" t="s">
        <v>227</v>
      </c>
      <c r="AE483" t="s">
        <v>5</v>
      </c>
      <c r="AF483" t="s">
        <v>227</v>
      </c>
      <c r="AG483" t="s">
        <v>139</v>
      </c>
      <c r="AH483">
        <v>3</v>
      </c>
      <c r="AI483" t="s">
        <v>23</v>
      </c>
      <c r="AJ483">
        <v>3</v>
      </c>
      <c r="AK483">
        <v>18</v>
      </c>
      <c r="AL483" t="s">
        <v>2599</v>
      </c>
      <c r="AM483" t="s">
        <v>5</v>
      </c>
      <c r="AN483">
        <v>1</v>
      </c>
      <c r="AO483">
        <v>1</v>
      </c>
      <c r="AP483">
        <v>0</v>
      </c>
      <c r="AQ483">
        <v>1</v>
      </c>
    </row>
    <row r="484" spans="1:43" x14ac:dyDescent="0.25">
      <c r="A484" t="s">
        <v>2707</v>
      </c>
      <c r="B484" t="s">
        <v>1857</v>
      </c>
      <c r="C484" t="s">
        <v>2706</v>
      </c>
      <c r="D484" s="1">
        <v>45871</v>
      </c>
      <c r="E484" t="s">
        <v>125</v>
      </c>
      <c r="F484" t="s">
        <v>140</v>
      </c>
      <c r="G484" t="s">
        <v>123</v>
      </c>
      <c r="H484" t="s">
        <v>77</v>
      </c>
      <c r="I484" t="s">
        <v>15</v>
      </c>
      <c r="J484" t="s">
        <v>14</v>
      </c>
      <c r="K484" t="s">
        <v>13</v>
      </c>
      <c r="L484" t="s">
        <v>88</v>
      </c>
      <c r="M484" t="s">
        <v>11</v>
      </c>
      <c r="N484" t="s">
        <v>75</v>
      </c>
      <c r="O484" t="s">
        <v>199</v>
      </c>
      <c r="P484" t="s">
        <v>39</v>
      </c>
      <c r="Q484" t="s">
        <v>24</v>
      </c>
      <c r="R484" t="s">
        <v>6</v>
      </c>
      <c r="S484">
        <v>5</v>
      </c>
      <c r="T484" t="s">
        <v>1829</v>
      </c>
      <c r="U484">
        <v>185</v>
      </c>
      <c r="V484" t="s">
        <v>5</v>
      </c>
      <c r="W484" t="s">
        <v>5</v>
      </c>
      <c r="X484" t="s">
        <v>0</v>
      </c>
      <c r="Y484" t="s">
        <v>4</v>
      </c>
      <c r="Z484" t="s">
        <v>5</v>
      </c>
      <c r="AA484">
        <v>52.87</v>
      </c>
      <c r="AB484">
        <v>0</v>
      </c>
      <c r="AC484">
        <v>0</v>
      </c>
      <c r="AD484" t="s">
        <v>3</v>
      </c>
      <c r="AE484" t="s">
        <v>0</v>
      </c>
      <c r="AF484" t="s">
        <v>3</v>
      </c>
      <c r="AG484" t="s">
        <v>2</v>
      </c>
      <c r="AI484" t="s">
        <v>23</v>
      </c>
      <c r="AJ484">
        <v>3</v>
      </c>
      <c r="AK484">
        <v>40</v>
      </c>
      <c r="AL484">
        <v>69</v>
      </c>
      <c r="AM484" t="s">
        <v>0</v>
      </c>
      <c r="AN484">
        <v>1</v>
      </c>
      <c r="AO484">
        <v>1</v>
      </c>
      <c r="AP484">
        <v>0</v>
      </c>
      <c r="AQ484">
        <v>0</v>
      </c>
    </row>
    <row r="485" spans="1:43" x14ac:dyDescent="0.25">
      <c r="A485" t="s">
        <v>2705</v>
      </c>
      <c r="B485" t="s">
        <v>350</v>
      </c>
      <c r="C485" t="s">
        <v>2704</v>
      </c>
      <c r="D485" s="1">
        <v>45999</v>
      </c>
      <c r="E485" t="s">
        <v>79</v>
      </c>
      <c r="F485" t="s">
        <v>206</v>
      </c>
      <c r="G485" t="s">
        <v>17</v>
      </c>
      <c r="H485" t="s">
        <v>29</v>
      </c>
      <c r="I485" t="s">
        <v>15</v>
      </c>
      <c r="J485" t="s">
        <v>55</v>
      </c>
      <c r="K485" t="s">
        <v>54</v>
      </c>
      <c r="L485" t="s">
        <v>117</v>
      </c>
      <c r="M485" t="s">
        <v>53</v>
      </c>
      <c r="N485" t="s">
        <v>93</v>
      </c>
      <c r="O485" t="s">
        <v>40</v>
      </c>
      <c r="P485" t="s">
        <v>63</v>
      </c>
      <c r="Q485" t="s">
        <v>7</v>
      </c>
      <c r="R485" t="s">
        <v>6</v>
      </c>
      <c r="S485">
        <v>8</v>
      </c>
      <c r="T485">
        <v>8</v>
      </c>
      <c r="U485">
        <v>178</v>
      </c>
      <c r="V485" t="s">
        <v>0</v>
      </c>
      <c r="W485" t="s">
        <v>5</v>
      </c>
      <c r="X485" t="s">
        <v>0</v>
      </c>
      <c r="Y485" t="s">
        <v>4</v>
      </c>
      <c r="Z485" t="s">
        <v>5</v>
      </c>
      <c r="AA485">
        <v>364.35</v>
      </c>
      <c r="AB485">
        <v>2.19</v>
      </c>
      <c r="AC485">
        <v>0.17</v>
      </c>
      <c r="AD485" t="s">
        <v>3</v>
      </c>
      <c r="AE485" t="s">
        <v>0</v>
      </c>
      <c r="AF485" t="s">
        <v>3</v>
      </c>
      <c r="AG485" t="s">
        <v>2</v>
      </c>
      <c r="AI485" t="s">
        <v>23</v>
      </c>
      <c r="AJ485">
        <v>3</v>
      </c>
      <c r="AK485">
        <v>22</v>
      </c>
      <c r="AL485">
        <v>0</v>
      </c>
      <c r="AM485" t="s">
        <v>5</v>
      </c>
      <c r="AN485">
        <v>1</v>
      </c>
      <c r="AO485">
        <v>1</v>
      </c>
      <c r="AP485">
        <v>0</v>
      </c>
      <c r="AQ485">
        <v>1</v>
      </c>
    </row>
    <row r="486" spans="1:43" x14ac:dyDescent="0.25">
      <c r="A486" t="s">
        <v>2703</v>
      </c>
      <c r="B486" t="s">
        <v>2702</v>
      </c>
      <c r="C486" t="s">
        <v>2701</v>
      </c>
      <c r="D486" s="1">
        <v>45917</v>
      </c>
      <c r="E486" t="s">
        <v>19</v>
      </c>
      <c r="F486" t="s">
        <v>575</v>
      </c>
      <c r="G486" t="s">
        <v>56</v>
      </c>
      <c r="H486" t="s">
        <v>77</v>
      </c>
      <c r="I486" t="s">
        <v>15</v>
      </c>
      <c r="J486" t="s">
        <v>55</v>
      </c>
      <c r="K486" t="s">
        <v>54</v>
      </c>
      <c r="L486" t="s">
        <v>117</v>
      </c>
      <c r="M486" t="s">
        <v>53</v>
      </c>
      <c r="N486" t="s">
        <v>75</v>
      </c>
      <c r="O486" t="s">
        <v>26</v>
      </c>
      <c r="P486" t="s">
        <v>8</v>
      </c>
      <c r="Q486" t="s">
        <v>7</v>
      </c>
      <c r="R486" t="s">
        <v>6</v>
      </c>
      <c r="S486">
        <v>4</v>
      </c>
      <c r="T486">
        <v>4</v>
      </c>
      <c r="U486">
        <v>98</v>
      </c>
      <c r="V486" t="s">
        <v>0</v>
      </c>
      <c r="W486" t="s">
        <v>5</v>
      </c>
      <c r="X486" t="s">
        <v>181</v>
      </c>
      <c r="Y486" t="s">
        <v>4</v>
      </c>
      <c r="Z486" t="s">
        <v>5</v>
      </c>
      <c r="AA486">
        <v>114.48</v>
      </c>
      <c r="AB486">
        <v>0.23</v>
      </c>
      <c r="AC486">
        <v>0.17</v>
      </c>
      <c r="AD486" t="s">
        <v>3</v>
      </c>
      <c r="AE486" t="s">
        <v>0</v>
      </c>
      <c r="AF486" t="s">
        <v>3</v>
      </c>
      <c r="AG486" t="s">
        <v>2</v>
      </c>
      <c r="AI486" t="s">
        <v>23</v>
      </c>
      <c r="AJ486">
        <v>5</v>
      </c>
      <c r="AK486">
        <v>52</v>
      </c>
      <c r="AL486">
        <v>51</v>
      </c>
      <c r="AM486" t="s">
        <v>5</v>
      </c>
      <c r="AN486">
        <v>1</v>
      </c>
      <c r="AO486">
        <v>1</v>
      </c>
      <c r="AP486">
        <v>0</v>
      </c>
      <c r="AQ486">
        <v>1</v>
      </c>
    </row>
    <row r="487" spans="1:43" x14ac:dyDescent="0.25">
      <c r="A487" t="s">
        <v>2700</v>
      </c>
      <c r="B487" t="s">
        <v>2610</v>
      </c>
      <c r="C487" t="s">
        <v>2699</v>
      </c>
      <c r="D487" s="1">
        <v>45828</v>
      </c>
      <c r="E487" t="s">
        <v>79</v>
      </c>
      <c r="F487" t="s">
        <v>78</v>
      </c>
      <c r="G487" t="s">
        <v>17</v>
      </c>
      <c r="H487" t="s">
        <v>77</v>
      </c>
      <c r="I487" t="s">
        <v>28</v>
      </c>
      <c r="J487" t="s">
        <v>14</v>
      </c>
      <c r="K487" t="s">
        <v>13</v>
      </c>
      <c r="L487" t="s">
        <v>117</v>
      </c>
      <c r="M487" t="s">
        <v>11</v>
      </c>
      <c r="N487" t="s">
        <v>93</v>
      </c>
      <c r="O487" t="s">
        <v>199</v>
      </c>
      <c r="P487" t="s">
        <v>63</v>
      </c>
      <c r="Q487" t="s">
        <v>100</v>
      </c>
      <c r="R487" t="s">
        <v>38</v>
      </c>
      <c r="S487">
        <v>5</v>
      </c>
      <c r="T487">
        <v>5</v>
      </c>
      <c r="U487">
        <v>107</v>
      </c>
      <c r="V487" t="s">
        <v>0</v>
      </c>
      <c r="W487" t="s">
        <v>5</v>
      </c>
      <c r="X487" t="s">
        <v>0</v>
      </c>
      <c r="Y487" t="s">
        <v>4</v>
      </c>
      <c r="Z487" t="s">
        <v>5</v>
      </c>
      <c r="AA487">
        <v>8.27</v>
      </c>
      <c r="AB487">
        <v>0</v>
      </c>
      <c r="AC487">
        <v>0</v>
      </c>
      <c r="AD487" t="s">
        <v>3</v>
      </c>
      <c r="AE487" t="s">
        <v>0</v>
      </c>
      <c r="AF487" t="s">
        <v>3</v>
      </c>
      <c r="AG487" t="s">
        <v>2</v>
      </c>
      <c r="AI487" t="s">
        <v>23</v>
      </c>
      <c r="AJ487">
        <v>5</v>
      </c>
      <c r="AK487">
        <v>22</v>
      </c>
      <c r="AL487">
        <v>0</v>
      </c>
      <c r="AM487" t="s">
        <v>5</v>
      </c>
      <c r="AN487">
        <v>1</v>
      </c>
      <c r="AO487">
        <v>1</v>
      </c>
      <c r="AP487">
        <v>0</v>
      </c>
      <c r="AQ487">
        <v>1</v>
      </c>
    </row>
    <row r="488" spans="1:43" x14ac:dyDescent="0.25">
      <c r="A488" t="s">
        <v>2698</v>
      </c>
      <c r="B488" t="s">
        <v>1660</v>
      </c>
      <c r="C488" t="s">
        <v>2697</v>
      </c>
      <c r="D488" s="1">
        <v>45886</v>
      </c>
      <c r="E488" t="s">
        <v>68</v>
      </c>
      <c r="F488" t="s">
        <v>67</v>
      </c>
      <c r="G488" t="s">
        <v>110</v>
      </c>
      <c r="H488" t="s">
        <v>66</v>
      </c>
      <c r="I488" t="s">
        <v>15</v>
      </c>
      <c r="J488" t="s">
        <v>14</v>
      </c>
      <c r="K488" t="s">
        <v>13</v>
      </c>
      <c r="L488" t="s">
        <v>117</v>
      </c>
      <c r="M488" t="s">
        <v>299</v>
      </c>
      <c r="N488" t="s">
        <v>52</v>
      </c>
      <c r="O488" t="s">
        <v>40</v>
      </c>
      <c r="P488" t="s">
        <v>39</v>
      </c>
      <c r="Q488" t="s">
        <v>24</v>
      </c>
      <c r="R488" t="s">
        <v>247</v>
      </c>
      <c r="S488">
        <v>8</v>
      </c>
      <c r="T488">
        <v>8</v>
      </c>
      <c r="U488">
        <v>207</v>
      </c>
      <c r="V488" t="s">
        <v>0</v>
      </c>
      <c r="W488" t="s">
        <v>0</v>
      </c>
      <c r="X488" t="s">
        <v>181</v>
      </c>
      <c r="Y488" t="s">
        <v>4</v>
      </c>
      <c r="Z488" t="s">
        <v>0</v>
      </c>
      <c r="AA488">
        <v>0</v>
      </c>
      <c r="AB488">
        <v>0</v>
      </c>
      <c r="AC488">
        <v>0</v>
      </c>
      <c r="AD488" t="s">
        <v>3</v>
      </c>
      <c r="AE488" t="s">
        <v>0</v>
      </c>
      <c r="AF488" t="s">
        <v>3</v>
      </c>
      <c r="AG488" t="s">
        <v>2</v>
      </c>
      <c r="AI488" t="s">
        <v>544</v>
      </c>
      <c r="AJ488">
        <v>3</v>
      </c>
      <c r="AK488">
        <v>1</v>
      </c>
      <c r="AL488">
        <v>12</v>
      </c>
      <c r="AM488" t="s">
        <v>5</v>
      </c>
      <c r="AN488">
        <v>0</v>
      </c>
      <c r="AO488">
        <v>0</v>
      </c>
      <c r="AP488">
        <v>0</v>
      </c>
      <c r="AQ488">
        <v>1</v>
      </c>
    </row>
    <row r="489" spans="1:43" x14ac:dyDescent="0.25">
      <c r="A489" t="s">
        <v>2696</v>
      </c>
      <c r="B489" t="s">
        <v>2695</v>
      </c>
      <c r="C489" t="s">
        <v>2694</v>
      </c>
      <c r="D489" s="1">
        <v>45695</v>
      </c>
      <c r="E489" t="s">
        <v>32</v>
      </c>
      <c r="F489" t="s">
        <v>382</v>
      </c>
      <c r="G489" t="s">
        <v>30</v>
      </c>
      <c r="H489" t="s">
        <v>29</v>
      </c>
      <c r="I489" t="s">
        <v>28</v>
      </c>
      <c r="J489" t="s">
        <v>55</v>
      </c>
      <c r="K489" t="s">
        <v>54</v>
      </c>
      <c r="L489" t="s">
        <v>64</v>
      </c>
      <c r="M489" t="s">
        <v>11</v>
      </c>
      <c r="N489" t="s">
        <v>41</v>
      </c>
      <c r="O489" t="s">
        <v>74</v>
      </c>
      <c r="P489" t="s">
        <v>39</v>
      </c>
      <c r="Q489" t="s">
        <v>7</v>
      </c>
      <c r="R489" t="s">
        <v>6</v>
      </c>
      <c r="S489">
        <v>6</v>
      </c>
      <c r="T489">
        <v>6</v>
      </c>
      <c r="U489">
        <v>152</v>
      </c>
      <c r="V489" t="s">
        <v>0</v>
      </c>
      <c r="W489" t="s">
        <v>5</v>
      </c>
      <c r="X489" t="s">
        <v>0</v>
      </c>
      <c r="Y489" t="s">
        <v>4</v>
      </c>
      <c r="Z489" t="s">
        <v>0</v>
      </c>
      <c r="AA489">
        <v>0</v>
      </c>
      <c r="AB489">
        <v>0</v>
      </c>
      <c r="AC489">
        <v>0</v>
      </c>
      <c r="AD489" t="s">
        <v>3</v>
      </c>
      <c r="AE489" t="s">
        <v>0</v>
      </c>
      <c r="AF489" t="s">
        <v>3</v>
      </c>
      <c r="AG489" t="s">
        <v>2</v>
      </c>
      <c r="AI489" t="s">
        <v>23</v>
      </c>
      <c r="AJ489">
        <v>3</v>
      </c>
      <c r="AK489">
        <v>37</v>
      </c>
      <c r="AL489">
        <v>37</v>
      </c>
      <c r="AM489" t="s">
        <v>0</v>
      </c>
      <c r="AN489">
        <v>1</v>
      </c>
      <c r="AO489">
        <v>0</v>
      </c>
      <c r="AP489">
        <v>0</v>
      </c>
      <c r="AQ489">
        <v>0</v>
      </c>
    </row>
    <row r="490" spans="1:43" x14ac:dyDescent="0.25">
      <c r="A490" t="s">
        <v>2693</v>
      </c>
      <c r="B490" t="s">
        <v>2692</v>
      </c>
      <c r="C490" t="s">
        <v>2691</v>
      </c>
      <c r="D490" s="1">
        <v>45898</v>
      </c>
      <c r="E490" t="s">
        <v>79</v>
      </c>
      <c r="F490" t="s">
        <v>223</v>
      </c>
      <c r="G490" t="s">
        <v>17</v>
      </c>
      <c r="H490" t="s">
        <v>43</v>
      </c>
      <c r="I490" t="s">
        <v>15</v>
      </c>
      <c r="J490" t="s">
        <v>55</v>
      </c>
      <c r="K490" t="s">
        <v>54</v>
      </c>
      <c r="L490" t="s">
        <v>88</v>
      </c>
      <c r="M490" t="s">
        <v>11</v>
      </c>
      <c r="N490" t="s">
        <v>247</v>
      </c>
      <c r="O490" t="s">
        <v>74</v>
      </c>
      <c r="P490" t="s">
        <v>25</v>
      </c>
      <c r="Q490" t="s">
        <v>7</v>
      </c>
      <c r="R490" t="s">
        <v>6</v>
      </c>
      <c r="S490">
        <v>6</v>
      </c>
      <c r="T490">
        <v>6</v>
      </c>
      <c r="U490">
        <v>181</v>
      </c>
      <c r="V490" t="s">
        <v>0</v>
      </c>
      <c r="W490" t="s">
        <v>5</v>
      </c>
      <c r="X490" t="s">
        <v>0</v>
      </c>
      <c r="Y490" t="s">
        <v>4</v>
      </c>
      <c r="Z490" t="s">
        <v>5</v>
      </c>
      <c r="AA490">
        <v>0</v>
      </c>
      <c r="AB490">
        <v>0</v>
      </c>
      <c r="AC490">
        <v>0</v>
      </c>
      <c r="AD490" t="s">
        <v>3</v>
      </c>
      <c r="AE490" t="s">
        <v>0</v>
      </c>
      <c r="AF490" t="s">
        <v>3</v>
      </c>
      <c r="AG490" t="s">
        <v>2</v>
      </c>
      <c r="AI490" t="s">
        <v>23</v>
      </c>
      <c r="AJ490">
        <v>4</v>
      </c>
      <c r="AK490">
        <v>20</v>
      </c>
      <c r="AL490" t="s">
        <v>2690</v>
      </c>
      <c r="AM490" t="s">
        <v>5</v>
      </c>
      <c r="AN490">
        <v>1</v>
      </c>
      <c r="AO490">
        <v>1</v>
      </c>
      <c r="AP490">
        <v>0</v>
      </c>
      <c r="AQ490">
        <v>1</v>
      </c>
    </row>
    <row r="491" spans="1:43" x14ac:dyDescent="0.25">
      <c r="A491" t="s">
        <v>2689</v>
      </c>
      <c r="B491" t="s">
        <v>350</v>
      </c>
      <c r="C491" t="s">
        <v>2688</v>
      </c>
      <c r="D491" s="1">
        <v>45732</v>
      </c>
      <c r="E491" t="s">
        <v>79</v>
      </c>
      <c r="F491" t="s">
        <v>102</v>
      </c>
      <c r="G491" t="s">
        <v>30</v>
      </c>
      <c r="H491" t="s">
        <v>29</v>
      </c>
      <c r="I491" t="s">
        <v>28</v>
      </c>
      <c r="J491" t="s">
        <v>55</v>
      </c>
      <c r="K491" t="s">
        <v>54</v>
      </c>
      <c r="L491" t="s">
        <v>117</v>
      </c>
      <c r="M491" t="s">
        <v>11</v>
      </c>
      <c r="N491" t="s">
        <v>52</v>
      </c>
      <c r="O491" t="s">
        <v>26</v>
      </c>
      <c r="P491" t="s">
        <v>39</v>
      </c>
      <c r="Q491" t="s">
        <v>50</v>
      </c>
      <c r="R491" t="s">
        <v>38</v>
      </c>
      <c r="S491" t="s">
        <v>99</v>
      </c>
      <c r="T491">
        <v>4</v>
      </c>
      <c r="U491">
        <v>125</v>
      </c>
      <c r="V491" t="s">
        <v>0</v>
      </c>
      <c r="W491" t="s">
        <v>5</v>
      </c>
      <c r="X491" t="s">
        <v>0</v>
      </c>
      <c r="Y491" t="s">
        <v>4</v>
      </c>
      <c r="Z491" t="s">
        <v>5</v>
      </c>
      <c r="AA491">
        <v>202.68</v>
      </c>
      <c r="AB491">
        <v>0.21</v>
      </c>
      <c r="AC491">
        <v>0</v>
      </c>
      <c r="AD491" t="s">
        <v>3</v>
      </c>
      <c r="AE491" t="s">
        <v>0</v>
      </c>
      <c r="AF491" t="s">
        <v>3</v>
      </c>
      <c r="AG491" t="s">
        <v>2</v>
      </c>
      <c r="AI491" t="s">
        <v>23</v>
      </c>
      <c r="AJ491">
        <v>5</v>
      </c>
      <c r="AK491">
        <v>66</v>
      </c>
      <c r="AL491">
        <v>1</v>
      </c>
      <c r="AM491" t="s">
        <v>5</v>
      </c>
      <c r="AN491">
        <v>1</v>
      </c>
      <c r="AO491">
        <v>1</v>
      </c>
      <c r="AP491">
        <v>0</v>
      </c>
      <c r="AQ491">
        <v>1</v>
      </c>
    </row>
    <row r="492" spans="1:43" x14ac:dyDescent="0.25">
      <c r="A492" t="s">
        <v>2687</v>
      </c>
      <c r="B492" t="s">
        <v>2686</v>
      </c>
      <c r="C492" t="s">
        <v>2685</v>
      </c>
      <c r="D492" s="1">
        <v>46081</v>
      </c>
      <c r="E492" t="s">
        <v>156</v>
      </c>
      <c r="F492" t="s">
        <v>325</v>
      </c>
      <c r="G492" t="s">
        <v>56</v>
      </c>
      <c r="H492" t="s">
        <v>77</v>
      </c>
      <c r="I492" t="s">
        <v>28</v>
      </c>
      <c r="J492" t="s">
        <v>14</v>
      </c>
      <c r="K492" t="s">
        <v>13</v>
      </c>
      <c r="L492" t="s">
        <v>42</v>
      </c>
      <c r="M492" t="s">
        <v>27</v>
      </c>
      <c r="N492" t="s">
        <v>52</v>
      </c>
      <c r="O492" t="s">
        <v>199</v>
      </c>
      <c r="P492" t="s">
        <v>63</v>
      </c>
      <c r="Q492" t="s">
        <v>172</v>
      </c>
      <c r="R492" t="s">
        <v>38</v>
      </c>
      <c r="S492">
        <v>5</v>
      </c>
      <c r="T492">
        <v>3</v>
      </c>
      <c r="U492">
        <v>154</v>
      </c>
      <c r="V492" t="s">
        <v>5</v>
      </c>
      <c r="W492" t="s">
        <v>5</v>
      </c>
      <c r="X492" t="s">
        <v>0</v>
      </c>
      <c r="Y492" t="s">
        <v>4</v>
      </c>
      <c r="Z492" t="s">
        <v>5</v>
      </c>
      <c r="AA492">
        <v>124.4</v>
      </c>
      <c r="AB492">
        <v>0</v>
      </c>
      <c r="AC492">
        <v>0.37</v>
      </c>
      <c r="AD492" t="s">
        <v>3</v>
      </c>
      <c r="AE492" t="s">
        <v>0</v>
      </c>
      <c r="AF492" t="s">
        <v>3</v>
      </c>
      <c r="AG492" t="s">
        <v>2</v>
      </c>
      <c r="AI492" t="s">
        <v>23</v>
      </c>
      <c r="AJ492">
        <v>4</v>
      </c>
      <c r="AK492">
        <v>14</v>
      </c>
      <c r="AL492">
        <v>0</v>
      </c>
      <c r="AM492" t="s">
        <v>5</v>
      </c>
      <c r="AN492">
        <v>1</v>
      </c>
      <c r="AO492">
        <v>1</v>
      </c>
      <c r="AP492">
        <v>0</v>
      </c>
      <c r="AQ492">
        <v>1</v>
      </c>
    </row>
    <row r="493" spans="1:43" x14ac:dyDescent="0.25">
      <c r="A493" t="s">
        <v>2684</v>
      </c>
      <c r="B493" t="s">
        <v>740</v>
      </c>
      <c r="C493" t="s">
        <v>2683</v>
      </c>
      <c r="D493" s="1">
        <v>46099</v>
      </c>
      <c r="E493" t="s">
        <v>125</v>
      </c>
      <c r="F493" t="s">
        <v>2323</v>
      </c>
      <c r="G493" t="s">
        <v>110</v>
      </c>
      <c r="H493" t="s">
        <v>16</v>
      </c>
      <c r="I493" t="s">
        <v>15</v>
      </c>
      <c r="J493" t="s">
        <v>55</v>
      </c>
      <c r="K493" t="s">
        <v>65</v>
      </c>
      <c r="L493" t="s">
        <v>12</v>
      </c>
      <c r="M493" t="s">
        <v>27</v>
      </c>
      <c r="N493" t="s">
        <v>52</v>
      </c>
      <c r="O493" t="s">
        <v>40</v>
      </c>
      <c r="P493" t="s">
        <v>25</v>
      </c>
      <c r="Q493" t="s">
        <v>7</v>
      </c>
      <c r="R493" t="s">
        <v>6</v>
      </c>
      <c r="S493">
        <v>8</v>
      </c>
      <c r="T493">
        <v>8</v>
      </c>
      <c r="U493">
        <v>295</v>
      </c>
      <c r="V493" t="s">
        <v>0</v>
      </c>
      <c r="W493" t="s">
        <v>5</v>
      </c>
      <c r="X493" t="s">
        <v>5</v>
      </c>
      <c r="Y493" t="s">
        <v>913</v>
      </c>
      <c r="Z493" t="s">
        <v>0</v>
      </c>
      <c r="AA493">
        <v>0</v>
      </c>
      <c r="AB493">
        <v>0</v>
      </c>
      <c r="AC493">
        <v>0</v>
      </c>
      <c r="AD493" t="s">
        <v>3</v>
      </c>
      <c r="AE493" t="s">
        <v>0</v>
      </c>
      <c r="AF493" t="s">
        <v>3</v>
      </c>
      <c r="AG493" t="s">
        <v>2</v>
      </c>
      <c r="AI493" t="s">
        <v>23</v>
      </c>
      <c r="AJ493">
        <v>4</v>
      </c>
      <c r="AK493">
        <v>-20</v>
      </c>
      <c r="AL493">
        <v>39</v>
      </c>
      <c r="AM493" t="s">
        <v>5</v>
      </c>
      <c r="AN493">
        <v>1</v>
      </c>
      <c r="AO493">
        <v>0</v>
      </c>
      <c r="AP493">
        <v>1</v>
      </c>
      <c r="AQ493">
        <v>1</v>
      </c>
    </row>
    <row r="494" spans="1:43" x14ac:dyDescent="0.25">
      <c r="A494" t="s">
        <v>2682</v>
      </c>
      <c r="B494" t="s">
        <v>2193</v>
      </c>
      <c r="C494" t="s">
        <v>2681</v>
      </c>
      <c r="D494" s="1">
        <v>45941</v>
      </c>
      <c r="E494" t="s">
        <v>95</v>
      </c>
      <c r="F494" t="s">
        <v>94</v>
      </c>
      <c r="G494" t="s">
        <v>123</v>
      </c>
      <c r="H494" t="s">
        <v>16</v>
      </c>
      <c r="I494" t="s">
        <v>28</v>
      </c>
      <c r="J494" t="s">
        <v>55</v>
      </c>
      <c r="K494" t="s">
        <v>54</v>
      </c>
      <c r="L494" t="s">
        <v>64</v>
      </c>
      <c r="M494" t="s">
        <v>299</v>
      </c>
      <c r="N494" t="s">
        <v>75</v>
      </c>
      <c r="O494" t="s">
        <v>74</v>
      </c>
      <c r="P494" t="s">
        <v>25</v>
      </c>
      <c r="Q494" t="s">
        <v>198</v>
      </c>
      <c r="R494" t="s">
        <v>38</v>
      </c>
      <c r="S494">
        <v>6</v>
      </c>
      <c r="T494">
        <v>3</v>
      </c>
      <c r="U494">
        <v>277</v>
      </c>
      <c r="V494" t="s">
        <v>5</v>
      </c>
      <c r="W494" t="s">
        <v>0</v>
      </c>
      <c r="X494" t="s">
        <v>0</v>
      </c>
      <c r="Y494" t="s">
        <v>4</v>
      </c>
      <c r="Z494" t="s">
        <v>5</v>
      </c>
      <c r="AA494">
        <v>0</v>
      </c>
      <c r="AB494">
        <v>0</v>
      </c>
      <c r="AC494">
        <v>0</v>
      </c>
      <c r="AD494" t="s">
        <v>3</v>
      </c>
      <c r="AE494" t="s">
        <v>0</v>
      </c>
      <c r="AF494" t="s">
        <v>3</v>
      </c>
      <c r="AG494" t="s">
        <v>2</v>
      </c>
      <c r="AI494" t="s">
        <v>1</v>
      </c>
      <c r="AJ494">
        <v>2</v>
      </c>
      <c r="AK494">
        <v>7</v>
      </c>
      <c r="AL494">
        <v>26</v>
      </c>
      <c r="AM494" t="s">
        <v>0</v>
      </c>
      <c r="AN494">
        <v>0</v>
      </c>
      <c r="AO494">
        <v>1</v>
      </c>
      <c r="AP494">
        <v>0</v>
      </c>
      <c r="AQ494">
        <v>0</v>
      </c>
    </row>
    <row r="495" spans="1:43" x14ac:dyDescent="0.25">
      <c r="A495" t="s">
        <v>2680</v>
      </c>
      <c r="B495" t="s">
        <v>1941</v>
      </c>
      <c r="C495" t="s">
        <v>2679</v>
      </c>
      <c r="D495" s="1">
        <v>45693</v>
      </c>
      <c r="E495" t="s">
        <v>156</v>
      </c>
      <c r="F495" t="s">
        <v>238</v>
      </c>
      <c r="G495" t="s">
        <v>30</v>
      </c>
      <c r="H495" t="s">
        <v>16</v>
      </c>
      <c r="I495" t="s">
        <v>15</v>
      </c>
      <c r="J495" t="s">
        <v>14</v>
      </c>
      <c r="K495" t="s">
        <v>13</v>
      </c>
      <c r="L495" t="s">
        <v>88</v>
      </c>
      <c r="M495" t="s">
        <v>11</v>
      </c>
      <c r="N495" t="s">
        <v>93</v>
      </c>
      <c r="O495" t="s">
        <v>26</v>
      </c>
      <c r="P495" t="s">
        <v>39</v>
      </c>
      <c r="Q495" t="s">
        <v>172</v>
      </c>
      <c r="R495" t="s">
        <v>38</v>
      </c>
      <c r="S495">
        <v>4</v>
      </c>
      <c r="T495">
        <v>4</v>
      </c>
      <c r="U495">
        <v>107</v>
      </c>
      <c r="V495" t="s">
        <v>0</v>
      </c>
      <c r="W495" t="s">
        <v>5</v>
      </c>
      <c r="X495" t="s">
        <v>0</v>
      </c>
      <c r="Y495" t="s">
        <v>4</v>
      </c>
      <c r="Z495" t="s">
        <v>5</v>
      </c>
      <c r="AA495">
        <v>124.35</v>
      </c>
      <c r="AB495">
        <v>0.21</v>
      </c>
      <c r="AC495">
        <v>0</v>
      </c>
      <c r="AD495" t="s">
        <v>61</v>
      </c>
      <c r="AE495" t="s">
        <v>5</v>
      </c>
      <c r="AF495" t="s">
        <v>61</v>
      </c>
      <c r="AG495" t="s">
        <v>36</v>
      </c>
      <c r="AH495">
        <v>9</v>
      </c>
      <c r="AI495" t="s">
        <v>23</v>
      </c>
      <c r="AJ495">
        <v>5</v>
      </c>
      <c r="AK495">
        <v>58</v>
      </c>
      <c r="AL495">
        <v>36</v>
      </c>
      <c r="AM495" t="s">
        <v>5</v>
      </c>
      <c r="AN495">
        <v>1</v>
      </c>
      <c r="AO495">
        <v>1</v>
      </c>
      <c r="AP495">
        <v>0</v>
      </c>
      <c r="AQ495">
        <v>1</v>
      </c>
    </row>
    <row r="496" spans="1:43" x14ac:dyDescent="0.25">
      <c r="A496" t="s">
        <v>2678</v>
      </c>
      <c r="B496" t="s">
        <v>2677</v>
      </c>
      <c r="C496" t="s">
        <v>2676</v>
      </c>
      <c r="D496" s="1">
        <v>45769</v>
      </c>
      <c r="E496" t="s">
        <v>45</v>
      </c>
      <c r="F496" t="s">
        <v>348</v>
      </c>
      <c r="G496" t="s">
        <v>30</v>
      </c>
      <c r="H496" t="s">
        <v>77</v>
      </c>
      <c r="I496" t="s">
        <v>963</v>
      </c>
      <c r="J496" t="s">
        <v>55</v>
      </c>
      <c r="K496" t="s">
        <v>54</v>
      </c>
      <c r="L496" t="s">
        <v>12</v>
      </c>
      <c r="M496" t="s">
        <v>11</v>
      </c>
      <c r="N496" t="s">
        <v>75</v>
      </c>
      <c r="O496" t="s">
        <v>74</v>
      </c>
      <c r="P496" t="s">
        <v>39</v>
      </c>
      <c r="Q496" t="s">
        <v>198</v>
      </c>
      <c r="R496" t="s">
        <v>38</v>
      </c>
      <c r="S496">
        <v>6</v>
      </c>
      <c r="T496">
        <v>6</v>
      </c>
      <c r="U496">
        <v>174</v>
      </c>
      <c r="V496" t="s">
        <v>0</v>
      </c>
      <c r="W496" t="s">
        <v>0</v>
      </c>
      <c r="X496" t="s">
        <v>0</v>
      </c>
      <c r="Y496" t="s">
        <v>4</v>
      </c>
      <c r="Z496" t="s">
        <v>5</v>
      </c>
      <c r="AA496">
        <v>82.88</v>
      </c>
      <c r="AB496">
        <v>0</v>
      </c>
      <c r="AC496">
        <v>0</v>
      </c>
      <c r="AD496" t="s">
        <v>3</v>
      </c>
      <c r="AE496" t="s">
        <v>0</v>
      </c>
      <c r="AF496" t="s">
        <v>3</v>
      </c>
      <c r="AG496" t="s">
        <v>2</v>
      </c>
      <c r="AI496" t="s">
        <v>23</v>
      </c>
      <c r="AJ496">
        <v>4</v>
      </c>
      <c r="AK496">
        <v>32</v>
      </c>
      <c r="AL496">
        <v>42</v>
      </c>
      <c r="AM496" t="s">
        <v>0</v>
      </c>
      <c r="AN496">
        <v>0</v>
      </c>
      <c r="AO496">
        <v>1</v>
      </c>
      <c r="AP496">
        <v>0</v>
      </c>
      <c r="AQ496">
        <v>0</v>
      </c>
    </row>
    <row r="497" spans="1:43" x14ac:dyDescent="0.25">
      <c r="A497" t="s">
        <v>2675</v>
      </c>
      <c r="B497" t="s">
        <v>2674</v>
      </c>
      <c r="C497" t="s">
        <v>2673</v>
      </c>
      <c r="D497" s="1">
        <v>45806</v>
      </c>
      <c r="E497" t="s">
        <v>45</v>
      </c>
      <c r="F497" t="s">
        <v>57</v>
      </c>
      <c r="G497" t="s">
        <v>56</v>
      </c>
      <c r="H497" t="s">
        <v>77</v>
      </c>
      <c r="I497" t="s">
        <v>15</v>
      </c>
      <c r="J497" t="s">
        <v>14</v>
      </c>
      <c r="K497" t="s">
        <v>13</v>
      </c>
      <c r="L497" t="s">
        <v>117</v>
      </c>
      <c r="M497" t="s">
        <v>11</v>
      </c>
      <c r="N497" t="s">
        <v>75</v>
      </c>
      <c r="O497" t="s">
        <v>26</v>
      </c>
      <c r="P497" t="s">
        <v>39</v>
      </c>
      <c r="Q497" t="s">
        <v>50</v>
      </c>
      <c r="R497" t="s">
        <v>6</v>
      </c>
      <c r="S497">
        <v>4</v>
      </c>
      <c r="T497">
        <v>4</v>
      </c>
      <c r="U497">
        <v>107</v>
      </c>
      <c r="V497" t="s">
        <v>0</v>
      </c>
      <c r="W497" t="s">
        <v>5</v>
      </c>
      <c r="X497" t="s">
        <v>0</v>
      </c>
      <c r="Y497" t="s">
        <v>4</v>
      </c>
      <c r="Z497" t="s">
        <v>5</v>
      </c>
      <c r="AA497">
        <v>90.17</v>
      </c>
      <c r="AB497">
        <v>0.18</v>
      </c>
      <c r="AC497">
        <v>0</v>
      </c>
      <c r="AD497" t="s">
        <v>3</v>
      </c>
      <c r="AE497" t="s">
        <v>0</v>
      </c>
      <c r="AF497" t="s">
        <v>3</v>
      </c>
      <c r="AG497" t="s">
        <v>2</v>
      </c>
      <c r="AI497" t="s">
        <v>23</v>
      </c>
      <c r="AJ497">
        <v>5</v>
      </c>
      <c r="AK497">
        <v>23</v>
      </c>
      <c r="AL497">
        <v>18</v>
      </c>
      <c r="AM497" t="s">
        <v>5</v>
      </c>
      <c r="AN497">
        <v>1</v>
      </c>
      <c r="AO497">
        <v>1</v>
      </c>
      <c r="AP497">
        <v>0</v>
      </c>
      <c r="AQ497">
        <v>1</v>
      </c>
    </row>
    <row r="498" spans="1:43" x14ac:dyDescent="0.25">
      <c r="A498" t="s">
        <v>2672</v>
      </c>
      <c r="B498" t="s">
        <v>1956</v>
      </c>
      <c r="C498" t="s">
        <v>2671</v>
      </c>
      <c r="D498" s="1">
        <v>45964</v>
      </c>
      <c r="E498" t="s">
        <v>156</v>
      </c>
      <c r="F498" t="s">
        <v>325</v>
      </c>
      <c r="G498" t="s">
        <v>110</v>
      </c>
      <c r="H498" t="s">
        <v>77</v>
      </c>
      <c r="I498" t="s">
        <v>28</v>
      </c>
      <c r="J498" t="s">
        <v>14</v>
      </c>
      <c r="K498" t="s">
        <v>13</v>
      </c>
      <c r="L498" t="s">
        <v>64</v>
      </c>
      <c r="M498" t="s">
        <v>11</v>
      </c>
      <c r="N498" t="s">
        <v>75</v>
      </c>
      <c r="O498" t="s">
        <v>26</v>
      </c>
      <c r="P498" t="s">
        <v>8</v>
      </c>
      <c r="Q498" t="s">
        <v>198</v>
      </c>
      <c r="R498" t="s">
        <v>38</v>
      </c>
      <c r="S498">
        <v>4</v>
      </c>
      <c r="T498">
        <v>4</v>
      </c>
      <c r="U498">
        <v>77</v>
      </c>
      <c r="V498" t="s">
        <v>0</v>
      </c>
      <c r="W498" t="s">
        <v>5</v>
      </c>
      <c r="X498" t="s">
        <v>0</v>
      </c>
      <c r="Y498" t="s">
        <v>4</v>
      </c>
      <c r="Z498" t="s">
        <v>5</v>
      </c>
      <c r="AA498">
        <v>148.16999999999999</v>
      </c>
      <c r="AB498">
        <v>0.22</v>
      </c>
      <c r="AC498">
        <v>0</v>
      </c>
      <c r="AD498" t="s">
        <v>3</v>
      </c>
      <c r="AE498" t="s">
        <v>0</v>
      </c>
      <c r="AF498" t="s">
        <v>3</v>
      </c>
      <c r="AG498" t="s">
        <v>2</v>
      </c>
      <c r="AI498" t="s">
        <v>23</v>
      </c>
      <c r="AJ498">
        <v>4</v>
      </c>
      <c r="AK498">
        <v>61</v>
      </c>
      <c r="AL498">
        <v>37</v>
      </c>
      <c r="AM498" t="s">
        <v>5</v>
      </c>
      <c r="AN498">
        <v>1</v>
      </c>
      <c r="AO498">
        <v>1</v>
      </c>
      <c r="AP498">
        <v>0</v>
      </c>
      <c r="AQ498">
        <v>1</v>
      </c>
    </row>
    <row r="499" spans="1:43" x14ac:dyDescent="0.25">
      <c r="A499" t="s">
        <v>2670</v>
      </c>
      <c r="B499" t="s">
        <v>683</v>
      </c>
      <c r="C499" t="s">
        <v>2669</v>
      </c>
      <c r="D499" s="1">
        <v>45721</v>
      </c>
      <c r="E499" t="s">
        <v>125</v>
      </c>
      <c r="F499" t="s">
        <v>132</v>
      </c>
      <c r="G499" t="s">
        <v>17</v>
      </c>
      <c r="H499" t="s">
        <v>77</v>
      </c>
      <c r="I499" t="s">
        <v>28</v>
      </c>
      <c r="J499" t="s">
        <v>55</v>
      </c>
      <c r="K499" t="s">
        <v>54</v>
      </c>
      <c r="L499" t="s">
        <v>64</v>
      </c>
      <c r="M499" t="s">
        <v>53</v>
      </c>
      <c r="N499" t="s">
        <v>10</v>
      </c>
      <c r="O499" t="s">
        <v>9</v>
      </c>
      <c r="P499" t="s">
        <v>39</v>
      </c>
      <c r="Q499" t="s">
        <v>7</v>
      </c>
      <c r="R499" t="s">
        <v>6</v>
      </c>
      <c r="S499">
        <v>7</v>
      </c>
      <c r="T499">
        <v>6</v>
      </c>
      <c r="U499">
        <v>325</v>
      </c>
      <c r="V499" t="s">
        <v>5</v>
      </c>
      <c r="W499" t="s">
        <v>0</v>
      </c>
      <c r="X499" t="s">
        <v>0</v>
      </c>
      <c r="Y499" t="s">
        <v>4</v>
      </c>
      <c r="Z499" t="s">
        <v>0</v>
      </c>
      <c r="AA499">
        <v>0</v>
      </c>
      <c r="AB499">
        <v>0</v>
      </c>
      <c r="AC499">
        <v>0</v>
      </c>
      <c r="AD499" t="s">
        <v>37</v>
      </c>
      <c r="AE499" t="s">
        <v>5</v>
      </c>
      <c r="AF499" t="s">
        <v>37</v>
      </c>
      <c r="AG499" t="s">
        <v>36</v>
      </c>
      <c r="AH499">
        <v>28</v>
      </c>
      <c r="AI499" t="s">
        <v>332</v>
      </c>
      <c r="AJ499">
        <v>3</v>
      </c>
      <c r="AK499">
        <v>-12</v>
      </c>
      <c r="AL499">
        <v>5</v>
      </c>
      <c r="AM499" t="s">
        <v>5</v>
      </c>
      <c r="AN499">
        <v>0</v>
      </c>
      <c r="AO499">
        <v>0</v>
      </c>
      <c r="AP499">
        <v>0</v>
      </c>
      <c r="AQ499">
        <v>1</v>
      </c>
    </row>
    <row r="500" spans="1:43" x14ac:dyDescent="0.25">
      <c r="A500" t="s">
        <v>2668</v>
      </c>
      <c r="B500" t="s">
        <v>2667</v>
      </c>
      <c r="C500" t="s">
        <v>2666</v>
      </c>
      <c r="D500" s="1">
        <v>46001</v>
      </c>
      <c r="E500" t="s">
        <v>156</v>
      </c>
      <c r="F500" t="s">
        <v>325</v>
      </c>
      <c r="G500" t="s">
        <v>110</v>
      </c>
      <c r="H500" t="s">
        <v>77</v>
      </c>
      <c r="I500" t="s">
        <v>28</v>
      </c>
      <c r="J500" t="s">
        <v>55</v>
      </c>
      <c r="K500" t="s">
        <v>54</v>
      </c>
      <c r="L500" t="s">
        <v>42</v>
      </c>
      <c r="M500" t="s">
        <v>27</v>
      </c>
      <c r="N500" t="s">
        <v>10</v>
      </c>
      <c r="O500" t="s">
        <v>199</v>
      </c>
      <c r="P500" t="s">
        <v>25</v>
      </c>
      <c r="Q500" t="s">
        <v>50</v>
      </c>
      <c r="R500" t="s">
        <v>38</v>
      </c>
      <c r="S500">
        <v>5</v>
      </c>
      <c r="T500">
        <v>5</v>
      </c>
      <c r="U500">
        <v>161</v>
      </c>
      <c r="V500" t="s">
        <v>0</v>
      </c>
      <c r="W500" t="s">
        <v>5</v>
      </c>
      <c r="X500" t="s">
        <v>287</v>
      </c>
      <c r="Y500" t="s">
        <v>410</v>
      </c>
      <c r="Z500" t="s">
        <v>5</v>
      </c>
      <c r="AA500">
        <v>91.82</v>
      </c>
      <c r="AB500">
        <v>0</v>
      </c>
      <c r="AC500">
        <v>0.37</v>
      </c>
      <c r="AD500" t="s">
        <v>61</v>
      </c>
      <c r="AE500" t="s">
        <v>5</v>
      </c>
      <c r="AF500" t="s">
        <v>61</v>
      </c>
      <c r="AG500" t="s">
        <v>139</v>
      </c>
      <c r="AH500">
        <v>58</v>
      </c>
      <c r="AI500" t="s">
        <v>23</v>
      </c>
      <c r="AJ500">
        <v>4</v>
      </c>
      <c r="AK500">
        <v>37</v>
      </c>
      <c r="AL500">
        <v>68</v>
      </c>
      <c r="AM500" t="s">
        <v>5</v>
      </c>
      <c r="AN500">
        <v>1</v>
      </c>
      <c r="AO500">
        <v>1</v>
      </c>
      <c r="AP500">
        <v>1</v>
      </c>
      <c r="AQ500">
        <v>1</v>
      </c>
    </row>
    <row r="501" spans="1:43" x14ac:dyDescent="0.25">
      <c r="A501" t="s">
        <v>2665</v>
      </c>
      <c r="B501" t="s">
        <v>522</v>
      </c>
      <c r="C501" t="s">
        <v>2664</v>
      </c>
      <c r="D501" s="1">
        <v>46090</v>
      </c>
      <c r="E501" t="s">
        <v>95</v>
      </c>
      <c r="F501" t="s">
        <v>2663</v>
      </c>
      <c r="G501" t="s">
        <v>56</v>
      </c>
      <c r="H501" t="s">
        <v>43</v>
      </c>
      <c r="I501" t="s">
        <v>15</v>
      </c>
      <c r="J501" t="s">
        <v>55</v>
      </c>
      <c r="K501" t="s">
        <v>54</v>
      </c>
      <c r="L501" t="s">
        <v>64</v>
      </c>
      <c r="M501" t="s">
        <v>53</v>
      </c>
      <c r="N501" t="s">
        <v>41</v>
      </c>
      <c r="O501" t="s">
        <v>26</v>
      </c>
      <c r="P501" t="s">
        <v>39</v>
      </c>
      <c r="Q501" t="s">
        <v>7</v>
      </c>
      <c r="R501" t="s">
        <v>6</v>
      </c>
      <c r="S501">
        <v>4</v>
      </c>
      <c r="T501">
        <v>4</v>
      </c>
      <c r="U501">
        <v>100</v>
      </c>
      <c r="V501" t="s">
        <v>0</v>
      </c>
      <c r="W501" t="s">
        <v>5</v>
      </c>
      <c r="X501" t="s">
        <v>0</v>
      </c>
      <c r="Y501" t="s">
        <v>4</v>
      </c>
      <c r="Z501" t="s">
        <v>5</v>
      </c>
      <c r="AA501">
        <v>105.16</v>
      </c>
      <c r="AB501">
        <v>0.22</v>
      </c>
      <c r="AC501">
        <v>0.17</v>
      </c>
      <c r="AD501" t="s">
        <v>3</v>
      </c>
      <c r="AE501" t="s">
        <v>0</v>
      </c>
      <c r="AF501" t="s">
        <v>3</v>
      </c>
      <c r="AG501" t="s">
        <v>2</v>
      </c>
      <c r="AI501" t="s">
        <v>23</v>
      </c>
      <c r="AJ501">
        <v>3</v>
      </c>
      <c r="AK501">
        <v>-1</v>
      </c>
      <c r="AL501">
        <v>33</v>
      </c>
      <c r="AM501" t="s">
        <v>5</v>
      </c>
      <c r="AN501">
        <v>1</v>
      </c>
      <c r="AO501">
        <v>1</v>
      </c>
      <c r="AP501">
        <v>0</v>
      </c>
      <c r="AQ501">
        <v>1</v>
      </c>
    </row>
    <row r="502" spans="1:43" x14ac:dyDescent="0.25">
      <c r="A502" t="s">
        <v>2662</v>
      </c>
      <c r="B502" t="s">
        <v>2093</v>
      </c>
      <c r="C502" t="s">
        <v>2661</v>
      </c>
      <c r="D502" s="1">
        <v>45884</v>
      </c>
      <c r="E502" t="s">
        <v>95</v>
      </c>
      <c r="F502" t="s">
        <v>338</v>
      </c>
      <c r="G502" t="s">
        <v>83</v>
      </c>
      <c r="H502" t="s">
        <v>16</v>
      </c>
      <c r="I502" t="s">
        <v>15</v>
      </c>
      <c r="J502" t="s">
        <v>55</v>
      </c>
      <c r="K502" t="s">
        <v>54</v>
      </c>
      <c r="L502" t="s">
        <v>42</v>
      </c>
      <c r="M502" t="s">
        <v>11</v>
      </c>
      <c r="N502" t="s">
        <v>75</v>
      </c>
      <c r="O502" t="s">
        <v>40</v>
      </c>
      <c r="P502" t="s">
        <v>39</v>
      </c>
      <c r="Q502" t="s">
        <v>50</v>
      </c>
      <c r="R502" t="s">
        <v>6</v>
      </c>
      <c r="S502">
        <v>8</v>
      </c>
      <c r="T502">
        <v>4</v>
      </c>
      <c r="U502">
        <v>261</v>
      </c>
      <c r="V502" t="s">
        <v>5</v>
      </c>
      <c r="W502" t="s">
        <v>0</v>
      </c>
      <c r="X502" t="s">
        <v>0</v>
      </c>
      <c r="Y502" t="s">
        <v>4</v>
      </c>
      <c r="Z502" t="s">
        <v>0</v>
      </c>
      <c r="AA502">
        <v>0</v>
      </c>
      <c r="AB502">
        <v>0</v>
      </c>
      <c r="AC502">
        <v>0</v>
      </c>
      <c r="AD502" t="s">
        <v>3</v>
      </c>
      <c r="AE502" t="s">
        <v>0</v>
      </c>
      <c r="AF502" t="s">
        <v>3</v>
      </c>
      <c r="AG502" t="s">
        <v>2</v>
      </c>
      <c r="AI502" t="s">
        <v>1</v>
      </c>
      <c r="AJ502">
        <v>2</v>
      </c>
      <c r="AK502">
        <v>-5</v>
      </c>
      <c r="AL502">
        <v>11</v>
      </c>
      <c r="AM502" t="s">
        <v>5</v>
      </c>
      <c r="AN502">
        <v>0</v>
      </c>
      <c r="AO502">
        <v>0</v>
      </c>
      <c r="AP502">
        <v>0</v>
      </c>
      <c r="AQ502">
        <v>1</v>
      </c>
    </row>
    <row r="503" spans="1:43" x14ac:dyDescent="0.25">
      <c r="A503" t="s">
        <v>2660</v>
      </c>
      <c r="B503" t="s">
        <v>2247</v>
      </c>
      <c r="C503" t="s">
        <v>2659</v>
      </c>
      <c r="D503" s="1">
        <v>45671</v>
      </c>
      <c r="E503" t="s">
        <v>125</v>
      </c>
      <c r="F503" t="s">
        <v>140</v>
      </c>
      <c r="G503" t="s">
        <v>110</v>
      </c>
      <c r="H503" t="s">
        <v>29</v>
      </c>
      <c r="I503" t="s">
        <v>28</v>
      </c>
      <c r="J503" t="s">
        <v>14</v>
      </c>
      <c r="K503" t="s">
        <v>13</v>
      </c>
      <c r="L503" t="s">
        <v>12</v>
      </c>
      <c r="M503" t="s">
        <v>27</v>
      </c>
      <c r="N503" t="s">
        <v>10</v>
      </c>
      <c r="O503" t="s">
        <v>26</v>
      </c>
      <c r="P503" t="s">
        <v>39</v>
      </c>
      <c r="Q503" t="s">
        <v>7</v>
      </c>
      <c r="R503" t="s">
        <v>6</v>
      </c>
      <c r="S503" t="s">
        <v>99</v>
      </c>
      <c r="T503">
        <v>4</v>
      </c>
      <c r="U503">
        <v>109</v>
      </c>
      <c r="V503" t="s">
        <v>0</v>
      </c>
      <c r="W503" t="s">
        <v>5</v>
      </c>
      <c r="X503" t="s">
        <v>0</v>
      </c>
      <c r="Y503" t="s">
        <v>4</v>
      </c>
      <c r="Z503" t="s">
        <v>5</v>
      </c>
      <c r="AA503">
        <v>24.95</v>
      </c>
      <c r="AB503">
        <v>0.17</v>
      </c>
      <c r="AC503">
        <v>0.37</v>
      </c>
      <c r="AD503" t="s">
        <v>3</v>
      </c>
      <c r="AE503" t="s">
        <v>0</v>
      </c>
      <c r="AF503" t="s">
        <v>3</v>
      </c>
      <c r="AG503" t="s">
        <v>2</v>
      </c>
      <c r="AI503" t="s">
        <v>23</v>
      </c>
      <c r="AJ503">
        <v>4</v>
      </c>
      <c r="AK503">
        <v>44</v>
      </c>
      <c r="AL503">
        <v>6</v>
      </c>
      <c r="AM503" t="s">
        <v>5</v>
      </c>
      <c r="AN503">
        <v>1</v>
      </c>
      <c r="AO503">
        <v>1</v>
      </c>
      <c r="AP503">
        <v>0</v>
      </c>
      <c r="AQ503">
        <v>1</v>
      </c>
    </row>
    <row r="504" spans="1:43" x14ac:dyDescent="0.25">
      <c r="A504" t="s">
        <v>2658</v>
      </c>
      <c r="B504" t="s">
        <v>448</v>
      </c>
      <c r="C504" t="s">
        <v>2657</v>
      </c>
      <c r="D504" s="1">
        <v>45976</v>
      </c>
      <c r="E504" t="s">
        <v>125</v>
      </c>
      <c r="F504" t="s">
        <v>132</v>
      </c>
      <c r="G504" t="s">
        <v>110</v>
      </c>
      <c r="H504" t="s">
        <v>237</v>
      </c>
      <c r="I504" t="s">
        <v>15</v>
      </c>
      <c r="J504" t="s">
        <v>14</v>
      </c>
      <c r="K504" t="s">
        <v>13</v>
      </c>
      <c r="L504" t="s">
        <v>42</v>
      </c>
      <c r="M504" t="s">
        <v>11</v>
      </c>
      <c r="N504" t="s">
        <v>269</v>
      </c>
      <c r="O504" t="s">
        <v>87</v>
      </c>
      <c r="P504" t="s">
        <v>39</v>
      </c>
      <c r="Q504" t="s">
        <v>7</v>
      </c>
      <c r="R504" t="s">
        <v>6</v>
      </c>
      <c r="S504">
        <v>5</v>
      </c>
      <c r="T504">
        <v>5</v>
      </c>
      <c r="U504">
        <v>94</v>
      </c>
      <c r="V504" t="s">
        <v>0</v>
      </c>
      <c r="W504" t="s">
        <v>5</v>
      </c>
      <c r="X504" t="s">
        <v>0</v>
      </c>
      <c r="Y504" t="s">
        <v>4</v>
      </c>
      <c r="Z504" t="s">
        <v>5</v>
      </c>
      <c r="AA504">
        <v>116.29</v>
      </c>
      <c r="AB504">
        <v>0</v>
      </c>
      <c r="AC504">
        <v>0</v>
      </c>
      <c r="AD504" t="s">
        <v>3</v>
      </c>
      <c r="AE504" t="s">
        <v>0</v>
      </c>
      <c r="AF504" t="s">
        <v>3</v>
      </c>
      <c r="AG504" t="s">
        <v>2</v>
      </c>
      <c r="AI504" t="s">
        <v>23</v>
      </c>
      <c r="AJ504">
        <v>3</v>
      </c>
      <c r="AK504">
        <v>28</v>
      </c>
      <c r="AL504">
        <v>22</v>
      </c>
      <c r="AM504" t="s">
        <v>5</v>
      </c>
      <c r="AN504">
        <v>1</v>
      </c>
      <c r="AO504">
        <v>1</v>
      </c>
      <c r="AP504">
        <v>0</v>
      </c>
      <c r="AQ504">
        <v>1</v>
      </c>
    </row>
    <row r="505" spans="1:43" x14ac:dyDescent="0.25">
      <c r="A505" t="s">
        <v>2656</v>
      </c>
      <c r="B505" t="s">
        <v>1076</v>
      </c>
      <c r="C505" t="s">
        <v>2655</v>
      </c>
      <c r="D505" s="1">
        <v>46013</v>
      </c>
      <c r="E505" t="s">
        <v>95</v>
      </c>
      <c r="F505" t="s">
        <v>94</v>
      </c>
      <c r="G505" t="s">
        <v>17</v>
      </c>
      <c r="H505" t="s">
        <v>77</v>
      </c>
      <c r="I505" t="s">
        <v>15</v>
      </c>
      <c r="J505" t="s">
        <v>14</v>
      </c>
      <c r="K505" t="s">
        <v>13</v>
      </c>
      <c r="L505" t="s">
        <v>64</v>
      </c>
      <c r="M505" t="s">
        <v>299</v>
      </c>
      <c r="N505" t="s">
        <v>93</v>
      </c>
      <c r="O505" t="s">
        <v>40</v>
      </c>
      <c r="P505" t="s">
        <v>63</v>
      </c>
      <c r="Q505" t="s">
        <v>50</v>
      </c>
      <c r="R505" t="s">
        <v>6</v>
      </c>
      <c r="S505" t="s">
        <v>527</v>
      </c>
      <c r="T505">
        <v>8</v>
      </c>
      <c r="U505">
        <v>173</v>
      </c>
      <c r="V505" t="s">
        <v>0</v>
      </c>
      <c r="W505" t="s">
        <v>0</v>
      </c>
      <c r="X505" t="s">
        <v>0</v>
      </c>
      <c r="Y505" t="s">
        <v>4</v>
      </c>
      <c r="Z505" t="s">
        <v>0</v>
      </c>
      <c r="AA505">
        <v>0</v>
      </c>
      <c r="AB505">
        <v>0</v>
      </c>
      <c r="AC505">
        <v>0</v>
      </c>
      <c r="AD505" t="s">
        <v>3</v>
      </c>
      <c r="AE505" t="s">
        <v>0</v>
      </c>
      <c r="AF505" t="s">
        <v>3</v>
      </c>
      <c r="AG505" t="s">
        <v>2</v>
      </c>
      <c r="AI505" t="s">
        <v>332</v>
      </c>
      <c r="AJ505">
        <v>3</v>
      </c>
      <c r="AK505">
        <v>-1</v>
      </c>
      <c r="AL505">
        <v>0</v>
      </c>
      <c r="AM505" t="s">
        <v>0</v>
      </c>
      <c r="AN505">
        <v>0</v>
      </c>
      <c r="AO505">
        <v>0</v>
      </c>
      <c r="AP505">
        <v>0</v>
      </c>
      <c r="AQ505">
        <v>0</v>
      </c>
    </row>
    <row r="506" spans="1:43" x14ac:dyDescent="0.25">
      <c r="A506" t="s">
        <v>2654</v>
      </c>
      <c r="B506" t="s">
        <v>1857</v>
      </c>
      <c r="C506" t="s">
        <v>2653</v>
      </c>
      <c r="D506" s="1">
        <v>45851</v>
      </c>
      <c r="E506" t="s">
        <v>68</v>
      </c>
      <c r="F506" t="s">
        <v>67</v>
      </c>
      <c r="G506" t="s">
        <v>17</v>
      </c>
      <c r="H506" t="s">
        <v>29</v>
      </c>
      <c r="I506" t="s">
        <v>15</v>
      </c>
      <c r="J506" t="s">
        <v>14</v>
      </c>
      <c r="K506" t="s">
        <v>13</v>
      </c>
      <c r="L506" t="s">
        <v>117</v>
      </c>
      <c r="M506" t="s">
        <v>11</v>
      </c>
      <c r="N506" t="s">
        <v>75</v>
      </c>
      <c r="O506" t="s">
        <v>199</v>
      </c>
      <c r="P506" t="s">
        <v>25</v>
      </c>
      <c r="Q506" t="s">
        <v>7</v>
      </c>
      <c r="R506" t="s">
        <v>6</v>
      </c>
      <c r="S506">
        <v>5</v>
      </c>
      <c r="T506">
        <v>5</v>
      </c>
      <c r="U506">
        <v>164</v>
      </c>
      <c r="V506" t="s">
        <v>0</v>
      </c>
      <c r="W506" t="s">
        <v>5</v>
      </c>
      <c r="X506" t="s">
        <v>5</v>
      </c>
      <c r="Y506" t="s">
        <v>410</v>
      </c>
      <c r="Z506" t="s">
        <v>5</v>
      </c>
      <c r="AA506">
        <v>165.13</v>
      </c>
      <c r="AB506">
        <v>0</v>
      </c>
      <c r="AC506">
        <v>0</v>
      </c>
      <c r="AD506" t="s">
        <v>436</v>
      </c>
      <c r="AE506" t="s">
        <v>5</v>
      </c>
      <c r="AF506" t="s">
        <v>436</v>
      </c>
      <c r="AG506" t="s">
        <v>36</v>
      </c>
      <c r="AH506">
        <v>13</v>
      </c>
      <c r="AI506" t="s">
        <v>23</v>
      </c>
      <c r="AJ506">
        <v>4</v>
      </c>
      <c r="AK506">
        <v>5</v>
      </c>
      <c r="AL506">
        <v>30</v>
      </c>
      <c r="AM506" t="s">
        <v>5</v>
      </c>
      <c r="AN506">
        <v>1</v>
      </c>
      <c r="AO506">
        <v>1</v>
      </c>
      <c r="AP506">
        <v>1</v>
      </c>
      <c r="AQ506">
        <v>1</v>
      </c>
    </row>
    <row r="507" spans="1:43" x14ac:dyDescent="0.25">
      <c r="A507" t="s">
        <v>2652</v>
      </c>
      <c r="B507" t="s">
        <v>323</v>
      </c>
      <c r="C507" t="s">
        <v>2651</v>
      </c>
      <c r="D507" s="1">
        <v>45729</v>
      </c>
      <c r="E507" t="s">
        <v>156</v>
      </c>
      <c r="F507" t="s">
        <v>238</v>
      </c>
      <c r="G507" t="s">
        <v>17</v>
      </c>
      <c r="H507" t="s">
        <v>77</v>
      </c>
      <c r="I507" t="s">
        <v>28</v>
      </c>
      <c r="J507" t="s">
        <v>55</v>
      </c>
      <c r="K507" t="s">
        <v>54</v>
      </c>
      <c r="L507" t="s">
        <v>117</v>
      </c>
      <c r="M507" t="s">
        <v>11</v>
      </c>
      <c r="N507" t="s">
        <v>269</v>
      </c>
      <c r="O507" t="s">
        <v>26</v>
      </c>
      <c r="P507" t="s">
        <v>25</v>
      </c>
      <c r="Q507" t="s">
        <v>50</v>
      </c>
      <c r="R507" t="s">
        <v>38</v>
      </c>
      <c r="S507">
        <v>4</v>
      </c>
      <c r="T507">
        <v>4</v>
      </c>
      <c r="U507">
        <v>143</v>
      </c>
      <c r="V507" t="s">
        <v>0</v>
      </c>
      <c r="W507" t="s">
        <v>5</v>
      </c>
      <c r="X507" t="s">
        <v>5</v>
      </c>
      <c r="Y507" t="s">
        <v>2163</v>
      </c>
      <c r="Z507" t="s">
        <v>0</v>
      </c>
      <c r="AA507">
        <v>0</v>
      </c>
      <c r="AB507">
        <v>0</v>
      </c>
      <c r="AC507">
        <v>0</v>
      </c>
      <c r="AD507" t="s">
        <v>3</v>
      </c>
      <c r="AE507" t="s">
        <v>0</v>
      </c>
      <c r="AF507" t="s">
        <v>3</v>
      </c>
      <c r="AG507" t="s">
        <v>2</v>
      </c>
      <c r="AI507" t="s">
        <v>23</v>
      </c>
      <c r="AJ507">
        <v>4</v>
      </c>
      <c r="AK507">
        <v>26</v>
      </c>
      <c r="AL507">
        <v>20</v>
      </c>
      <c r="AM507" t="s">
        <v>5</v>
      </c>
      <c r="AN507">
        <v>1</v>
      </c>
      <c r="AO507">
        <v>0</v>
      </c>
      <c r="AP507">
        <v>1</v>
      </c>
      <c r="AQ507">
        <v>1</v>
      </c>
    </row>
    <row r="508" spans="1:43" x14ac:dyDescent="0.25">
      <c r="A508" t="s">
        <v>2514</v>
      </c>
      <c r="B508" t="s">
        <v>529</v>
      </c>
      <c r="C508" t="s">
        <v>2513</v>
      </c>
      <c r="D508" s="1">
        <v>46113</v>
      </c>
      <c r="E508" t="s">
        <v>125</v>
      </c>
      <c r="F508" t="s">
        <v>140</v>
      </c>
      <c r="G508" t="s">
        <v>123</v>
      </c>
      <c r="H508" t="s">
        <v>77</v>
      </c>
      <c r="I508" t="s">
        <v>15</v>
      </c>
      <c r="J508" t="s">
        <v>55</v>
      </c>
      <c r="K508" t="s">
        <v>54</v>
      </c>
      <c r="L508" t="s">
        <v>117</v>
      </c>
      <c r="M508" t="s">
        <v>11</v>
      </c>
      <c r="N508" t="s">
        <v>52</v>
      </c>
      <c r="O508" t="s">
        <v>26</v>
      </c>
      <c r="P508" t="s">
        <v>39</v>
      </c>
      <c r="Q508" t="s">
        <v>50</v>
      </c>
      <c r="R508" t="s">
        <v>38</v>
      </c>
      <c r="S508">
        <v>4</v>
      </c>
      <c r="T508" t="s">
        <v>99</v>
      </c>
      <c r="U508">
        <v>95</v>
      </c>
      <c r="V508" t="s">
        <v>0</v>
      </c>
      <c r="W508" t="s">
        <v>5</v>
      </c>
      <c r="X508" t="s">
        <v>0</v>
      </c>
      <c r="Y508" t="s">
        <v>4</v>
      </c>
      <c r="Z508" t="s">
        <v>5</v>
      </c>
      <c r="AA508">
        <v>59.16</v>
      </c>
      <c r="AB508">
        <v>0.18</v>
      </c>
      <c r="AC508">
        <v>0</v>
      </c>
      <c r="AD508" t="s">
        <v>37</v>
      </c>
      <c r="AE508" t="s">
        <v>5</v>
      </c>
      <c r="AF508" t="s">
        <v>37</v>
      </c>
      <c r="AG508" t="s">
        <v>36</v>
      </c>
      <c r="AH508">
        <v>29</v>
      </c>
      <c r="AI508" t="s">
        <v>23</v>
      </c>
      <c r="AJ508">
        <v>5</v>
      </c>
      <c r="AK508">
        <v>30</v>
      </c>
      <c r="AL508" t="s">
        <v>2512</v>
      </c>
      <c r="AM508" t="s">
        <v>5</v>
      </c>
      <c r="AN508">
        <v>1</v>
      </c>
      <c r="AO508">
        <v>1</v>
      </c>
      <c r="AP508">
        <v>0</v>
      </c>
      <c r="AQ508">
        <v>1</v>
      </c>
    </row>
    <row r="509" spans="1:43" x14ac:dyDescent="0.25">
      <c r="A509" t="s">
        <v>2650</v>
      </c>
      <c r="B509" t="s">
        <v>1771</v>
      </c>
      <c r="C509" t="s">
        <v>2649</v>
      </c>
      <c r="D509" s="1">
        <v>45777</v>
      </c>
      <c r="E509" t="s">
        <v>162</v>
      </c>
      <c r="F509" t="s">
        <v>310</v>
      </c>
      <c r="G509" t="s">
        <v>83</v>
      </c>
      <c r="H509" t="s">
        <v>43</v>
      </c>
      <c r="I509" t="s">
        <v>28</v>
      </c>
      <c r="J509" t="s">
        <v>14</v>
      </c>
      <c r="K509" t="s">
        <v>13</v>
      </c>
      <c r="L509" t="s">
        <v>42</v>
      </c>
      <c r="M509" t="s">
        <v>11</v>
      </c>
      <c r="N509" t="s">
        <v>154</v>
      </c>
      <c r="O509" t="s">
        <v>26</v>
      </c>
      <c r="P509" t="s">
        <v>39</v>
      </c>
      <c r="Q509" t="s">
        <v>7</v>
      </c>
      <c r="R509" t="s">
        <v>6</v>
      </c>
      <c r="S509">
        <v>4</v>
      </c>
      <c r="T509">
        <v>3</v>
      </c>
      <c r="U509">
        <v>162</v>
      </c>
      <c r="V509" t="s">
        <v>5</v>
      </c>
      <c r="W509" t="s">
        <v>135</v>
      </c>
      <c r="X509" t="s">
        <v>0</v>
      </c>
      <c r="Y509" t="s">
        <v>4</v>
      </c>
      <c r="Z509" t="s">
        <v>0</v>
      </c>
      <c r="AA509">
        <v>0</v>
      </c>
      <c r="AB509">
        <v>0</v>
      </c>
      <c r="AC509">
        <v>0</v>
      </c>
      <c r="AD509" t="s">
        <v>37</v>
      </c>
      <c r="AE509" t="s">
        <v>5</v>
      </c>
      <c r="AF509" t="s">
        <v>37</v>
      </c>
      <c r="AG509" t="s">
        <v>36</v>
      </c>
      <c r="AH509">
        <v>23</v>
      </c>
      <c r="AI509" t="s">
        <v>332</v>
      </c>
      <c r="AJ509">
        <v>3</v>
      </c>
      <c r="AK509">
        <v>-12</v>
      </c>
      <c r="AL509">
        <v>9</v>
      </c>
      <c r="AM509" t="s">
        <v>5</v>
      </c>
      <c r="AN509">
        <v>0</v>
      </c>
      <c r="AO509">
        <v>0</v>
      </c>
      <c r="AP509">
        <v>0</v>
      </c>
      <c r="AQ509">
        <v>1</v>
      </c>
    </row>
    <row r="510" spans="1:43" x14ac:dyDescent="0.25">
      <c r="A510" t="s">
        <v>2648</v>
      </c>
      <c r="B510" t="s">
        <v>2647</v>
      </c>
      <c r="C510" t="s">
        <v>2646</v>
      </c>
      <c r="D510" s="1">
        <v>45860</v>
      </c>
      <c r="E510" t="s">
        <v>95</v>
      </c>
      <c r="F510" t="s">
        <v>338</v>
      </c>
      <c r="G510" t="s">
        <v>30</v>
      </c>
      <c r="H510" t="s">
        <v>77</v>
      </c>
      <c r="I510" t="s">
        <v>147</v>
      </c>
      <c r="J510" t="s">
        <v>14</v>
      </c>
      <c r="K510" t="s">
        <v>13</v>
      </c>
      <c r="L510" t="s">
        <v>88</v>
      </c>
      <c r="M510" t="s">
        <v>53</v>
      </c>
      <c r="N510" t="s">
        <v>52</v>
      </c>
      <c r="O510" t="s">
        <v>199</v>
      </c>
      <c r="P510" t="s">
        <v>8</v>
      </c>
      <c r="Q510" t="s">
        <v>7</v>
      </c>
      <c r="R510" t="s">
        <v>6</v>
      </c>
      <c r="S510">
        <v>5</v>
      </c>
      <c r="T510" t="s">
        <v>277</v>
      </c>
      <c r="U510">
        <v>153</v>
      </c>
      <c r="V510" t="s">
        <v>0</v>
      </c>
      <c r="W510" t="s">
        <v>5</v>
      </c>
      <c r="X510" t="s">
        <v>0</v>
      </c>
      <c r="Y510" t="s">
        <v>4</v>
      </c>
      <c r="Z510" t="s">
        <v>5</v>
      </c>
      <c r="AA510">
        <v>0</v>
      </c>
      <c r="AB510">
        <v>0</v>
      </c>
      <c r="AC510">
        <v>0.17</v>
      </c>
      <c r="AD510" t="s">
        <v>3</v>
      </c>
      <c r="AE510" t="s">
        <v>0</v>
      </c>
      <c r="AF510" t="s">
        <v>3</v>
      </c>
      <c r="AG510" t="s">
        <v>2</v>
      </c>
      <c r="AI510" t="s">
        <v>23</v>
      </c>
      <c r="AJ510">
        <v>5</v>
      </c>
      <c r="AK510">
        <v>48</v>
      </c>
      <c r="AL510">
        <v>47</v>
      </c>
      <c r="AM510" t="s">
        <v>5</v>
      </c>
      <c r="AN510">
        <v>1</v>
      </c>
      <c r="AO510">
        <v>1</v>
      </c>
      <c r="AP510">
        <v>0</v>
      </c>
      <c r="AQ510">
        <v>1</v>
      </c>
    </row>
    <row r="511" spans="1:43" x14ac:dyDescent="0.25">
      <c r="A511" t="s">
        <v>2645</v>
      </c>
      <c r="B511" t="s">
        <v>2046</v>
      </c>
      <c r="C511" t="s">
        <v>2644</v>
      </c>
      <c r="D511" s="1">
        <v>45815</v>
      </c>
      <c r="E511" t="s">
        <v>45</v>
      </c>
      <c r="F511" t="s">
        <v>348</v>
      </c>
      <c r="G511" t="s">
        <v>56</v>
      </c>
      <c r="H511" t="s">
        <v>43</v>
      </c>
      <c r="I511" t="s">
        <v>963</v>
      </c>
      <c r="J511" t="s">
        <v>55</v>
      </c>
      <c r="K511" t="s">
        <v>54</v>
      </c>
      <c r="L511" t="s">
        <v>88</v>
      </c>
      <c r="M511" t="s">
        <v>53</v>
      </c>
      <c r="N511" t="s">
        <v>93</v>
      </c>
      <c r="O511" t="s">
        <v>26</v>
      </c>
      <c r="P511" t="s">
        <v>39</v>
      </c>
      <c r="Q511" t="s">
        <v>172</v>
      </c>
      <c r="R511" t="s">
        <v>6</v>
      </c>
      <c r="S511">
        <v>4</v>
      </c>
      <c r="T511">
        <v>2</v>
      </c>
      <c r="U511">
        <v>155</v>
      </c>
      <c r="V511" t="s">
        <v>5</v>
      </c>
      <c r="W511" t="s">
        <v>5</v>
      </c>
      <c r="X511" t="s">
        <v>0</v>
      </c>
      <c r="Y511" t="s">
        <v>4</v>
      </c>
      <c r="Z511" t="s">
        <v>5</v>
      </c>
      <c r="AA511">
        <v>158.82</v>
      </c>
      <c r="AB511">
        <v>0.21</v>
      </c>
      <c r="AC511">
        <v>0.17</v>
      </c>
      <c r="AD511" t="s">
        <v>3</v>
      </c>
      <c r="AE511" t="s">
        <v>0</v>
      </c>
      <c r="AF511" t="s">
        <v>3</v>
      </c>
      <c r="AG511" t="s">
        <v>2</v>
      </c>
      <c r="AI511" t="s">
        <v>23</v>
      </c>
      <c r="AJ511">
        <v>4</v>
      </c>
      <c r="AK511">
        <v>38</v>
      </c>
      <c r="AL511">
        <v>26</v>
      </c>
      <c r="AM511" t="s">
        <v>5</v>
      </c>
      <c r="AN511">
        <v>1</v>
      </c>
      <c r="AO511">
        <v>1</v>
      </c>
      <c r="AP511">
        <v>0</v>
      </c>
      <c r="AQ511">
        <v>1</v>
      </c>
    </row>
    <row r="512" spans="1:43" x14ac:dyDescent="0.25">
      <c r="A512" t="s">
        <v>2643</v>
      </c>
      <c r="B512" t="s">
        <v>2642</v>
      </c>
      <c r="C512" t="s">
        <v>2641</v>
      </c>
      <c r="D512" s="1">
        <v>46016</v>
      </c>
      <c r="E512" t="s">
        <v>156</v>
      </c>
      <c r="F512" t="s">
        <v>325</v>
      </c>
      <c r="G512" t="s">
        <v>56</v>
      </c>
      <c r="H512" t="s">
        <v>237</v>
      </c>
      <c r="I512" t="s">
        <v>15</v>
      </c>
      <c r="J512" t="s">
        <v>55</v>
      </c>
      <c r="K512" t="s">
        <v>65</v>
      </c>
      <c r="L512" t="s">
        <v>117</v>
      </c>
      <c r="M512" t="s">
        <v>53</v>
      </c>
      <c r="N512" t="s">
        <v>41</v>
      </c>
      <c r="O512" t="s">
        <v>199</v>
      </c>
      <c r="P512" t="s">
        <v>39</v>
      </c>
      <c r="Q512" t="s">
        <v>7</v>
      </c>
      <c r="R512" t="s">
        <v>6</v>
      </c>
      <c r="S512">
        <v>5</v>
      </c>
      <c r="T512" t="s">
        <v>277</v>
      </c>
      <c r="U512">
        <v>235</v>
      </c>
      <c r="V512" t="s">
        <v>0</v>
      </c>
      <c r="W512" t="s">
        <v>0</v>
      </c>
      <c r="X512" t="s">
        <v>5</v>
      </c>
      <c r="Y512" t="s">
        <v>410</v>
      </c>
      <c r="Z512" t="s">
        <v>0</v>
      </c>
      <c r="AA512">
        <v>0</v>
      </c>
      <c r="AB512">
        <v>0</v>
      </c>
      <c r="AC512">
        <v>0</v>
      </c>
      <c r="AD512" t="s">
        <v>61</v>
      </c>
      <c r="AE512" t="s">
        <v>5</v>
      </c>
      <c r="AF512" t="s">
        <v>61</v>
      </c>
      <c r="AG512" t="s">
        <v>36</v>
      </c>
      <c r="AH512">
        <v>17</v>
      </c>
      <c r="AI512" t="s">
        <v>23</v>
      </c>
      <c r="AJ512">
        <v>3</v>
      </c>
      <c r="AK512">
        <v>5</v>
      </c>
      <c r="AL512">
        <v>49</v>
      </c>
      <c r="AM512" t="s">
        <v>0</v>
      </c>
      <c r="AN512">
        <v>0</v>
      </c>
      <c r="AO512">
        <v>0</v>
      </c>
      <c r="AP512">
        <v>1</v>
      </c>
      <c r="AQ512">
        <v>0</v>
      </c>
    </row>
    <row r="513" spans="1:43" x14ac:dyDescent="0.25">
      <c r="A513" t="s">
        <v>2640</v>
      </c>
      <c r="B513" t="s">
        <v>2639</v>
      </c>
      <c r="C513" t="s">
        <v>2638</v>
      </c>
      <c r="D513" s="1">
        <v>45773</v>
      </c>
      <c r="E513" t="s">
        <v>68</v>
      </c>
      <c r="F513" t="s">
        <v>67</v>
      </c>
      <c r="G513" t="s">
        <v>56</v>
      </c>
      <c r="H513" t="s">
        <v>16</v>
      </c>
      <c r="I513" t="s">
        <v>15</v>
      </c>
      <c r="J513" t="s">
        <v>55</v>
      </c>
      <c r="K513" t="s">
        <v>54</v>
      </c>
      <c r="L513" t="s">
        <v>117</v>
      </c>
      <c r="M513" t="s">
        <v>53</v>
      </c>
      <c r="N513" t="s">
        <v>10</v>
      </c>
      <c r="O513" t="s">
        <v>193</v>
      </c>
      <c r="P513" t="s">
        <v>25</v>
      </c>
      <c r="Q513" t="s">
        <v>7</v>
      </c>
      <c r="R513" t="s">
        <v>6</v>
      </c>
      <c r="S513">
        <v>9</v>
      </c>
      <c r="T513" t="s">
        <v>232</v>
      </c>
      <c r="U513">
        <v>272</v>
      </c>
      <c r="V513" t="s">
        <v>0</v>
      </c>
      <c r="W513" t="s">
        <v>0</v>
      </c>
      <c r="X513" t="s">
        <v>287</v>
      </c>
      <c r="Y513" t="s">
        <v>192</v>
      </c>
      <c r="Z513" t="s">
        <v>0</v>
      </c>
      <c r="AA513">
        <v>0</v>
      </c>
      <c r="AB513">
        <v>0</v>
      </c>
      <c r="AC513">
        <v>0</v>
      </c>
      <c r="AD513" t="s">
        <v>3</v>
      </c>
      <c r="AE513" t="s">
        <v>0</v>
      </c>
      <c r="AF513" t="s">
        <v>3</v>
      </c>
      <c r="AG513" t="s">
        <v>2</v>
      </c>
      <c r="AI513" t="s">
        <v>1</v>
      </c>
      <c r="AJ513">
        <v>3</v>
      </c>
      <c r="AK513">
        <v>-39</v>
      </c>
      <c r="AL513">
        <v>36</v>
      </c>
      <c r="AM513" t="s">
        <v>0</v>
      </c>
      <c r="AN513">
        <v>0</v>
      </c>
      <c r="AO513">
        <v>0</v>
      </c>
      <c r="AP513">
        <v>1</v>
      </c>
      <c r="AQ513">
        <v>0</v>
      </c>
    </row>
    <row r="514" spans="1:43" x14ac:dyDescent="0.25">
      <c r="A514" t="s">
        <v>2637</v>
      </c>
      <c r="B514" t="s">
        <v>2636</v>
      </c>
      <c r="C514" t="s">
        <v>2635</v>
      </c>
      <c r="D514" s="1">
        <v>45690</v>
      </c>
      <c r="E514" t="s">
        <v>149</v>
      </c>
      <c r="F514" t="s">
        <v>248</v>
      </c>
      <c r="G514" t="s">
        <v>110</v>
      </c>
      <c r="H514" t="s">
        <v>66</v>
      </c>
      <c r="I514" t="s">
        <v>28</v>
      </c>
      <c r="J514" t="s">
        <v>55</v>
      </c>
      <c r="K514" t="s">
        <v>54</v>
      </c>
      <c r="L514" t="s">
        <v>12</v>
      </c>
      <c r="M514" t="s">
        <v>11</v>
      </c>
      <c r="N514" t="s">
        <v>10</v>
      </c>
      <c r="O514" t="s">
        <v>87</v>
      </c>
      <c r="P514" t="s">
        <v>63</v>
      </c>
      <c r="Q514" t="s">
        <v>7</v>
      </c>
      <c r="R514" t="s">
        <v>6</v>
      </c>
      <c r="S514">
        <v>5</v>
      </c>
      <c r="T514">
        <v>5</v>
      </c>
      <c r="U514">
        <v>112</v>
      </c>
      <c r="V514" t="s">
        <v>0</v>
      </c>
      <c r="W514" t="s">
        <v>5</v>
      </c>
      <c r="X514" t="s">
        <v>5</v>
      </c>
      <c r="Y514" t="s">
        <v>1598</v>
      </c>
      <c r="Z514" t="s">
        <v>5</v>
      </c>
      <c r="AA514">
        <v>20.91</v>
      </c>
      <c r="AB514">
        <v>0</v>
      </c>
      <c r="AC514">
        <v>0</v>
      </c>
      <c r="AD514" t="s">
        <v>61</v>
      </c>
      <c r="AE514" t="s">
        <v>5</v>
      </c>
      <c r="AF514" t="s">
        <v>61</v>
      </c>
      <c r="AG514" t="s">
        <v>36</v>
      </c>
      <c r="AH514">
        <v>22</v>
      </c>
      <c r="AI514" t="s">
        <v>23</v>
      </c>
      <c r="AJ514">
        <v>4</v>
      </c>
      <c r="AK514">
        <v>37</v>
      </c>
      <c r="AL514">
        <v>0</v>
      </c>
      <c r="AM514" t="s">
        <v>5</v>
      </c>
      <c r="AN514">
        <v>1</v>
      </c>
      <c r="AO514">
        <v>1</v>
      </c>
      <c r="AP514">
        <v>1</v>
      </c>
      <c r="AQ514">
        <v>1</v>
      </c>
    </row>
    <row r="515" spans="1:43" x14ac:dyDescent="0.25">
      <c r="A515" t="s">
        <v>2634</v>
      </c>
      <c r="B515" t="s">
        <v>1700</v>
      </c>
      <c r="C515" t="s">
        <v>2633</v>
      </c>
      <c r="D515" s="1">
        <v>45884</v>
      </c>
      <c r="E515" t="s">
        <v>112</v>
      </c>
      <c r="F515" t="s">
        <v>307</v>
      </c>
      <c r="G515" t="s">
        <v>110</v>
      </c>
      <c r="H515" t="s">
        <v>77</v>
      </c>
      <c r="I515" t="s">
        <v>28</v>
      </c>
      <c r="J515" t="s">
        <v>14</v>
      </c>
      <c r="K515" t="s">
        <v>76</v>
      </c>
      <c r="L515" t="s">
        <v>12</v>
      </c>
      <c r="M515" t="s">
        <v>299</v>
      </c>
      <c r="N515" t="s">
        <v>93</v>
      </c>
      <c r="O515" t="s">
        <v>26</v>
      </c>
      <c r="P515" t="s">
        <v>39</v>
      </c>
      <c r="Q515" t="s">
        <v>7</v>
      </c>
      <c r="R515" t="s">
        <v>6</v>
      </c>
      <c r="S515">
        <v>4</v>
      </c>
      <c r="T515">
        <v>4</v>
      </c>
      <c r="U515">
        <v>78</v>
      </c>
      <c r="V515" t="s">
        <v>0</v>
      </c>
      <c r="W515" t="s">
        <v>0</v>
      </c>
      <c r="X515" t="s">
        <v>0</v>
      </c>
      <c r="Y515" t="s">
        <v>4</v>
      </c>
      <c r="Z515" t="s">
        <v>5</v>
      </c>
      <c r="AA515">
        <v>97.55</v>
      </c>
      <c r="AB515">
        <v>0.23</v>
      </c>
      <c r="AC515">
        <v>0</v>
      </c>
      <c r="AD515" t="s">
        <v>3</v>
      </c>
      <c r="AE515" t="s">
        <v>247</v>
      </c>
      <c r="AF515" t="s">
        <v>3</v>
      </c>
      <c r="AG515" t="s">
        <v>2</v>
      </c>
      <c r="AI515" t="s">
        <v>129</v>
      </c>
      <c r="AJ515">
        <v>3</v>
      </c>
      <c r="AK515">
        <v>19</v>
      </c>
      <c r="AL515">
        <v>48</v>
      </c>
      <c r="AM515" t="s">
        <v>5</v>
      </c>
      <c r="AN515">
        <v>0</v>
      </c>
      <c r="AO515">
        <v>1</v>
      </c>
      <c r="AP515">
        <v>0</v>
      </c>
      <c r="AQ515">
        <v>1</v>
      </c>
    </row>
    <row r="516" spans="1:43" x14ac:dyDescent="0.25">
      <c r="A516" t="s">
        <v>2632</v>
      </c>
      <c r="B516" t="s">
        <v>2196</v>
      </c>
      <c r="C516" t="s">
        <v>2631</v>
      </c>
      <c r="D516" s="1">
        <v>45955</v>
      </c>
      <c r="E516" t="s">
        <v>79</v>
      </c>
      <c r="F516" t="s">
        <v>206</v>
      </c>
      <c r="G516" t="s">
        <v>56</v>
      </c>
      <c r="H516" t="s">
        <v>29</v>
      </c>
      <c r="I516" t="s">
        <v>28</v>
      </c>
      <c r="J516" t="s">
        <v>14</v>
      </c>
      <c r="K516" t="s">
        <v>13</v>
      </c>
      <c r="L516" t="s">
        <v>12</v>
      </c>
      <c r="M516" t="s">
        <v>11</v>
      </c>
      <c r="N516" t="s">
        <v>154</v>
      </c>
      <c r="O516" t="s">
        <v>101</v>
      </c>
      <c r="P516" t="s">
        <v>63</v>
      </c>
      <c r="Q516" t="s">
        <v>7</v>
      </c>
      <c r="R516" t="s">
        <v>6</v>
      </c>
      <c r="S516">
        <v>4</v>
      </c>
      <c r="T516">
        <v>4</v>
      </c>
      <c r="U516">
        <v>139</v>
      </c>
      <c r="V516" t="s">
        <v>0</v>
      </c>
      <c r="W516" t="s">
        <v>0</v>
      </c>
      <c r="X516" t="s">
        <v>5</v>
      </c>
      <c r="Y516" t="s">
        <v>545</v>
      </c>
      <c r="Z516" t="s">
        <v>0</v>
      </c>
      <c r="AA516">
        <v>0</v>
      </c>
      <c r="AB516">
        <v>0</v>
      </c>
      <c r="AC516">
        <v>0</v>
      </c>
      <c r="AD516" t="s">
        <v>3</v>
      </c>
      <c r="AE516" t="s">
        <v>0</v>
      </c>
      <c r="AF516" t="s">
        <v>3</v>
      </c>
      <c r="AG516" t="s">
        <v>2</v>
      </c>
      <c r="AI516" t="s">
        <v>1</v>
      </c>
      <c r="AJ516">
        <v>3</v>
      </c>
      <c r="AK516">
        <v>34</v>
      </c>
      <c r="AL516">
        <v>0</v>
      </c>
      <c r="AM516" t="s">
        <v>5</v>
      </c>
      <c r="AN516">
        <v>0</v>
      </c>
      <c r="AO516">
        <v>0</v>
      </c>
      <c r="AP516">
        <v>1</v>
      </c>
      <c r="AQ516">
        <v>1</v>
      </c>
    </row>
    <row r="517" spans="1:43" x14ac:dyDescent="0.25">
      <c r="A517" t="s">
        <v>2630</v>
      </c>
      <c r="B517" t="s">
        <v>1836</v>
      </c>
      <c r="C517" t="s">
        <v>2629</v>
      </c>
      <c r="D517" s="1">
        <v>45726</v>
      </c>
      <c r="E517" t="s">
        <v>79</v>
      </c>
      <c r="F517" t="s">
        <v>206</v>
      </c>
      <c r="G517" t="s">
        <v>17</v>
      </c>
      <c r="H517" t="s">
        <v>43</v>
      </c>
      <c r="I517" t="s">
        <v>15</v>
      </c>
      <c r="J517" t="s">
        <v>55</v>
      </c>
      <c r="K517" t="s">
        <v>54</v>
      </c>
      <c r="L517" t="s">
        <v>42</v>
      </c>
      <c r="M517" t="s">
        <v>11</v>
      </c>
      <c r="N517" t="s">
        <v>52</v>
      </c>
      <c r="O517" t="s">
        <v>51</v>
      </c>
      <c r="P517" t="s">
        <v>8</v>
      </c>
      <c r="Q517" t="s">
        <v>100</v>
      </c>
      <c r="R517" t="s">
        <v>6</v>
      </c>
      <c r="S517">
        <v>6</v>
      </c>
      <c r="T517">
        <v>6</v>
      </c>
      <c r="U517">
        <v>130</v>
      </c>
      <c r="V517" t="s">
        <v>0</v>
      </c>
      <c r="W517" t="s">
        <v>0</v>
      </c>
      <c r="X517" t="s">
        <v>0</v>
      </c>
      <c r="Y517" t="s">
        <v>4</v>
      </c>
      <c r="Z517" t="s">
        <v>0</v>
      </c>
      <c r="AA517">
        <v>0</v>
      </c>
      <c r="AB517">
        <v>0</v>
      </c>
      <c r="AC517">
        <v>0</v>
      </c>
      <c r="AD517" t="s">
        <v>3</v>
      </c>
      <c r="AE517" t="s">
        <v>0</v>
      </c>
      <c r="AF517" t="s">
        <v>3</v>
      </c>
      <c r="AG517" t="s">
        <v>2</v>
      </c>
      <c r="AI517" t="s">
        <v>129</v>
      </c>
      <c r="AJ517">
        <v>3</v>
      </c>
      <c r="AK517">
        <v>29</v>
      </c>
      <c r="AL517">
        <v>10</v>
      </c>
      <c r="AM517" t="s">
        <v>5</v>
      </c>
      <c r="AN517">
        <v>0</v>
      </c>
      <c r="AO517">
        <v>0</v>
      </c>
      <c r="AP517">
        <v>0</v>
      </c>
      <c r="AQ517">
        <v>1</v>
      </c>
    </row>
    <row r="518" spans="1:43" x14ac:dyDescent="0.25">
      <c r="A518" t="s">
        <v>2628</v>
      </c>
      <c r="B518" t="s">
        <v>2117</v>
      </c>
      <c r="C518" t="s">
        <v>2627</v>
      </c>
      <c r="D518" s="1">
        <v>45984</v>
      </c>
      <c r="E518" t="s">
        <v>79</v>
      </c>
      <c r="F518" t="s">
        <v>102</v>
      </c>
      <c r="G518" t="s">
        <v>30</v>
      </c>
      <c r="H518" t="s">
        <v>43</v>
      </c>
      <c r="I518" t="s">
        <v>28</v>
      </c>
      <c r="J518" t="s">
        <v>55</v>
      </c>
      <c r="K518" t="s">
        <v>54</v>
      </c>
      <c r="L518" t="s">
        <v>42</v>
      </c>
      <c r="M518" t="s">
        <v>53</v>
      </c>
      <c r="N518" t="s">
        <v>52</v>
      </c>
      <c r="O518" t="s">
        <v>87</v>
      </c>
      <c r="P518" t="s">
        <v>25</v>
      </c>
      <c r="Q518" t="s">
        <v>24</v>
      </c>
      <c r="R518" t="s">
        <v>38</v>
      </c>
      <c r="S518">
        <v>5</v>
      </c>
      <c r="T518">
        <v>3</v>
      </c>
      <c r="U518">
        <v>185</v>
      </c>
      <c r="V518" t="s">
        <v>5</v>
      </c>
      <c r="W518" t="s">
        <v>5</v>
      </c>
      <c r="X518" t="s">
        <v>0</v>
      </c>
      <c r="Y518" t="s">
        <v>4</v>
      </c>
      <c r="Z518" t="s">
        <v>5</v>
      </c>
      <c r="AA518">
        <v>87.66</v>
      </c>
      <c r="AB518">
        <v>0</v>
      </c>
      <c r="AC518">
        <v>0.17</v>
      </c>
      <c r="AD518" t="s">
        <v>3</v>
      </c>
      <c r="AE518" t="s">
        <v>0</v>
      </c>
      <c r="AF518" t="s">
        <v>3</v>
      </c>
      <c r="AG518" t="s">
        <v>2</v>
      </c>
      <c r="AI518" t="s">
        <v>23</v>
      </c>
      <c r="AJ518">
        <v>5</v>
      </c>
      <c r="AK518">
        <v>-10</v>
      </c>
      <c r="AL518">
        <v>44</v>
      </c>
      <c r="AM518" t="s">
        <v>5</v>
      </c>
      <c r="AN518">
        <v>1</v>
      </c>
      <c r="AO518">
        <v>1</v>
      </c>
      <c r="AP518">
        <v>0</v>
      </c>
      <c r="AQ518">
        <v>1</v>
      </c>
    </row>
    <row r="519" spans="1:43" x14ac:dyDescent="0.25">
      <c r="A519" t="s">
        <v>2626</v>
      </c>
      <c r="B519" t="s">
        <v>380</v>
      </c>
      <c r="C519" t="s">
        <v>2625</v>
      </c>
      <c r="D519" s="1">
        <v>45948</v>
      </c>
      <c r="E519" t="s">
        <v>112</v>
      </c>
      <c r="F519" t="s">
        <v>111</v>
      </c>
      <c r="G519" t="s">
        <v>83</v>
      </c>
      <c r="H519" t="s">
        <v>77</v>
      </c>
      <c r="I519" t="s">
        <v>28</v>
      </c>
      <c r="J519" t="s">
        <v>14</v>
      </c>
      <c r="K519" t="s">
        <v>13</v>
      </c>
      <c r="L519" t="s">
        <v>64</v>
      </c>
      <c r="M519" t="s">
        <v>11</v>
      </c>
      <c r="N519" t="s">
        <v>10</v>
      </c>
      <c r="O519" t="s">
        <v>199</v>
      </c>
      <c r="P519" t="s">
        <v>39</v>
      </c>
      <c r="Q519" t="s">
        <v>50</v>
      </c>
      <c r="R519" t="s">
        <v>6</v>
      </c>
      <c r="S519">
        <v>5</v>
      </c>
      <c r="T519">
        <v>5</v>
      </c>
      <c r="U519">
        <v>95</v>
      </c>
      <c r="V519" t="s">
        <v>0</v>
      </c>
      <c r="W519" t="s">
        <v>287</v>
      </c>
      <c r="X519" t="s">
        <v>0</v>
      </c>
      <c r="Y519" t="s">
        <v>4</v>
      </c>
      <c r="Z519" t="s">
        <v>5</v>
      </c>
      <c r="AA519">
        <v>34.24</v>
      </c>
      <c r="AB519">
        <v>0</v>
      </c>
      <c r="AC519">
        <v>0</v>
      </c>
      <c r="AD519" t="s">
        <v>3</v>
      </c>
      <c r="AE519" t="s">
        <v>0</v>
      </c>
      <c r="AF519" t="s">
        <v>3</v>
      </c>
      <c r="AG519" t="s">
        <v>2</v>
      </c>
      <c r="AI519" t="s">
        <v>23</v>
      </c>
      <c r="AJ519">
        <v>3</v>
      </c>
      <c r="AK519">
        <v>15</v>
      </c>
      <c r="AL519">
        <v>42</v>
      </c>
      <c r="AM519" t="s">
        <v>5</v>
      </c>
      <c r="AN519">
        <v>1</v>
      </c>
      <c r="AO519">
        <v>1</v>
      </c>
      <c r="AP519">
        <v>0</v>
      </c>
      <c r="AQ519">
        <v>1</v>
      </c>
    </row>
    <row r="520" spans="1:43" x14ac:dyDescent="0.25">
      <c r="A520" t="s">
        <v>2624</v>
      </c>
      <c r="B520" t="s">
        <v>2623</v>
      </c>
      <c r="C520" t="s">
        <v>2622</v>
      </c>
      <c r="D520" s="1">
        <v>45670</v>
      </c>
      <c r="E520" t="s">
        <v>149</v>
      </c>
      <c r="F520" t="s">
        <v>589</v>
      </c>
      <c r="G520" t="s">
        <v>131</v>
      </c>
      <c r="H520" t="s">
        <v>77</v>
      </c>
      <c r="I520" t="s">
        <v>28</v>
      </c>
      <c r="J520" t="s">
        <v>55</v>
      </c>
      <c r="K520" t="s">
        <v>54</v>
      </c>
      <c r="L520" t="s">
        <v>42</v>
      </c>
      <c r="M520" t="s">
        <v>27</v>
      </c>
      <c r="N520" t="s">
        <v>93</v>
      </c>
      <c r="O520" t="s">
        <v>87</v>
      </c>
      <c r="P520" t="s">
        <v>39</v>
      </c>
      <c r="Q520" t="s">
        <v>172</v>
      </c>
      <c r="R520" t="s">
        <v>38</v>
      </c>
      <c r="S520">
        <v>5</v>
      </c>
      <c r="T520">
        <v>4</v>
      </c>
      <c r="U520">
        <v>231</v>
      </c>
      <c r="V520" t="s">
        <v>5</v>
      </c>
      <c r="W520" t="s">
        <v>5</v>
      </c>
      <c r="X520" t="s">
        <v>0</v>
      </c>
      <c r="Y520" t="s">
        <v>4</v>
      </c>
      <c r="Z520" t="s">
        <v>5</v>
      </c>
      <c r="AA520">
        <v>82.2</v>
      </c>
      <c r="AB520">
        <v>0</v>
      </c>
      <c r="AC520">
        <v>0.37</v>
      </c>
      <c r="AD520" t="s">
        <v>436</v>
      </c>
      <c r="AE520" t="s">
        <v>5</v>
      </c>
      <c r="AF520" t="s">
        <v>436</v>
      </c>
      <c r="AG520" t="s">
        <v>36</v>
      </c>
      <c r="AH520">
        <v>43</v>
      </c>
      <c r="AI520" t="s">
        <v>23</v>
      </c>
      <c r="AJ520">
        <v>4</v>
      </c>
      <c r="AK520">
        <v>45</v>
      </c>
      <c r="AL520">
        <v>19</v>
      </c>
      <c r="AM520" t="s">
        <v>5</v>
      </c>
      <c r="AN520">
        <v>1</v>
      </c>
      <c r="AO520">
        <v>1</v>
      </c>
      <c r="AP520">
        <v>0</v>
      </c>
      <c r="AQ520">
        <v>1</v>
      </c>
    </row>
    <row r="521" spans="1:43" x14ac:dyDescent="0.25">
      <c r="A521" t="s">
        <v>2621</v>
      </c>
      <c r="B521" t="s">
        <v>1936</v>
      </c>
      <c r="C521" t="s">
        <v>2620</v>
      </c>
      <c r="D521" s="1">
        <v>45946</v>
      </c>
      <c r="E521" t="s">
        <v>95</v>
      </c>
      <c r="F521" t="s">
        <v>94</v>
      </c>
      <c r="G521" t="s">
        <v>17</v>
      </c>
      <c r="H521" t="s">
        <v>16</v>
      </c>
      <c r="I521" t="s">
        <v>15</v>
      </c>
      <c r="J521" t="s">
        <v>146</v>
      </c>
      <c r="K521" t="s">
        <v>145</v>
      </c>
      <c r="L521" t="s">
        <v>42</v>
      </c>
      <c r="M521" t="s">
        <v>27</v>
      </c>
      <c r="N521" t="s">
        <v>154</v>
      </c>
      <c r="O521" t="s">
        <v>199</v>
      </c>
      <c r="P521" t="s">
        <v>63</v>
      </c>
      <c r="Q521" t="s">
        <v>100</v>
      </c>
      <c r="R521" t="s">
        <v>6</v>
      </c>
      <c r="S521">
        <v>5</v>
      </c>
      <c r="T521">
        <v>5</v>
      </c>
      <c r="U521">
        <v>129</v>
      </c>
      <c r="V521" t="s">
        <v>0</v>
      </c>
      <c r="W521" t="s">
        <v>5</v>
      </c>
      <c r="X521" t="s">
        <v>0</v>
      </c>
      <c r="Y521" t="s">
        <v>4</v>
      </c>
      <c r="Z521" t="s">
        <v>5</v>
      </c>
      <c r="AA521">
        <v>110.73</v>
      </c>
      <c r="AB521">
        <v>0</v>
      </c>
      <c r="AC521">
        <v>0.37</v>
      </c>
      <c r="AD521" t="s">
        <v>3</v>
      </c>
      <c r="AE521" t="s">
        <v>0</v>
      </c>
      <c r="AF521" t="s">
        <v>3</v>
      </c>
      <c r="AG521" t="s">
        <v>2</v>
      </c>
      <c r="AI521" t="s">
        <v>23</v>
      </c>
      <c r="AJ521">
        <v>4</v>
      </c>
      <c r="AK521">
        <v>-8</v>
      </c>
      <c r="AL521" t="s">
        <v>347</v>
      </c>
      <c r="AM521" t="s">
        <v>5</v>
      </c>
      <c r="AN521">
        <v>1</v>
      </c>
      <c r="AO521">
        <v>1</v>
      </c>
      <c r="AP521">
        <v>0</v>
      </c>
      <c r="AQ521">
        <v>1</v>
      </c>
    </row>
    <row r="522" spans="1:43" x14ac:dyDescent="0.25">
      <c r="A522" t="s">
        <v>2619</v>
      </c>
      <c r="B522" t="s">
        <v>2120</v>
      </c>
      <c r="C522" t="s">
        <v>2618</v>
      </c>
      <c r="D522" s="1">
        <v>46085</v>
      </c>
      <c r="E522" t="s">
        <v>162</v>
      </c>
      <c r="F522" t="s">
        <v>200</v>
      </c>
      <c r="G522" t="s">
        <v>110</v>
      </c>
      <c r="H522" t="s">
        <v>77</v>
      </c>
      <c r="I522" t="s">
        <v>28</v>
      </c>
      <c r="J522" t="s">
        <v>55</v>
      </c>
      <c r="K522" t="s">
        <v>54</v>
      </c>
      <c r="L522" t="s">
        <v>42</v>
      </c>
      <c r="M522" t="s">
        <v>53</v>
      </c>
      <c r="N522" t="s">
        <v>52</v>
      </c>
      <c r="O522" t="s">
        <v>9</v>
      </c>
      <c r="P522" t="s">
        <v>8</v>
      </c>
      <c r="Q522" t="s">
        <v>7</v>
      </c>
      <c r="R522" t="s">
        <v>6</v>
      </c>
      <c r="S522">
        <v>7</v>
      </c>
      <c r="T522">
        <v>7</v>
      </c>
      <c r="U522">
        <v>210</v>
      </c>
      <c r="V522" t="s">
        <v>0</v>
      </c>
      <c r="W522" t="s">
        <v>0</v>
      </c>
      <c r="X522" t="s">
        <v>0</v>
      </c>
      <c r="Y522" t="s">
        <v>4</v>
      </c>
      <c r="Z522" t="s">
        <v>0</v>
      </c>
      <c r="AA522">
        <v>0</v>
      </c>
      <c r="AB522">
        <v>0</v>
      </c>
      <c r="AC522">
        <v>0</v>
      </c>
      <c r="AD522" t="s">
        <v>3</v>
      </c>
      <c r="AE522" t="s">
        <v>0</v>
      </c>
      <c r="AF522" t="s">
        <v>3</v>
      </c>
      <c r="AG522" t="s">
        <v>2</v>
      </c>
      <c r="AI522" t="s">
        <v>23</v>
      </c>
      <c r="AJ522">
        <v>3</v>
      </c>
      <c r="AK522">
        <v>20</v>
      </c>
      <c r="AL522">
        <v>5</v>
      </c>
      <c r="AM522" t="s">
        <v>0</v>
      </c>
      <c r="AN522">
        <v>0</v>
      </c>
      <c r="AO522">
        <v>0</v>
      </c>
      <c r="AP522">
        <v>0</v>
      </c>
      <c r="AQ522">
        <v>0</v>
      </c>
    </row>
    <row r="523" spans="1:43" x14ac:dyDescent="0.25">
      <c r="A523" t="s">
        <v>2617</v>
      </c>
      <c r="B523" t="s">
        <v>965</v>
      </c>
      <c r="C523" t="s">
        <v>2616</v>
      </c>
      <c r="D523" s="1">
        <v>45718</v>
      </c>
      <c r="E523" t="s">
        <v>32</v>
      </c>
      <c r="F523" t="s">
        <v>356</v>
      </c>
      <c r="G523" t="s">
        <v>83</v>
      </c>
      <c r="H523" t="s">
        <v>77</v>
      </c>
      <c r="I523" t="s">
        <v>28</v>
      </c>
      <c r="J523" t="s">
        <v>55</v>
      </c>
      <c r="K523" t="s">
        <v>54</v>
      </c>
      <c r="L523" t="s">
        <v>88</v>
      </c>
      <c r="M523" t="s">
        <v>53</v>
      </c>
      <c r="N523" t="s">
        <v>75</v>
      </c>
      <c r="O523" t="s">
        <v>87</v>
      </c>
      <c r="P523" t="s">
        <v>63</v>
      </c>
      <c r="Q523" t="s">
        <v>198</v>
      </c>
      <c r="R523" t="s">
        <v>38</v>
      </c>
      <c r="S523">
        <v>5</v>
      </c>
      <c r="T523">
        <v>3</v>
      </c>
      <c r="U523">
        <v>179</v>
      </c>
      <c r="V523" t="s">
        <v>5</v>
      </c>
      <c r="W523" t="s">
        <v>5</v>
      </c>
      <c r="X523" t="s">
        <v>0</v>
      </c>
      <c r="Y523" t="s">
        <v>4</v>
      </c>
      <c r="Z523" t="s">
        <v>5</v>
      </c>
      <c r="AA523">
        <v>172.27</v>
      </c>
      <c r="AB523">
        <v>0</v>
      </c>
      <c r="AC523">
        <v>0.17</v>
      </c>
      <c r="AD523" t="s">
        <v>3</v>
      </c>
      <c r="AE523" t="s">
        <v>0</v>
      </c>
      <c r="AF523" t="s">
        <v>3</v>
      </c>
      <c r="AG523" t="s">
        <v>2</v>
      </c>
      <c r="AI523" t="s">
        <v>23</v>
      </c>
      <c r="AJ523">
        <v>4</v>
      </c>
      <c r="AK523">
        <v>15</v>
      </c>
      <c r="AL523">
        <v>0</v>
      </c>
      <c r="AM523" t="s">
        <v>0</v>
      </c>
      <c r="AN523">
        <v>1</v>
      </c>
      <c r="AO523">
        <v>1</v>
      </c>
      <c r="AP523">
        <v>0</v>
      </c>
      <c r="AQ523">
        <v>0</v>
      </c>
    </row>
    <row r="524" spans="1:43" x14ac:dyDescent="0.25">
      <c r="A524" t="s">
        <v>2615</v>
      </c>
      <c r="B524" t="s">
        <v>2193</v>
      </c>
      <c r="C524" t="s">
        <v>2614</v>
      </c>
      <c r="D524" s="1">
        <v>45940</v>
      </c>
      <c r="E524" t="s">
        <v>112</v>
      </c>
      <c r="F524" t="s">
        <v>307</v>
      </c>
      <c r="G524" t="s">
        <v>110</v>
      </c>
      <c r="H524" t="s">
        <v>29</v>
      </c>
      <c r="I524" t="s">
        <v>28</v>
      </c>
      <c r="J524" t="s">
        <v>146</v>
      </c>
      <c r="K524" t="s">
        <v>145</v>
      </c>
      <c r="L524" t="s">
        <v>88</v>
      </c>
      <c r="M524" t="s">
        <v>53</v>
      </c>
      <c r="N524" t="s">
        <v>75</v>
      </c>
      <c r="O524" t="s">
        <v>26</v>
      </c>
      <c r="P524" t="s">
        <v>63</v>
      </c>
      <c r="Q524" t="s">
        <v>50</v>
      </c>
      <c r="R524" t="s">
        <v>6</v>
      </c>
      <c r="S524">
        <v>4</v>
      </c>
      <c r="T524">
        <v>4</v>
      </c>
      <c r="U524">
        <v>75</v>
      </c>
      <c r="V524" t="s">
        <v>0</v>
      </c>
      <c r="W524" t="s">
        <v>5</v>
      </c>
      <c r="X524" t="s">
        <v>0</v>
      </c>
      <c r="Y524" t="s">
        <v>4</v>
      </c>
      <c r="Z524" t="s">
        <v>5</v>
      </c>
      <c r="AA524">
        <v>135.56</v>
      </c>
      <c r="AB524">
        <v>0.23</v>
      </c>
      <c r="AC524">
        <v>0.17</v>
      </c>
      <c r="AD524" t="s">
        <v>436</v>
      </c>
      <c r="AE524" t="s">
        <v>5</v>
      </c>
      <c r="AF524" t="s">
        <v>436</v>
      </c>
      <c r="AG524" t="s">
        <v>36</v>
      </c>
      <c r="AH524">
        <v>29</v>
      </c>
      <c r="AI524" t="s">
        <v>23</v>
      </c>
      <c r="AJ524">
        <v>4</v>
      </c>
      <c r="AK524">
        <v>-3</v>
      </c>
      <c r="AL524">
        <v>0</v>
      </c>
      <c r="AM524" t="s">
        <v>5</v>
      </c>
      <c r="AN524">
        <v>1</v>
      </c>
      <c r="AO524">
        <v>1</v>
      </c>
      <c r="AP524">
        <v>0</v>
      </c>
      <c r="AQ524">
        <v>1</v>
      </c>
    </row>
    <row r="525" spans="1:43" x14ac:dyDescent="0.25">
      <c r="A525" t="s">
        <v>2613</v>
      </c>
      <c r="B525" t="s">
        <v>829</v>
      </c>
      <c r="C525" t="s">
        <v>2612</v>
      </c>
      <c r="D525" s="1">
        <v>45658</v>
      </c>
      <c r="E525" t="s">
        <v>156</v>
      </c>
      <c r="F525" t="s">
        <v>325</v>
      </c>
      <c r="G525" t="s">
        <v>30</v>
      </c>
      <c r="H525" t="s">
        <v>77</v>
      </c>
      <c r="I525" t="s">
        <v>28</v>
      </c>
      <c r="J525" t="s">
        <v>146</v>
      </c>
      <c r="K525" t="s">
        <v>145</v>
      </c>
      <c r="L525" t="s">
        <v>88</v>
      </c>
      <c r="M525" t="s">
        <v>27</v>
      </c>
      <c r="N525" t="s">
        <v>154</v>
      </c>
      <c r="O525" t="s">
        <v>26</v>
      </c>
      <c r="P525" t="s">
        <v>63</v>
      </c>
      <c r="Q525" t="s">
        <v>198</v>
      </c>
      <c r="R525" t="s">
        <v>6</v>
      </c>
      <c r="S525">
        <v>4</v>
      </c>
      <c r="T525">
        <v>99</v>
      </c>
      <c r="U525">
        <v>88</v>
      </c>
      <c r="V525" t="s">
        <v>0</v>
      </c>
      <c r="W525" t="s">
        <v>5</v>
      </c>
      <c r="X525" t="s">
        <v>181</v>
      </c>
      <c r="Y525" t="s">
        <v>4</v>
      </c>
      <c r="Z525" t="s">
        <v>0</v>
      </c>
      <c r="AA525">
        <v>0</v>
      </c>
      <c r="AB525">
        <v>0</v>
      </c>
      <c r="AC525">
        <v>0</v>
      </c>
      <c r="AD525" t="s">
        <v>3</v>
      </c>
      <c r="AE525" t="s">
        <v>0</v>
      </c>
      <c r="AF525" t="s">
        <v>3</v>
      </c>
      <c r="AG525" t="s">
        <v>2</v>
      </c>
      <c r="AI525" t="s">
        <v>23</v>
      </c>
      <c r="AJ525">
        <v>4</v>
      </c>
      <c r="AK525">
        <v>54</v>
      </c>
      <c r="AL525">
        <v>0</v>
      </c>
      <c r="AM525" t="s">
        <v>0</v>
      </c>
      <c r="AN525">
        <v>1</v>
      </c>
      <c r="AO525">
        <v>0</v>
      </c>
      <c r="AP525">
        <v>0</v>
      </c>
      <c r="AQ525">
        <v>0</v>
      </c>
    </row>
    <row r="526" spans="1:43" x14ac:dyDescent="0.25">
      <c r="A526" t="s">
        <v>2611</v>
      </c>
      <c r="B526" t="s">
        <v>2610</v>
      </c>
      <c r="C526" t="s">
        <v>2609</v>
      </c>
      <c r="D526" s="1">
        <v>45890</v>
      </c>
      <c r="E526" t="s">
        <v>45</v>
      </c>
      <c r="F526" t="s">
        <v>670</v>
      </c>
      <c r="G526" t="s">
        <v>17</v>
      </c>
      <c r="H526" t="s">
        <v>237</v>
      </c>
      <c r="I526" t="s">
        <v>28</v>
      </c>
      <c r="J526" t="s">
        <v>14</v>
      </c>
      <c r="K526" t="s">
        <v>13</v>
      </c>
      <c r="L526" t="s">
        <v>42</v>
      </c>
      <c r="M526" t="s">
        <v>11</v>
      </c>
      <c r="N526" t="s">
        <v>93</v>
      </c>
      <c r="O526" t="s">
        <v>40</v>
      </c>
      <c r="P526" t="s">
        <v>8</v>
      </c>
      <c r="Q526" t="s">
        <v>24</v>
      </c>
      <c r="R526" t="s">
        <v>6</v>
      </c>
      <c r="S526">
        <v>8</v>
      </c>
      <c r="T526">
        <v>7</v>
      </c>
      <c r="U526">
        <v>272</v>
      </c>
      <c r="V526" t="s">
        <v>5</v>
      </c>
      <c r="W526" t="s">
        <v>5</v>
      </c>
      <c r="X526" t="s">
        <v>0</v>
      </c>
      <c r="Y526" t="s">
        <v>4</v>
      </c>
      <c r="Z526" t="s">
        <v>5</v>
      </c>
      <c r="AA526">
        <v>343.8</v>
      </c>
      <c r="AB526">
        <v>2.4500000000000002</v>
      </c>
      <c r="AC526">
        <v>0</v>
      </c>
      <c r="AD526" t="s">
        <v>3</v>
      </c>
      <c r="AE526" t="s">
        <v>0</v>
      </c>
      <c r="AF526" t="s">
        <v>3</v>
      </c>
      <c r="AG526" t="s">
        <v>2</v>
      </c>
      <c r="AI526" t="s">
        <v>23</v>
      </c>
      <c r="AJ526">
        <v>3</v>
      </c>
      <c r="AK526">
        <v>-37</v>
      </c>
      <c r="AL526">
        <v>14</v>
      </c>
      <c r="AM526" t="s">
        <v>0</v>
      </c>
      <c r="AN526">
        <v>1</v>
      </c>
      <c r="AO526">
        <v>1</v>
      </c>
      <c r="AP526">
        <v>0</v>
      </c>
      <c r="AQ526">
        <v>0</v>
      </c>
    </row>
    <row r="527" spans="1:43" x14ac:dyDescent="0.25">
      <c r="A527" t="s">
        <v>2608</v>
      </c>
      <c r="B527" t="s">
        <v>2607</v>
      </c>
      <c r="C527" t="s">
        <v>2606</v>
      </c>
      <c r="D527" s="1">
        <v>46052</v>
      </c>
      <c r="E527" t="s">
        <v>19</v>
      </c>
      <c r="F527" t="s">
        <v>89</v>
      </c>
      <c r="G527" t="s">
        <v>83</v>
      </c>
      <c r="H527" t="s">
        <v>77</v>
      </c>
      <c r="I527" t="s">
        <v>15</v>
      </c>
      <c r="J527" t="s">
        <v>14</v>
      </c>
      <c r="K527" t="s">
        <v>13</v>
      </c>
      <c r="L527" t="s">
        <v>12</v>
      </c>
      <c r="M527" t="s">
        <v>11</v>
      </c>
      <c r="N527" t="s">
        <v>269</v>
      </c>
      <c r="O527" t="s">
        <v>199</v>
      </c>
      <c r="P527" t="s">
        <v>39</v>
      </c>
      <c r="Q527" t="s">
        <v>198</v>
      </c>
      <c r="R527" t="s">
        <v>6</v>
      </c>
      <c r="S527">
        <v>5</v>
      </c>
      <c r="T527">
        <v>5</v>
      </c>
      <c r="U527">
        <v>104</v>
      </c>
      <c r="V527" t="s">
        <v>0</v>
      </c>
      <c r="W527" t="s">
        <v>5</v>
      </c>
      <c r="X527" t="s">
        <v>0</v>
      </c>
      <c r="Y527" t="s">
        <v>4</v>
      </c>
      <c r="Z527" t="s">
        <v>5</v>
      </c>
      <c r="AA527">
        <v>152.69999999999999</v>
      </c>
      <c r="AB527">
        <v>0</v>
      </c>
      <c r="AC527">
        <v>0</v>
      </c>
      <c r="AD527" t="s">
        <v>3</v>
      </c>
      <c r="AE527" t="s">
        <v>0</v>
      </c>
      <c r="AF527" t="s">
        <v>3</v>
      </c>
      <c r="AG527" t="s">
        <v>2</v>
      </c>
      <c r="AI527" t="s">
        <v>23</v>
      </c>
      <c r="AJ527">
        <v>3</v>
      </c>
      <c r="AK527">
        <v>33</v>
      </c>
      <c r="AL527">
        <v>50</v>
      </c>
      <c r="AM527" t="s">
        <v>0</v>
      </c>
      <c r="AN527">
        <v>1</v>
      </c>
      <c r="AO527">
        <v>1</v>
      </c>
      <c r="AP527">
        <v>0</v>
      </c>
      <c r="AQ527">
        <v>0</v>
      </c>
    </row>
    <row r="528" spans="1:43" x14ac:dyDescent="0.25">
      <c r="A528" t="s">
        <v>2605</v>
      </c>
      <c r="B528" t="s">
        <v>1035</v>
      </c>
      <c r="C528" t="s">
        <v>2604</v>
      </c>
      <c r="D528" s="1">
        <v>45907</v>
      </c>
      <c r="E528" t="s">
        <v>112</v>
      </c>
      <c r="F528" t="s">
        <v>461</v>
      </c>
      <c r="G528" t="s">
        <v>17</v>
      </c>
      <c r="H528" t="s">
        <v>29</v>
      </c>
      <c r="I528" t="s">
        <v>28</v>
      </c>
      <c r="J528" t="s">
        <v>55</v>
      </c>
      <c r="K528" t="s">
        <v>65</v>
      </c>
      <c r="L528" t="s">
        <v>117</v>
      </c>
      <c r="M528" t="s">
        <v>11</v>
      </c>
      <c r="N528" t="s">
        <v>41</v>
      </c>
      <c r="O528" t="s">
        <v>193</v>
      </c>
      <c r="P528" t="s">
        <v>8</v>
      </c>
      <c r="Q528" t="s">
        <v>100</v>
      </c>
      <c r="R528" t="s">
        <v>38</v>
      </c>
      <c r="S528">
        <v>9</v>
      </c>
      <c r="T528">
        <v>9</v>
      </c>
      <c r="U528">
        <v>250</v>
      </c>
      <c r="V528" t="s">
        <v>0</v>
      </c>
      <c r="W528" t="s">
        <v>5</v>
      </c>
      <c r="X528" t="s">
        <v>0</v>
      </c>
      <c r="Y528" t="s">
        <v>4</v>
      </c>
      <c r="Z528" t="s">
        <v>0</v>
      </c>
      <c r="AA528">
        <v>0</v>
      </c>
      <c r="AB528">
        <v>0</v>
      </c>
      <c r="AC528">
        <v>0</v>
      </c>
      <c r="AD528" t="s">
        <v>3</v>
      </c>
      <c r="AE528" t="s">
        <v>0</v>
      </c>
      <c r="AF528" t="s">
        <v>3</v>
      </c>
      <c r="AG528" t="s">
        <v>2</v>
      </c>
      <c r="AI528" t="s">
        <v>23</v>
      </c>
      <c r="AJ528">
        <v>4</v>
      </c>
      <c r="AK528">
        <v>-21</v>
      </c>
      <c r="AL528">
        <v>40</v>
      </c>
      <c r="AM528" t="s">
        <v>5</v>
      </c>
      <c r="AN528">
        <v>1</v>
      </c>
      <c r="AO528">
        <v>0</v>
      </c>
      <c r="AP528">
        <v>0</v>
      </c>
      <c r="AQ528">
        <v>1</v>
      </c>
    </row>
    <row r="529" spans="1:43" x14ac:dyDescent="0.25">
      <c r="A529" t="s">
        <v>2603</v>
      </c>
      <c r="B529" t="s">
        <v>624</v>
      </c>
      <c r="C529" t="s">
        <v>2602</v>
      </c>
      <c r="D529" s="1">
        <v>46127</v>
      </c>
      <c r="E529" t="s">
        <v>32</v>
      </c>
      <c r="F529" t="s">
        <v>382</v>
      </c>
      <c r="G529" t="s">
        <v>56</v>
      </c>
      <c r="H529" t="s">
        <v>66</v>
      </c>
      <c r="I529" t="s">
        <v>15</v>
      </c>
      <c r="J529" t="s">
        <v>14</v>
      </c>
      <c r="K529" t="s">
        <v>13</v>
      </c>
      <c r="L529" t="s">
        <v>88</v>
      </c>
      <c r="M529" t="s">
        <v>11</v>
      </c>
      <c r="N529" t="s">
        <v>154</v>
      </c>
      <c r="O529" t="s">
        <v>101</v>
      </c>
      <c r="P529" t="s">
        <v>8</v>
      </c>
      <c r="Q529" t="s">
        <v>7</v>
      </c>
      <c r="R529" t="s">
        <v>6</v>
      </c>
      <c r="S529">
        <v>4</v>
      </c>
      <c r="T529">
        <v>4</v>
      </c>
      <c r="U529">
        <v>103</v>
      </c>
      <c r="V529" t="s">
        <v>0</v>
      </c>
      <c r="W529" t="s">
        <v>0</v>
      </c>
      <c r="X529" t="s">
        <v>0</v>
      </c>
      <c r="Y529" t="s">
        <v>4</v>
      </c>
      <c r="Z529" t="s">
        <v>0</v>
      </c>
      <c r="AA529">
        <v>0</v>
      </c>
      <c r="AB529">
        <v>0</v>
      </c>
      <c r="AC529">
        <v>0</v>
      </c>
      <c r="AD529" t="s">
        <v>3</v>
      </c>
      <c r="AE529" t="s">
        <v>0</v>
      </c>
      <c r="AF529" t="s">
        <v>3</v>
      </c>
      <c r="AG529" t="s">
        <v>2</v>
      </c>
      <c r="AI529" t="s">
        <v>332</v>
      </c>
      <c r="AJ529">
        <v>5</v>
      </c>
      <c r="AK529">
        <v>55</v>
      </c>
      <c r="AL529">
        <v>37</v>
      </c>
      <c r="AM529" t="s">
        <v>0</v>
      </c>
      <c r="AN529">
        <v>0</v>
      </c>
      <c r="AO529">
        <v>0</v>
      </c>
      <c r="AP529">
        <v>0</v>
      </c>
      <c r="AQ529">
        <v>0</v>
      </c>
    </row>
    <row r="530" spans="1:43" x14ac:dyDescent="0.25">
      <c r="A530" t="s">
        <v>2601</v>
      </c>
      <c r="B530" t="s">
        <v>1481</v>
      </c>
      <c r="C530" t="s">
        <v>2600</v>
      </c>
      <c r="D530" s="1">
        <v>45935</v>
      </c>
      <c r="E530" t="s">
        <v>95</v>
      </c>
      <c r="F530" t="s">
        <v>321</v>
      </c>
      <c r="G530" t="s">
        <v>123</v>
      </c>
      <c r="H530" t="s">
        <v>77</v>
      </c>
      <c r="I530" t="s">
        <v>147</v>
      </c>
      <c r="J530" t="s">
        <v>14</v>
      </c>
      <c r="K530" t="s">
        <v>13</v>
      </c>
      <c r="L530" t="s">
        <v>88</v>
      </c>
      <c r="M530" t="s">
        <v>53</v>
      </c>
      <c r="N530" t="s">
        <v>52</v>
      </c>
      <c r="O530" t="s">
        <v>51</v>
      </c>
      <c r="P530" t="s">
        <v>25</v>
      </c>
      <c r="Q530" t="s">
        <v>50</v>
      </c>
      <c r="R530" t="s">
        <v>38</v>
      </c>
      <c r="S530">
        <v>6</v>
      </c>
      <c r="T530">
        <v>6</v>
      </c>
      <c r="U530">
        <v>149</v>
      </c>
      <c r="V530" t="s">
        <v>0</v>
      </c>
      <c r="W530" t="s">
        <v>0</v>
      </c>
      <c r="X530" t="s">
        <v>0</v>
      </c>
      <c r="Y530" t="s">
        <v>4</v>
      </c>
      <c r="Z530" t="s">
        <v>0</v>
      </c>
      <c r="AA530">
        <v>0</v>
      </c>
      <c r="AB530">
        <v>0</v>
      </c>
      <c r="AC530">
        <v>0</v>
      </c>
      <c r="AD530" t="s">
        <v>3</v>
      </c>
      <c r="AE530" t="s">
        <v>0</v>
      </c>
      <c r="AF530" t="s">
        <v>3</v>
      </c>
      <c r="AG530" t="s">
        <v>2</v>
      </c>
      <c r="AI530" t="s">
        <v>1</v>
      </c>
      <c r="AJ530">
        <v>3</v>
      </c>
      <c r="AK530">
        <v>50</v>
      </c>
      <c r="AL530" t="s">
        <v>2599</v>
      </c>
      <c r="AM530" t="s">
        <v>0</v>
      </c>
      <c r="AN530">
        <v>0</v>
      </c>
      <c r="AO530">
        <v>0</v>
      </c>
      <c r="AP530">
        <v>0</v>
      </c>
      <c r="AQ530">
        <v>0</v>
      </c>
    </row>
    <row r="531" spans="1:43" x14ac:dyDescent="0.25">
      <c r="A531" t="s">
        <v>2598</v>
      </c>
      <c r="B531" t="s">
        <v>1496</v>
      </c>
      <c r="C531" t="s">
        <v>2597</v>
      </c>
      <c r="D531" s="1">
        <v>45841</v>
      </c>
      <c r="E531" t="s">
        <v>162</v>
      </c>
      <c r="F531" t="s">
        <v>200</v>
      </c>
      <c r="G531" t="s">
        <v>17</v>
      </c>
      <c r="H531" t="s">
        <v>77</v>
      </c>
      <c r="I531" t="s">
        <v>28</v>
      </c>
      <c r="J531" t="s">
        <v>55</v>
      </c>
      <c r="K531" t="s">
        <v>54</v>
      </c>
      <c r="L531" t="s">
        <v>64</v>
      </c>
      <c r="M531" t="s">
        <v>299</v>
      </c>
      <c r="N531" t="s">
        <v>269</v>
      </c>
      <c r="O531" t="s">
        <v>9</v>
      </c>
      <c r="P531" t="s">
        <v>39</v>
      </c>
      <c r="Q531" t="s">
        <v>7</v>
      </c>
      <c r="R531" t="s">
        <v>6</v>
      </c>
      <c r="S531">
        <v>7</v>
      </c>
      <c r="T531" t="s">
        <v>242</v>
      </c>
      <c r="U531">
        <v>257</v>
      </c>
      <c r="V531" t="s">
        <v>0</v>
      </c>
      <c r="W531" t="s">
        <v>5</v>
      </c>
      <c r="X531" t="s">
        <v>5</v>
      </c>
      <c r="Y531" t="s">
        <v>450</v>
      </c>
      <c r="Z531" t="s">
        <v>5</v>
      </c>
      <c r="AA531">
        <v>0</v>
      </c>
      <c r="AB531">
        <v>0</v>
      </c>
      <c r="AC531">
        <v>0</v>
      </c>
      <c r="AD531" t="s">
        <v>3</v>
      </c>
      <c r="AE531" t="s">
        <v>0</v>
      </c>
      <c r="AF531" t="s">
        <v>3</v>
      </c>
      <c r="AG531" t="s">
        <v>2</v>
      </c>
      <c r="AI531" t="s">
        <v>23</v>
      </c>
      <c r="AJ531">
        <v>3</v>
      </c>
      <c r="AK531">
        <v>52</v>
      </c>
      <c r="AL531">
        <v>5</v>
      </c>
      <c r="AM531" t="s">
        <v>0</v>
      </c>
      <c r="AN531">
        <v>1</v>
      </c>
      <c r="AO531">
        <v>1</v>
      </c>
      <c r="AP531">
        <v>1</v>
      </c>
      <c r="AQ531">
        <v>0</v>
      </c>
    </row>
    <row r="532" spans="1:43" x14ac:dyDescent="0.25">
      <c r="A532" t="s">
        <v>2596</v>
      </c>
      <c r="B532" t="s">
        <v>1484</v>
      </c>
      <c r="C532" t="s">
        <v>2595</v>
      </c>
      <c r="D532" s="1">
        <v>45670</v>
      </c>
      <c r="E532" t="s">
        <v>45</v>
      </c>
      <c r="F532" t="s">
        <v>57</v>
      </c>
      <c r="G532" t="s">
        <v>131</v>
      </c>
      <c r="H532" t="s">
        <v>29</v>
      </c>
      <c r="I532" t="s">
        <v>28</v>
      </c>
      <c r="J532" t="s">
        <v>146</v>
      </c>
      <c r="K532" t="s">
        <v>460</v>
      </c>
      <c r="L532" t="s">
        <v>88</v>
      </c>
      <c r="M532" t="s">
        <v>11</v>
      </c>
      <c r="N532" t="s">
        <v>75</v>
      </c>
      <c r="O532" t="s">
        <v>26</v>
      </c>
      <c r="P532" t="s">
        <v>8</v>
      </c>
      <c r="Q532" t="s">
        <v>24</v>
      </c>
      <c r="R532" t="s">
        <v>38</v>
      </c>
      <c r="S532">
        <v>4</v>
      </c>
      <c r="T532">
        <v>4</v>
      </c>
      <c r="U532">
        <v>92</v>
      </c>
      <c r="V532" t="s">
        <v>0</v>
      </c>
      <c r="W532" t="s">
        <v>5</v>
      </c>
      <c r="X532" t="s">
        <v>0</v>
      </c>
      <c r="Y532" t="s">
        <v>4</v>
      </c>
      <c r="Z532" t="s">
        <v>5</v>
      </c>
      <c r="AA532">
        <v>138.51</v>
      </c>
      <c r="AB532">
        <v>0.18</v>
      </c>
      <c r="AC532">
        <v>0</v>
      </c>
      <c r="AD532" t="s">
        <v>3</v>
      </c>
      <c r="AE532" t="s">
        <v>0</v>
      </c>
      <c r="AF532" t="s">
        <v>3</v>
      </c>
      <c r="AG532" t="s">
        <v>2</v>
      </c>
      <c r="AI532" t="s">
        <v>23</v>
      </c>
      <c r="AJ532">
        <v>4</v>
      </c>
      <c r="AK532">
        <v>74</v>
      </c>
      <c r="AL532">
        <v>15</v>
      </c>
      <c r="AM532" t="s">
        <v>5</v>
      </c>
      <c r="AN532">
        <v>1</v>
      </c>
      <c r="AO532">
        <v>1</v>
      </c>
      <c r="AP532">
        <v>0</v>
      </c>
      <c r="AQ532">
        <v>1</v>
      </c>
    </row>
    <row r="533" spans="1:43" x14ac:dyDescent="0.25">
      <c r="A533" t="s">
        <v>2594</v>
      </c>
      <c r="B533" t="s">
        <v>2593</v>
      </c>
      <c r="C533" t="s">
        <v>2592</v>
      </c>
      <c r="D533" s="1">
        <v>45736</v>
      </c>
      <c r="E533" t="s">
        <v>112</v>
      </c>
      <c r="F533" t="s">
        <v>307</v>
      </c>
      <c r="G533" t="s">
        <v>110</v>
      </c>
      <c r="H533" t="s">
        <v>43</v>
      </c>
      <c r="I533" t="s">
        <v>15</v>
      </c>
      <c r="J533" t="s">
        <v>14</v>
      </c>
      <c r="K533" t="s">
        <v>13</v>
      </c>
      <c r="L533" t="s">
        <v>42</v>
      </c>
      <c r="M533" t="s">
        <v>27</v>
      </c>
      <c r="N533" t="s">
        <v>154</v>
      </c>
      <c r="O533" t="s">
        <v>74</v>
      </c>
      <c r="P533" t="s">
        <v>39</v>
      </c>
      <c r="Q533" t="s">
        <v>24</v>
      </c>
      <c r="R533" t="s">
        <v>38</v>
      </c>
      <c r="S533">
        <v>6</v>
      </c>
      <c r="T533">
        <v>6</v>
      </c>
      <c r="U533">
        <v>174</v>
      </c>
      <c r="V533" t="s">
        <v>0</v>
      </c>
      <c r="W533" t="s">
        <v>0</v>
      </c>
      <c r="X533" t="s">
        <v>0</v>
      </c>
      <c r="Y533" t="s">
        <v>4</v>
      </c>
      <c r="Z533" t="s">
        <v>5</v>
      </c>
      <c r="AA533">
        <v>7.83</v>
      </c>
      <c r="AB533">
        <v>0</v>
      </c>
      <c r="AC533">
        <v>0.37</v>
      </c>
      <c r="AD533" t="s">
        <v>3</v>
      </c>
      <c r="AE533" t="s">
        <v>0</v>
      </c>
      <c r="AF533" t="s">
        <v>3</v>
      </c>
      <c r="AG533" t="s">
        <v>2</v>
      </c>
      <c r="AI533" t="s">
        <v>23</v>
      </c>
      <c r="AJ533">
        <v>4</v>
      </c>
      <c r="AK533">
        <v>28</v>
      </c>
      <c r="AL533">
        <v>18</v>
      </c>
      <c r="AM533" t="s">
        <v>5</v>
      </c>
      <c r="AN533">
        <v>0</v>
      </c>
      <c r="AO533">
        <v>1</v>
      </c>
      <c r="AP533">
        <v>0</v>
      </c>
      <c r="AQ533">
        <v>1</v>
      </c>
    </row>
    <row r="534" spans="1:43" x14ac:dyDescent="0.25">
      <c r="A534" t="s">
        <v>2591</v>
      </c>
      <c r="B534" t="s">
        <v>1505</v>
      </c>
      <c r="C534" t="s">
        <v>2590</v>
      </c>
      <c r="D534" s="1">
        <v>45726</v>
      </c>
      <c r="E534" t="s">
        <v>168</v>
      </c>
      <c r="F534" t="s">
        <v>233</v>
      </c>
      <c r="G534" t="s">
        <v>56</v>
      </c>
      <c r="H534" t="s">
        <v>29</v>
      </c>
      <c r="I534" t="s">
        <v>15</v>
      </c>
      <c r="J534" t="s">
        <v>14</v>
      </c>
      <c r="K534" t="s">
        <v>13</v>
      </c>
      <c r="L534" t="s">
        <v>42</v>
      </c>
      <c r="M534" t="s">
        <v>11</v>
      </c>
      <c r="N534" t="s">
        <v>269</v>
      </c>
      <c r="O534" t="s">
        <v>87</v>
      </c>
      <c r="P534" t="s">
        <v>25</v>
      </c>
      <c r="Q534" t="s">
        <v>7</v>
      </c>
      <c r="R534" t="s">
        <v>6</v>
      </c>
      <c r="S534">
        <v>5</v>
      </c>
      <c r="T534">
        <v>5</v>
      </c>
      <c r="U534">
        <v>97</v>
      </c>
      <c r="V534" t="s">
        <v>0</v>
      </c>
      <c r="W534" t="s">
        <v>5</v>
      </c>
      <c r="X534" t="s">
        <v>0</v>
      </c>
      <c r="Y534" t="s">
        <v>4</v>
      </c>
      <c r="Z534" t="s">
        <v>5</v>
      </c>
      <c r="AA534">
        <v>149.76</v>
      </c>
      <c r="AB534">
        <v>0</v>
      </c>
      <c r="AC534">
        <v>0</v>
      </c>
      <c r="AD534" t="s">
        <v>3</v>
      </c>
      <c r="AE534" t="s">
        <v>0</v>
      </c>
      <c r="AF534" t="s">
        <v>3</v>
      </c>
      <c r="AG534" t="s">
        <v>2</v>
      </c>
      <c r="AI534" t="s">
        <v>23</v>
      </c>
      <c r="AJ534">
        <v>4</v>
      </c>
      <c r="AK534">
        <v>31</v>
      </c>
      <c r="AL534">
        <v>45</v>
      </c>
      <c r="AM534" t="s">
        <v>247</v>
      </c>
      <c r="AN534">
        <v>1</v>
      </c>
      <c r="AO534">
        <v>1</v>
      </c>
      <c r="AP534">
        <v>0</v>
      </c>
      <c r="AQ534">
        <v>0</v>
      </c>
    </row>
    <row r="535" spans="1:43" x14ac:dyDescent="0.25">
      <c r="A535" t="s">
        <v>2589</v>
      </c>
      <c r="B535" t="s">
        <v>861</v>
      </c>
      <c r="C535" t="s">
        <v>2588</v>
      </c>
      <c r="D535" s="1">
        <v>46017</v>
      </c>
      <c r="E535" t="s">
        <v>19</v>
      </c>
      <c r="F535" t="s">
        <v>295</v>
      </c>
      <c r="G535" t="s">
        <v>56</v>
      </c>
      <c r="H535" t="s">
        <v>77</v>
      </c>
      <c r="I535" t="s">
        <v>28</v>
      </c>
      <c r="J535" t="s">
        <v>55</v>
      </c>
      <c r="K535" t="s">
        <v>54</v>
      </c>
      <c r="L535" t="s">
        <v>64</v>
      </c>
      <c r="M535" t="s">
        <v>27</v>
      </c>
      <c r="N535" t="s">
        <v>75</v>
      </c>
      <c r="O535" t="s">
        <v>87</v>
      </c>
      <c r="P535" t="s">
        <v>63</v>
      </c>
      <c r="Q535" t="s">
        <v>24</v>
      </c>
      <c r="R535" t="s">
        <v>6</v>
      </c>
      <c r="S535">
        <v>5</v>
      </c>
      <c r="T535">
        <v>5</v>
      </c>
      <c r="U535">
        <v>127</v>
      </c>
      <c r="V535" t="s">
        <v>0</v>
      </c>
      <c r="W535" t="s">
        <v>5</v>
      </c>
      <c r="X535" t="s">
        <v>135</v>
      </c>
      <c r="Y535" t="s">
        <v>4</v>
      </c>
      <c r="Z535" t="s">
        <v>5</v>
      </c>
      <c r="AA535">
        <v>121.25</v>
      </c>
      <c r="AB535">
        <v>0</v>
      </c>
      <c r="AC535">
        <v>0.37</v>
      </c>
      <c r="AD535" t="s">
        <v>3</v>
      </c>
      <c r="AE535" t="s">
        <v>0</v>
      </c>
      <c r="AF535" t="s">
        <v>3</v>
      </c>
      <c r="AG535" t="s">
        <v>2</v>
      </c>
      <c r="AI535" t="s">
        <v>23</v>
      </c>
      <c r="AJ535">
        <v>4</v>
      </c>
      <c r="AK535">
        <v>16</v>
      </c>
      <c r="AL535">
        <v>0</v>
      </c>
      <c r="AM535" t="s">
        <v>247</v>
      </c>
      <c r="AN535">
        <v>1</v>
      </c>
      <c r="AO535">
        <v>1</v>
      </c>
      <c r="AP535">
        <v>0</v>
      </c>
      <c r="AQ535">
        <v>0</v>
      </c>
    </row>
    <row r="536" spans="1:43" x14ac:dyDescent="0.25">
      <c r="A536" t="s">
        <v>2587</v>
      </c>
      <c r="B536" t="s">
        <v>2454</v>
      </c>
      <c r="C536" t="s">
        <v>2586</v>
      </c>
      <c r="D536" s="1">
        <v>45803</v>
      </c>
      <c r="E536" t="s">
        <v>32</v>
      </c>
      <c r="F536" t="s">
        <v>31</v>
      </c>
      <c r="G536" t="s">
        <v>30</v>
      </c>
      <c r="H536" t="s">
        <v>29</v>
      </c>
      <c r="I536" t="s">
        <v>28</v>
      </c>
      <c r="J536" t="s">
        <v>14</v>
      </c>
      <c r="K536" t="s">
        <v>13</v>
      </c>
      <c r="L536" t="s">
        <v>12</v>
      </c>
      <c r="M536" t="s">
        <v>27</v>
      </c>
      <c r="N536" t="s">
        <v>10</v>
      </c>
      <c r="O536" t="s">
        <v>26</v>
      </c>
      <c r="P536" t="s">
        <v>25</v>
      </c>
      <c r="Q536" t="s">
        <v>24</v>
      </c>
      <c r="R536" t="s">
        <v>6</v>
      </c>
      <c r="S536">
        <v>4</v>
      </c>
      <c r="T536">
        <v>4</v>
      </c>
      <c r="U536">
        <v>91</v>
      </c>
      <c r="V536" t="s">
        <v>0</v>
      </c>
      <c r="W536" t="s">
        <v>5</v>
      </c>
      <c r="X536" t="s">
        <v>0</v>
      </c>
      <c r="Y536" t="s">
        <v>4</v>
      </c>
      <c r="Z536" t="s">
        <v>0</v>
      </c>
      <c r="AA536">
        <v>0</v>
      </c>
      <c r="AB536">
        <v>0</v>
      </c>
      <c r="AC536">
        <v>0</v>
      </c>
      <c r="AD536" t="s">
        <v>3</v>
      </c>
      <c r="AE536" t="s">
        <v>0</v>
      </c>
      <c r="AF536" t="s">
        <v>3</v>
      </c>
      <c r="AG536" t="s">
        <v>2</v>
      </c>
      <c r="AI536" t="s">
        <v>23</v>
      </c>
      <c r="AJ536">
        <v>4</v>
      </c>
      <c r="AK536">
        <v>47</v>
      </c>
      <c r="AL536">
        <v>38</v>
      </c>
      <c r="AM536" t="s">
        <v>5</v>
      </c>
      <c r="AN536">
        <v>1</v>
      </c>
      <c r="AO536">
        <v>0</v>
      </c>
      <c r="AP536">
        <v>0</v>
      </c>
      <c r="AQ536">
        <v>1</v>
      </c>
    </row>
    <row r="537" spans="1:43" x14ac:dyDescent="0.25">
      <c r="A537" t="s">
        <v>2585</v>
      </c>
      <c r="B537" t="s">
        <v>2584</v>
      </c>
      <c r="C537" t="s">
        <v>2583</v>
      </c>
      <c r="D537" s="1">
        <v>46116</v>
      </c>
      <c r="E537" t="s">
        <v>19</v>
      </c>
      <c r="F537" t="s">
        <v>18</v>
      </c>
      <c r="G537" t="s">
        <v>123</v>
      </c>
      <c r="H537" t="s">
        <v>16</v>
      </c>
      <c r="I537" t="s">
        <v>28</v>
      </c>
      <c r="J537" t="s">
        <v>14</v>
      </c>
      <c r="K537" t="s">
        <v>13</v>
      </c>
      <c r="L537" t="s">
        <v>117</v>
      </c>
      <c r="M537" t="s">
        <v>53</v>
      </c>
      <c r="N537" t="s">
        <v>41</v>
      </c>
      <c r="O537" t="s">
        <v>101</v>
      </c>
      <c r="P537" t="s">
        <v>39</v>
      </c>
      <c r="Q537" t="s">
        <v>7</v>
      </c>
      <c r="R537" t="s">
        <v>6</v>
      </c>
      <c r="S537">
        <v>4</v>
      </c>
      <c r="T537">
        <v>4</v>
      </c>
      <c r="U537">
        <v>81</v>
      </c>
      <c r="V537" t="s">
        <v>0</v>
      </c>
      <c r="W537" t="s">
        <v>5</v>
      </c>
      <c r="X537" t="s">
        <v>0</v>
      </c>
      <c r="Y537" t="s">
        <v>4</v>
      </c>
      <c r="Z537" t="s">
        <v>0</v>
      </c>
      <c r="AA537">
        <v>0</v>
      </c>
      <c r="AB537">
        <v>0</v>
      </c>
      <c r="AC537">
        <v>0</v>
      </c>
      <c r="AD537" t="s">
        <v>37</v>
      </c>
      <c r="AE537" t="s">
        <v>5</v>
      </c>
      <c r="AF537" t="s">
        <v>37</v>
      </c>
      <c r="AG537" t="s">
        <v>36</v>
      </c>
      <c r="AH537">
        <v>33</v>
      </c>
      <c r="AI537" t="s">
        <v>23</v>
      </c>
      <c r="AJ537">
        <v>5</v>
      </c>
      <c r="AK537">
        <v>20</v>
      </c>
      <c r="AL537">
        <v>75</v>
      </c>
      <c r="AM537" t="s">
        <v>0</v>
      </c>
      <c r="AN537">
        <v>1</v>
      </c>
      <c r="AO537">
        <v>0</v>
      </c>
      <c r="AP537">
        <v>0</v>
      </c>
      <c r="AQ537">
        <v>0</v>
      </c>
    </row>
    <row r="538" spans="1:43" x14ac:dyDescent="0.25">
      <c r="A538" t="s">
        <v>2582</v>
      </c>
      <c r="B538" t="s">
        <v>2581</v>
      </c>
      <c r="C538" t="s">
        <v>2580</v>
      </c>
      <c r="D538" s="1">
        <v>45667</v>
      </c>
      <c r="E538" t="s">
        <v>45</v>
      </c>
      <c r="F538" t="s">
        <v>348</v>
      </c>
      <c r="G538" t="s">
        <v>56</v>
      </c>
      <c r="H538" t="s">
        <v>66</v>
      </c>
      <c r="I538" t="s">
        <v>15</v>
      </c>
      <c r="J538" t="s">
        <v>146</v>
      </c>
      <c r="K538" t="s">
        <v>145</v>
      </c>
      <c r="L538" t="s">
        <v>88</v>
      </c>
      <c r="M538" t="s">
        <v>11</v>
      </c>
      <c r="N538" t="s">
        <v>75</v>
      </c>
      <c r="O538" t="s">
        <v>26</v>
      </c>
      <c r="P538" t="s">
        <v>39</v>
      </c>
      <c r="Q538" t="s">
        <v>24</v>
      </c>
      <c r="R538" t="s">
        <v>6</v>
      </c>
      <c r="S538">
        <v>4</v>
      </c>
      <c r="T538">
        <v>4</v>
      </c>
      <c r="U538">
        <v>85</v>
      </c>
      <c r="V538" t="s">
        <v>0</v>
      </c>
      <c r="W538" t="s">
        <v>5</v>
      </c>
      <c r="X538" t="s">
        <v>0</v>
      </c>
      <c r="Y538" t="s">
        <v>4</v>
      </c>
      <c r="Z538" t="s">
        <v>5</v>
      </c>
      <c r="AA538">
        <v>179.22</v>
      </c>
      <c r="AB538">
        <v>0.18</v>
      </c>
      <c r="AC538">
        <v>0</v>
      </c>
      <c r="AD538" t="s">
        <v>3</v>
      </c>
      <c r="AE538" t="s">
        <v>0</v>
      </c>
      <c r="AF538" t="s">
        <v>3</v>
      </c>
      <c r="AG538" t="s">
        <v>2</v>
      </c>
      <c r="AI538" t="s">
        <v>23</v>
      </c>
      <c r="AJ538">
        <v>4</v>
      </c>
      <c r="AK538">
        <v>63</v>
      </c>
      <c r="AL538">
        <v>13</v>
      </c>
      <c r="AM538" t="s">
        <v>5</v>
      </c>
      <c r="AN538">
        <v>1</v>
      </c>
      <c r="AO538">
        <v>1</v>
      </c>
      <c r="AP538">
        <v>0</v>
      </c>
      <c r="AQ538">
        <v>1</v>
      </c>
    </row>
    <row r="539" spans="1:43" x14ac:dyDescent="0.25">
      <c r="A539" t="s">
        <v>2579</v>
      </c>
      <c r="B539" t="s">
        <v>2578</v>
      </c>
      <c r="C539" t="s">
        <v>2577</v>
      </c>
      <c r="D539" s="1">
        <v>45865</v>
      </c>
      <c r="E539" t="s">
        <v>32</v>
      </c>
      <c r="F539" t="s">
        <v>382</v>
      </c>
      <c r="G539" t="s">
        <v>56</v>
      </c>
      <c r="H539" t="s">
        <v>29</v>
      </c>
      <c r="I539" t="s">
        <v>28</v>
      </c>
      <c r="J539" t="s">
        <v>55</v>
      </c>
      <c r="K539" t="s">
        <v>54</v>
      </c>
      <c r="L539" t="s">
        <v>64</v>
      </c>
      <c r="M539" t="s">
        <v>11</v>
      </c>
      <c r="N539" t="s">
        <v>93</v>
      </c>
      <c r="O539" t="s">
        <v>193</v>
      </c>
      <c r="P539" t="s">
        <v>63</v>
      </c>
      <c r="Q539" t="s">
        <v>7</v>
      </c>
      <c r="R539" t="s">
        <v>6</v>
      </c>
      <c r="S539">
        <v>9</v>
      </c>
      <c r="T539">
        <v>7</v>
      </c>
      <c r="U539">
        <v>326</v>
      </c>
      <c r="V539" t="s">
        <v>5</v>
      </c>
      <c r="W539" t="s">
        <v>0</v>
      </c>
      <c r="X539" t="s">
        <v>0</v>
      </c>
      <c r="Y539" t="s">
        <v>4</v>
      </c>
      <c r="Z539" t="s">
        <v>0</v>
      </c>
      <c r="AA539">
        <v>0</v>
      </c>
      <c r="AB539">
        <v>0</v>
      </c>
      <c r="AC539">
        <v>0</v>
      </c>
      <c r="AD539" t="s">
        <v>3</v>
      </c>
      <c r="AE539" t="s">
        <v>0</v>
      </c>
      <c r="AF539" t="s">
        <v>3</v>
      </c>
      <c r="AG539" t="s">
        <v>2</v>
      </c>
      <c r="AI539" t="s">
        <v>129</v>
      </c>
      <c r="AJ539">
        <v>2</v>
      </c>
      <c r="AK539">
        <v>-29</v>
      </c>
      <c r="AL539">
        <v>0</v>
      </c>
      <c r="AM539" t="s">
        <v>247</v>
      </c>
      <c r="AN539">
        <v>0</v>
      </c>
      <c r="AO539">
        <v>0</v>
      </c>
      <c r="AP539">
        <v>0</v>
      </c>
      <c r="AQ539">
        <v>0</v>
      </c>
    </row>
    <row r="540" spans="1:43" x14ac:dyDescent="0.25">
      <c r="A540" t="s">
        <v>2576</v>
      </c>
      <c r="B540" t="s">
        <v>915</v>
      </c>
      <c r="C540" t="s">
        <v>2575</v>
      </c>
      <c r="D540" s="1">
        <v>45772</v>
      </c>
      <c r="E540" t="s">
        <v>156</v>
      </c>
      <c r="F540" t="s">
        <v>238</v>
      </c>
      <c r="G540" t="s">
        <v>83</v>
      </c>
      <c r="H540" t="s">
        <v>16</v>
      </c>
      <c r="I540" t="s">
        <v>28</v>
      </c>
      <c r="J540" t="s">
        <v>146</v>
      </c>
      <c r="K540" t="s">
        <v>145</v>
      </c>
      <c r="L540" t="s">
        <v>88</v>
      </c>
      <c r="M540" t="s">
        <v>53</v>
      </c>
      <c r="N540" t="s">
        <v>10</v>
      </c>
      <c r="O540" t="s">
        <v>87</v>
      </c>
      <c r="P540" t="s">
        <v>39</v>
      </c>
      <c r="Q540" t="s">
        <v>100</v>
      </c>
      <c r="R540" t="s">
        <v>6</v>
      </c>
      <c r="S540">
        <v>5</v>
      </c>
      <c r="T540">
        <v>5</v>
      </c>
      <c r="U540">
        <v>90</v>
      </c>
      <c r="V540" t="s">
        <v>0</v>
      </c>
      <c r="W540" t="s">
        <v>0</v>
      </c>
      <c r="X540" t="s">
        <v>0</v>
      </c>
      <c r="Y540" t="s">
        <v>4</v>
      </c>
      <c r="Z540" t="s">
        <v>5</v>
      </c>
      <c r="AA540">
        <v>108.38</v>
      </c>
      <c r="AB540">
        <v>0</v>
      </c>
      <c r="AC540">
        <v>0.17</v>
      </c>
      <c r="AD540" t="s">
        <v>3</v>
      </c>
      <c r="AE540" t="s">
        <v>0</v>
      </c>
      <c r="AF540" t="s">
        <v>3</v>
      </c>
      <c r="AG540" t="s">
        <v>2</v>
      </c>
      <c r="AI540" t="s">
        <v>332</v>
      </c>
      <c r="AJ540">
        <v>3</v>
      </c>
      <c r="AK540">
        <v>25</v>
      </c>
      <c r="AL540">
        <v>45</v>
      </c>
      <c r="AM540" t="s">
        <v>5</v>
      </c>
      <c r="AN540">
        <v>0</v>
      </c>
      <c r="AO540">
        <v>1</v>
      </c>
      <c r="AP540">
        <v>0</v>
      </c>
      <c r="AQ540">
        <v>1</v>
      </c>
    </row>
    <row r="541" spans="1:43" x14ac:dyDescent="0.25">
      <c r="A541" t="s">
        <v>2574</v>
      </c>
      <c r="B541" t="s">
        <v>2573</v>
      </c>
      <c r="C541" t="s">
        <v>2572</v>
      </c>
      <c r="D541" s="1">
        <v>45862</v>
      </c>
      <c r="E541" t="s">
        <v>156</v>
      </c>
      <c r="F541" t="s">
        <v>238</v>
      </c>
      <c r="G541" t="s">
        <v>30</v>
      </c>
      <c r="H541" t="s">
        <v>16</v>
      </c>
      <c r="I541" t="s">
        <v>28</v>
      </c>
      <c r="J541" t="s">
        <v>146</v>
      </c>
      <c r="K541" t="s">
        <v>145</v>
      </c>
      <c r="L541" t="s">
        <v>88</v>
      </c>
      <c r="M541" t="s">
        <v>11</v>
      </c>
      <c r="N541" t="s">
        <v>10</v>
      </c>
      <c r="O541" t="s">
        <v>9</v>
      </c>
      <c r="P541" t="s">
        <v>39</v>
      </c>
      <c r="Q541" t="s">
        <v>24</v>
      </c>
      <c r="R541" t="s">
        <v>6</v>
      </c>
      <c r="S541">
        <v>7</v>
      </c>
      <c r="T541">
        <v>7</v>
      </c>
      <c r="U541">
        <v>206</v>
      </c>
      <c r="V541" t="s">
        <v>0</v>
      </c>
      <c r="W541" t="s">
        <v>5</v>
      </c>
      <c r="X541" t="s">
        <v>0</v>
      </c>
      <c r="Y541" t="s">
        <v>4</v>
      </c>
      <c r="Z541" t="s">
        <v>0</v>
      </c>
      <c r="AA541">
        <v>0</v>
      </c>
      <c r="AB541">
        <v>0</v>
      </c>
      <c r="AC541">
        <v>0</v>
      </c>
      <c r="AD541" t="s">
        <v>3</v>
      </c>
      <c r="AE541" t="s">
        <v>0</v>
      </c>
      <c r="AF541" t="s">
        <v>3</v>
      </c>
      <c r="AG541" t="s">
        <v>2</v>
      </c>
      <c r="AI541" t="s">
        <v>23</v>
      </c>
      <c r="AJ541">
        <v>3</v>
      </c>
      <c r="AK541">
        <v>-25</v>
      </c>
      <c r="AL541">
        <v>39</v>
      </c>
      <c r="AM541" t="s">
        <v>5</v>
      </c>
      <c r="AN541">
        <v>1</v>
      </c>
      <c r="AO541">
        <v>0</v>
      </c>
      <c r="AP541">
        <v>0</v>
      </c>
      <c r="AQ541">
        <v>1</v>
      </c>
    </row>
    <row r="542" spans="1:43" x14ac:dyDescent="0.25">
      <c r="A542" t="s">
        <v>2571</v>
      </c>
      <c r="B542" t="s">
        <v>858</v>
      </c>
      <c r="C542" t="s">
        <v>2570</v>
      </c>
      <c r="D542" s="1">
        <v>46026</v>
      </c>
      <c r="E542" t="s">
        <v>68</v>
      </c>
      <c r="F542" t="s">
        <v>243</v>
      </c>
      <c r="G542" t="s">
        <v>30</v>
      </c>
      <c r="H542" t="s">
        <v>77</v>
      </c>
      <c r="I542" t="s">
        <v>28</v>
      </c>
      <c r="J542" t="s">
        <v>146</v>
      </c>
      <c r="K542" t="s">
        <v>176</v>
      </c>
      <c r="L542" t="s">
        <v>64</v>
      </c>
      <c r="M542" t="s">
        <v>11</v>
      </c>
      <c r="N542" t="s">
        <v>93</v>
      </c>
      <c r="O542" t="s">
        <v>199</v>
      </c>
      <c r="P542" t="s">
        <v>63</v>
      </c>
      <c r="Q542" t="s">
        <v>50</v>
      </c>
      <c r="R542" t="s">
        <v>38</v>
      </c>
      <c r="S542">
        <v>5</v>
      </c>
      <c r="T542">
        <v>4</v>
      </c>
      <c r="U542">
        <v>190</v>
      </c>
      <c r="V542" t="s">
        <v>5</v>
      </c>
      <c r="W542" t="s">
        <v>5</v>
      </c>
      <c r="X542" t="s">
        <v>0</v>
      </c>
      <c r="Y542" t="s">
        <v>4</v>
      </c>
      <c r="Z542" t="s">
        <v>5</v>
      </c>
      <c r="AA542">
        <v>80.11</v>
      </c>
      <c r="AB542">
        <v>0</v>
      </c>
      <c r="AC542">
        <v>0</v>
      </c>
      <c r="AD542" t="s">
        <v>3</v>
      </c>
      <c r="AE542" t="s">
        <v>0</v>
      </c>
      <c r="AF542" t="s">
        <v>3</v>
      </c>
      <c r="AG542" t="s">
        <v>2</v>
      </c>
      <c r="AI542" t="s">
        <v>23</v>
      </c>
      <c r="AJ542">
        <v>4</v>
      </c>
      <c r="AK542">
        <v>15</v>
      </c>
      <c r="AL542">
        <v>0</v>
      </c>
      <c r="AM542" t="s">
        <v>5</v>
      </c>
      <c r="AN542">
        <v>1</v>
      </c>
      <c r="AO542">
        <v>1</v>
      </c>
      <c r="AP542">
        <v>0</v>
      </c>
      <c r="AQ542">
        <v>1</v>
      </c>
    </row>
    <row r="543" spans="1:43" x14ac:dyDescent="0.25">
      <c r="A543" t="s">
        <v>2569</v>
      </c>
      <c r="B543" t="s">
        <v>1345</v>
      </c>
      <c r="C543" t="s">
        <v>2568</v>
      </c>
      <c r="D543" s="1">
        <v>45783</v>
      </c>
      <c r="E543" t="s">
        <v>149</v>
      </c>
      <c r="F543" t="s">
        <v>471</v>
      </c>
      <c r="G543" t="s">
        <v>110</v>
      </c>
      <c r="H543" t="s">
        <v>29</v>
      </c>
      <c r="I543" t="s">
        <v>147</v>
      </c>
      <c r="J543" t="s">
        <v>14</v>
      </c>
      <c r="K543" t="s">
        <v>13</v>
      </c>
      <c r="L543" t="s">
        <v>42</v>
      </c>
      <c r="M543" t="s">
        <v>11</v>
      </c>
      <c r="N543" t="s">
        <v>154</v>
      </c>
      <c r="O543" t="s">
        <v>40</v>
      </c>
      <c r="P543" t="s">
        <v>39</v>
      </c>
      <c r="Q543" t="s">
        <v>7</v>
      </c>
      <c r="R543" t="s">
        <v>6</v>
      </c>
      <c r="S543">
        <v>8</v>
      </c>
      <c r="T543">
        <v>5</v>
      </c>
      <c r="U543">
        <v>392</v>
      </c>
      <c r="V543" t="s">
        <v>5</v>
      </c>
      <c r="W543" t="s">
        <v>0</v>
      </c>
      <c r="X543" t="s">
        <v>0</v>
      </c>
      <c r="Y543" t="s">
        <v>4</v>
      </c>
      <c r="Z543" t="s">
        <v>5</v>
      </c>
      <c r="AA543">
        <v>395.75</v>
      </c>
      <c r="AB543">
        <v>2.57</v>
      </c>
      <c r="AC543">
        <v>0</v>
      </c>
      <c r="AD543" t="s">
        <v>3</v>
      </c>
      <c r="AE543" t="s">
        <v>0</v>
      </c>
      <c r="AF543" t="s">
        <v>3</v>
      </c>
      <c r="AG543" t="s">
        <v>2</v>
      </c>
      <c r="AI543" t="s">
        <v>1</v>
      </c>
      <c r="AJ543">
        <v>3</v>
      </c>
      <c r="AK543">
        <v>-31</v>
      </c>
      <c r="AL543" t="s">
        <v>440</v>
      </c>
      <c r="AM543" t="s">
        <v>0</v>
      </c>
      <c r="AN543">
        <v>0</v>
      </c>
      <c r="AO543">
        <v>1</v>
      </c>
      <c r="AP543">
        <v>0</v>
      </c>
      <c r="AQ543">
        <v>0</v>
      </c>
    </row>
    <row r="544" spans="1:43" x14ac:dyDescent="0.25">
      <c r="A544" t="s">
        <v>2567</v>
      </c>
      <c r="B544" t="s">
        <v>2134</v>
      </c>
      <c r="C544" t="s">
        <v>2566</v>
      </c>
      <c r="D544" s="1">
        <v>46054</v>
      </c>
      <c r="E544" t="s">
        <v>112</v>
      </c>
      <c r="F544" t="s">
        <v>642</v>
      </c>
      <c r="G544" t="s">
        <v>17</v>
      </c>
      <c r="H544" t="s">
        <v>77</v>
      </c>
      <c r="I544" t="s">
        <v>28</v>
      </c>
      <c r="J544" t="s">
        <v>55</v>
      </c>
      <c r="K544" t="s">
        <v>54</v>
      </c>
      <c r="L544" t="s">
        <v>64</v>
      </c>
      <c r="M544" t="s">
        <v>11</v>
      </c>
      <c r="N544" t="s">
        <v>52</v>
      </c>
      <c r="O544" t="s">
        <v>199</v>
      </c>
      <c r="P544" t="s">
        <v>8</v>
      </c>
      <c r="Q544" t="s">
        <v>172</v>
      </c>
      <c r="R544" t="s">
        <v>38</v>
      </c>
      <c r="S544">
        <v>5</v>
      </c>
      <c r="T544">
        <v>5</v>
      </c>
      <c r="U544">
        <v>140</v>
      </c>
      <c r="V544" t="s">
        <v>0</v>
      </c>
      <c r="W544" t="s">
        <v>5</v>
      </c>
      <c r="X544" t="s">
        <v>0</v>
      </c>
      <c r="Y544" t="s">
        <v>4</v>
      </c>
      <c r="Z544" t="s">
        <v>5</v>
      </c>
      <c r="AA544">
        <v>70.349999999999994</v>
      </c>
      <c r="AB544">
        <v>0</v>
      </c>
      <c r="AC544">
        <v>0</v>
      </c>
      <c r="AD544" t="s">
        <v>3</v>
      </c>
      <c r="AE544" t="s">
        <v>0</v>
      </c>
      <c r="AF544" t="s">
        <v>3</v>
      </c>
      <c r="AG544" t="s">
        <v>2</v>
      </c>
      <c r="AI544" t="s">
        <v>23</v>
      </c>
      <c r="AJ544">
        <v>3</v>
      </c>
      <c r="AK544">
        <v>3</v>
      </c>
      <c r="AL544">
        <v>55</v>
      </c>
      <c r="AM544" t="s">
        <v>0</v>
      </c>
      <c r="AN544">
        <v>1</v>
      </c>
      <c r="AO544">
        <v>1</v>
      </c>
      <c r="AP544">
        <v>0</v>
      </c>
      <c r="AQ544">
        <v>0</v>
      </c>
    </row>
    <row r="545" spans="1:43" x14ac:dyDescent="0.25">
      <c r="A545" t="s">
        <v>2565</v>
      </c>
      <c r="B545" t="s">
        <v>2193</v>
      </c>
      <c r="C545" t="s">
        <v>2564</v>
      </c>
      <c r="D545" s="1">
        <v>45823</v>
      </c>
      <c r="E545" t="s">
        <v>162</v>
      </c>
      <c r="F545" t="s">
        <v>300</v>
      </c>
      <c r="G545" t="s">
        <v>17</v>
      </c>
      <c r="H545" t="s">
        <v>77</v>
      </c>
      <c r="I545" t="s">
        <v>28</v>
      </c>
      <c r="J545" t="s">
        <v>14</v>
      </c>
      <c r="K545" t="s">
        <v>13</v>
      </c>
      <c r="L545" t="s">
        <v>42</v>
      </c>
      <c r="M545" t="s">
        <v>11</v>
      </c>
      <c r="N545" t="s">
        <v>52</v>
      </c>
      <c r="O545" t="s">
        <v>199</v>
      </c>
      <c r="P545" t="s">
        <v>63</v>
      </c>
      <c r="Q545" t="s">
        <v>7</v>
      </c>
      <c r="R545" t="s">
        <v>6</v>
      </c>
      <c r="S545">
        <v>5</v>
      </c>
      <c r="T545">
        <v>5</v>
      </c>
      <c r="U545">
        <v>158</v>
      </c>
      <c r="V545" t="s">
        <v>0</v>
      </c>
      <c r="W545" t="s">
        <v>5</v>
      </c>
      <c r="X545" t="s">
        <v>0</v>
      </c>
      <c r="Y545" t="s">
        <v>4</v>
      </c>
      <c r="Z545" t="s">
        <v>5</v>
      </c>
      <c r="AA545">
        <v>54.51</v>
      </c>
      <c r="AB545">
        <v>0</v>
      </c>
      <c r="AC545">
        <v>0</v>
      </c>
      <c r="AD545" t="s">
        <v>3</v>
      </c>
      <c r="AE545" t="s">
        <v>0</v>
      </c>
      <c r="AF545" t="s">
        <v>3</v>
      </c>
      <c r="AG545" t="s">
        <v>2</v>
      </c>
      <c r="AI545" t="s">
        <v>23</v>
      </c>
      <c r="AJ545">
        <v>5</v>
      </c>
      <c r="AK545">
        <v>1</v>
      </c>
      <c r="AL545">
        <v>0</v>
      </c>
      <c r="AM545" t="s">
        <v>5</v>
      </c>
      <c r="AN545">
        <v>1</v>
      </c>
      <c r="AO545">
        <v>1</v>
      </c>
      <c r="AP545">
        <v>0</v>
      </c>
      <c r="AQ545">
        <v>1</v>
      </c>
    </row>
    <row r="546" spans="1:43" x14ac:dyDescent="0.25">
      <c r="A546" t="s">
        <v>2563</v>
      </c>
      <c r="B546" t="s">
        <v>712</v>
      </c>
      <c r="C546" t="s">
        <v>2562</v>
      </c>
      <c r="D546" s="1">
        <v>45869</v>
      </c>
      <c r="E546" t="s">
        <v>112</v>
      </c>
      <c r="F546" t="s">
        <v>111</v>
      </c>
      <c r="G546" t="s">
        <v>17</v>
      </c>
      <c r="H546" t="s">
        <v>77</v>
      </c>
      <c r="I546" t="s">
        <v>28</v>
      </c>
      <c r="J546" t="s">
        <v>14</v>
      </c>
      <c r="K546" t="s">
        <v>13</v>
      </c>
      <c r="L546" t="s">
        <v>64</v>
      </c>
      <c r="M546" t="s">
        <v>53</v>
      </c>
      <c r="N546" t="s">
        <v>154</v>
      </c>
      <c r="O546" t="s">
        <v>9</v>
      </c>
      <c r="P546" t="s">
        <v>25</v>
      </c>
      <c r="Q546" t="s">
        <v>7</v>
      </c>
      <c r="R546" t="s">
        <v>6</v>
      </c>
      <c r="S546">
        <v>7</v>
      </c>
      <c r="T546">
        <v>7</v>
      </c>
      <c r="U546">
        <v>174</v>
      </c>
      <c r="V546" t="s">
        <v>0</v>
      </c>
      <c r="W546" t="s">
        <v>5</v>
      </c>
      <c r="X546" t="s">
        <v>0</v>
      </c>
      <c r="Y546" t="s">
        <v>4</v>
      </c>
      <c r="Z546" t="s">
        <v>5</v>
      </c>
      <c r="AA546">
        <v>39.479999999999997</v>
      </c>
      <c r="AB546">
        <v>0</v>
      </c>
      <c r="AC546">
        <v>0.17</v>
      </c>
      <c r="AD546" t="s">
        <v>3</v>
      </c>
      <c r="AE546" t="s">
        <v>0</v>
      </c>
      <c r="AF546" t="s">
        <v>3</v>
      </c>
      <c r="AG546" t="s">
        <v>2</v>
      </c>
      <c r="AI546" t="s">
        <v>23</v>
      </c>
      <c r="AJ546">
        <v>4</v>
      </c>
      <c r="AK546">
        <v>14</v>
      </c>
      <c r="AL546">
        <v>33</v>
      </c>
      <c r="AM546" t="s">
        <v>0</v>
      </c>
      <c r="AN546">
        <v>1</v>
      </c>
      <c r="AO546">
        <v>1</v>
      </c>
      <c r="AP546">
        <v>0</v>
      </c>
      <c r="AQ546">
        <v>0</v>
      </c>
    </row>
    <row r="547" spans="1:43" x14ac:dyDescent="0.25">
      <c r="A547" t="s">
        <v>2561</v>
      </c>
      <c r="B547" t="s">
        <v>1610</v>
      </c>
      <c r="C547" t="s">
        <v>2560</v>
      </c>
      <c r="D547" s="1">
        <v>45792</v>
      </c>
      <c r="E547" t="s">
        <v>79</v>
      </c>
      <c r="F547" t="s">
        <v>223</v>
      </c>
      <c r="G547" t="s">
        <v>83</v>
      </c>
      <c r="H547" t="s">
        <v>29</v>
      </c>
      <c r="I547" t="s">
        <v>28</v>
      </c>
      <c r="J547" t="s">
        <v>55</v>
      </c>
      <c r="K547" t="s">
        <v>54</v>
      </c>
      <c r="L547" t="s">
        <v>117</v>
      </c>
      <c r="M547" t="s">
        <v>11</v>
      </c>
      <c r="N547" t="s">
        <v>154</v>
      </c>
      <c r="O547" t="s">
        <v>199</v>
      </c>
      <c r="P547" t="s">
        <v>8</v>
      </c>
      <c r="Q547" t="s">
        <v>7</v>
      </c>
      <c r="R547" t="s">
        <v>6</v>
      </c>
      <c r="S547">
        <v>5</v>
      </c>
      <c r="T547">
        <v>5</v>
      </c>
      <c r="U547">
        <v>103</v>
      </c>
      <c r="V547" t="s">
        <v>0</v>
      </c>
      <c r="W547" t="s">
        <v>5</v>
      </c>
      <c r="X547" t="s">
        <v>0</v>
      </c>
      <c r="Y547" t="s">
        <v>4</v>
      </c>
      <c r="Z547" t="s">
        <v>5</v>
      </c>
      <c r="AA547">
        <v>24.87</v>
      </c>
      <c r="AB547">
        <v>0</v>
      </c>
      <c r="AC547">
        <v>0</v>
      </c>
      <c r="AD547" t="s">
        <v>3</v>
      </c>
      <c r="AE547" t="s">
        <v>0</v>
      </c>
      <c r="AF547" t="s">
        <v>3</v>
      </c>
      <c r="AG547" t="s">
        <v>2</v>
      </c>
      <c r="AI547" t="s">
        <v>23</v>
      </c>
      <c r="AJ547">
        <v>3</v>
      </c>
      <c r="AK547">
        <v>6</v>
      </c>
      <c r="AL547">
        <v>31</v>
      </c>
      <c r="AM547" t="s">
        <v>5</v>
      </c>
      <c r="AN547">
        <v>1</v>
      </c>
      <c r="AO547">
        <v>1</v>
      </c>
      <c r="AP547">
        <v>0</v>
      </c>
      <c r="AQ547">
        <v>1</v>
      </c>
    </row>
    <row r="548" spans="1:43" x14ac:dyDescent="0.25">
      <c r="A548" t="s">
        <v>2559</v>
      </c>
      <c r="B548" t="s">
        <v>47</v>
      </c>
      <c r="C548" t="s">
        <v>2558</v>
      </c>
      <c r="D548" s="1">
        <v>45800</v>
      </c>
      <c r="E548" t="s">
        <v>125</v>
      </c>
      <c r="F548" t="s">
        <v>124</v>
      </c>
      <c r="G548" t="s">
        <v>56</v>
      </c>
      <c r="H548" t="s">
        <v>77</v>
      </c>
      <c r="I548" t="s">
        <v>15</v>
      </c>
      <c r="J548" t="s">
        <v>55</v>
      </c>
      <c r="K548" t="s">
        <v>54</v>
      </c>
      <c r="L548" t="s">
        <v>64</v>
      </c>
      <c r="M548" t="s">
        <v>567</v>
      </c>
      <c r="N548" t="s">
        <v>93</v>
      </c>
      <c r="O548" t="s">
        <v>51</v>
      </c>
      <c r="P548" t="s">
        <v>63</v>
      </c>
      <c r="Q548" t="s">
        <v>198</v>
      </c>
      <c r="R548" t="s">
        <v>38</v>
      </c>
      <c r="S548">
        <v>6</v>
      </c>
      <c r="T548">
        <v>6</v>
      </c>
      <c r="U548">
        <v>122</v>
      </c>
      <c r="V548" t="s">
        <v>0</v>
      </c>
      <c r="W548" t="s">
        <v>5</v>
      </c>
      <c r="X548" t="s">
        <v>0</v>
      </c>
      <c r="Y548" t="s">
        <v>4</v>
      </c>
      <c r="Z548" t="s">
        <v>5</v>
      </c>
      <c r="AA548">
        <v>27.96</v>
      </c>
      <c r="AB548">
        <v>0.09</v>
      </c>
      <c r="AC548">
        <v>0.37</v>
      </c>
      <c r="AD548" t="s">
        <v>3</v>
      </c>
      <c r="AE548" t="s">
        <v>0</v>
      </c>
      <c r="AF548" t="s">
        <v>3</v>
      </c>
      <c r="AG548" t="s">
        <v>2</v>
      </c>
      <c r="AI548" t="s">
        <v>23</v>
      </c>
      <c r="AJ548">
        <v>5</v>
      </c>
      <c r="AK548">
        <v>58</v>
      </c>
      <c r="AL548">
        <v>0</v>
      </c>
      <c r="AM548" t="s">
        <v>5</v>
      </c>
      <c r="AN548">
        <v>1</v>
      </c>
      <c r="AO548">
        <v>1</v>
      </c>
      <c r="AP548">
        <v>0</v>
      </c>
      <c r="AQ548">
        <v>1</v>
      </c>
    </row>
    <row r="549" spans="1:43" x14ac:dyDescent="0.25">
      <c r="A549" t="s">
        <v>2557</v>
      </c>
      <c r="B549" t="s">
        <v>371</v>
      </c>
      <c r="C549" t="s">
        <v>2556</v>
      </c>
      <c r="D549" s="1">
        <v>45839</v>
      </c>
      <c r="E549" t="s">
        <v>149</v>
      </c>
      <c r="F549" t="s">
        <v>589</v>
      </c>
      <c r="G549" t="s">
        <v>123</v>
      </c>
      <c r="H549" t="s">
        <v>16</v>
      </c>
      <c r="I549" t="s">
        <v>147</v>
      </c>
      <c r="J549" t="s">
        <v>14</v>
      </c>
      <c r="K549" t="s">
        <v>13</v>
      </c>
      <c r="L549" t="s">
        <v>117</v>
      </c>
      <c r="M549" t="s">
        <v>11</v>
      </c>
      <c r="N549" t="s">
        <v>269</v>
      </c>
      <c r="O549" t="s">
        <v>199</v>
      </c>
      <c r="P549" t="s">
        <v>39</v>
      </c>
      <c r="Q549" t="s">
        <v>7</v>
      </c>
      <c r="R549" t="s">
        <v>6</v>
      </c>
      <c r="S549">
        <v>5</v>
      </c>
      <c r="T549" t="s">
        <v>277</v>
      </c>
      <c r="U549">
        <v>144</v>
      </c>
      <c r="V549" t="s">
        <v>0</v>
      </c>
      <c r="W549" t="s">
        <v>0</v>
      </c>
      <c r="X549" t="s">
        <v>181</v>
      </c>
      <c r="Y549" t="s">
        <v>4</v>
      </c>
      <c r="Z549" t="s">
        <v>5</v>
      </c>
      <c r="AA549">
        <v>92.43</v>
      </c>
      <c r="AB549">
        <v>0</v>
      </c>
      <c r="AC549">
        <v>0</v>
      </c>
      <c r="AD549" t="s">
        <v>3</v>
      </c>
      <c r="AE549" t="s">
        <v>0</v>
      </c>
      <c r="AF549" t="s">
        <v>3</v>
      </c>
      <c r="AG549" t="s">
        <v>2</v>
      </c>
      <c r="AI549" t="s">
        <v>129</v>
      </c>
      <c r="AJ549">
        <v>4</v>
      </c>
      <c r="AK549">
        <v>24</v>
      </c>
      <c r="AL549">
        <v>19</v>
      </c>
      <c r="AM549" t="s">
        <v>0</v>
      </c>
      <c r="AN549">
        <v>0</v>
      </c>
      <c r="AO549">
        <v>1</v>
      </c>
      <c r="AP549">
        <v>0</v>
      </c>
      <c r="AQ549">
        <v>0</v>
      </c>
    </row>
    <row r="550" spans="1:43" x14ac:dyDescent="0.25">
      <c r="A550" t="s">
        <v>2555</v>
      </c>
      <c r="B550" t="s">
        <v>676</v>
      </c>
      <c r="C550" t="s">
        <v>2554</v>
      </c>
      <c r="D550" s="1">
        <v>45731</v>
      </c>
      <c r="E550" t="s">
        <v>149</v>
      </c>
      <c r="F550" t="s">
        <v>148</v>
      </c>
      <c r="G550" t="s">
        <v>30</v>
      </c>
      <c r="H550" t="s">
        <v>77</v>
      </c>
      <c r="I550" t="s">
        <v>28</v>
      </c>
      <c r="J550" t="s">
        <v>14</v>
      </c>
      <c r="K550" t="s">
        <v>13</v>
      </c>
      <c r="L550" t="s">
        <v>64</v>
      </c>
      <c r="M550" t="s">
        <v>53</v>
      </c>
      <c r="N550" t="s">
        <v>75</v>
      </c>
      <c r="O550" t="s">
        <v>40</v>
      </c>
      <c r="P550" t="s">
        <v>39</v>
      </c>
      <c r="Q550" t="s">
        <v>50</v>
      </c>
      <c r="R550" t="s">
        <v>38</v>
      </c>
      <c r="S550">
        <v>8</v>
      </c>
      <c r="T550">
        <v>8</v>
      </c>
      <c r="U550">
        <v>238</v>
      </c>
      <c r="V550" t="s">
        <v>0</v>
      </c>
      <c r="W550" t="s">
        <v>5</v>
      </c>
      <c r="X550" t="s">
        <v>181</v>
      </c>
      <c r="Y550" t="s">
        <v>4</v>
      </c>
      <c r="Z550" t="s">
        <v>5</v>
      </c>
      <c r="AA550">
        <v>417.01</v>
      </c>
      <c r="AB550">
        <v>2.36</v>
      </c>
      <c r="AC550">
        <v>0.17</v>
      </c>
      <c r="AD550" t="s">
        <v>3</v>
      </c>
      <c r="AE550" t="s">
        <v>0</v>
      </c>
      <c r="AF550" t="s">
        <v>3</v>
      </c>
      <c r="AG550" t="s">
        <v>2</v>
      </c>
      <c r="AI550" t="s">
        <v>23</v>
      </c>
      <c r="AJ550">
        <v>3</v>
      </c>
      <c r="AK550">
        <v>17</v>
      </c>
      <c r="AL550">
        <v>22</v>
      </c>
      <c r="AM550" t="s">
        <v>5</v>
      </c>
      <c r="AN550">
        <v>1</v>
      </c>
      <c r="AO550">
        <v>1</v>
      </c>
      <c r="AP550">
        <v>0</v>
      </c>
      <c r="AQ550">
        <v>1</v>
      </c>
    </row>
    <row r="551" spans="1:43" x14ac:dyDescent="0.25">
      <c r="A551" t="s">
        <v>2553</v>
      </c>
      <c r="B551" t="s">
        <v>91</v>
      </c>
      <c r="C551" t="s">
        <v>2552</v>
      </c>
      <c r="D551" s="1">
        <v>46101</v>
      </c>
      <c r="E551" t="s">
        <v>32</v>
      </c>
      <c r="F551" t="s">
        <v>107</v>
      </c>
      <c r="G551" t="s">
        <v>123</v>
      </c>
      <c r="H551" t="s">
        <v>77</v>
      </c>
      <c r="I551" t="s">
        <v>15</v>
      </c>
      <c r="J551" t="s">
        <v>14</v>
      </c>
      <c r="K551" t="s">
        <v>13</v>
      </c>
      <c r="L551" t="s">
        <v>64</v>
      </c>
      <c r="M551" t="s">
        <v>11</v>
      </c>
      <c r="N551" t="s">
        <v>10</v>
      </c>
      <c r="O551" t="s">
        <v>74</v>
      </c>
      <c r="P551" t="s">
        <v>39</v>
      </c>
      <c r="Q551" t="s">
        <v>50</v>
      </c>
      <c r="R551" t="s">
        <v>6</v>
      </c>
      <c r="S551">
        <v>6</v>
      </c>
      <c r="T551">
        <v>6</v>
      </c>
      <c r="U551">
        <v>207</v>
      </c>
      <c r="V551" t="s">
        <v>0</v>
      </c>
      <c r="W551" t="s">
        <v>0</v>
      </c>
      <c r="X551" t="s">
        <v>5</v>
      </c>
      <c r="Y551" t="s">
        <v>73</v>
      </c>
      <c r="Z551" t="s">
        <v>0</v>
      </c>
      <c r="AA551">
        <v>0</v>
      </c>
      <c r="AB551">
        <v>0</v>
      </c>
      <c r="AC551">
        <v>0</v>
      </c>
      <c r="AD551" t="s">
        <v>37</v>
      </c>
      <c r="AE551" t="s">
        <v>5</v>
      </c>
      <c r="AF551" t="s">
        <v>37</v>
      </c>
      <c r="AG551" t="s">
        <v>36</v>
      </c>
      <c r="AH551">
        <v>9</v>
      </c>
      <c r="AI551" t="s">
        <v>332</v>
      </c>
      <c r="AJ551">
        <v>4</v>
      </c>
      <c r="AK551">
        <v>-13</v>
      </c>
      <c r="AL551">
        <v>32</v>
      </c>
      <c r="AM551" t="s">
        <v>5</v>
      </c>
      <c r="AN551">
        <v>0</v>
      </c>
      <c r="AO551">
        <v>0</v>
      </c>
      <c r="AP551">
        <v>1</v>
      </c>
      <c r="AQ551">
        <v>1</v>
      </c>
    </row>
    <row r="552" spans="1:43" x14ac:dyDescent="0.25">
      <c r="A552" t="s">
        <v>2551</v>
      </c>
      <c r="B552" t="s">
        <v>522</v>
      </c>
      <c r="C552" t="s">
        <v>2550</v>
      </c>
      <c r="D552" s="1">
        <v>45688</v>
      </c>
      <c r="E552" t="s">
        <v>125</v>
      </c>
      <c r="F552" t="s">
        <v>265</v>
      </c>
      <c r="G552" t="s">
        <v>131</v>
      </c>
      <c r="H552" t="s">
        <v>66</v>
      </c>
      <c r="I552" t="s">
        <v>28</v>
      </c>
      <c r="J552" t="s">
        <v>55</v>
      </c>
      <c r="K552" t="s">
        <v>54</v>
      </c>
      <c r="L552" t="s">
        <v>42</v>
      </c>
      <c r="M552" t="s">
        <v>53</v>
      </c>
      <c r="N552" t="s">
        <v>154</v>
      </c>
      <c r="O552" t="s">
        <v>51</v>
      </c>
      <c r="P552" t="s">
        <v>39</v>
      </c>
      <c r="Q552" t="s">
        <v>24</v>
      </c>
      <c r="R552" t="s">
        <v>38</v>
      </c>
      <c r="S552">
        <v>6</v>
      </c>
      <c r="T552">
        <v>6</v>
      </c>
      <c r="U552">
        <v>181</v>
      </c>
      <c r="V552" t="s">
        <v>0</v>
      </c>
      <c r="W552" t="s">
        <v>5</v>
      </c>
      <c r="X552" t="s">
        <v>0</v>
      </c>
      <c r="Y552" t="s">
        <v>4</v>
      </c>
      <c r="Z552" t="s">
        <v>5</v>
      </c>
      <c r="AA552">
        <v>102.44</v>
      </c>
      <c r="AB552">
        <v>0.11</v>
      </c>
      <c r="AC552">
        <v>0.17</v>
      </c>
      <c r="AD552" t="s">
        <v>3</v>
      </c>
      <c r="AE552" t="s">
        <v>0</v>
      </c>
      <c r="AF552" t="s">
        <v>3</v>
      </c>
      <c r="AG552" t="s">
        <v>2</v>
      </c>
      <c r="AI552" t="s">
        <v>23</v>
      </c>
      <c r="AJ552">
        <v>4</v>
      </c>
      <c r="AK552">
        <v>35</v>
      </c>
      <c r="AL552">
        <v>22</v>
      </c>
      <c r="AM552" t="s">
        <v>0</v>
      </c>
      <c r="AN552">
        <v>1</v>
      </c>
      <c r="AO552">
        <v>1</v>
      </c>
      <c r="AP552">
        <v>0</v>
      </c>
      <c r="AQ552">
        <v>0</v>
      </c>
    </row>
    <row r="553" spans="1:43" x14ac:dyDescent="0.25">
      <c r="A553" t="s">
        <v>2549</v>
      </c>
      <c r="B553" t="s">
        <v>445</v>
      </c>
      <c r="C553" t="s">
        <v>2548</v>
      </c>
      <c r="D553" s="1">
        <v>45958</v>
      </c>
      <c r="E553" t="s">
        <v>79</v>
      </c>
      <c r="F553" t="s">
        <v>78</v>
      </c>
      <c r="G553" t="s">
        <v>110</v>
      </c>
      <c r="H553" t="s">
        <v>43</v>
      </c>
      <c r="I553" t="s">
        <v>15</v>
      </c>
      <c r="J553" t="s">
        <v>55</v>
      </c>
      <c r="K553" t="s">
        <v>54</v>
      </c>
      <c r="L553" t="s">
        <v>42</v>
      </c>
      <c r="M553" t="s">
        <v>27</v>
      </c>
      <c r="N553" t="s">
        <v>269</v>
      </c>
      <c r="O553" t="s">
        <v>40</v>
      </c>
      <c r="P553" t="s">
        <v>39</v>
      </c>
      <c r="Q553" t="s">
        <v>7</v>
      </c>
      <c r="R553" t="s">
        <v>6</v>
      </c>
      <c r="S553">
        <v>8</v>
      </c>
      <c r="T553">
        <v>6</v>
      </c>
      <c r="U553">
        <v>249</v>
      </c>
      <c r="V553" t="s">
        <v>5</v>
      </c>
      <c r="W553" t="s">
        <v>5</v>
      </c>
      <c r="X553" t="s">
        <v>0</v>
      </c>
      <c r="Y553" t="s">
        <v>4</v>
      </c>
      <c r="Z553" t="s">
        <v>5</v>
      </c>
      <c r="AA553">
        <v>471.65</v>
      </c>
      <c r="AB553">
        <v>2.4700000000000002</v>
      </c>
      <c r="AC553">
        <v>0.37</v>
      </c>
      <c r="AD553" t="s">
        <v>3</v>
      </c>
      <c r="AE553" t="s">
        <v>0</v>
      </c>
      <c r="AF553" t="s">
        <v>3</v>
      </c>
      <c r="AG553" t="s">
        <v>2</v>
      </c>
      <c r="AI553" t="s">
        <v>23</v>
      </c>
      <c r="AJ553">
        <v>3</v>
      </c>
      <c r="AK553">
        <v>-24</v>
      </c>
      <c r="AL553">
        <v>62</v>
      </c>
      <c r="AM553" t="s">
        <v>5</v>
      </c>
      <c r="AN553">
        <v>1</v>
      </c>
      <c r="AO553">
        <v>1</v>
      </c>
      <c r="AP553">
        <v>0</v>
      </c>
      <c r="AQ553">
        <v>1</v>
      </c>
    </row>
    <row r="554" spans="1:43" x14ac:dyDescent="0.25">
      <c r="A554" t="s">
        <v>2547</v>
      </c>
      <c r="B554" t="s">
        <v>2546</v>
      </c>
      <c r="C554" t="s">
        <v>2545</v>
      </c>
      <c r="D554" s="1">
        <v>45857</v>
      </c>
      <c r="E554" t="s">
        <v>162</v>
      </c>
      <c r="F554" t="s">
        <v>540</v>
      </c>
      <c r="G554" t="s">
        <v>83</v>
      </c>
      <c r="H554" t="s">
        <v>29</v>
      </c>
      <c r="I554" t="s">
        <v>28</v>
      </c>
      <c r="J554" t="s">
        <v>55</v>
      </c>
      <c r="K554" t="s">
        <v>54</v>
      </c>
      <c r="L554" t="s">
        <v>42</v>
      </c>
      <c r="M554" t="s">
        <v>11</v>
      </c>
      <c r="N554" t="s">
        <v>93</v>
      </c>
      <c r="O554" t="s">
        <v>74</v>
      </c>
      <c r="P554" t="s">
        <v>39</v>
      </c>
      <c r="Q554" t="s">
        <v>7</v>
      </c>
      <c r="R554" t="s">
        <v>6</v>
      </c>
      <c r="S554">
        <v>6</v>
      </c>
      <c r="T554">
        <v>6</v>
      </c>
      <c r="U554">
        <v>170</v>
      </c>
      <c r="V554" t="s">
        <v>0</v>
      </c>
      <c r="W554" t="s">
        <v>0</v>
      </c>
      <c r="X554" t="s">
        <v>0</v>
      </c>
      <c r="Y554" t="s">
        <v>4</v>
      </c>
      <c r="Z554" t="s">
        <v>5</v>
      </c>
      <c r="AA554">
        <v>0</v>
      </c>
      <c r="AB554">
        <v>0</v>
      </c>
      <c r="AC554">
        <v>0</v>
      </c>
      <c r="AD554" t="s">
        <v>3</v>
      </c>
      <c r="AE554" t="s">
        <v>0</v>
      </c>
      <c r="AF554" t="s">
        <v>3</v>
      </c>
      <c r="AG554" t="s">
        <v>2</v>
      </c>
      <c r="AI554" t="s">
        <v>129</v>
      </c>
      <c r="AJ554">
        <v>3</v>
      </c>
      <c r="AK554">
        <v>31</v>
      </c>
      <c r="AL554" t="s">
        <v>204</v>
      </c>
      <c r="AM554" t="s">
        <v>0</v>
      </c>
      <c r="AN554">
        <v>0</v>
      </c>
      <c r="AO554">
        <v>1</v>
      </c>
      <c r="AP554">
        <v>0</v>
      </c>
      <c r="AQ554">
        <v>0</v>
      </c>
    </row>
    <row r="555" spans="1:43" x14ac:dyDescent="0.25">
      <c r="A555" t="s">
        <v>2544</v>
      </c>
      <c r="B555" t="s">
        <v>396</v>
      </c>
      <c r="C555" t="s">
        <v>2543</v>
      </c>
      <c r="D555" s="1">
        <v>45796</v>
      </c>
      <c r="E555" t="s">
        <v>125</v>
      </c>
      <c r="F555" t="s">
        <v>265</v>
      </c>
      <c r="G555" t="s">
        <v>110</v>
      </c>
      <c r="H555" t="s">
        <v>77</v>
      </c>
      <c r="I555" t="s">
        <v>28</v>
      </c>
      <c r="J555" t="s">
        <v>55</v>
      </c>
      <c r="K555" t="s">
        <v>54</v>
      </c>
      <c r="L555" t="s">
        <v>88</v>
      </c>
      <c r="M555" t="s">
        <v>11</v>
      </c>
      <c r="N555" t="s">
        <v>154</v>
      </c>
      <c r="O555" t="s">
        <v>9</v>
      </c>
      <c r="P555" t="s">
        <v>63</v>
      </c>
      <c r="Q555" t="s">
        <v>50</v>
      </c>
      <c r="R555" t="s">
        <v>6</v>
      </c>
      <c r="S555">
        <v>7</v>
      </c>
      <c r="T555">
        <v>7</v>
      </c>
      <c r="U555">
        <v>182</v>
      </c>
      <c r="V555" t="s">
        <v>0</v>
      </c>
      <c r="W555" t="s">
        <v>0</v>
      </c>
      <c r="X555" t="s">
        <v>0</v>
      </c>
      <c r="Y555" t="s">
        <v>4</v>
      </c>
      <c r="Z555" t="s">
        <v>5</v>
      </c>
      <c r="AA555">
        <v>9.35</v>
      </c>
      <c r="AB555">
        <v>0</v>
      </c>
      <c r="AC555">
        <v>0</v>
      </c>
      <c r="AD555" t="s">
        <v>3</v>
      </c>
      <c r="AE555" t="s">
        <v>0</v>
      </c>
      <c r="AF555" t="s">
        <v>3</v>
      </c>
      <c r="AG555" t="s">
        <v>2</v>
      </c>
      <c r="AI555" t="s">
        <v>23</v>
      </c>
      <c r="AJ555">
        <v>2</v>
      </c>
      <c r="AK555">
        <v>10</v>
      </c>
      <c r="AL555">
        <v>0</v>
      </c>
      <c r="AM555" t="s">
        <v>0</v>
      </c>
      <c r="AN555">
        <v>0</v>
      </c>
      <c r="AO555">
        <v>1</v>
      </c>
      <c r="AP555">
        <v>0</v>
      </c>
      <c r="AQ555">
        <v>0</v>
      </c>
    </row>
    <row r="556" spans="1:43" x14ac:dyDescent="0.25">
      <c r="A556" t="s">
        <v>2542</v>
      </c>
      <c r="B556" t="s">
        <v>732</v>
      </c>
      <c r="C556" t="s">
        <v>2541</v>
      </c>
      <c r="D556" s="1">
        <v>45779</v>
      </c>
      <c r="E556" t="s">
        <v>162</v>
      </c>
      <c r="F556" t="s">
        <v>2540</v>
      </c>
      <c r="G556" t="s">
        <v>17</v>
      </c>
      <c r="H556" t="s">
        <v>77</v>
      </c>
      <c r="I556" t="s">
        <v>28</v>
      </c>
      <c r="J556" t="s">
        <v>14</v>
      </c>
      <c r="K556" t="s">
        <v>13</v>
      </c>
      <c r="L556" t="s">
        <v>117</v>
      </c>
      <c r="M556" t="s">
        <v>11</v>
      </c>
      <c r="N556" t="s">
        <v>41</v>
      </c>
      <c r="O556" t="s">
        <v>101</v>
      </c>
      <c r="P556" t="s">
        <v>39</v>
      </c>
      <c r="Q556" t="s">
        <v>100</v>
      </c>
      <c r="R556" t="s">
        <v>38</v>
      </c>
      <c r="S556">
        <v>4</v>
      </c>
      <c r="T556" t="s">
        <v>99</v>
      </c>
      <c r="U556">
        <v>91</v>
      </c>
      <c r="V556" t="s">
        <v>0</v>
      </c>
      <c r="W556" t="s">
        <v>5</v>
      </c>
      <c r="X556" t="s">
        <v>0</v>
      </c>
      <c r="Y556" t="s">
        <v>4</v>
      </c>
      <c r="Z556" t="s">
        <v>5</v>
      </c>
      <c r="AA556">
        <v>135.52000000000001</v>
      </c>
      <c r="AB556">
        <v>0.45</v>
      </c>
      <c r="AC556">
        <v>0</v>
      </c>
      <c r="AD556" t="s">
        <v>3</v>
      </c>
      <c r="AE556" t="s">
        <v>0</v>
      </c>
      <c r="AF556" t="s">
        <v>3</v>
      </c>
      <c r="AG556" t="s">
        <v>2</v>
      </c>
      <c r="AI556" t="s">
        <v>23</v>
      </c>
      <c r="AJ556">
        <v>5</v>
      </c>
      <c r="AK556">
        <v>76</v>
      </c>
      <c r="AL556" t="s">
        <v>1734</v>
      </c>
      <c r="AM556" t="s">
        <v>0</v>
      </c>
      <c r="AN556">
        <v>1</v>
      </c>
      <c r="AO556">
        <v>1</v>
      </c>
      <c r="AP556">
        <v>0</v>
      </c>
      <c r="AQ556">
        <v>0</v>
      </c>
    </row>
    <row r="557" spans="1:43" x14ac:dyDescent="0.25">
      <c r="A557" t="s">
        <v>2539</v>
      </c>
      <c r="B557" t="s">
        <v>2538</v>
      </c>
      <c r="C557" t="s">
        <v>2537</v>
      </c>
      <c r="D557" s="1">
        <v>45899</v>
      </c>
      <c r="E557" t="s">
        <v>79</v>
      </c>
      <c r="F557" t="s">
        <v>223</v>
      </c>
      <c r="G557" t="s">
        <v>17</v>
      </c>
      <c r="H557" t="s">
        <v>77</v>
      </c>
      <c r="I557" t="s">
        <v>15</v>
      </c>
      <c r="J557" t="s">
        <v>146</v>
      </c>
      <c r="K557" t="s">
        <v>176</v>
      </c>
      <c r="L557" t="s">
        <v>88</v>
      </c>
      <c r="M557" t="s">
        <v>53</v>
      </c>
      <c r="N557" t="s">
        <v>41</v>
      </c>
      <c r="O557" t="s">
        <v>74</v>
      </c>
      <c r="P557" t="s">
        <v>39</v>
      </c>
      <c r="Q557" t="s">
        <v>24</v>
      </c>
      <c r="R557" t="s">
        <v>38</v>
      </c>
      <c r="S557">
        <v>6</v>
      </c>
      <c r="T557">
        <v>6</v>
      </c>
      <c r="U557">
        <v>123</v>
      </c>
      <c r="V557" t="s">
        <v>0</v>
      </c>
      <c r="W557" t="s">
        <v>0</v>
      </c>
      <c r="X557" t="s">
        <v>0</v>
      </c>
      <c r="Y557" t="s">
        <v>4</v>
      </c>
      <c r="Z557" t="s">
        <v>5</v>
      </c>
      <c r="AA557">
        <v>0</v>
      </c>
      <c r="AB557">
        <v>0</v>
      </c>
      <c r="AC557">
        <v>0.17</v>
      </c>
      <c r="AD557" t="s">
        <v>37</v>
      </c>
      <c r="AE557" t="s">
        <v>247</v>
      </c>
      <c r="AF557" t="s">
        <v>37</v>
      </c>
      <c r="AG557" t="s">
        <v>36</v>
      </c>
      <c r="AH557">
        <v>18</v>
      </c>
      <c r="AI557" t="s">
        <v>23</v>
      </c>
      <c r="AJ557">
        <v>3</v>
      </c>
      <c r="AK557">
        <v>0</v>
      </c>
      <c r="AL557">
        <v>11</v>
      </c>
      <c r="AM557" t="s">
        <v>5</v>
      </c>
      <c r="AN557">
        <v>0</v>
      </c>
      <c r="AO557">
        <v>1</v>
      </c>
      <c r="AP557">
        <v>0</v>
      </c>
      <c r="AQ557">
        <v>1</v>
      </c>
    </row>
    <row r="558" spans="1:43" x14ac:dyDescent="0.25">
      <c r="A558" t="s">
        <v>2536</v>
      </c>
      <c r="B558" t="s">
        <v>399</v>
      </c>
      <c r="C558" t="s">
        <v>2535</v>
      </c>
      <c r="D558" s="1">
        <v>46040</v>
      </c>
      <c r="E558" t="s">
        <v>79</v>
      </c>
      <c r="F558" t="s">
        <v>206</v>
      </c>
      <c r="G558" t="s">
        <v>30</v>
      </c>
      <c r="H558" t="s">
        <v>66</v>
      </c>
      <c r="I558" t="s">
        <v>15</v>
      </c>
      <c r="J558" t="s">
        <v>14</v>
      </c>
      <c r="K558" t="s">
        <v>13</v>
      </c>
      <c r="L558" t="s">
        <v>117</v>
      </c>
      <c r="M558" t="s">
        <v>27</v>
      </c>
      <c r="N558" t="s">
        <v>75</v>
      </c>
      <c r="O558" t="s">
        <v>193</v>
      </c>
      <c r="P558" t="s">
        <v>39</v>
      </c>
      <c r="Q558" t="s">
        <v>7</v>
      </c>
      <c r="R558" t="s">
        <v>6</v>
      </c>
      <c r="S558" t="s">
        <v>232</v>
      </c>
      <c r="T558">
        <v>9</v>
      </c>
      <c r="U558">
        <v>181</v>
      </c>
      <c r="V558" t="s">
        <v>0</v>
      </c>
      <c r="W558" t="s">
        <v>5</v>
      </c>
      <c r="X558" t="s">
        <v>0</v>
      </c>
      <c r="Y558" t="s">
        <v>4</v>
      </c>
      <c r="Z558" t="s">
        <v>0</v>
      </c>
      <c r="AA558">
        <v>0</v>
      </c>
      <c r="AB558">
        <v>0</v>
      </c>
      <c r="AC558">
        <v>0</v>
      </c>
      <c r="AD558" t="s">
        <v>3</v>
      </c>
      <c r="AE558" t="s">
        <v>0</v>
      </c>
      <c r="AF558" t="s">
        <v>3</v>
      </c>
      <c r="AG558" t="s">
        <v>2</v>
      </c>
      <c r="AI558" t="s">
        <v>23</v>
      </c>
      <c r="AJ558">
        <v>4</v>
      </c>
      <c r="AK558">
        <v>37</v>
      </c>
      <c r="AL558">
        <v>31</v>
      </c>
      <c r="AM558" t="s">
        <v>5</v>
      </c>
      <c r="AN558">
        <v>1</v>
      </c>
      <c r="AO558">
        <v>0</v>
      </c>
      <c r="AP558">
        <v>0</v>
      </c>
      <c r="AQ558">
        <v>1</v>
      </c>
    </row>
    <row r="559" spans="1:43" x14ac:dyDescent="0.25">
      <c r="A559" t="s">
        <v>2534</v>
      </c>
      <c r="B559" t="s">
        <v>179</v>
      </c>
      <c r="C559" t="s">
        <v>2533</v>
      </c>
      <c r="D559" s="1">
        <v>45976</v>
      </c>
      <c r="E559" t="s">
        <v>168</v>
      </c>
      <c r="F559" t="s">
        <v>1762</v>
      </c>
      <c r="G559" t="s">
        <v>56</v>
      </c>
      <c r="H559" t="s">
        <v>77</v>
      </c>
      <c r="I559" t="s">
        <v>28</v>
      </c>
      <c r="J559" t="s">
        <v>55</v>
      </c>
      <c r="K559" t="s">
        <v>54</v>
      </c>
      <c r="L559" t="s">
        <v>64</v>
      </c>
      <c r="M559" t="s">
        <v>53</v>
      </c>
      <c r="N559" t="s">
        <v>52</v>
      </c>
      <c r="O559" t="s">
        <v>199</v>
      </c>
      <c r="P559" t="s">
        <v>39</v>
      </c>
      <c r="Q559" t="s">
        <v>7</v>
      </c>
      <c r="R559" t="s">
        <v>6</v>
      </c>
      <c r="S559" t="s">
        <v>277</v>
      </c>
      <c r="T559">
        <v>5</v>
      </c>
      <c r="U559">
        <v>101</v>
      </c>
      <c r="V559" t="s">
        <v>0</v>
      </c>
      <c r="W559" t="s">
        <v>5</v>
      </c>
      <c r="X559" t="s">
        <v>0</v>
      </c>
      <c r="Y559" t="s">
        <v>4</v>
      </c>
      <c r="Z559" t="s">
        <v>5</v>
      </c>
      <c r="AA559">
        <v>102.09</v>
      </c>
      <c r="AB559">
        <v>0</v>
      </c>
      <c r="AC559">
        <v>0.17</v>
      </c>
      <c r="AD559" t="s">
        <v>3</v>
      </c>
      <c r="AE559" t="s">
        <v>0</v>
      </c>
      <c r="AF559" t="s">
        <v>3</v>
      </c>
      <c r="AG559" t="s">
        <v>2</v>
      </c>
      <c r="AI559" t="s">
        <v>23</v>
      </c>
      <c r="AJ559">
        <v>5</v>
      </c>
      <c r="AK559">
        <v>3</v>
      </c>
      <c r="AL559">
        <v>38</v>
      </c>
      <c r="AM559" t="s">
        <v>0</v>
      </c>
      <c r="AN559">
        <v>1</v>
      </c>
      <c r="AO559">
        <v>1</v>
      </c>
      <c r="AP559">
        <v>0</v>
      </c>
      <c r="AQ559">
        <v>0</v>
      </c>
    </row>
    <row r="560" spans="1:43" x14ac:dyDescent="0.25">
      <c r="A560" t="s">
        <v>2532</v>
      </c>
      <c r="B560" t="s">
        <v>2531</v>
      </c>
      <c r="C560" t="s">
        <v>2530</v>
      </c>
      <c r="D560" s="1">
        <v>46108</v>
      </c>
      <c r="E560" t="s">
        <v>19</v>
      </c>
      <c r="F560" t="s">
        <v>295</v>
      </c>
      <c r="G560" t="s">
        <v>17</v>
      </c>
      <c r="H560" t="s">
        <v>77</v>
      </c>
      <c r="I560" t="s">
        <v>28</v>
      </c>
      <c r="J560" t="s">
        <v>14</v>
      </c>
      <c r="K560" t="s">
        <v>13</v>
      </c>
      <c r="L560" t="s">
        <v>42</v>
      </c>
      <c r="M560" t="s">
        <v>11</v>
      </c>
      <c r="N560" t="s">
        <v>154</v>
      </c>
      <c r="O560" t="s">
        <v>9</v>
      </c>
      <c r="P560" t="s">
        <v>63</v>
      </c>
      <c r="Q560" t="s">
        <v>100</v>
      </c>
      <c r="R560" t="s">
        <v>38</v>
      </c>
      <c r="S560">
        <v>7</v>
      </c>
      <c r="T560">
        <v>4</v>
      </c>
      <c r="U560">
        <v>392</v>
      </c>
      <c r="V560" t="s">
        <v>5</v>
      </c>
      <c r="W560" t="s">
        <v>0</v>
      </c>
      <c r="X560" t="s">
        <v>5</v>
      </c>
      <c r="Y560" t="s">
        <v>294</v>
      </c>
      <c r="Z560" t="s">
        <v>0</v>
      </c>
      <c r="AA560">
        <v>0</v>
      </c>
      <c r="AB560">
        <v>0</v>
      </c>
      <c r="AC560">
        <v>0</v>
      </c>
      <c r="AD560" t="s">
        <v>3</v>
      </c>
      <c r="AE560" t="s">
        <v>0</v>
      </c>
      <c r="AF560" t="s">
        <v>3</v>
      </c>
      <c r="AG560" t="s">
        <v>2</v>
      </c>
      <c r="AI560" t="s">
        <v>1</v>
      </c>
      <c r="AJ560">
        <v>3</v>
      </c>
      <c r="AK560">
        <v>-57</v>
      </c>
      <c r="AL560">
        <v>0</v>
      </c>
      <c r="AM560" t="s">
        <v>0</v>
      </c>
      <c r="AN560">
        <v>0</v>
      </c>
      <c r="AO560">
        <v>0</v>
      </c>
      <c r="AP560">
        <v>1</v>
      </c>
      <c r="AQ560">
        <v>0</v>
      </c>
    </row>
    <row r="561" spans="1:43" x14ac:dyDescent="0.25">
      <c r="A561" t="s">
        <v>2529</v>
      </c>
      <c r="B561" t="s">
        <v>1272</v>
      </c>
      <c r="C561" t="s">
        <v>2528</v>
      </c>
      <c r="D561" s="1">
        <v>46172</v>
      </c>
      <c r="E561" t="s">
        <v>19</v>
      </c>
      <c r="F561" t="s">
        <v>575</v>
      </c>
      <c r="G561" t="s">
        <v>17</v>
      </c>
      <c r="H561" t="s">
        <v>29</v>
      </c>
      <c r="I561" t="s">
        <v>15</v>
      </c>
      <c r="J561" t="s">
        <v>55</v>
      </c>
      <c r="K561" t="s">
        <v>54</v>
      </c>
      <c r="L561" t="s">
        <v>12</v>
      </c>
      <c r="M561" t="s">
        <v>11</v>
      </c>
      <c r="N561" t="s">
        <v>116</v>
      </c>
      <c r="O561" t="s">
        <v>193</v>
      </c>
      <c r="P561" t="s">
        <v>8</v>
      </c>
      <c r="Q561" t="s">
        <v>7</v>
      </c>
      <c r="R561" t="s">
        <v>6</v>
      </c>
      <c r="S561">
        <v>9</v>
      </c>
      <c r="T561">
        <v>5</v>
      </c>
      <c r="U561">
        <v>335</v>
      </c>
      <c r="V561" t="s">
        <v>5</v>
      </c>
      <c r="W561" t="s">
        <v>0</v>
      </c>
      <c r="X561" t="s">
        <v>5</v>
      </c>
      <c r="Y561" t="s">
        <v>475</v>
      </c>
      <c r="Z561" t="s">
        <v>0</v>
      </c>
      <c r="AA561">
        <v>0</v>
      </c>
      <c r="AB561">
        <v>0</v>
      </c>
      <c r="AC561">
        <v>0</v>
      </c>
      <c r="AD561" t="s">
        <v>3</v>
      </c>
      <c r="AE561" t="s">
        <v>0</v>
      </c>
      <c r="AF561" t="s">
        <v>3</v>
      </c>
      <c r="AG561" t="s">
        <v>2</v>
      </c>
      <c r="AI561" t="s">
        <v>122</v>
      </c>
      <c r="AJ561">
        <v>1</v>
      </c>
      <c r="AK561">
        <v>-42</v>
      </c>
      <c r="AL561">
        <v>49</v>
      </c>
      <c r="AM561" t="s">
        <v>0</v>
      </c>
      <c r="AN561">
        <v>0</v>
      </c>
      <c r="AO561">
        <v>0</v>
      </c>
      <c r="AP561">
        <v>1</v>
      </c>
      <c r="AQ561">
        <v>0</v>
      </c>
    </row>
    <row r="562" spans="1:43" x14ac:dyDescent="0.25">
      <c r="A562" t="s">
        <v>2527</v>
      </c>
      <c r="B562" t="s">
        <v>2526</v>
      </c>
      <c r="C562" t="s">
        <v>2525</v>
      </c>
      <c r="D562" s="1">
        <v>45814</v>
      </c>
      <c r="E562" t="s">
        <v>19</v>
      </c>
      <c r="F562" t="s">
        <v>89</v>
      </c>
      <c r="G562" t="s">
        <v>83</v>
      </c>
      <c r="H562" t="s">
        <v>29</v>
      </c>
      <c r="I562" t="s">
        <v>28</v>
      </c>
      <c r="J562" t="s">
        <v>55</v>
      </c>
      <c r="K562" t="s">
        <v>54</v>
      </c>
      <c r="L562" t="s">
        <v>88</v>
      </c>
      <c r="M562" t="s">
        <v>53</v>
      </c>
      <c r="N562" t="s">
        <v>52</v>
      </c>
      <c r="O562" t="s">
        <v>87</v>
      </c>
      <c r="P562" t="s">
        <v>63</v>
      </c>
      <c r="Q562" t="s">
        <v>24</v>
      </c>
      <c r="R562" t="s">
        <v>38</v>
      </c>
      <c r="S562">
        <v>-1</v>
      </c>
      <c r="T562">
        <v>5</v>
      </c>
      <c r="U562">
        <v>107</v>
      </c>
      <c r="V562" t="s">
        <v>0</v>
      </c>
      <c r="W562" t="s">
        <v>5</v>
      </c>
      <c r="X562" t="s">
        <v>135</v>
      </c>
      <c r="Y562" t="s">
        <v>4</v>
      </c>
      <c r="Z562" t="s">
        <v>5</v>
      </c>
      <c r="AA562">
        <v>14.49</v>
      </c>
      <c r="AB562">
        <v>0</v>
      </c>
      <c r="AC562">
        <v>0.17</v>
      </c>
      <c r="AD562" t="s">
        <v>3</v>
      </c>
      <c r="AE562" t="s">
        <v>0</v>
      </c>
      <c r="AF562" t="s">
        <v>3</v>
      </c>
      <c r="AG562" t="s">
        <v>2</v>
      </c>
      <c r="AI562" t="s">
        <v>23</v>
      </c>
      <c r="AJ562">
        <v>5</v>
      </c>
      <c r="AK562">
        <v>32</v>
      </c>
      <c r="AL562">
        <v>0</v>
      </c>
      <c r="AM562" t="s">
        <v>5</v>
      </c>
      <c r="AN562">
        <v>1</v>
      </c>
      <c r="AO562">
        <v>1</v>
      </c>
      <c r="AP562">
        <v>0</v>
      </c>
      <c r="AQ562">
        <v>1</v>
      </c>
    </row>
    <row r="563" spans="1:43" x14ac:dyDescent="0.25">
      <c r="A563" t="s">
        <v>2524</v>
      </c>
      <c r="B563" t="s">
        <v>924</v>
      </c>
      <c r="C563" t="s">
        <v>2523</v>
      </c>
      <c r="D563" s="1">
        <v>45950</v>
      </c>
      <c r="E563" t="s">
        <v>19</v>
      </c>
      <c r="F563" t="s">
        <v>89</v>
      </c>
      <c r="G563" t="s">
        <v>30</v>
      </c>
      <c r="H563" t="s">
        <v>29</v>
      </c>
      <c r="I563" t="s">
        <v>15</v>
      </c>
      <c r="J563" t="s">
        <v>55</v>
      </c>
      <c r="K563" t="s">
        <v>65</v>
      </c>
      <c r="L563" t="s">
        <v>42</v>
      </c>
      <c r="M563" t="s">
        <v>53</v>
      </c>
      <c r="N563" t="s">
        <v>10</v>
      </c>
      <c r="O563" t="s">
        <v>199</v>
      </c>
      <c r="P563" t="s">
        <v>63</v>
      </c>
      <c r="Q563" t="s">
        <v>24</v>
      </c>
      <c r="R563" t="s">
        <v>6</v>
      </c>
      <c r="S563">
        <v>5</v>
      </c>
      <c r="T563">
        <v>5</v>
      </c>
      <c r="U563">
        <v>125</v>
      </c>
      <c r="V563" t="s">
        <v>0</v>
      </c>
      <c r="W563" t="s">
        <v>5</v>
      </c>
      <c r="X563" t="s">
        <v>0</v>
      </c>
      <c r="Y563" t="s">
        <v>4</v>
      </c>
      <c r="Z563" t="s">
        <v>5</v>
      </c>
      <c r="AA563">
        <v>0</v>
      </c>
      <c r="AB563">
        <v>0</v>
      </c>
      <c r="AC563">
        <v>0.17</v>
      </c>
      <c r="AD563" t="s">
        <v>3</v>
      </c>
      <c r="AE563" t="s">
        <v>0</v>
      </c>
      <c r="AF563" t="s">
        <v>3</v>
      </c>
      <c r="AG563" t="s">
        <v>2</v>
      </c>
      <c r="AI563" t="s">
        <v>23</v>
      </c>
      <c r="AJ563">
        <v>4</v>
      </c>
      <c r="AK563">
        <v>-2</v>
      </c>
      <c r="AL563">
        <v>999</v>
      </c>
      <c r="AM563" t="s">
        <v>0</v>
      </c>
      <c r="AN563">
        <v>1</v>
      </c>
      <c r="AO563">
        <v>1</v>
      </c>
      <c r="AP563">
        <v>0</v>
      </c>
      <c r="AQ563">
        <v>0</v>
      </c>
    </row>
    <row r="564" spans="1:43" x14ac:dyDescent="0.25">
      <c r="A564" t="s">
        <v>2522</v>
      </c>
      <c r="B564" t="s">
        <v>2521</v>
      </c>
      <c r="C564" t="s">
        <v>2520</v>
      </c>
      <c r="D564" s="1">
        <v>46193</v>
      </c>
      <c r="E564" t="s">
        <v>156</v>
      </c>
      <c r="F564" t="s">
        <v>325</v>
      </c>
      <c r="G564" t="s">
        <v>131</v>
      </c>
      <c r="H564" t="s">
        <v>237</v>
      </c>
      <c r="I564" t="s">
        <v>15</v>
      </c>
      <c r="J564" t="s">
        <v>14</v>
      </c>
      <c r="K564" t="s">
        <v>13</v>
      </c>
      <c r="L564" t="s">
        <v>64</v>
      </c>
      <c r="M564" t="s">
        <v>11</v>
      </c>
      <c r="N564" t="s">
        <v>116</v>
      </c>
      <c r="O564" t="s">
        <v>101</v>
      </c>
      <c r="P564" t="s">
        <v>25</v>
      </c>
      <c r="Q564" t="s">
        <v>198</v>
      </c>
      <c r="R564" t="s">
        <v>38</v>
      </c>
      <c r="S564">
        <v>4</v>
      </c>
      <c r="T564">
        <v>4</v>
      </c>
      <c r="U564">
        <v>90</v>
      </c>
      <c r="V564" t="s">
        <v>0</v>
      </c>
      <c r="W564" t="s">
        <v>5</v>
      </c>
      <c r="X564" t="s">
        <v>0</v>
      </c>
      <c r="Y564" t="s">
        <v>4</v>
      </c>
      <c r="Z564" t="s">
        <v>5</v>
      </c>
      <c r="AA564">
        <v>16.12</v>
      </c>
      <c r="AB564">
        <v>0.51</v>
      </c>
      <c r="AC564">
        <v>0</v>
      </c>
      <c r="AD564" t="s">
        <v>3</v>
      </c>
      <c r="AE564" t="s">
        <v>0</v>
      </c>
      <c r="AF564" t="s">
        <v>3</v>
      </c>
      <c r="AG564" t="s">
        <v>2</v>
      </c>
      <c r="AI564" t="s">
        <v>23</v>
      </c>
      <c r="AJ564">
        <v>5</v>
      </c>
      <c r="AK564">
        <v>4</v>
      </c>
      <c r="AL564">
        <v>44</v>
      </c>
      <c r="AM564" t="s">
        <v>5</v>
      </c>
      <c r="AN564">
        <v>1</v>
      </c>
      <c r="AO564">
        <v>1</v>
      </c>
      <c r="AP564">
        <v>0</v>
      </c>
      <c r="AQ564">
        <v>1</v>
      </c>
    </row>
    <row r="565" spans="1:43" x14ac:dyDescent="0.25">
      <c r="A565" t="s">
        <v>2519</v>
      </c>
      <c r="B565" t="s">
        <v>2518</v>
      </c>
      <c r="C565" t="s">
        <v>2517</v>
      </c>
      <c r="D565" s="1">
        <v>45919</v>
      </c>
      <c r="E565" t="s">
        <v>32</v>
      </c>
      <c r="F565" t="s">
        <v>356</v>
      </c>
      <c r="G565" t="s">
        <v>56</v>
      </c>
      <c r="H565" t="s">
        <v>16</v>
      </c>
      <c r="I565" t="s">
        <v>15</v>
      </c>
      <c r="J565" t="s">
        <v>55</v>
      </c>
      <c r="K565" t="s">
        <v>54</v>
      </c>
      <c r="L565" t="s">
        <v>117</v>
      </c>
      <c r="M565" t="s">
        <v>11</v>
      </c>
      <c r="N565" t="s">
        <v>52</v>
      </c>
      <c r="O565" t="s">
        <v>9</v>
      </c>
      <c r="P565" t="s">
        <v>39</v>
      </c>
      <c r="Q565" t="s">
        <v>7</v>
      </c>
      <c r="R565" t="s">
        <v>6</v>
      </c>
      <c r="S565">
        <v>7</v>
      </c>
      <c r="T565">
        <v>7</v>
      </c>
      <c r="U565">
        <v>272</v>
      </c>
      <c r="V565" t="s">
        <v>0</v>
      </c>
      <c r="W565" t="s">
        <v>5</v>
      </c>
      <c r="X565" t="s">
        <v>5</v>
      </c>
      <c r="Y565" t="s">
        <v>294</v>
      </c>
      <c r="Z565" t="s">
        <v>0</v>
      </c>
      <c r="AA565">
        <v>0</v>
      </c>
      <c r="AB565">
        <v>0</v>
      </c>
      <c r="AC565">
        <v>0</v>
      </c>
      <c r="AD565" t="s">
        <v>61</v>
      </c>
      <c r="AE565" t="s">
        <v>5</v>
      </c>
      <c r="AF565" t="s">
        <v>61</v>
      </c>
      <c r="AG565" t="s">
        <v>36</v>
      </c>
      <c r="AH565">
        <v>42</v>
      </c>
      <c r="AI565" t="s">
        <v>23</v>
      </c>
      <c r="AJ565">
        <v>4</v>
      </c>
      <c r="AK565">
        <v>-5</v>
      </c>
      <c r="AL565">
        <v>7</v>
      </c>
      <c r="AM565" t="s">
        <v>5</v>
      </c>
      <c r="AN565">
        <v>1</v>
      </c>
      <c r="AO565">
        <v>0</v>
      </c>
      <c r="AP565">
        <v>1</v>
      </c>
      <c r="AQ565">
        <v>1</v>
      </c>
    </row>
    <row r="566" spans="1:43" x14ac:dyDescent="0.25">
      <c r="A566" t="s">
        <v>2516</v>
      </c>
      <c r="B566" t="s">
        <v>799</v>
      </c>
      <c r="C566" t="s">
        <v>2515</v>
      </c>
      <c r="D566" s="1">
        <v>45707</v>
      </c>
      <c r="E566" t="s">
        <v>32</v>
      </c>
      <c r="F566" t="s">
        <v>1127</v>
      </c>
      <c r="G566" t="s">
        <v>17</v>
      </c>
      <c r="H566" t="s">
        <v>16</v>
      </c>
      <c r="I566" t="s">
        <v>28</v>
      </c>
      <c r="J566" t="s">
        <v>14</v>
      </c>
      <c r="K566" t="s">
        <v>13</v>
      </c>
      <c r="L566" t="s">
        <v>117</v>
      </c>
      <c r="M566" t="s">
        <v>11</v>
      </c>
      <c r="N566" t="s">
        <v>93</v>
      </c>
      <c r="O566" t="s">
        <v>51</v>
      </c>
      <c r="P566" t="s">
        <v>39</v>
      </c>
      <c r="Q566" t="s">
        <v>24</v>
      </c>
      <c r="R566" t="s">
        <v>38</v>
      </c>
      <c r="S566">
        <v>6</v>
      </c>
      <c r="T566">
        <v>4</v>
      </c>
      <c r="U566">
        <v>214</v>
      </c>
      <c r="V566" t="s">
        <v>5</v>
      </c>
      <c r="W566" t="s">
        <v>5</v>
      </c>
      <c r="X566" t="s">
        <v>0</v>
      </c>
      <c r="Y566" t="s">
        <v>4</v>
      </c>
      <c r="Z566" t="s">
        <v>5</v>
      </c>
      <c r="AA566">
        <v>35.479999999999997</v>
      </c>
      <c r="AB566">
        <v>0.11</v>
      </c>
      <c r="AC566">
        <v>0</v>
      </c>
      <c r="AD566" t="s">
        <v>3</v>
      </c>
      <c r="AE566" t="s">
        <v>0</v>
      </c>
      <c r="AF566" t="s">
        <v>3</v>
      </c>
      <c r="AG566" t="s">
        <v>2</v>
      </c>
      <c r="AI566" t="s">
        <v>23</v>
      </c>
      <c r="AJ566">
        <v>3</v>
      </c>
      <c r="AK566">
        <v>15</v>
      </c>
      <c r="AL566" t="s">
        <v>549</v>
      </c>
      <c r="AM566" t="s">
        <v>5</v>
      </c>
      <c r="AN566">
        <v>1</v>
      </c>
      <c r="AO566">
        <v>1</v>
      </c>
      <c r="AP566">
        <v>0</v>
      </c>
      <c r="AQ566">
        <v>1</v>
      </c>
    </row>
    <row r="567" spans="1:43" x14ac:dyDescent="0.25">
      <c r="A567" t="s">
        <v>2514</v>
      </c>
      <c r="B567" t="s">
        <v>529</v>
      </c>
      <c r="C567" t="s">
        <v>2513</v>
      </c>
      <c r="D567" s="1">
        <v>46113</v>
      </c>
      <c r="E567" t="s">
        <v>125</v>
      </c>
      <c r="F567" t="s">
        <v>140</v>
      </c>
      <c r="G567" t="s">
        <v>123</v>
      </c>
      <c r="H567" t="s">
        <v>77</v>
      </c>
      <c r="I567" t="s">
        <v>15</v>
      </c>
      <c r="J567" t="s">
        <v>55</v>
      </c>
      <c r="K567" t="s">
        <v>54</v>
      </c>
      <c r="L567" t="s">
        <v>117</v>
      </c>
      <c r="M567" t="s">
        <v>11</v>
      </c>
      <c r="N567" t="s">
        <v>52</v>
      </c>
      <c r="O567" t="s">
        <v>26</v>
      </c>
      <c r="P567" t="s">
        <v>39</v>
      </c>
      <c r="Q567" t="s">
        <v>50</v>
      </c>
      <c r="R567" t="s">
        <v>38</v>
      </c>
      <c r="S567">
        <v>4</v>
      </c>
      <c r="T567">
        <v>4</v>
      </c>
      <c r="U567">
        <v>95</v>
      </c>
      <c r="V567" t="s">
        <v>0</v>
      </c>
      <c r="W567" t="s">
        <v>5</v>
      </c>
      <c r="X567" t="s">
        <v>135</v>
      </c>
      <c r="Y567" t="s">
        <v>4</v>
      </c>
      <c r="Z567" t="s">
        <v>5</v>
      </c>
      <c r="AA567">
        <v>59.16</v>
      </c>
      <c r="AB567">
        <v>0.18</v>
      </c>
      <c r="AC567">
        <v>0</v>
      </c>
      <c r="AD567" t="s">
        <v>37</v>
      </c>
      <c r="AE567" t="s">
        <v>5</v>
      </c>
      <c r="AF567" t="s">
        <v>37</v>
      </c>
      <c r="AG567" t="s">
        <v>36</v>
      </c>
      <c r="AH567">
        <v>29</v>
      </c>
      <c r="AI567" t="s">
        <v>23</v>
      </c>
      <c r="AJ567">
        <v>5</v>
      </c>
      <c r="AK567">
        <v>30</v>
      </c>
      <c r="AL567" t="s">
        <v>2512</v>
      </c>
      <c r="AM567" t="s">
        <v>5</v>
      </c>
      <c r="AN567">
        <v>1</v>
      </c>
      <c r="AO567">
        <v>1</v>
      </c>
      <c r="AP567">
        <v>0</v>
      </c>
      <c r="AQ567">
        <v>1</v>
      </c>
    </row>
    <row r="568" spans="1:43" x14ac:dyDescent="0.25">
      <c r="A568" t="s">
        <v>2511</v>
      </c>
      <c r="B568" t="s">
        <v>2510</v>
      </c>
      <c r="C568" t="s">
        <v>2509</v>
      </c>
      <c r="D568" s="1">
        <v>45755</v>
      </c>
      <c r="E568" t="s">
        <v>125</v>
      </c>
      <c r="F568" t="s">
        <v>140</v>
      </c>
      <c r="G568" t="s">
        <v>83</v>
      </c>
      <c r="H568" t="s">
        <v>77</v>
      </c>
      <c r="I568" t="s">
        <v>28</v>
      </c>
      <c r="J568" t="s">
        <v>55</v>
      </c>
      <c r="K568" t="s">
        <v>65</v>
      </c>
      <c r="L568" t="s">
        <v>64</v>
      </c>
      <c r="M568" t="s">
        <v>11</v>
      </c>
      <c r="N568" t="s">
        <v>41</v>
      </c>
      <c r="O568" t="s">
        <v>26</v>
      </c>
      <c r="P568" t="s">
        <v>39</v>
      </c>
      <c r="Q568" t="s">
        <v>50</v>
      </c>
      <c r="R568" t="s">
        <v>6</v>
      </c>
      <c r="S568">
        <v>4</v>
      </c>
      <c r="T568">
        <v>4</v>
      </c>
      <c r="U568">
        <v>108</v>
      </c>
      <c r="V568" t="s">
        <v>0</v>
      </c>
      <c r="W568" t="s">
        <v>5</v>
      </c>
      <c r="X568" t="s">
        <v>0</v>
      </c>
      <c r="Y568" t="s">
        <v>4</v>
      </c>
      <c r="Z568" t="s">
        <v>5</v>
      </c>
      <c r="AA568">
        <v>199.7</v>
      </c>
      <c r="AB568">
        <v>0.21</v>
      </c>
      <c r="AC568">
        <v>0</v>
      </c>
      <c r="AD568" t="s">
        <v>3</v>
      </c>
      <c r="AE568" t="s">
        <v>0</v>
      </c>
      <c r="AF568" t="s">
        <v>3</v>
      </c>
      <c r="AG568" t="s">
        <v>2</v>
      </c>
      <c r="AI568" t="s">
        <v>23</v>
      </c>
      <c r="AJ568">
        <v>4</v>
      </c>
      <c r="AK568">
        <v>59</v>
      </c>
      <c r="AL568">
        <v>10</v>
      </c>
      <c r="AM568" t="s">
        <v>5</v>
      </c>
      <c r="AN568">
        <v>1</v>
      </c>
      <c r="AO568">
        <v>1</v>
      </c>
      <c r="AP568">
        <v>0</v>
      </c>
      <c r="AQ568">
        <v>1</v>
      </c>
    </row>
    <row r="569" spans="1:43" x14ac:dyDescent="0.25">
      <c r="A569" t="s">
        <v>2508</v>
      </c>
      <c r="B569" t="s">
        <v>235</v>
      </c>
      <c r="C569" t="s">
        <v>2507</v>
      </c>
      <c r="D569" s="1">
        <v>45863</v>
      </c>
      <c r="E569" t="s">
        <v>162</v>
      </c>
      <c r="F569" t="s">
        <v>200</v>
      </c>
      <c r="G569" t="s">
        <v>56</v>
      </c>
      <c r="H569" t="s">
        <v>77</v>
      </c>
      <c r="I569" t="s">
        <v>28</v>
      </c>
      <c r="J569" t="s">
        <v>55</v>
      </c>
      <c r="K569" t="s">
        <v>54</v>
      </c>
      <c r="L569" t="s">
        <v>12</v>
      </c>
      <c r="M569" t="s">
        <v>53</v>
      </c>
      <c r="N569" t="s">
        <v>41</v>
      </c>
      <c r="O569" t="s">
        <v>26</v>
      </c>
      <c r="P569" t="s">
        <v>39</v>
      </c>
      <c r="Q569" t="s">
        <v>24</v>
      </c>
      <c r="R569" t="s">
        <v>6</v>
      </c>
      <c r="S569">
        <v>4</v>
      </c>
      <c r="T569">
        <v>3</v>
      </c>
      <c r="U569">
        <v>96</v>
      </c>
      <c r="V569" t="s">
        <v>5</v>
      </c>
      <c r="W569" t="s">
        <v>5</v>
      </c>
      <c r="X569" t="s">
        <v>0</v>
      </c>
      <c r="Y569" t="s">
        <v>4</v>
      </c>
      <c r="Z569" t="s">
        <v>5</v>
      </c>
      <c r="AA569">
        <v>118.07</v>
      </c>
      <c r="AB569">
        <v>0.19</v>
      </c>
      <c r="AC569">
        <v>0.17</v>
      </c>
      <c r="AD569" t="s">
        <v>3</v>
      </c>
      <c r="AE569" t="s">
        <v>0</v>
      </c>
      <c r="AF569" t="s">
        <v>3</v>
      </c>
      <c r="AG569" t="s">
        <v>2</v>
      </c>
      <c r="AI569" t="s">
        <v>23</v>
      </c>
      <c r="AJ569">
        <v>4</v>
      </c>
      <c r="AK569">
        <v>-15</v>
      </c>
      <c r="AL569" t="s">
        <v>2506</v>
      </c>
      <c r="AM569" t="s">
        <v>5</v>
      </c>
      <c r="AN569">
        <v>1</v>
      </c>
      <c r="AO569">
        <v>1</v>
      </c>
      <c r="AP569">
        <v>0</v>
      </c>
      <c r="AQ569">
        <v>1</v>
      </c>
    </row>
    <row r="570" spans="1:43" x14ac:dyDescent="0.25">
      <c r="A570" t="s">
        <v>2505</v>
      </c>
      <c r="B570" t="s">
        <v>721</v>
      </c>
      <c r="C570" t="s">
        <v>2504</v>
      </c>
      <c r="D570" s="1">
        <v>46085</v>
      </c>
      <c r="E570" t="s">
        <v>32</v>
      </c>
      <c r="F570" t="s">
        <v>31</v>
      </c>
      <c r="G570" t="s">
        <v>30</v>
      </c>
      <c r="H570" t="s">
        <v>77</v>
      </c>
      <c r="I570" t="s">
        <v>15</v>
      </c>
      <c r="J570" t="s">
        <v>55</v>
      </c>
      <c r="K570" t="s">
        <v>65</v>
      </c>
      <c r="L570" t="s">
        <v>117</v>
      </c>
      <c r="M570" t="s">
        <v>11</v>
      </c>
      <c r="N570" t="s">
        <v>52</v>
      </c>
      <c r="O570" t="s">
        <v>74</v>
      </c>
      <c r="P570" t="s">
        <v>63</v>
      </c>
      <c r="Q570" t="s">
        <v>7</v>
      </c>
      <c r="R570" t="s">
        <v>6</v>
      </c>
      <c r="S570">
        <v>6</v>
      </c>
      <c r="T570">
        <v>6</v>
      </c>
      <c r="U570">
        <v>175</v>
      </c>
      <c r="V570" t="s">
        <v>0</v>
      </c>
      <c r="W570" t="s">
        <v>5</v>
      </c>
      <c r="X570" t="s">
        <v>0</v>
      </c>
      <c r="Y570" t="s">
        <v>4</v>
      </c>
      <c r="Z570" t="s">
        <v>5</v>
      </c>
      <c r="AA570">
        <v>57.49</v>
      </c>
      <c r="AB570">
        <v>0</v>
      </c>
      <c r="AC570">
        <v>0</v>
      </c>
      <c r="AD570" t="s">
        <v>3</v>
      </c>
      <c r="AE570" t="s">
        <v>0</v>
      </c>
      <c r="AF570" t="s">
        <v>3</v>
      </c>
      <c r="AG570" t="s">
        <v>2</v>
      </c>
      <c r="AI570" t="s">
        <v>23</v>
      </c>
      <c r="AJ570">
        <v>4</v>
      </c>
      <c r="AK570">
        <v>2</v>
      </c>
      <c r="AL570">
        <v>0</v>
      </c>
      <c r="AM570" t="s">
        <v>0</v>
      </c>
      <c r="AN570">
        <v>1</v>
      </c>
      <c r="AO570">
        <v>1</v>
      </c>
      <c r="AP570">
        <v>0</v>
      </c>
      <c r="AQ570">
        <v>0</v>
      </c>
    </row>
    <row r="571" spans="1:43" x14ac:dyDescent="0.25">
      <c r="A571" t="s">
        <v>2503</v>
      </c>
      <c r="B571" t="s">
        <v>350</v>
      </c>
      <c r="C571" t="s">
        <v>2502</v>
      </c>
      <c r="D571" s="1">
        <v>45955</v>
      </c>
      <c r="E571" t="s">
        <v>19</v>
      </c>
      <c r="F571" t="s">
        <v>1371</v>
      </c>
      <c r="G571" t="s">
        <v>17</v>
      </c>
      <c r="H571" t="s">
        <v>43</v>
      </c>
      <c r="I571" t="s">
        <v>15</v>
      </c>
      <c r="J571" t="s">
        <v>14</v>
      </c>
      <c r="K571" t="s">
        <v>13</v>
      </c>
      <c r="L571" t="s">
        <v>42</v>
      </c>
      <c r="M571" t="s">
        <v>11</v>
      </c>
      <c r="N571" t="s">
        <v>52</v>
      </c>
      <c r="O571" t="s">
        <v>40</v>
      </c>
      <c r="P571" t="s">
        <v>39</v>
      </c>
      <c r="Q571" t="s">
        <v>7</v>
      </c>
      <c r="R571" t="s">
        <v>6</v>
      </c>
      <c r="S571" t="s">
        <v>106</v>
      </c>
      <c r="T571">
        <v>8</v>
      </c>
      <c r="U571">
        <v>163</v>
      </c>
      <c r="V571" t="s">
        <v>0</v>
      </c>
      <c r="W571" t="s">
        <v>0</v>
      </c>
      <c r="X571" t="s">
        <v>0</v>
      </c>
      <c r="Y571" t="s">
        <v>4</v>
      </c>
      <c r="Z571" t="s">
        <v>0</v>
      </c>
      <c r="AA571">
        <v>0</v>
      </c>
      <c r="AB571">
        <v>0</v>
      </c>
      <c r="AC571">
        <v>0</v>
      </c>
      <c r="AD571" t="s">
        <v>3</v>
      </c>
      <c r="AE571" t="s">
        <v>0</v>
      </c>
      <c r="AF571" t="s">
        <v>3</v>
      </c>
      <c r="AG571" t="s">
        <v>2</v>
      </c>
      <c r="AI571" t="s">
        <v>191</v>
      </c>
      <c r="AJ571">
        <v>3</v>
      </c>
      <c r="AK571">
        <v>8</v>
      </c>
      <c r="AL571">
        <v>36</v>
      </c>
      <c r="AM571" t="s">
        <v>5</v>
      </c>
      <c r="AN571">
        <v>0</v>
      </c>
      <c r="AO571">
        <v>0</v>
      </c>
      <c r="AP571">
        <v>0</v>
      </c>
      <c r="AQ571">
        <v>1</v>
      </c>
    </row>
    <row r="572" spans="1:43" x14ac:dyDescent="0.25">
      <c r="A572" t="s">
        <v>2501</v>
      </c>
      <c r="B572" t="s">
        <v>1333</v>
      </c>
      <c r="C572" t="s">
        <v>2500</v>
      </c>
      <c r="D572" s="1">
        <v>46010</v>
      </c>
      <c r="E572" t="s">
        <v>68</v>
      </c>
      <c r="F572" t="s">
        <v>278</v>
      </c>
      <c r="G572" t="s">
        <v>56</v>
      </c>
      <c r="H572" t="s">
        <v>77</v>
      </c>
      <c r="I572" t="s">
        <v>15</v>
      </c>
      <c r="J572" t="s">
        <v>14</v>
      </c>
      <c r="K572" t="s">
        <v>13</v>
      </c>
      <c r="L572" t="s">
        <v>12</v>
      </c>
      <c r="M572" t="s">
        <v>11</v>
      </c>
      <c r="N572" t="s">
        <v>269</v>
      </c>
      <c r="O572" t="s">
        <v>87</v>
      </c>
      <c r="P572" t="s">
        <v>39</v>
      </c>
      <c r="Q572" t="s">
        <v>198</v>
      </c>
      <c r="R572" t="s">
        <v>6</v>
      </c>
      <c r="S572">
        <v>5</v>
      </c>
      <c r="T572">
        <v>5</v>
      </c>
      <c r="U572">
        <v>98</v>
      </c>
      <c r="V572" t="s">
        <v>0</v>
      </c>
      <c r="W572" t="s">
        <v>5</v>
      </c>
      <c r="X572" t="s">
        <v>0</v>
      </c>
      <c r="Y572" t="s">
        <v>4</v>
      </c>
      <c r="Z572" t="s">
        <v>5</v>
      </c>
      <c r="AA572">
        <v>84.54</v>
      </c>
      <c r="AB572">
        <v>0</v>
      </c>
      <c r="AC572">
        <v>0</v>
      </c>
      <c r="AD572" t="s">
        <v>3</v>
      </c>
      <c r="AE572" t="s">
        <v>0</v>
      </c>
      <c r="AF572" t="s">
        <v>3</v>
      </c>
      <c r="AG572" t="s">
        <v>2</v>
      </c>
      <c r="AI572" t="s">
        <v>23</v>
      </c>
      <c r="AJ572">
        <v>5</v>
      </c>
      <c r="AK572">
        <v>-13</v>
      </c>
      <c r="AL572">
        <v>24</v>
      </c>
      <c r="AM572" t="s">
        <v>5</v>
      </c>
      <c r="AN572">
        <v>1</v>
      </c>
      <c r="AO572">
        <v>1</v>
      </c>
      <c r="AP572">
        <v>0</v>
      </c>
      <c r="AQ572">
        <v>1</v>
      </c>
    </row>
    <row r="573" spans="1:43" x14ac:dyDescent="0.25">
      <c r="A573" t="s">
        <v>2499</v>
      </c>
      <c r="B573" t="s">
        <v>2498</v>
      </c>
      <c r="C573" t="s">
        <v>2497</v>
      </c>
      <c r="D573" s="1">
        <v>46015</v>
      </c>
      <c r="E573" t="s">
        <v>68</v>
      </c>
      <c r="F573" t="s">
        <v>67</v>
      </c>
      <c r="G573" t="s">
        <v>17</v>
      </c>
      <c r="H573" t="s">
        <v>77</v>
      </c>
      <c r="I573" t="s">
        <v>28</v>
      </c>
      <c r="J573" t="s">
        <v>14</v>
      </c>
      <c r="K573" t="s">
        <v>13</v>
      </c>
      <c r="L573" t="s">
        <v>64</v>
      </c>
      <c r="M573" t="s">
        <v>11</v>
      </c>
      <c r="N573" t="s">
        <v>116</v>
      </c>
      <c r="O573" t="s">
        <v>51</v>
      </c>
      <c r="P573" t="s">
        <v>39</v>
      </c>
      <c r="Q573" t="s">
        <v>24</v>
      </c>
      <c r="R573" t="s">
        <v>38</v>
      </c>
      <c r="S573">
        <v>6</v>
      </c>
      <c r="T573">
        <v>6</v>
      </c>
      <c r="U573">
        <v>160</v>
      </c>
      <c r="V573" t="s">
        <v>0</v>
      </c>
      <c r="W573" t="s">
        <v>5</v>
      </c>
      <c r="X573" t="s">
        <v>0</v>
      </c>
      <c r="Y573" t="s">
        <v>4</v>
      </c>
      <c r="Z573" t="s">
        <v>0</v>
      </c>
      <c r="AA573">
        <v>0</v>
      </c>
      <c r="AB573">
        <v>0</v>
      </c>
      <c r="AC573">
        <v>0</v>
      </c>
      <c r="AD573" t="s">
        <v>3</v>
      </c>
      <c r="AE573" t="s">
        <v>0</v>
      </c>
      <c r="AF573" t="s">
        <v>3</v>
      </c>
      <c r="AG573" t="s">
        <v>2</v>
      </c>
      <c r="AI573" t="s">
        <v>23</v>
      </c>
      <c r="AJ573">
        <v>4</v>
      </c>
      <c r="AK573">
        <v>-3</v>
      </c>
      <c r="AL573">
        <v>44</v>
      </c>
      <c r="AM573" t="s">
        <v>5</v>
      </c>
      <c r="AN573">
        <v>1</v>
      </c>
      <c r="AO573">
        <v>0</v>
      </c>
      <c r="AP573">
        <v>0</v>
      </c>
      <c r="AQ573">
        <v>1</v>
      </c>
    </row>
    <row r="574" spans="1:43" x14ac:dyDescent="0.25">
      <c r="A574" t="s">
        <v>2496</v>
      </c>
      <c r="B574" t="s">
        <v>1342</v>
      </c>
      <c r="C574" t="s">
        <v>2495</v>
      </c>
      <c r="D574" s="1">
        <v>45988</v>
      </c>
      <c r="E574" t="s">
        <v>32</v>
      </c>
      <c r="F574" t="s">
        <v>31</v>
      </c>
      <c r="G574" t="s">
        <v>56</v>
      </c>
      <c r="H574" t="s">
        <v>77</v>
      </c>
      <c r="I574" t="s">
        <v>28</v>
      </c>
      <c r="J574" t="s">
        <v>55</v>
      </c>
      <c r="K574" t="s">
        <v>54</v>
      </c>
      <c r="L574" t="s">
        <v>64</v>
      </c>
      <c r="M574" t="s">
        <v>11</v>
      </c>
      <c r="N574" t="s">
        <v>52</v>
      </c>
      <c r="O574" t="s">
        <v>193</v>
      </c>
      <c r="P574" t="s">
        <v>39</v>
      </c>
      <c r="Q574" t="s">
        <v>7</v>
      </c>
      <c r="R574" t="s">
        <v>6</v>
      </c>
      <c r="S574">
        <v>9</v>
      </c>
      <c r="T574">
        <v>9</v>
      </c>
      <c r="U574">
        <v>276</v>
      </c>
      <c r="V574" t="s">
        <v>0</v>
      </c>
      <c r="W574" t="s">
        <v>0</v>
      </c>
      <c r="X574" t="s">
        <v>0</v>
      </c>
      <c r="Y574" t="s">
        <v>4</v>
      </c>
      <c r="Z574" t="s">
        <v>5</v>
      </c>
      <c r="AA574">
        <v>228.04</v>
      </c>
      <c r="AB574">
        <v>2.88</v>
      </c>
      <c r="AC574">
        <v>0</v>
      </c>
      <c r="AD574" t="s">
        <v>3</v>
      </c>
      <c r="AE574" t="s">
        <v>247</v>
      </c>
      <c r="AF574" t="s">
        <v>3</v>
      </c>
      <c r="AG574" t="s">
        <v>2</v>
      </c>
      <c r="AI574" t="s">
        <v>1</v>
      </c>
      <c r="AJ574">
        <v>3</v>
      </c>
      <c r="AK574">
        <v>-7</v>
      </c>
      <c r="AL574">
        <v>18</v>
      </c>
      <c r="AM574" t="s">
        <v>0</v>
      </c>
      <c r="AN574">
        <v>0</v>
      </c>
      <c r="AO574">
        <v>1</v>
      </c>
      <c r="AP574">
        <v>0</v>
      </c>
      <c r="AQ574">
        <v>0</v>
      </c>
    </row>
    <row r="575" spans="1:43" x14ac:dyDescent="0.25">
      <c r="A575" t="s">
        <v>2494</v>
      </c>
      <c r="B575" t="s">
        <v>2493</v>
      </c>
      <c r="C575" t="s">
        <v>2492</v>
      </c>
      <c r="D575" s="1">
        <v>45763</v>
      </c>
      <c r="E575" t="s">
        <v>45</v>
      </c>
      <c r="F575" t="s">
        <v>348</v>
      </c>
      <c r="G575" t="s">
        <v>56</v>
      </c>
      <c r="H575" t="s">
        <v>16</v>
      </c>
      <c r="I575" t="s">
        <v>28</v>
      </c>
      <c r="J575" t="s">
        <v>146</v>
      </c>
      <c r="K575" t="s">
        <v>145</v>
      </c>
      <c r="L575" t="s">
        <v>12</v>
      </c>
      <c r="M575" t="s">
        <v>11</v>
      </c>
      <c r="N575" t="s">
        <v>52</v>
      </c>
      <c r="O575" t="s">
        <v>101</v>
      </c>
      <c r="P575" t="s">
        <v>39</v>
      </c>
      <c r="Q575" t="s">
        <v>24</v>
      </c>
      <c r="R575" t="s">
        <v>6</v>
      </c>
      <c r="S575">
        <v>4</v>
      </c>
      <c r="T575">
        <v>4</v>
      </c>
      <c r="U575">
        <v>124</v>
      </c>
      <c r="V575" t="s">
        <v>0</v>
      </c>
      <c r="W575" t="s">
        <v>5</v>
      </c>
      <c r="X575" t="s">
        <v>0</v>
      </c>
      <c r="Y575" t="s">
        <v>4</v>
      </c>
      <c r="Z575" t="s">
        <v>5</v>
      </c>
      <c r="AA575">
        <v>70.790000000000006</v>
      </c>
      <c r="AB575">
        <v>0.43</v>
      </c>
      <c r="AC575">
        <v>0</v>
      </c>
      <c r="AD575" t="s">
        <v>3</v>
      </c>
      <c r="AE575" t="s">
        <v>0</v>
      </c>
      <c r="AF575" t="s">
        <v>3</v>
      </c>
      <c r="AG575" t="s">
        <v>2</v>
      </c>
      <c r="AI575" t="s">
        <v>23</v>
      </c>
      <c r="AJ575">
        <v>3</v>
      </c>
      <c r="AK575">
        <v>37</v>
      </c>
      <c r="AL575">
        <v>48</v>
      </c>
      <c r="AM575" t="s">
        <v>5</v>
      </c>
      <c r="AN575">
        <v>1</v>
      </c>
      <c r="AO575">
        <v>1</v>
      </c>
      <c r="AP575">
        <v>0</v>
      </c>
      <c r="AQ575">
        <v>1</v>
      </c>
    </row>
    <row r="576" spans="1:43" x14ac:dyDescent="0.25">
      <c r="A576" t="s">
        <v>2491</v>
      </c>
      <c r="B576" t="s">
        <v>718</v>
      </c>
      <c r="C576" t="s">
        <v>2490</v>
      </c>
      <c r="D576" s="1">
        <v>45716</v>
      </c>
      <c r="E576" t="s">
        <v>79</v>
      </c>
      <c r="F576" t="s">
        <v>223</v>
      </c>
      <c r="G576" t="s">
        <v>56</v>
      </c>
      <c r="H576" t="s">
        <v>16</v>
      </c>
      <c r="I576" t="s">
        <v>15</v>
      </c>
      <c r="J576" t="s">
        <v>14</v>
      </c>
      <c r="K576" t="s">
        <v>13</v>
      </c>
      <c r="L576" t="s">
        <v>88</v>
      </c>
      <c r="M576" t="s">
        <v>11</v>
      </c>
      <c r="N576" t="s">
        <v>52</v>
      </c>
      <c r="O576" t="s">
        <v>74</v>
      </c>
      <c r="P576" t="s">
        <v>39</v>
      </c>
      <c r="Q576" t="s">
        <v>7</v>
      </c>
      <c r="R576" t="s">
        <v>6</v>
      </c>
      <c r="S576">
        <v>6</v>
      </c>
      <c r="T576">
        <v>6</v>
      </c>
      <c r="U576">
        <v>157</v>
      </c>
      <c r="V576" t="s">
        <v>0</v>
      </c>
      <c r="W576" t="s">
        <v>181</v>
      </c>
      <c r="X576" t="s">
        <v>0</v>
      </c>
      <c r="Y576" t="s">
        <v>4</v>
      </c>
      <c r="Z576" t="s">
        <v>0</v>
      </c>
      <c r="AA576">
        <v>0</v>
      </c>
      <c r="AB576">
        <v>0</v>
      </c>
      <c r="AC576">
        <v>0</v>
      </c>
      <c r="AD576" t="s">
        <v>3</v>
      </c>
      <c r="AE576" t="s">
        <v>0</v>
      </c>
      <c r="AF576" t="s">
        <v>3</v>
      </c>
      <c r="AG576" t="s">
        <v>2</v>
      </c>
      <c r="AI576" t="s">
        <v>23</v>
      </c>
      <c r="AJ576">
        <v>4</v>
      </c>
      <c r="AK576">
        <v>-13</v>
      </c>
      <c r="AL576">
        <v>51</v>
      </c>
      <c r="AM576" t="s">
        <v>5</v>
      </c>
      <c r="AN576">
        <v>0</v>
      </c>
      <c r="AO576">
        <v>0</v>
      </c>
      <c r="AP576">
        <v>0</v>
      </c>
      <c r="AQ576">
        <v>1</v>
      </c>
    </row>
    <row r="577" spans="1:43" x14ac:dyDescent="0.25">
      <c r="A577" t="s">
        <v>2489</v>
      </c>
      <c r="B577" t="s">
        <v>2488</v>
      </c>
      <c r="C577" t="s">
        <v>2487</v>
      </c>
      <c r="D577" s="1">
        <v>45791</v>
      </c>
      <c r="E577" t="s">
        <v>68</v>
      </c>
      <c r="F577" t="s">
        <v>67</v>
      </c>
      <c r="G577" t="s">
        <v>83</v>
      </c>
      <c r="H577" t="s">
        <v>16</v>
      </c>
      <c r="I577" t="s">
        <v>15</v>
      </c>
      <c r="J577" t="s">
        <v>55</v>
      </c>
      <c r="K577" t="s">
        <v>54</v>
      </c>
      <c r="L577" t="s">
        <v>88</v>
      </c>
      <c r="M577" t="s">
        <v>299</v>
      </c>
      <c r="N577" t="s">
        <v>93</v>
      </c>
      <c r="O577" t="s">
        <v>26</v>
      </c>
      <c r="P577" t="s">
        <v>39</v>
      </c>
      <c r="Q577" t="s">
        <v>50</v>
      </c>
      <c r="R577" t="s">
        <v>38</v>
      </c>
      <c r="S577">
        <v>4</v>
      </c>
      <c r="T577">
        <v>4</v>
      </c>
      <c r="U577">
        <v>92</v>
      </c>
      <c r="V577" t="s">
        <v>0</v>
      </c>
      <c r="W577" t="s">
        <v>287</v>
      </c>
      <c r="X577" t="s">
        <v>5</v>
      </c>
      <c r="Y577" t="s">
        <v>355</v>
      </c>
      <c r="Z577" t="s">
        <v>5</v>
      </c>
      <c r="AA577">
        <v>173.68</v>
      </c>
      <c r="AB577">
        <v>0.21</v>
      </c>
      <c r="AC577">
        <v>0</v>
      </c>
      <c r="AD577" t="s">
        <v>3</v>
      </c>
      <c r="AE577" t="s">
        <v>0</v>
      </c>
      <c r="AF577" t="s">
        <v>3</v>
      </c>
      <c r="AG577" t="s">
        <v>2</v>
      </c>
      <c r="AI577" t="s">
        <v>23</v>
      </c>
      <c r="AJ577">
        <v>4</v>
      </c>
      <c r="AK577">
        <v>30</v>
      </c>
      <c r="AL577">
        <v>27</v>
      </c>
      <c r="AM577" t="s">
        <v>5</v>
      </c>
      <c r="AN577">
        <v>1</v>
      </c>
      <c r="AO577">
        <v>1</v>
      </c>
      <c r="AP577">
        <v>1</v>
      </c>
      <c r="AQ577">
        <v>1</v>
      </c>
    </row>
    <row r="578" spans="1:43" x14ac:dyDescent="0.25">
      <c r="A578" t="s">
        <v>2486</v>
      </c>
      <c r="B578" t="s">
        <v>678</v>
      </c>
      <c r="C578" t="s">
        <v>2485</v>
      </c>
      <c r="D578" s="1">
        <v>45834</v>
      </c>
      <c r="E578" t="s">
        <v>79</v>
      </c>
      <c r="F578" t="s">
        <v>223</v>
      </c>
      <c r="G578" t="s">
        <v>17</v>
      </c>
      <c r="H578" t="s">
        <v>43</v>
      </c>
      <c r="I578" t="s">
        <v>15</v>
      </c>
      <c r="J578" t="s">
        <v>55</v>
      </c>
      <c r="K578" t="s">
        <v>54</v>
      </c>
      <c r="L578" t="s">
        <v>88</v>
      </c>
      <c r="M578" t="s">
        <v>27</v>
      </c>
      <c r="N578" t="s">
        <v>116</v>
      </c>
      <c r="O578" t="s">
        <v>101</v>
      </c>
      <c r="P578" t="s">
        <v>39</v>
      </c>
      <c r="Q578" t="s">
        <v>7</v>
      </c>
      <c r="R578" t="s">
        <v>6</v>
      </c>
      <c r="S578">
        <v>4</v>
      </c>
      <c r="T578" t="s">
        <v>99</v>
      </c>
      <c r="U578">
        <v>125</v>
      </c>
      <c r="V578" t="s">
        <v>0</v>
      </c>
      <c r="W578" t="s">
        <v>5</v>
      </c>
      <c r="X578" t="s">
        <v>0</v>
      </c>
      <c r="Y578" t="s">
        <v>4</v>
      </c>
      <c r="Z578" t="s">
        <v>5</v>
      </c>
      <c r="AA578">
        <v>36.1</v>
      </c>
      <c r="AB578">
        <v>0.45</v>
      </c>
      <c r="AC578">
        <v>0.37</v>
      </c>
      <c r="AD578" t="s">
        <v>3</v>
      </c>
      <c r="AE578" t="s">
        <v>0</v>
      </c>
      <c r="AF578" t="s">
        <v>3</v>
      </c>
      <c r="AG578" t="s">
        <v>2</v>
      </c>
      <c r="AI578" t="s">
        <v>23</v>
      </c>
      <c r="AJ578">
        <v>3</v>
      </c>
      <c r="AK578">
        <v>-3</v>
      </c>
      <c r="AL578">
        <v>1</v>
      </c>
      <c r="AM578" t="s">
        <v>5</v>
      </c>
      <c r="AN578">
        <v>1</v>
      </c>
      <c r="AO578">
        <v>1</v>
      </c>
      <c r="AP578">
        <v>0</v>
      </c>
      <c r="AQ578">
        <v>1</v>
      </c>
    </row>
    <row r="579" spans="1:43" x14ac:dyDescent="0.25">
      <c r="A579" t="s">
        <v>2484</v>
      </c>
      <c r="B579" t="s">
        <v>640</v>
      </c>
      <c r="C579" t="s">
        <v>2483</v>
      </c>
      <c r="D579" s="1">
        <v>45812</v>
      </c>
      <c r="E579" t="s">
        <v>162</v>
      </c>
      <c r="F579" t="s">
        <v>310</v>
      </c>
      <c r="G579" t="s">
        <v>83</v>
      </c>
      <c r="H579" t="s">
        <v>29</v>
      </c>
      <c r="I579" t="s">
        <v>28</v>
      </c>
      <c r="J579" t="s">
        <v>55</v>
      </c>
      <c r="K579" t="s">
        <v>54</v>
      </c>
      <c r="L579" t="s">
        <v>117</v>
      </c>
      <c r="M579" t="s">
        <v>11</v>
      </c>
      <c r="N579" t="s">
        <v>52</v>
      </c>
      <c r="O579" t="s">
        <v>74</v>
      </c>
      <c r="P579" t="s">
        <v>39</v>
      </c>
      <c r="Q579" t="s">
        <v>50</v>
      </c>
      <c r="R579" t="s">
        <v>38</v>
      </c>
      <c r="S579">
        <v>6</v>
      </c>
      <c r="T579">
        <v>6</v>
      </c>
      <c r="U579">
        <v>150</v>
      </c>
      <c r="V579" t="s">
        <v>0</v>
      </c>
      <c r="W579" t="s">
        <v>5</v>
      </c>
      <c r="X579" t="s">
        <v>0</v>
      </c>
      <c r="Y579" t="s">
        <v>4</v>
      </c>
      <c r="Z579" t="s">
        <v>0</v>
      </c>
      <c r="AA579">
        <v>0</v>
      </c>
      <c r="AB579">
        <v>0</v>
      </c>
      <c r="AC579">
        <v>0</v>
      </c>
      <c r="AD579" t="s">
        <v>3</v>
      </c>
      <c r="AE579" t="s">
        <v>0</v>
      </c>
      <c r="AF579" t="s">
        <v>3</v>
      </c>
      <c r="AG579" t="s">
        <v>2</v>
      </c>
      <c r="AI579" t="s">
        <v>23</v>
      </c>
      <c r="AJ579">
        <v>3</v>
      </c>
      <c r="AK579">
        <v>49</v>
      </c>
      <c r="AL579">
        <v>1</v>
      </c>
      <c r="AM579" t="s">
        <v>5</v>
      </c>
      <c r="AN579">
        <v>1</v>
      </c>
      <c r="AO579">
        <v>0</v>
      </c>
      <c r="AP579">
        <v>0</v>
      </c>
      <c r="AQ579">
        <v>1</v>
      </c>
    </row>
    <row r="580" spans="1:43" x14ac:dyDescent="0.25">
      <c r="A580" t="s">
        <v>2482</v>
      </c>
      <c r="B580" t="s">
        <v>1857</v>
      </c>
      <c r="C580" t="s">
        <v>2481</v>
      </c>
      <c r="D580" s="1">
        <v>46127</v>
      </c>
      <c r="E580" t="s">
        <v>112</v>
      </c>
      <c r="F580" t="s">
        <v>931</v>
      </c>
      <c r="G580" t="s">
        <v>30</v>
      </c>
      <c r="H580" t="s">
        <v>77</v>
      </c>
      <c r="I580" t="s">
        <v>147</v>
      </c>
      <c r="J580" t="s">
        <v>55</v>
      </c>
      <c r="K580" t="s">
        <v>54</v>
      </c>
      <c r="L580" t="s">
        <v>64</v>
      </c>
      <c r="M580" t="s">
        <v>53</v>
      </c>
      <c r="N580" t="s">
        <v>93</v>
      </c>
      <c r="O580" t="s">
        <v>199</v>
      </c>
      <c r="P580" t="s">
        <v>63</v>
      </c>
      <c r="Q580" t="s">
        <v>100</v>
      </c>
      <c r="R580" t="s">
        <v>38</v>
      </c>
      <c r="S580">
        <v>5</v>
      </c>
      <c r="T580">
        <v>4</v>
      </c>
      <c r="U580">
        <v>142</v>
      </c>
      <c r="V580" t="s">
        <v>5</v>
      </c>
      <c r="W580" t="s">
        <v>0</v>
      </c>
      <c r="X580" t="s">
        <v>0</v>
      </c>
      <c r="Y580" t="s">
        <v>4</v>
      </c>
      <c r="Z580" t="s">
        <v>0</v>
      </c>
      <c r="AA580">
        <v>0</v>
      </c>
      <c r="AB580">
        <v>0</v>
      </c>
      <c r="AC580">
        <v>0</v>
      </c>
      <c r="AD580" t="s">
        <v>3</v>
      </c>
      <c r="AE580" t="s">
        <v>0</v>
      </c>
      <c r="AF580" t="s">
        <v>3</v>
      </c>
      <c r="AG580" t="s">
        <v>2</v>
      </c>
      <c r="AI580" t="s">
        <v>1</v>
      </c>
      <c r="AJ580">
        <v>4</v>
      </c>
      <c r="AK580">
        <v>14</v>
      </c>
      <c r="AL580">
        <v>0</v>
      </c>
      <c r="AM580" t="s">
        <v>5</v>
      </c>
      <c r="AN580">
        <v>0</v>
      </c>
      <c r="AO580">
        <v>0</v>
      </c>
      <c r="AP580">
        <v>0</v>
      </c>
      <c r="AQ580">
        <v>1</v>
      </c>
    </row>
    <row r="581" spans="1:43" x14ac:dyDescent="0.25">
      <c r="A581" t="s">
        <v>2480</v>
      </c>
      <c r="B581" t="s">
        <v>1803</v>
      </c>
      <c r="C581" t="s">
        <v>2479</v>
      </c>
      <c r="D581" s="1">
        <v>45811</v>
      </c>
      <c r="E581" t="s">
        <v>95</v>
      </c>
      <c r="F581" t="s">
        <v>118</v>
      </c>
      <c r="G581" t="s">
        <v>110</v>
      </c>
      <c r="H581" t="s">
        <v>16</v>
      </c>
      <c r="I581" t="s">
        <v>28</v>
      </c>
      <c r="J581" t="s">
        <v>14</v>
      </c>
      <c r="K581" t="s">
        <v>13</v>
      </c>
      <c r="L581" t="s">
        <v>64</v>
      </c>
      <c r="M581" t="s">
        <v>53</v>
      </c>
      <c r="N581" t="s">
        <v>52</v>
      </c>
      <c r="O581" t="s">
        <v>87</v>
      </c>
      <c r="P581" t="s">
        <v>39</v>
      </c>
      <c r="Q581" t="s">
        <v>100</v>
      </c>
      <c r="R581" t="s">
        <v>38</v>
      </c>
      <c r="S581">
        <v>5</v>
      </c>
      <c r="T581" t="s">
        <v>1829</v>
      </c>
      <c r="U581">
        <v>137</v>
      </c>
      <c r="V581" t="s">
        <v>5</v>
      </c>
      <c r="W581" t="s">
        <v>5</v>
      </c>
      <c r="X581" t="s">
        <v>0</v>
      </c>
      <c r="Y581" t="s">
        <v>4</v>
      </c>
      <c r="Z581" t="s">
        <v>5</v>
      </c>
      <c r="AA581">
        <v>96.68</v>
      </c>
      <c r="AB581">
        <v>0</v>
      </c>
      <c r="AC581">
        <v>0.17</v>
      </c>
      <c r="AD581" t="s">
        <v>3</v>
      </c>
      <c r="AE581" t="s">
        <v>0</v>
      </c>
      <c r="AF581" t="s">
        <v>3</v>
      </c>
      <c r="AG581" t="s">
        <v>2</v>
      </c>
      <c r="AI581" t="s">
        <v>23</v>
      </c>
      <c r="AJ581">
        <v>5</v>
      </c>
      <c r="AK581">
        <v>4</v>
      </c>
      <c r="AL581">
        <v>19</v>
      </c>
      <c r="AM581" t="s">
        <v>5</v>
      </c>
      <c r="AN581">
        <v>1</v>
      </c>
      <c r="AO581">
        <v>1</v>
      </c>
      <c r="AP581">
        <v>0</v>
      </c>
      <c r="AQ581">
        <v>1</v>
      </c>
    </row>
    <row r="582" spans="1:43" x14ac:dyDescent="0.25">
      <c r="A582" t="s">
        <v>2478</v>
      </c>
      <c r="B582" t="s">
        <v>137</v>
      </c>
      <c r="C582" t="s">
        <v>2477</v>
      </c>
      <c r="D582" s="1">
        <v>45818</v>
      </c>
      <c r="E582" t="s">
        <v>95</v>
      </c>
      <c r="F582" t="s">
        <v>118</v>
      </c>
      <c r="G582" t="s">
        <v>56</v>
      </c>
      <c r="H582" t="s">
        <v>77</v>
      </c>
      <c r="I582" t="s">
        <v>15</v>
      </c>
      <c r="J582" t="s">
        <v>14</v>
      </c>
      <c r="K582" t="s">
        <v>13</v>
      </c>
      <c r="L582" t="s">
        <v>117</v>
      </c>
      <c r="M582" t="s">
        <v>11</v>
      </c>
      <c r="N582" t="s">
        <v>93</v>
      </c>
      <c r="O582" t="s">
        <v>74</v>
      </c>
      <c r="P582" t="s">
        <v>25</v>
      </c>
      <c r="Q582" t="s">
        <v>24</v>
      </c>
      <c r="R582" t="s">
        <v>6</v>
      </c>
      <c r="S582">
        <v>6</v>
      </c>
      <c r="T582">
        <v>6</v>
      </c>
      <c r="U582">
        <v>247</v>
      </c>
      <c r="V582" t="s">
        <v>0</v>
      </c>
      <c r="W582" t="s">
        <v>0</v>
      </c>
      <c r="X582" t="s">
        <v>5</v>
      </c>
      <c r="Y582" t="s">
        <v>1444</v>
      </c>
      <c r="Z582" t="s">
        <v>0</v>
      </c>
      <c r="AA582">
        <v>0</v>
      </c>
      <c r="AB582">
        <v>0</v>
      </c>
      <c r="AC582">
        <v>0</v>
      </c>
      <c r="AD582" t="s">
        <v>3</v>
      </c>
      <c r="AE582" t="s">
        <v>0</v>
      </c>
      <c r="AF582" t="s">
        <v>3</v>
      </c>
      <c r="AG582" t="s">
        <v>2</v>
      </c>
      <c r="AI582" t="s">
        <v>122</v>
      </c>
      <c r="AJ582">
        <v>3</v>
      </c>
      <c r="AK582">
        <v>7</v>
      </c>
      <c r="AL582">
        <v>26</v>
      </c>
      <c r="AM582" t="s">
        <v>0</v>
      </c>
      <c r="AN582">
        <v>0</v>
      </c>
      <c r="AO582">
        <v>0</v>
      </c>
      <c r="AP582">
        <v>1</v>
      </c>
      <c r="AQ582">
        <v>0</v>
      </c>
    </row>
    <row r="583" spans="1:43" x14ac:dyDescent="0.25">
      <c r="A583" t="s">
        <v>2476</v>
      </c>
      <c r="B583" t="s">
        <v>2475</v>
      </c>
      <c r="C583" t="s">
        <v>2474</v>
      </c>
      <c r="D583" s="1">
        <v>45806</v>
      </c>
      <c r="E583" t="s">
        <v>162</v>
      </c>
      <c r="F583" t="s">
        <v>161</v>
      </c>
      <c r="G583" t="s">
        <v>30</v>
      </c>
      <c r="H583" t="s">
        <v>77</v>
      </c>
      <c r="I583" t="s">
        <v>28</v>
      </c>
      <c r="J583" t="s">
        <v>14</v>
      </c>
      <c r="K583" t="s">
        <v>13</v>
      </c>
      <c r="L583" t="s">
        <v>42</v>
      </c>
      <c r="M583" t="s">
        <v>11</v>
      </c>
      <c r="N583" t="s">
        <v>10</v>
      </c>
      <c r="O583" t="s">
        <v>199</v>
      </c>
      <c r="P583" t="s">
        <v>39</v>
      </c>
      <c r="Q583" t="s">
        <v>7</v>
      </c>
      <c r="R583" t="s">
        <v>6</v>
      </c>
      <c r="S583" t="s">
        <v>277</v>
      </c>
      <c r="T583" t="s">
        <v>277</v>
      </c>
      <c r="U583">
        <v>94</v>
      </c>
      <c r="V583" t="s">
        <v>0</v>
      </c>
      <c r="W583" t="s">
        <v>5</v>
      </c>
      <c r="X583" t="s">
        <v>181</v>
      </c>
      <c r="Y583" t="s">
        <v>4</v>
      </c>
      <c r="Z583" t="s">
        <v>5</v>
      </c>
      <c r="AA583">
        <v>97.69</v>
      </c>
      <c r="AB583">
        <v>0</v>
      </c>
      <c r="AC583">
        <v>0</v>
      </c>
      <c r="AD583" t="s">
        <v>3</v>
      </c>
      <c r="AE583" t="s">
        <v>0</v>
      </c>
      <c r="AF583" t="s">
        <v>3</v>
      </c>
      <c r="AG583" t="s">
        <v>2</v>
      </c>
      <c r="AI583" t="s">
        <v>23</v>
      </c>
      <c r="AJ583">
        <v>3</v>
      </c>
      <c r="AK583">
        <v>55</v>
      </c>
      <c r="AL583">
        <v>13</v>
      </c>
      <c r="AM583" t="s">
        <v>0</v>
      </c>
      <c r="AN583">
        <v>1</v>
      </c>
      <c r="AO583">
        <v>1</v>
      </c>
      <c r="AP583">
        <v>0</v>
      </c>
      <c r="AQ583">
        <v>0</v>
      </c>
    </row>
    <row r="584" spans="1:43" x14ac:dyDescent="0.25">
      <c r="A584" t="s">
        <v>2473</v>
      </c>
      <c r="B584" t="s">
        <v>2472</v>
      </c>
      <c r="C584" t="s">
        <v>2471</v>
      </c>
      <c r="D584" s="1">
        <v>45957</v>
      </c>
      <c r="E584" t="s">
        <v>95</v>
      </c>
      <c r="F584" t="s">
        <v>321</v>
      </c>
      <c r="G584" t="s">
        <v>123</v>
      </c>
      <c r="H584" t="s">
        <v>77</v>
      </c>
      <c r="I584" t="s">
        <v>28</v>
      </c>
      <c r="J584" t="s">
        <v>55</v>
      </c>
      <c r="K584" t="s">
        <v>54</v>
      </c>
      <c r="L584" t="s">
        <v>12</v>
      </c>
      <c r="M584" t="s">
        <v>11</v>
      </c>
      <c r="N584" t="s">
        <v>93</v>
      </c>
      <c r="O584" t="s">
        <v>193</v>
      </c>
      <c r="P584" t="s">
        <v>39</v>
      </c>
      <c r="Q584" t="s">
        <v>7</v>
      </c>
      <c r="R584" t="s">
        <v>6</v>
      </c>
      <c r="S584">
        <v>99</v>
      </c>
      <c r="T584">
        <v>9</v>
      </c>
      <c r="U584">
        <v>180</v>
      </c>
      <c r="V584" t="s">
        <v>0</v>
      </c>
      <c r="W584" t="s">
        <v>0</v>
      </c>
      <c r="X584" t="s">
        <v>0</v>
      </c>
      <c r="Y584" t="s">
        <v>4</v>
      </c>
      <c r="Z584" t="s">
        <v>0</v>
      </c>
      <c r="AA584">
        <v>0</v>
      </c>
      <c r="AB584">
        <v>0</v>
      </c>
      <c r="AC584">
        <v>0</v>
      </c>
      <c r="AD584" t="s">
        <v>3</v>
      </c>
      <c r="AE584" t="s">
        <v>0</v>
      </c>
      <c r="AF584" t="s">
        <v>3</v>
      </c>
      <c r="AG584" t="s">
        <v>2</v>
      </c>
      <c r="AI584" t="s">
        <v>23</v>
      </c>
      <c r="AJ584">
        <v>4</v>
      </c>
      <c r="AK584">
        <v>-18</v>
      </c>
      <c r="AL584">
        <v>1</v>
      </c>
      <c r="AM584" t="s">
        <v>0</v>
      </c>
      <c r="AN584">
        <v>0</v>
      </c>
      <c r="AO584">
        <v>0</v>
      </c>
      <c r="AP584">
        <v>0</v>
      </c>
      <c r="AQ584">
        <v>0</v>
      </c>
    </row>
    <row r="585" spans="1:43" x14ac:dyDescent="0.25">
      <c r="A585" t="s">
        <v>2470</v>
      </c>
      <c r="B585" t="s">
        <v>2291</v>
      </c>
      <c r="C585" t="s">
        <v>2469</v>
      </c>
      <c r="D585" s="1">
        <v>45933</v>
      </c>
      <c r="E585" t="s">
        <v>149</v>
      </c>
      <c r="F585" t="s">
        <v>471</v>
      </c>
      <c r="G585" t="s">
        <v>83</v>
      </c>
      <c r="H585" t="s">
        <v>77</v>
      </c>
      <c r="I585" t="s">
        <v>15</v>
      </c>
      <c r="J585" t="s">
        <v>14</v>
      </c>
      <c r="K585" t="s">
        <v>13</v>
      </c>
      <c r="L585" t="s">
        <v>42</v>
      </c>
      <c r="M585" t="s">
        <v>11</v>
      </c>
      <c r="N585" t="s">
        <v>75</v>
      </c>
      <c r="O585" t="s">
        <v>130</v>
      </c>
      <c r="P585" t="s">
        <v>8</v>
      </c>
      <c r="Q585" t="s">
        <v>7</v>
      </c>
      <c r="R585" t="s">
        <v>6</v>
      </c>
      <c r="S585">
        <v>5</v>
      </c>
      <c r="T585">
        <v>5</v>
      </c>
      <c r="U585">
        <v>114</v>
      </c>
      <c r="V585" t="s">
        <v>0</v>
      </c>
      <c r="W585" t="s">
        <v>0</v>
      </c>
      <c r="X585" t="s">
        <v>0</v>
      </c>
      <c r="Y585" t="s">
        <v>4</v>
      </c>
      <c r="Z585" t="s">
        <v>0</v>
      </c>
      <c r="AA585">
        <v>0</v>
      </c>
      <c r="AB585">
        <v>0</v>
      </c>
      <c r="AC585">
        <v>0</v>
      </c>
      <c r="AD585" t="s">
        <v>3</v>
      </c>
      <c r="AE585" t="s">
        <v>0</v>
      </c>
      <c r="AF585" t="s">
        <v>3</v>
      </c>
      <c r="AG585" t="s">
        <v>2</v>
      </c>
      <c r="AI585" t="s">
        <v>23</v>
      </c>
      <c r="AJ585">
        <v>4</v>
      </c>
      <c r="AK585">
        <v>44</v>
      </c>
      <c r="AL585">
        <v>46</v>
      </c>
      <c r="AM585" t="s">
        <v>5</v>
      </c>
      <c r="AN585">
        <v>0</v>
      </c>
      <c r="AO585">
        <v>0</v>
      </c>
      <c r="AP585">
        <v>0</v>
      </c>
      <c r="AQ585">
        <v>1</v>
      </c>
    </row>
    <row r="586" spans="1:43" x14ac:dyDescent="0.25">
      <c r="A586" t="s">
        <v>2468</v>
      </c>
      <c r="B586" t="s">
        <v>2467</v>
      </c>
      <c r="C586" t="s">
        <v>2466</v>
      </c>
      <c r="D586" s="1">
        <v>45943</v>
      </c>
      <c r="E586" t="s">
        <v>125</v>
      </c>
      <c r="F586" t="s">
        <v>124</v>
      </c>
      <c r="G586" t="s">
        <v>123</v>
      </c>
      <c r="H586" t="s">
        <v>16</v>
      </c>
      <c r="I586" t="s">
        <v>147</v>
      </c>
      <c r="J586" t="s">
        <v>146</v>
      </c>
      <c r="K586" t="s">
        <v>145</v>
      </c>
      <c r="L586" t="s">
        <v>12</v>
      </c>
      <c r="M586" t="s">
        <v>27</v>
      </c>
      <c r="N586" t="s">
        <v>52</v>
      </c>
      <c r="O586" t="s">
        <v>51</v>
      </c>
      <c r="P586" t="s">
        <v>39</v>
      </c>
      <c r="Q586" t="s">
        <v>172</v>
      </c>
      <c r="R586" t="s">
        <v>6</v>
      </c>
      <c r="S586">
        <v>6</v>
      </c>
      <c r="T586">
        <v>3</v>
      </c>
      <c r="U586">
        <v>252</v>
      </c>
      <c r="V586" t="s">
        <v>182</v>
      </c>
      <c r="W586" t="s">
        <v>0</v>
      </c>
      <c r="X586" t="s">
        <v>0</v>
      </c>
      <c r="Y586" t="s">
        <v>4</v>
      </c>
      <c r="Z586" t="s">
        <v>5</v>
      </c>
      <c r="AA586">
        <v>5.59</v>
      </c>
      <c r="AB586">
        <v>0.09</v>
      </c>
      <c r="AC586">
        <v>0.37</v>
      </c>
      <c r="AD586" t="s">
        <v>3</v>
      </c>
      <c r="AE586" t="s">
        <v>0</v>
      </c>
      <c r="AF586" t="s">
        <v>3</v>
      </c>
      <c r="AG586" t="s">
        <v>2</v>
      </c>
      <c r="AI586" t="s">
        <v>332</v>
      </c>
      <c r="AJ586">
        <v>4</v>
      </c>
      <c r="AK586">
        <v>27</v>
      </c>
      <c r="AL586">
        <v>20</v>
      </c>
      <c r="AM586" t="s">
        <v>0</v>
      </c>
      <c r="AN586">
        <v>0</v>
      </c>
      <c r="AO586">
        <v>1</v>
      </c>
      <c r="AP586">
        <v>0</v>
      </c>
      <c r="AQ586">
        <v>0</v>
      </c>
    </row>
    <row r="587" spans="1:43" x14ac:dyDescent="0.25">
      <c r="A587" t="s">
        <v>2465</v>
      </c>
      <c r="B587" t="s">
        <v>1168</v>
      </c>
      <c r="C587" t="s">
        <v>2464</v>
      </c>
      <c r="D587" s="1">
        <v>45754</v>
      </c>
      <c r="E587" t="s">
        <v>149</v>
      </c>
      <c r="F587" t="s">
        <v>1382</v>
      </c>
      <c r="G587" t="s">
        <v>110</v>
      </c>
      <c r="H587" t="s">
        <v>16</v>
      </c>
      <c r="I587" t="s">
        <v>28</v>
      </c>
      <c r="J587" t="s">
        <v>146</v>
      </c>
      <c r="K587" t="s">
        <v>145</v>
      </c>
      <c r="L587" t="s">
        <v>64</v>
      </c>
      <c r="M587" t="s">
        <v>11</v>
      </c>
      <c r="N587" t="s">
        <v>41</v>
      </c>
      <c r="O587" t="s">
        <v>199</v>
      </c>
      <c r="P587" t="s">
        <v>63</v>
      </c>
      <c r="Q587" t="s">
        <v>24</v>
      </c>
      <c r="R587" t="s">
        <v>38</v>
      </c>
      <c r="S587">
        <v>5</v>
      </c>
      <c r="T587">
        <v>5</v>
      </c>
      <c r="U587">
        <v>123</v>
      </c>
      <c r="V587" t="s">
        <v>0</v>
      </c>
      <c r="W587" t="s">
        <v>5</v>
      </c>
      <c r="X587" t="s">
        <v>0</v>
      </c>
      <c r="Y587" t="s">
        <v>4</v>
      </c>
      <c r="Z587" t="s">
        <v>5</v>
      </c>
      <c r="AA587">
        <v>58.18</v>
      </c>
      <c r="AB587">
        <v>0</v>
      </c>
      <c r="AC587">
        <v>0</v>
      </c>
      <c r="AD587" t="s">
        <v>3</v>
      </c>
      <c r="AE587" t="s">
        <v>0</v>
      </c>
      <c r="AF587" t="s">
        <v>3</v>
      </c>
      <c r="AG587" t="s">
        <v>2</v>
      </c>
      <c r="AI587" t="s">
        <v>23</v>
      </c>
      <c r="AJ587">
        <v>4</v>
      </c>
      <c r="AK587">
        <v>20</v>
      </c>
      <c r="AL587" t="s">
        <v>347</v>
      </c>
      <c r="AM587" t="s">
        <v>5</v>
      </c>
      <c r="AN587">
        <v>1</v>
      </c>
      <c r="AO587">
        <v>1</v>
      </c>
      <c r="AP587">
        <v>0</v>
      </c>
      <c r="AQ587">
        <v>1</v>
      </c>
    </row>
    <row r="588" spans="1:43" x14ac:dyDescent="0.25">
      <c r="A588" t="s">
        <v>2463</v>
      </c>
      <c r="B588" t="s">
        <v>2462</v>
      </c>
      <c r="C588" t="s">
        <v>2461</v>
      </c>
      <c r="D588" s="1">
        <v>45846</v>
      </c>
      <c r="E588" t="s">
        <v>162</v>
      </c>
      <c r="F588" t="s">
        <v>540</v>
      </c>
      <c r="G588" t="s">
        <v>17</v>
      </c>
      <c r="H588" t="s">
        <v>29</v>
      </c>
      <c r="I588" t="s">
        <v>15</v>
      </c>
      <c r="J588" t="s">
        <v>55</v>
      </c>
      <c r="K588" t="s">
        <v>54</v>
      </c>
      <c r="L588" t="s">
        <v>117</v>
      </c>
      <c r="M588" t="s">
        <v>53</v>
      </c>
      <c r="N588" t="s">
        <v>154</v>
      </c>
      <c r="O588" t="s">
        <v>40</v>
      </c>
      <c r="P588" t="s">
        <v>39</v>
      </c>
      <c r="Q588" t="s">
        <v>7</v>
      </c>
      <c r="R588" t="s">
        <v>6</v>
      </c>
      <c r="S588">
        <v>8</v>
      </c>
      <c r="T588">
        <v>8</v>
      </c>
      <c r="U588">
        <v>222</v>
      </c>
      <c r="V588" t="s">
        <v>0</v>
      </c>
      <c r="W588" t="s">
        <v>0</v>
      </c>
      <c r="X588" t="s">
        <v>5</v>
      </c>
      <c r="Y588" t="s">
        <v>489</v>
      </c>
      <c r="Z588" t="s">
        <v>0</v>
      </c>
      <c r="AA588">
        <v>0</v>
      </c>
      <c r="AB588">
        <v>0</v>
      </c>
      <c r="AC588">
        <v>0</v>
      </c>
      <c r="AD588" t="s">
        <v>3</v>
      </c>
      <c r="AE588" t="s">
        <v>0</v>
      </c>
      <c r="AF588" t="s">
        <v>3</v>
      </c>
      <c r="AG588" t="s">
        <v>2</v>
      </c>
      <c r="AI588" t="s">
        <v>122</v>
      </c>
      <c r="AJ588">
        <v>3</v>
      </c>
      <c r="AK588">
        <v>-7</v>
      </c>
      <c r="AL588">
        <v>1</v>
      </c>
      <c r="AM588" t="s">
        <v>0</v>
      </c>
      <c r="AN588">
        <v>0</v>
      </c>
      <c r="AO588">
        <v>0</v>
      </c>
      <c r="AP588">
        <v>1</v>
      </c>
      <c r="AQ588">
        <v>0</v>
      </c>
    </row>
    <row r="589" spans="1:43" x14ac:dyDescent="0.25">
      <c r="A589" t="s">
        <v>2460</v>
      </c>
      <c r="B589" t="s">
        <v>2459</v>
      </c>
      <c r="C589" t="s">
        <v>2458</v>
      </c>
      <c r="D589" s="1">
        <v>45969</v>
      </c>
      <c r="E589" t="s">
        <v>19</v>
      </c>
      <c r="F589" t="s">
        <v>89</v>
      </c>
      <c r="G589" t="s">
        <v>17</v>
      </c>
      <c r="H589" t="s">
        <v>16</v>
      </c>
      <c r="I589" t="s">
        <v>28</v>
      </c>
      <c r="J589" t="s">
        <v>146</v>
      </c>
      <c r="K589" t="s">
        <v>176</v>
      </c>
      <c r="L589" t="s">
        <v>42</v>
      </c>
      <c r="M589" t="s">
        <v>27</v>
      </c>
      <c r="N589" t="s">
        <v>10</v>
      </c>
      <c r="O589" t="s">
        <v>199</v>
      </c>
      <c r="P589" t="s">
        <v>25</v>
      </c>
      <c r="Q589" t="s">
        <v>50</v>
      </c>
      <c r="R589" t="s">
        <v>38</v>
      </c>
      <c r="S589">
        <v>5</v>
      </c>
      <c r="T589">
        <v>3</v>
      </c>
      <c r="U589">
        <v>218</v>
      </c>
      <c r="V589" t="s">
        <v>5</v>
      </c>
      <c r="W589" t="s">
        <v>0</v>
      </c>
      <c r="X589" t="s">
        <v>0</v>
      </c>
      <c r="Y589" t="s">
        <v>4</v>
      </c>
      <c r="Z589" t="s">
        <v>0</v>
      </c>
      <c r="AA589">
        <v>0</v>
      </c>
      <c r="AB589">
        <v>0</v>
      </c>
      <c r="AC589">
        <v>0</v>
      </c>
      <c r="AD589" t="s">
        <v>3</v>
      </c>
      <c r="AE589" t="s">
        <v>0</v>
      </c>
      <c r="AF589" t="s">
        <v>3</v>
      </c>
      <c r="AG589" t="s">
        <v>2</v>
      </c>
      <c r="AI589" t="s">
        <v>1</v>
      </c>
      <c r="AJ589">
        <v>4</v>
      </c>
      <c r="AK589">
        <v>12</v>
      </c>
      <c r="AL589" t="s">
        <v>766</v>
      </c>
      <c r="AM589" t="s">
        <v>5</v>
      </c>
      <c r="AN589">
        <v>0</v>
      </c>
      <c r="AO589">
        <v>0</v>
      </c>
      <c r="AP589">
        <v>0</v>
      </c>
      <c r="AQ589">
        <v>1</v>
      </c>
    </row>
    <row r="590" spans="1:43" x14ac:dyDescent="0.25">
      <c r="A590" t="s">
        <v>2457</v>
      </c>
      <c r="B590" t="s">
        <v>393</v>
      </c>
      <c r="C590" t="s">
        <v>2456</v>
      </c>
      <c r="D590" s="1">
        <v>45890</v>
      </c>
      <c r="E590" t="s">
        <v>19</v>
      </c>
      <c r="F590" t="s">
        <v>89</v>
      </c>
      <c r="G590" t="s">
        <v>110</v>
      </c>
      <c r="H590" t="s">
        <v>77</v>
      </c>
      <c r="I590" t="s">
        <v>15</v>
      </c>
      <c r="J590" t="s">
        <v>14</v>
      </c>
      <c r="K590" t="s">
        <v>76</v>
      </c>
      <c r="L590" t="s">
        <v>88</v>
      </c>
      <c r="M590" t="s">
        <v>11</v>
      </c>
      <c r="N590" t="s">
        <v>116</v>
      </c>
      <c r="O590" t="s">
        <v>101</v>
      </c>
      <c r="P590" t="s">
        <v>63</v>
      </c>
      <c r="Q590" t="s">
        <v>7</v>
      </c>
      <c r="R590" t="s">
        <v>6</v>
      </c>
      <c r="S590">
        <v>4</v>
      </c>
      <c r="T590">
        <v>4</v>
      </c>
      <c r="U590">
        <v>77</v>
      </c>
      <c r="V590" t="s">
        <v>0</v>
      </c>
      <c r="W590" t="s">
        <v>5</v>
      </c>
      <c r="X590" t="s">
        <v>0</v>
      </c>
      <c r="Y590" t="s">
        <v>4</v>
      </c>
      <c r="Z590" t="s">
        <v>0</v>
      </c>
      <c r="AA590">
        <v>0</v>
      </c>
      <c r="AB590">
        <v>0</v>
      </c>
      <c r="AC590">
        <v>0</v>
      </c>
      <c r="AD590" t="s">
        <v>3</v>
      </c>
      <c r="AE590" t="s">
        <v>0</v>
      </c>
      <c r="AF590" t="s">
        <v>3</v>
      </c>
      <c r="AG590" t="s">
        <v>2</v>
      </c>
      <c r="AI590" t="s">
        <v>23</v>
      </c>
      <c r="AJ590">
        <v>4</v>
      </c>
      <c r="AK590">
        <v>-15</v>
      </c>
      <c r="AL590">
        <v>0</v>
      </c>
      <c r="AM590" t="s">
        <v>5</v>
      </c>
      <c r="AN590">
        <v>1</v>
      </c>
      <c r="AO590">
        <v>0</v>
      </c>
      <c r="AP590">
        <v>0</v>
      </c>
      <c r="AQ590">
        <v>1</v>
      </c>
    </row>
    <row r="591" spans="1:43" x14ac:dyDescent="0.25">
      <c r="A591" t="s">
        <v>2455</v>
      </c>
      <c r="B591" t="s">
        <v>2454</v>
      </c>
      <c r="C591" t="s">
        <v>2453</v>
      </c>
      <c r="D591" s="1">
        <v>46151</v>
      </c>
      <c r="E591" t="s">
        <v>19</v>
      </c>
      <c r="F591" t="s">
        <v>18</v>
      </c>
      <c r="G591" t="s">
        <v>30</v>
      </c>
      <c r="H591" t="s">
        <v>16</v>
      </c>
      <c r="I591" t="s">
        <v>15</v>
      </c>
      <c r="J591" t="s">
        <v>14</v>
      </c>
      <c r="K591" t="s">
        <v>13</v>
      </c>
      <c r="L591" t="s">
        <v>64</v>
      </c>
      <c r="M591" t="s">
        <v>11</v>
      </c>
      <c r="N591" t="s">
        <v>10</v>
      </c>
      <c r="O591" t="s">
        <v>199</v>
      </c>
      <c r="P591" t="s">
        <v>39</v>
      </c>
      <c r="Q591" t="s">
        <v>7</v>
      </c>
      <c r="R591" t="s">
        <v>6</v>
      </c>
      <c r="S591">
        <v>5</v>
      </c>
      <c r="T591">
        <v>5</v>
      </c>
      <c r="U591">
        <v>121</v>
      </c>
      <c r="V591" t="s">
        <v>0</v>
      </c>
      <c r="W591" t="s">
        <v>5</v>
      </c>
      <c r="X591" t="s">
        <v>0</v>
      </c>
      <c r="Y591" t="s">
        <v>4</v>
      </c>
      <c r="Z591" t="s">
        <v>5</v>
      </c>
      <c r="AA591">
        <v>7.14</v>
      </c>
      <c r="AB591">
        <v>0</v>
      </c>
      <c r="AC591">
        <v>0</v>
      </c>
      <c r="AD591" t="s">
        <v>3</v>
      </c>
      <c r="AE591" t="s">
        <v>0</v>
      </c>
      <c r="AF591" t="s">
        <v>3</v>
      </c>
      <c r="AG591" t="s">
        <v>2</v>
      </c>
      <c r="AI591" t="s">
        <v>23</v>
      </c>
      <c r="AJ591">
        <v>4</v>
      </c>
      <c r="AK591">
        <v>30</v>
      </c>
      <c r="AL591">
        <v>66</v>
      </c>
      <c r="AM591" t="s">
        <v>5</v>
      </c>
      <c r="AN591">
        <v>1</v>
      </c>
      <c r="AO591">
        <v>1</v>
      </c>
      <c r="AP591">
        <v>0</v>
      </c>
      <c r="AQ591">
        <v>1</v>
      </c>
    </row>
    <row r="592" spans="1:43" x14ac:dyDescent="0.25">
      <c r="A592" t="s">
        <v>2452</v>
      </c>
      <c r="B592" t="s">
        <v>2059</v>
      </c>
      <c r="C592" t="s">
        <v>2451</v>
      </c>
      <c r="D592" s="1">
        <v>45821</v>
      </c>
      <c r="E592" t="s">
        <v>112</v>
      </c>
      <c r="F592" t="s">
        <v>642</v>
      </c>
      <c r="G592" t="s">
        <v>110</v>
      </c>
      <c r="H592" t="s">
        <v>77</v>
      </c>
      <c r="I592" t="s">
        <v>15</v>
      </c>
      <c r="J592" t="s">
        <v>55</v>
      </c>
      <c r="K592" t="s">
        <v>54</v>
      </c>
      <c r="L592" t="s">
        <v>117</v>
      </c>
      <c r="M592" t="s">
        <v>11</v>
      </c>
      <c r="N592" t="s">
        <v>93</v>
      </c>
      <c r="O592" t="s">
        <v>199</v>
      </c>
      <c r="P592" t="s">
        <v>39</v>
      </c>
      <c r="Q592" t="s">
        <v>50</v>
      </c>
      <c r="R592" t="s">
        <v>38</v>
      </c>
      <c r="S592">
        <v>5</v>
      </c>
      <c r="T592">
        <v>3</v>
      </c>
      <c r="U592">
        <v>188</v>
      </c>
      <c r="V592" t="s">
        <v>5</v>
      </c>
      <c r="W592" t="s">
        <v>5</v>
      </c>
      <c r="X592" t="s">
        <v>5</v>
      </c>
      <c r="Y592" t="s">
        <v>410</v>
      </c>
      <c r="Z592" t="s">
        <v>5</v>
      </c>
      <c r="AA592">
        <v>78.88</v>
      </c>
      <c r="AB592">
        <v>0</v>
      </c>
      <c r="AC592">
        <v>0</v>
      </c>
      <c r="AD592" t="s">
        <v>3</v>
      </c>
      <c r="AE592" t="s">
        <v>0</v>
      </c>
      <c r="AF592" t="s">
        <v>3</v>
      </c>
      <c r="AG592" t="s">
        <v>2</v>
      </c>
      <c r="AI592" t="s">
        <v>23</v>
      </c>
      <c r="AJ592">
        <v>2</v>
      </c>
      <c r="AK592">
        <v>-35</v>
      </c>
      <c r="AL592">
        <v>6</v>
      </c>
      <c r="AM592" t="s">
        <v>5</v>
      </c>
      <c r="AN592">
        <v>1</v>
      </c>
      <c r="AO592">
        <v>1</v>
      </c>
      <c r="AP592">
        <v>1</v>
      </c>
      <c r="AQ592">
        <v>1</v>
      </c>
    </row>
    <row r="593" spans="1:43" x14ac:dyDescent="0.25">
      <c r="A593" t="s">
        <v>2450</v>
      </c>
      <c r="B593" t="s">
        <v>1680</v>
      </c>
      <c r="C593" t="s">
        <v>2449</v>
      </c>
      <c r="D593" s="1">
        <v>45710</v>
      </c>
      <c r="E593" t="s">
        <v>68</v>
      </c>
      <c r="F593" t="s">
        <v>2234</v>
      </c>
      <c r="G593" t="s">
        <v>123</v>
      </c>
      <c r="H593" t="s">
        <v>66</v>
      </c>
      <c r="I593" t="s">
        <v>28</v>
      </c>
      <c r="J593" t="s">
        <v>14</v>
      </c>
      <c r="K593" t="s">
        <v>13</v>
      </c>
      <c r="L593" t="s">
        <v>42</v>
      </c>
      <c r="M593" t="s">
        <v>11</v>
      </c>
      <c r="N593" t="s">
        <v>10</v>
      </c>
      <c r="O593" t="s">
        <v>130</v>
      </c>
      <c r="P593" t="s">
        <v>63</v>
      </c>
      <c r="Q593" t="s">
        <v>7</v>
      </c>
      <c r="R593" t="s">
        <v>6</v>
      </c>
      <c r="S593">
        <v>5</v>
      </c>
      <c r="T593">
        <v>5</v>
      </c>
      <c r="U593">
        <v>142</v>
      </c>
      <c r="V593" t="s">
        <v>0</v>
      </c>
      <c r="W593" t="s">
        <v>5</v>
      </c>
      <c r="X593" t="s">
        <v>0</v>
      </c>
      <c r="Y593" t="s">
        <v>4</v>
      </c>
      <c r="Z593" t="s">
        <v>5</v>
      </c>
      <c r="AA593">
        <v>145.30000000000001</v>
      </c>
      <c r="AB593">
        <v>0</v>
      </c>
      <c r="AC593">
        <v>0</v>
      </c>
      <c r="AD593" t="s">
        <v>3</v>
      </c>
      <c r="AE593" t="s">
        <v>0</v>
      </c>
      <c r="AF593" t="s">
        <v>3</v>
      </c>
      <c r="AG593" t="s">
        <v>2</v>
      </c>
      <c r="AI593" t="s">
        <v>23</v>
      </c>
      <c r="AJ593">
        <v>5</v>
      </c>
      <c r="AK593">
        <v>48</v>
      </c>
      <c r="AL593">
        <v>0</v>
      </c>
      <c r="AM593" t="s">
        <v>5</v>
      </c>
      <c r="AN593">
        <v>1</v>
      </c>
      <c r="AO593">
        <v>1</v>
      </c>
      <c r="AP593">
        <v>0</v>
      </c>
      <c r="AQ593">
        <v>1</v>
      </c>
    </row>
    <row r="594" spans="1:43" x14ac:dyDescent="0.25">
      <c r="A594" t="s">
        <v>2448</v>
      </c>
      <c r="B594" t="s">
        <v>2398</v>
      </c>
      <c r="C594" t="s">
        <v>2447</v>
      </c>
      <c r="D594" s="1">
        <v>45831</v>
      </c>
      <c r="E594" t="s">
        <v>162</v>
      </c>
      <c r="F594" t="s">
        <v>310</v>
      </c>
      <c r="G594" t="s">
        <v>83</v>
      </c>
      <c r="H594" t="s">
        <v>43</v>
      </c>
      <c r="I594" t="s">
        <v>28</v>
      </c>
      <c r="J594" t="s">
        <v>146</v>
      </c>
      <c r="K594" t="s">
        <v>145</v>
      </c>
      <c r="L594" t="s">
        <v>88</v>
      </c>
      <c r="M594" t="s">
        <v>11</v>
      </c>
      <c r="N594" t="s">
        <v>269</v>
      </c>
      <c r="O594" t="s">
        <v>74</v>
      </c>
      <c r="P594" t="s">
        <v>8</v>
      </c>
      <c r="Q594" t="s">
        <v>7</v>
      </c>
      <c r="R594" t="s">
        <v>6</v>
      </c>
      <c r="S594">
        <v>6</v>
      </c>
      <c r="T594">
        <v>5</v>
      </c>
      <c r="U594">
        <v>159</v>
      </c>
      <c r="V594" t="s">
        <v>5</v>
      </c>
      <c r="W594" t="s">
        <v>5</v>
      </c>
      <c r="X594" t="s">
        <v>0</v>
      </c>
      <c r="Y594" t="s">
        <v>4</v>
      </c>
      <c r="Z594" t="s">
        <v>5</v>
      </c>
      <c r="AA594">
        <v>0</v>
      </c>
      <c r="AB594">
        <v>0</v>
      </c>
      <c r="AC594">
        <v>0</v>
      </c>
      <c r="AD594" t="s">
        <v>3</v>
      </c>
      <c r="AE594" t="s">
        <v>0</v>
      </c>
      <c r="AF594" t="s">
        <v>3</v>
      </c>
      <c r="AG594" t="s">
        <v>2</v>
      </c>
      <c r="AI594" t="s">
        <v>23</v>
      </c>
      <c r="AJ594">
        <v>2</v>
      </c>
      <c r="AK594">
        <v>6</v>
      </c>
      <c r="AL594" t="s">
        <v>2389</v>
      </c>
      <c r="AM594" t="s">
        <v>0</v>
      </c>
      <c r="AN594">
        <v>1</v>
      </c>
      <c r="AO594">
        <v>1</v>
      </c>
      <c r="AP594">
        <v>0</v>
      </c>
      <c r="AQ594">
        <v>0</v>
      </c>
    </row>
    <row r="595" spans="1:43" x14ac:dyDescent="0.25">
      <c r="A595" t="s">
        <v>2446</v>
      </c>
      <c r="B595" t="s">
        <v>2445</v>
      </c>
      <c r="C595" t="s">
        <v>2444</v>
      </c>
      <c r="D595" s="1">
        <v>46029</v>
      </c>
      <c r="E595" t="s">
        <v>19</v>
      </c>
      <c r="F595" t="s">
        <v>295</v>
      </c>
      <c r="G595" t="s">
        <v>30</v>
      </c>
      <c r="H595" t="s">
        <v>43</v>
      </c>
      <c r="I595" t="s">
        <v>28</v>
      </c>
      <c r="J595" t="s">
        <v>14</v>
      </c>
      <c r="K595" t="s">
        <v>76</v>
      </c>
      <c r="L595" t="s">
        <v>64</v>
      </c>
      <c r="M595" t="s">
        <v>11</v>
      </c>
      <c r="N595" t="s">
        <v>10</v>
      </c>
      <c r="O595" t="s">
        <v>26</v>
      </c>
      <c r="P595" t="s">
        <v>63</v>
      </c>
      <c r="Q595" t="s">
        <v>50</v>
      </c>
      <c r="R595" t="s">
        <v>38</v>
      </c>
      <c r="S595">
        <v>4</v>
      </c>
      <c r="T595">
        <v>4</v>
      </c>
      <c r="U595">
        <v>95</v>
      </c>
      <c r="V595" t="s">
        <v>0</v>
      </c>
      <c r="W595" t="s">
        <v>5</v>
      </c>
      <c r="X595" t="s">
        <v>0</v>
      </c>
      <c r="Y595" t="s">
        <v>4</v>
      </c>
      <c r="Z595" t="s">
        <v>5</v>
      </c>
      <c r="AA595">
        <v>185.72</v>
      </c>
      <c r="AB595">
        <v>0.18</v>
      </c>
      <c r="AC595">
        <v>0</v>
      </c>
      <c r="AD595" t="s">
        <v>3</v>
      </c>
      <c r="AE595" t="s">
        <v>0</v>
      </c>
      <c r="AF595" t="s">
        <v>3</v>
      </c>
      <c r="AG595" t="s">
        <v>2</v>
      </c>
      <c r="AI595" t="s">
        <v>23</v>
      </c>
      <c r="AJ595">
        <v>4</v>
      </c>
      <c r="AK595">
        <v>22</v>
      </c>
      <c r="AL595">
        <v>0</v>
      </c>
      <c r="AM595" t="s">
        <v>5</v>
      </c>
      <c r="AN595">
        <v>1</v>
      </c>
      <c r="AO595">
        <v>1</v>
      </c>
      <c r="AP595">
        <v>0</v>
      </c>
      <c r="AQ595">
        <v>1</v>
      </c>
    </row>
    <row r="596" spans="1:43" x14ac:dyDescent="0.25">
      <c r="A596" t="s">
        <v>2443</v>
      </c>
      <c r="B596" t="s">
        <v>2442</v>
      </c>
      <c r="C596" t="s">
        <v>2441</v>
      </c>
      <c r="D596" s="1">
        <v>45926</v>
      </c>
      <c r="E596" t="s">
        <v>125</v>
      </c>
      <c r="F596" t="s">
        <v>124</v>
      </c>
      <c r="G596" t="s">
        <v>123</v>
      </c>
      <c r="H596" t="s">
        <v>43</v>
      </c>
      <c r="I596" t="s">
        <v>15</v>
      </c>
      <c r="J596" t="s">
        <v>146</v>
      </c>
      <c r="K596" t="s">
        <v>145</v>
      </c>
      <c r="L596" t="s">
        <v>64</v>
      </c>
      <c r="M596" t="s">
        <v>299</v>
      </c>
      <c r="N596" t="s">
        <v>41</v>
      </c>
      <c r="O596" t="s">
        <v>193</v>
      </c>
      <c r="P596" t="s">
        <v>39</v>
      </c>
      <c r="Q596" t="s">
        <v>50</v>
      </c>
      <c r="R596" t="s">
        <v>6</v>
      </c>
      <c r="S596">
        <v>9</v>
      </c>
      <c r="T596">
        <v>9</v>
      </c>
      <c r="U596">
        <v>174</v>
      </c>
      <c r="V596" t="s">
        <v>0</v>
      </c>
      <c r="W596" t="s">
        <v>0</v>
      </c>
      <c r="X596" t="s">
        <v>0</v>
      </c>
      <c r="Y596" t="s">
        <v>4</v>
      </c>
      <c r="Z596" t="s">
        <v>0</v>
      </c>
      <c r="AA596">
        <v>0</v>
      </c>
      <c r="AB596">
        <v>0</v>
      </c>
      <c r="AC596">
        <v>0</v>
      </c>
      <c r="AD596" t="s">
        <v>3</v>
      </c>
      <c r="AE596" t="s">
        <v>0</v>
      </c>
      <c r="AF596" t="s">
        <v>3</v>
      </c>
      <c r="AG596" t="s">
        <v>2</v>
      </c>
      <c r="AI596" t="s">
        <v>23</v>
      </c>
      <c r="AJ596">
        <v>2</v>
      </c>
      <c r="AK596">
        <v>6</v>
      </c>
      <c r="AL596">
        <v>34</v>
      </c>
      <c r="AM596" t="s">
        <v>0</v>
      </c>
      <c r="AN596">
        <v>0</v>
      </c>
      <c r="AO596">
        <v>0</v>
      </c>
      <c r="AP596">
        <v>0</v>
      </c>
      <c r="AQ596">
        <v>0</v>
      </c>
    </row>
    <row r="597" spans="1:43" x14ac:dyDescent="0.25">
      <c r="A597" t="s">
        <v>2440</v>
      </c>
      <c r="B597" t="s">
        <v>754</v>
      </c>
      <c r="C597" t="s">
        <v>2439</v>
      </c>
      <c r="D597" s="1">
        <v>45826</v>
      </c>
      <c r="E597" t="s">
        <v>45</v>
      </c>
      <c r="F597" t="s">
        <v>559</v>
      </c>
      <c r="G597" t="s">
        <v>17</v>
      </c>
      <c r="H597" t="s">
        <v>29</v>
      </c>
      <c r="I597" t="s">
        <v>15</v>
      </c>
      <c r="J597" t="s">
        <v>14</v>
      </c>
      <c r="K597" t="s">
        <v>13</v>
      </c>
      <c r="L597" t="s">
        <v>117</v>
      </c>
      <c r="M597" t="s">
        <v>11</v>
      </c>
      <c r="N597" t="s">
        <v>10</v>
      </c>
      <c r="O597" t="s">
        <v>26</v>
      </c>
      <c r="P597" t="s">
        <v>39</v>
      </c>
      <c r="Q597" t="s">
        <v>7</v>
      </c>
      <c r="R597" t="s">
        <v>6</v>
      </c>
      <c r="S597">
        <v>4</v>
      </c>
      <c r="T597">
        <v>4</v>
      </c>
      <c r="U597">
        <v>94</v>
      </c>
      <c r="V597" t="s">
        <v>0</v>
      </c>
      <c r="W597" t="s">
        <v>0</v>
      </c>
      <c r="X597" t="s">
        <v>0</v>
      </c>
      <c r="Y597" t="s">
        <v>4</v>
      </c>
      <c r="Z597" t="s">
        <v>5</v>
      </c>
      <c r="AA597">
        <v>229.65</v>
      </c>
      <c r="AB597">
        <v>0.21</v>
      </c>
      <c r="AC597">
        <v>0</v>
      </c>
      <c r="AD597" t="s">
        <v>3</v>
      </c>
      <c r="AE597" t="s">
        <v>0</v>
      </c>
      <c r="AF597" t="s">
        <v>3</v>
      </c>
      <c r="AG597" t="s">
        <v>2</v>
      </c>
      <c r="AI597" t="s">
        <v>1</v>
      </c>
      <c r="AJ597">
        <v>3</v>
      </c>
      <c r="AK597">
        <v>-9</v>
      </c>
      <c r="AL597">
        <v>24</v>
      </c>
      <c r="AM597" t="s">
        <v>5</v>
      </c>
      <c r="AN597">
        <v>0</v>
      </c>
      <c r="AO597">
        <v>1</v>
      </c>
      <c r="AP597">
        <v>0</v>
      </c>
      <c r="AQ597">
        <v>1</v>
      </c>
    </row>
    <row r="598" spans="1:43" x14ac:dyDescent="0.25">
      <c r="A598" t="s">
        <v>2438</v>
      </c>
      <c r="B598" t="s">
        <v>2437</v>
      </c>
      <c r="C598" t="s">
        <v>2436</v>
      </c>
      <c r="D598" s="1">
        <v>45899</v>
      </c>
      <c r="E598" t="s">
        <v>162</v>
      </c>
      <c r="F598" t="s">
        <v>310</v>
      </c>
      <c r="G598" t="s">
        <v>123</v>
      </c>
      <c r="H598" t="s">
        <v>77</v>
      </c>
      <c r="I598" t="s">
        <v>28</v>
      </c>
      <c r="J598" t="s">
        <v>14</v>
      </c>
      <c r="K598" t="s">
        <v>13</v>
      </c>
      <c r="L598" t="s">
        <v>42</v>
      </c>
      <c r="M598" t="s">
        <v>11</v>
      </c>
      <c r="N598" t="s">
        <v>75</v>
      </c>
      <c r="O598" t="s">
        <v>74</v>
      </c>
      <c r="P598" t="s">
        <v>63</v>
      </c>
      <c r="Q598" t="s">
        <v>7</v>
      </c>
      <c r="R598" t="s">
        <v>6</v>
      </c>
      <c r="S598">
        <v>6</v>
      </c>
      <c r="T598">
        <v>6</v>
      </c>
      <c r="U598">
        <v>176</v>
      </c>
      <c r="V598" t="s">
        <v>0</v>
      </c>
      <c r="W598" t="s">
        <v>135</v>
      </c>
      <c r="X598" t="s">
        <v>0</v>
      </c>
      <c r="Y598" t="s">
        <v>4</v>
      </c>
      <c r="Z598" t="s">
        <v>0</v>
      </c>
      <c r="AA598">
        <v>0</v>
      </c>
      <c r="AB598">
        <v>0</v>
      </c>
      <c r="AC598">
        <v>0</v>
      </c>
      <c r="AD598" t="s">
        <v>3</v>
      </c>
      <c r="AE598" t="s">
        <v>0</v>
      </c>
      <c r="AF598" t="s">
        <v>3</v>
      </c>
      <c r="AG598" t="s">
        <v>2</v>
      </c>
      <c r="AI598" t="s">
        <v>23</v>
      </c>
      <c r="AJ598">
        <v>3</v>
      </c>
      <c r="AK598">
        <v>-6</v>
      </c>
      <c r="AL598">
        <v>0</v>
      </c>
      <c r="AM598" t="s">
        <v>0</v>
      </c>
      <c r="AN598">
        <v>0</v>
      </c>
      <c r="AO598">
        <v>0</v>
      </c>
      <c r="AP598">
        <v>0</v>
      </c>
      <c r="AQ598">
        <v>0</v>
      </c>
    </row>
    <row r="599" spans="1:43" x14ac:dyDescent="0.25">
      <c r="A599" t="s">
        <v>2435</v>
      </c>
      <c r="B599" t="s">
        <v>418</v>
      </c>
      <c r="C599" t="s">
        <v>2434</v>
      </c>
      <c r="D599" s="1">
        <v>45871</v>
      </c>
      <c r="E599" t="s">
        <v>32</v>
      </c>
      <c r="F599" t="s">
        <v>31</v>
      </c>
      <c r="G599" t="s">
        <v>123</v>
      </c>
      <c r="H599" t="s">
        <v>237</v>
      </c>
      <c r="I599" t="s">
        <v>15</v>
      </c>
      <c r="J599" t="s">
        <v>55</v>
      </c>
      <c r="K599" t="s">
        <v>54</v>
      </c>
      <c r="L599" t="s">
        <v>12</v>
      </c>
      <c r="M599" t="s">
        <v>27</v>
      </c>
      <c r="N599" t="s">
        <v>93</v>
      </c>
      <c r="O599" t="s">
        <v>26</v>
      </c>
      <c r="P599" t="s">
        <v>39</v>
      </c>
      <c r="Q599" t="s">
        <v>198</v>
      </c>
      <c r="R599" t="s">
        <v>38</v>
      </c>
      <c r="S599">
        <v>4</v>
      </c>
      <c r="T599">
        <v>3</v>
      </c>
      <c r="U599">
        <v>165</v>
      </c>
      <c r="V599" t="s">
        <v>5</v>
      </c>
      <c r="W599" t="s">
        <v>0</v>
      </c>
      <c r="X599" t="s">
        <v>0</v>
      </c>
      <c r="Y599" t="s">
        <v>4</v>
      </c>
      <c r="Z599" t="s">
        <v>5</v>
      </c>
      <c r="AA599">
        <v>83.34</v>
      </c>
      <c r="AB599">
        <v>0.19</v>
      </c>
      <c r="AC599">
        <v>0.37</v>
      </c>
      <c r="AD599" t="s">
        <v>3</v>
      </c>
      <c r="AE599" t="s">
        <v>0</v>
      </c>
      <c r="AF599" t="s">
        <v>3</v>
      </c>
      <c r="AG599" t="s">
        <v>2</v>
      </c>
      <c r="AI599" t="s">
        <v>332</v>
      </c>
      <c r="AJ599">
        <v>3</v>
      </c>
      <c r="AK599">
        <v>4</v>
      </c>
      <c r="AL599">
        <v>32</v>
      </c>
      <c r="AM599" t="s">
        <v>0</v>
      </c>
      <c r="AN599">
        <v>0</v>
      </c>
      <c r="AO599">
        <v>1</v>
      </c>
      <c r="AP599">
        <v>0</v>
      </c>
      <c r="AQ599">
        <v>0</v>
      </c>
    </row>
    <row r="600" spans="1:43" x14ac:dyDescent="0.25">
      <c r="A600" t="s">
        <v>2433</v>
      </c>
      <c r="B600" t="s">
        <v>267</v>
      </c>
      <c r="C600" t="s">
        <v>2432</v>
      </c>
      <c r="D600" s="1">
        <v>45908</v>
      </c>
      <c r="E600" t="s">
        <v>125</v>
      </c>
      <c r="F600" t="s">
        <v>1432</v>
      </c>
      <c r="G600" t="s">
        <v>123</v>
      </c>
      <c r="H600" t="s">
        <v>43</v>
      </c>
      <c r="I600" t="s">
        <v>28</v>
      </c>
      <c r="J600" t="s">
        <v>55</v>
      </c>
      <c r="K600" t="s">
        <v>54</v>
      </c>
      <c r="L600" t="s">
        <v>64</v>
      </c>
      <c r="M600" t="s">
        <v>53</v>
      </c>
      <c r="N600" t="s">
        <v>52</v>
      </c>
      <c r="O600" t="s">
        <v>199</v>
      </c>
      <c r="P600" t="s">
        <v>39</v>
      </c>
      <c r="Q600" t="s">
        <v>7</v>
      </c>
      <c r="R600" t="s">
        <v>6</v>
      </c>
      <c r="S600">
        <v>5</v>
      </c>
      <c r="T600">
        <v>5</v>
      </c>
      <c r="U600">
        <v>163</v>
      </c>
      <c r="V600" t="s">
        <v>0</v>
      </c>
      <c r="W600" t="s">
        <v>5</v>
      </c>
      <c r="X600" t="s">
        <v>5</v>
      </c>
      <c r="Y600" t="s">
        <v>410</v>
      </c>
      <c r="Z600" t="s">
        <v>247</v>
      </c>
      <c r="AA600">
        <v>1.1100000000000001</v>
      </c>
      <c r="AB600">
        <v>0</v>
      </c>
      <c r="AC600">
        <v>0.17</v>
      </c>
      <c r="AD600" t="s">
        <v>3</v>
      </c>
      <c r="AE600" t="s">
        <v>0</v>
      </c>
      <c r="AF600" t="s">
        <v>3</v>
      </c>
      <c r="AG600" t="s">
        <v>2</v>
      </c>
      <c r="AI600" t="s">
        <v>23</v>
      </c>
      <c r="AJ600">
        <v>3</v>
      </c>
      <c r="AK600">
        <v>-11</v>
      </c>
      <c r="AL600">
        <v>39</v>
      </c>
      <c r="AM600" t="s">
        <v>5</v>
      </c>
      <c r="AN600">
        <v>1</v>
      </c>
      <c r="AO600">
        <v>0</v>
      </c>
      <c r="AP600">
        <v>1</v>
      </c>
      <c r="AQ600">
        <v>1</v>
      </c>
    </row>
    <row r="601" spans="1:43" x14ac:dyDescent="0.25">
      <c r="A601" t="s">
        <v>2431</v>
      </c>
      <c r="B601" t="s">
        <v>1401</v>
      </c>
      <c r="C601" t="s">
        <v>2430</v>
      </c>
      <c r="D601" s="1">
        <v>45658</v>
      </c>
      <c r="E601" t="s">
        <v>19</v>
      </c>
      <c r="F601" t="s">
        <v>255</v>
      </c>
      <c r="G601" t="s">
        <v>17</v>
      </c>
      <c r="H601" t="s">
        <v>16</v>
      </c>
      <c r="I601" t="s">
        <v>28</v>
      </c>
      <c r="J601" t="s">
        <v>14</v>
      </c>
      <c r="K601" t="s">
        <v>13</v>
      </c>
      <c r="L601" t="s">
        <v>88</v>
      </c>
      <c r="M601" t="s">
        <v>11</v>
      </c>
      <c r="N601" t="s">
        <v>52</v>
      </c>
      <c r="O601" t="s">
        <v>9</v>
      </c>
      <c r="P601" t="s">
        <v>63</v>
      </c>
      <c r="Q601" t="s">
        <v>7</v>
      </c>
      <c r="R601" t="s">
        <v>6</v>
      </c>
      <c r="S601">
        <v>7</v>
      </c>
      <c r="T601" t="s">
        <v>242</v>
      </c>
      <c r="U601">
        <v>179</v>
      </c>
      <c r="V601" t="s">
        <v>0</v>
      </c>
      <c r="W601" t="s">
        <v>5</v>
      </c>
      <c r="X601" t="s">
        <v>0</v>
      </c>
      <c r="Y601" t="s">
        <v>4</v>
      </c>
      <c r="Z601" t="s">
        <v>5</v>
      </c>
      <c r="AA601">
        <v>88.37</v>
      </c>
      <c r="AB601">
        <v>0</v>
      </c>
      <c r="AC601">
        <v>0</v>
      </c>
      <c r="AD601" t="s">
        <v>3</v>
      </c>
      <c r="AE601" t="s">
        <v>0</v>
      </c>
      <c r="AF601" t="s">
        <v>3</v>
      </c>
      <c r="AG601" t="s">
        <v>2</v>
      </c>
      <c r="AI601" t="s">
        <v>23</v>
      </c>
      <c r="AJ601">
        <v>4</v>
      </c>
      <c r="AK601">
        <v>33</v>
      </c>
      <c r="AL601">
        <v>0</v>
      </c>
      <c r="AM601" t="s">
        <v>5</v>
      </c>
      <c r="AN601">
        <v>1</v>
      </c>
      <c r="AO601">
        <v>1</v>
      </c>
      <c r="AP601">
        <v>0</v>
      </c>
      <c r="AQ601">
        <v>1</v>
      </c>
    </row>
    <row r="602" spans="1:43" x14ac:dyDescent="0.25">
      <c r="A602" t="s">
        <v>2429</v>
      </c>
      <c r="B602" t="s">
        <v>151</v>
      </c>
      <c r="C602" t="s">
        <v>2428</v>
      </c>
      <c r="D602" s="1">
        <v>45889</v>
      </c>
      <c r="E602" t="s">
        <v>156</v>
      </c>
      <c r="F602" t="s">
        <v>238</v>
      </c>
      <c r="G602" t="s">
        <v>30</v>
      </c>
      <c r="H602" t="s">
        <v>16</v>
      </c>
      <c r="I602" t="s">
        <v>28</v>
      </c>
      <c r="J602" t="s">
        <v>14</v>
      </c>
      <c r="K602" t="s">
        <v>13</v>
      </c>
      <c r="L602" t="s">
        <v>88</v>
      </c>
      <c r="M602" t="s">
        <v>27</v>
      </c>
      <c r="N602" t="s">
        <v>116</v>
      </c>
      <c r="O602" t="s">
        <v>40</v>
      </c>
      <c r="P602" t="s">
        <v>25</v>
      </c>
      <c r="Q602" t="s">
        <v>7</v>
      </c>
      <c r="R602" t="s">
        <v>6</v>
      </c>
      <c r="S602">
        <v>8</v>
      </c>
      <c r="T602">
        <v>8</v>
      </c>
      <c r="U602">
        <v>190</v>
      </c>
      <c r="V602" t="s">
        <v>0</v>
      </c>
      <c r="W602" t="s">
        <v>5</v>
      </c>
      <c r="X602" t="s">
        <v>0</v>
      </c>
      <c r="Y602" t="s">
        <v>4</v>
      </c>
      <c r="Z602" t="s">
        <v>0</v>
      </c>
      <c r="AA602">
        <v>0</v>
      </c>
      <c r="AB602">
        <v>0</v>
      </c>
      <c r="AC602">
        <v>0</v>
      </c>
      <c r="AD602" t="s">
        <v>3</v>
      </c>
      <c r="AE602" t="s">
        <v>0</v>
      </c>
      <c r="AF602" t="s">
        <v>3</v>
      </c>
      <c r="AG602" t="s">
        <v>2</v>
      </c>
      <c r="AI602" t="s">
        <v>23</v>
      </c>
      <c r="AJ602">
        <v>4</v>
      </c>
      <c r="AK602">
        <v>-4</v>
      </c>
      <c r="AL602">
        <v>27</v>
      </c>
      <c r="AM602" t="s">
        <v>5</v>
      </c>
      <c r="AN602">
        <v>1</v>
      </c>
      <c r="AO602">
        <v>0</v>
      </c>
      <c r="AP602">
        <v>0</v>
      </c>
      <c r="AQ602">
        <v>1</v>
      </c>
    </row>
    <row r="603" spans="1:43" x14ac:dyDescent="0.25">
      <c r="A603" t="s">
        <v>2427</v>
      </c>
      <c r="B603" t="s">
        <v>1757</v>
      </c>
      <c r="C603" t="s">
        <v>2426</v>
      </c>
      <c r="D603" s="1">
        <v>46173</v>
      </c>
      <c r="E603" t="s">
        <v>156</v>
      </c>
      <c r="F603" t="s">
        <v>325</v>
      </c>
      <c r="G603" t="s">
        <v>110</v>
      </c>
      <c r="H603" t="s">
        <v>43</v>
      </c>
      <c r="I603" t="s">
        <v>15</v>
      </c>
      <c r="J603" t="s">
        <v>14</v>
      </c>
      <c r="K603" t="s">
        <v>76</v>
      </c>
      <c r="L603" t="s">
        <v>42</v>
      </c>
      <c r="M603" t="s">
        <v>27</v>
      </c>
      <c r="N603" t="s">
        <v>52</v>
      </c>
      <c r="O603" t="s">
        <v>74</v>
      </c>
      <c r="P603" t="s">
        <v>63</v>
      </c>
      <c r="Q603" t="s">
        <v>198</v>
      </c>
      <c r="R603" t="s">
        <v>6</v>
      </c>
      <c r="S603">
        <v>6</v>
      </c>
      <c r="T603">
        <v>5</v>
      </c>
      <c r="U603">
        <v>216</v>
      </c>
      <c r="V603" t="s">
        <v>5</v>
      </c>
      <c r="W603" t="s">
        <v>0</v>
      </c>
      <c r="X603" t="s">
        <v>0</v>
      </c>
      <c r="Y603" t="s">
        <v>4</v>
      </c>
      <c r="Z603" t="s">
        <v>0</v>
      </c>
      <c r="AA603">
        <v>0</v>
      </c>
      <c r="AB603">
        <v>0</v>
      </c>
      <c r="AC603">
        <v>0</v>
      </c>
      <c r="AD603" t="s">
        <v>3</v>
      </c>
      <c r="AE603" t="s">
        <v>0</v>
      </c>
      <c r="AF603" t="s">
        <v>3</v>
      </c>
      <c r="AG603" t="s">
        <v>2</v>
      </c>
      <c r="AI603" t="s">
        <v>1</v>
      </c>
      <c r="AJ603">
        <v>2</v>
      </c>
      <c r="AK603">
        <v>-30</v>
      </c>
      <c r="AL603">
        <v>0</v>
      </c>
      <c r="AM603" t="s">
        <v>5</v>
      </c>
      <c r="AN603">
        <v>0</v>
      </c>
      <c r="AO603">
        <v>0</v>
      </c>
      <c r="AP603">
        <v>0</v>
      </c>
      <c r="AQ603">
        <v>1</v>
      </c>
    </row>
    <row r="604" spans="1:43" x14ac:dyDescent="0.25">
      <c r="A604" t="s">
        <v>2425</v>
      </c>
      <c r="B604" t="s">
        <v>1313</v>
      </c>
      <c r="C604" t="s">
        <v>2424</v>
      </c>
      <c r="D604" s="1">
        <v>45859</v>
      </c>
      <c r="E604" t="s">
        <v>45</v>
      </c>
      <c r="F604" t="s">
        <v>44</v>
      </c>
      <c r="G604" t="s">
        <v>123</v>
      </c>
      <c r="H604" t="s">
        <v>16</v>
      </c>
      <c r="I604" t="s">
        <v>28</v>
      </c>
      <c r="J604" t="s">
        <v>55</v>
      </c>
      <c r="K604" t="s">
        <v>54</v>
      </c>
      <c r="L604" t="s">
        <v>12</v>
      </c>
      <c r="M604" t="s">
        <v>11</v>
      </c>
      <c r="N604" t="s">
        <v>93</v>
      </c>
      <c r="O604" t="s">
        <v>199</v>
      </c>
      <c r="P604" t="s">
        <v>8</v>
      </c>
      <c r="Q604" t="s">
        <v>7</v>
      </c>
      <c r="R604" t="s">
        <v>6</v>
      </c>
      <c r="S604">
        <v>5</v>
      </c>
      <c r="T604">
        <v>4</v>
      </c>
      <c r="U604">
        <v>328</v>
      </c>
      <c r="V604" t="s">
        <v>5</v>
      </c>
      <c r="W604" t="s">
        <v>0</v>
      </c>
      <c r="X604" t="s">
        <v>5</v>
      </c>
      <c r="Y604" t="s">
        <v>282</v>
      </c>
      <c r="Z604" t="s">
        <v>0</v>
      </c>
      <c r="AA604">
        <v>0</v>
      </c>
      <c r="AB604">
        <v>0</v>
      </c>
      <c r="AC604">
        <v>0</v>
      </c>
      <c r="AD604" t="s">
        <v>3</v>
      </c>
      <c r="AE604" t="s">
        <v>0</v>
      </c>
      <c r="AF604" t="s">
        <v>3</v>
      </c>
      <c r="AG604" t="s">
        <v>2</v>
      </c>
      <c r="AI604" t="s">
        <v>1</v>
      </c>
      <c r="AJ604">
        <v>1</v>
      </c>
      <c r="AK604">
        <v>-150</v>
      </c>
      <c r="AL604">
        <v>8</v>
      </c>
      <c r="AM604" t="s">
        <v>5</v>
      </c>
      <c r="AN604">
        <v>0</v>
      </c>
      <c r="AO604">
        <v>0</v>
      </c>
      <c r="AP604">
        <v>1</v>
      </c>
      <c r="AQ604">
        <v>1</v>
      </c>
    </row>
    <row r="605" spans="1:43" x14ac:dyDescent="0.25">
      <c r="A605" t="s">
        <v>2423</v>
      </c>
      <c r="B605" t="s">
        <v>789</v>
      </c>
      <c r="C605" t="s">
        <v>2422</v>
      </c>
      <c r="D605" s="1">
        <v>46182</v>
      </c>
      <c r="E605" t="s">
        <v>19</v>
      </c>
      <c r="F605" t="s">
        <v>89</v>
      </c>
      <c r="G605" t="s">
        <v>17</v>
      </c>
      <c r="H605" t="s">
        <v>16</v>
      </c>
      <c r="I605" t="s">
        <v>28</v>
      </c>
      <c r="J605" t="s">
        <v>146</v>
      </c>
      <c r="K605" t="s">
        <v>145</v>
      </c>
      <c r="L605" t="s">
        <v>88</v>
      </c>
      <c r="M605" t="s">
        <v>53</v>
      </c>
      <c r="N605" t="s">
        <v>10</v>
      </c>
      <c r="O605" t="s">
        <v>193</v>
      </c>
      <c r="P605" t="s">
        <v>39</v>
      </c>
      <c r="Q605" t="s">
        <v>24</v>
      </c>
      <c r="R605" t="s">
        <v>6</v>
      </c>
      <c r="S605">
        <v>9</v>
      </c>
      <c r="T605">
        <v>9</v>
      </c>
      <c r="U605">
        <v>273</v>
      </c>
      <c r="V605" t="s">
        <v>0</v>
      </c>
      <c r="W605" t="s">
        <v>5</v>
      </c>
      <c r="X605" t="s">
        <v>0</v>
      </c>
      <c r="Y605" t="s">
        <v>4</v>
      </c>
      <c r="Z605" t="s">
        <v>5</v>
      </c>
      <c r="AA605">
        <v>178.22</v>
      </c>
      <c r="AB605">
        <v>3.08</v>
      </c>
      <c r="AC605">
        <v>0.17</v>
      </c>
      <c r="AD605" t="s">
        <v>3</v>
      </c>
      <c r="AE605" t="s">
        <v>0</v>
      </c>
      <c r="AF605" t="s">
        <v>3</v>
      </c>
      <c r="AG605" t="s">
        <v>2</v>
      </c>
      <c r="AI605" t="s">
        <v>23</v>
      </c>
      <c r="AJ605">
        <v>4</v>
      </c>
      <c r="AK605">
        <v>-32</v>
      </c>
      <c r="AL605">
        <v>16</v>
      </c>
      <c r="AM605" t="s">
        <v>5</v>
      </c>
      <c r="AN605">
        <v>1</v>
      </c>
      <c r="AO605">
        <v>1</v>
      </c>
      <c r="AP605">
        <v>0</v>
      </c>
      <c r="AQ605">
        <v>1</v>
      </c>
    </row>
    <row r="606" spans="1:43" x14ac:dyDescent="0.25">
      <c r="A606" t="s">
        <v>2421</v>
      </c>
      <c r="B606" t="s">
        <v>1847</v>
      </c>
      <c r="C606" t="s">
        <v>2420</v>
      </c>
      <c r="D606" s="1">
        <v>45700</v>
      </c>
      <c r="E606" t="s">
        <v>19</v>
      </c>
      <c r="F606" t="s">
        <v>255</v>
      </c>
      <c r="G606" t="s">
        <v>30</v>
      </c>
      <c r="H606" t="s">
        <v>16</v>
      </c>
      <c r="I606" t="s">
        <v>28</v>
      </c>
      <c r="J606" t="s">
        <v>55</v>
      </c>
      <c r="K606" t="s">
        <v>54</v>
      </c>
      <c r="L606" t="s">
        <v>88</v>
      </c>
      <c r="M606" t="s">
        <v>11</v>
      </c>
      <c r="N606" t="s">
        <v>269</v>
      </c>
      <c r="O606" t="s">
        <v>40</v>
      </c>
      <c r="P606" t="s">
        <v>39</v>
      </c>
      <c r="Q606" t="s">
        <v>24</v>
      </c>
      <c r="R606" t="s">
        <v>6</v>
      </c>
      <c r="S606">
        <v>8</v>
      </c>
      <c r="T606">
        <v>4</v>
      </c>
      <c r="U606">
        <v>422</v>
      </c>
      <c r="V606" t="s">
        <v>5</v>
      </c>
      <c r="W606" t="s">
        <v>0</v>
      </c>
      <c r="X606" t="s">
        <v>182</v>
      </c>
      <c r="Y606" t="s">
        <v>489</v>
      </c>
      <c r="Z606" t="s">
        <v>0</v>
      </c>
      <c r="AA606">
        <v>0</v>
      </c>
      <c r="AB606">
        <v>0</v>
      </c>
      <c r="AC606">
        <v>0</v>
      </c>
      <c r="AD606" t="s">
        <v>61</v>
      </c>
      <c r="AE606" t="s">
        <v>5</v>
      </c>
      <c r="AF606" t="s">
        <v>61</v>
      </c>
      <c r="AG606" t="s">
        <v>36</v>
      </c>
      <c r="AH606">
        <v>14</v>
      </c>
      <c r="AI606" t="s">
        <v>122</v>
      </c>
      <c r="AJ606">
        <v>1</v>
      </c>
      <c r="AK606">
        <v>-11</v>
      </c>
      <c r="AL606">
        <v>31</v>
      </c>
      <c r="AM606" t="s">
        <v>0</v>
      </c>
      <c r="AN606">
        <v>0</v>
      </c>
      <c r="AO606">
        <v>0</v>
      </c>
      <c r="AP606">
        <v>1</v>
      </c>
      <c r="AQ606">
        <v>0</v>
      </c>
    </row>
    <row r="607" spans="1:43" x14ac:dyDescent="0.25">
      <c r="A607" t="s">
        <v>2419</v>
      </c>
      <c r="B607" t="s">
        <v>2418</v>
      </c>
      <c r="C607" t="s">
        <v>2417</v>
      </c>
      <c r="D607" s="1">
        <v>45869</v>
      </c>
      <c r="E607" t="s">
        <v>149</v>
      </c>
      <c r="F607" t="s">
        <v>148</v>
      </c>
      <c r="G607" t="s">
        <v>56</v>
      </c>
      <c r="H607" t="s">
        <v>66</v>
      </c>
      <c r="I607" t="s">
        <v>28</v>
      </c>
      <c r="J607" t="s">
        <v>14</v>
      </c>
      <c r="K607" t="s">
        <v>13</v>
      </c>
      <c r="L607" t="s">
        <v>64</v>
      </c>
      <c r="M607" t="s">
        <v>11</v>
      </c>
      <c r="N607" t="s">
        <v>93</v>
      </c>
      <c r="O607" t="s">
        <v>9</v>
      </c>
      <c r="P607" t="s">
        <v>63</v>
      </c>
      <c r="Q607" t="s">
        <v>7</v>
      </c>
      <c r="R607" t="s">
        <v>6</v>
      </c>
      <c r="S607">
        <v>7</v>
      </c>
      <c r="T607">
        <v>4</v>
      </c>
      <c r="U607">
        <v>197</v>
      </c>
      <c r="V607" t="s">
        <v>5</v>
      </c>
      <c r="W607" t="s">
        <v>5</v>
      </c>
      <c r="X607" t="s">
        <v>0</v>
      </c>
      <c r="Y607" t="s">
        <v>4</v>
      </c>
      <c r="Z607" t="s">
        <v>0</v>
      </c>
      <c r="AA607">
        <v>0</v>
      </c>
      <c r="AB607">
        <v>0</v>
      </c>
      <c r="AC607">
        <v>0</v>
      </c>
      <c r="AD607" t="s">
        <v>3</v>
      </c>
      <c r="AE607" t="s">
        <v>0</v>
      </c>
      <c r="AF607" t="s">
        <v>3</v>
      </c>
      <c r="AG607" t="s">
        <v>2</v>
      </c>
      <c r="AI607" t="s">
        <v>23</v>
      </c>
      <c r="AJ607">
        <v>2</v>
      </c>
      <c r="AK607">
        <v>-24</v>
      </c>
      <c r="AL607">
        <v>0</v>
      </c>
      <c r="AM607" t="s">
        <v>0</v>
      </c>
      <c r="AN607">
        <v>1</v>
      </c>
      <c r="AO607">
        <v>0</v>
      </c>
      <c r="AP607">
        <v>0</v>
      </c>
      <c r="AQ607">
        <v>0</v>
      </c>
    </row>
    <row r="608" spans="1:43" x14ac:dyDescent="0.25">
      <c r="A608" t="s">
        <v>2416</v>
      </c>
      <c r="B608" t="s">
        <v>2415</v>
      </c>
      <c r="C608" t="s">
        <v>2414</v>
      </c>
      <c r="D608" s="1">
        <v>45730</v>
      </c>
      <c r="E608" t="s">
        <v>19</v>
      </c>
      <c r="F608" t="s">
        <v>575</v>
      </c>
      <c r="G608" t="s">
        <v>56</v>
      </c>
      <c r="H608" t="s">
        <v>16</v>
      </c>
      <c r="I608" t="s">
        <v>28</v>
      </c>
      <c r="J608" t="s">
        <v>55</v>
      </c>
      <c r="K608" t="s">
        <v>54</v>
      </c>
      <c r="L608" t="s">
        <v>64</v>
      </c>
      <c r="M608" t="s">
        <v>11</v>
      </c>
      <c r="N608" t="s">
        <v>154</v>
      </c>
      <c r="O608" t="s">
        <v>40</v>
      </c>
      <c r="P608" t="s">
        <v>8</v>
      </c>
      <c r="Q608" t="s">
        <v>7</v>
      </c>
      <c r="R608" t="s">
        <v>6</v>
      </c>
      <c r="S608">
        <v>8</v>
      </c>
      <c r="T608">
        <v>6</v>
      </c>
      <c r="U608">
        <v>346</v>
      </c>
      <c r="V608" t="s">
        <v>5</v>
      </c>
      <c r="W608" t="s">
        <v>287</v>
      </c>
      <c r="X608" t="s">
        <v>5</v>
      </c>
      <c r="Y608" t="s">
        <v>160</v>
      </c>
      <c r="Z608" t="s">
        <v>5</v>
      </c>
      <c r="AA608">
        <v>481.72</v>
      </c>
      <c r="AB608">
        <v>2.1800000000000002</v>
      </c>
      <c r="AC608">
        <v>0</v>
      </c>
      <c r="AD608" t="s">
        <v>61</v>
      </c>
      <c r="AE608" t="s">
        <v>5</v>
      </c>
      <c r="AF608" t="s">
        <v>61</v>
      </c>
      <c r="AG608" t="s">
        <v>36</v>
      </c>
      <c r="AH608">
        <v>28</v>
      </c>
      <c r="AI608" t="s">
        <v>23</v>
      </c>
      <c r="AJ608">
        <v>2</v>
      </c>
      <c r="AK608">
        <v>-69</v>
      </c>
      <c r="AL608">
        <v>22</v>
      </c>
      <c r="AM608" t="s">
        <v>0</v>
      </c>
      <c r="AN608">
        <v>1</v>
      </c>
      <c r="AO608">
        <v>1</v>
      </c>
      <c r="AP608">
        <v>1</v>
      </c>
      <c r="AQ608">
        <v>0</v>
      </c>
    </row>
    <row r="609" spans="1:43" x14ac:dyDescent="0.25">
      <c r="A609" t="s">
        <v>2413</v>
      </c>
      <c r="B609" t="s">
        <v>2188</v>
      </c>
      <c r="C609" t="s">
        <v>2412</v>
      </c>
      <c r="D609" s="1">
        <v>45927</v>
      </c>
      <c r="E609" t="s">
        <v>68</v>
      </c>
      <c r="F609" t="s">
        <v>278</v>
      </c>
      <c r="G609" t="s">
        <v>30</v>
      </c>
      <c r="H609" t="s">
        <v>43</v>
      </c>
      <c r="I609" t="s">
        <v>15</v>
      </c>
      <c r="J609" t="s">
        <v>14</v>
      </c>
      <c r="K609" t="s">
        <v>13</v>
      </c>
      <c r="L609" t="s">
        <v>88</v>
      </c>
      <c r="M609" t="s">
        <v>27</v>
      </c>
      <c r="N609" t="s">
        <v>75</v>
      </c>
      <c r="O609" t="s">
        <v>40</v>
      </c>
      <c r="P609" t="s">
        <v>8</v>
      </c>
      <c r="Q609" t="s">
        <v>50</v>
      </c>
      <c r="R609" t="s">
        <v>38</v>
      </c>
      <c r="S609">
        <v>8</v>
      </c>
      <c r="T609">
        <v>8</v>
      </c>
      <c r="U609">
        <v>170</v>
      </c>
      <c r="V609" t="s">
        <v>0</v>
      </c>
      <c r="W609" t="s">
        <v>5</v>
      </c>
      <c r="X609" t="s">
        <v>0</v>
      </c>
      <c r="Y609" t="s">
        <v>4</v>
      </c>
      <c r="Z609" t="s">
        <v>5</v>
      </c>
      <c r="AA609">
        <v>400.8</v>
      </c>
      <c r="AB609">
        <v>2.37</v>
      </c>
      <c r="AC609">
        <v>0.37</v>
      </c>
      <c r="AD609" t="s">
        <v>3</v>
      </c>
      <c r="AE609" t="s">
        <v>0</v>
      </c>
      <c r="AF609" t="s">
        <v>3</v>
      </c>
      <c r="AG609" t="s">
        <v>2</v>
      </c>
      <c r="AI609" t="s">
        <v>23</v>
      </c>
      <c r="AJ609">
        <v>4</v>
      </c>
      <c r="AK609">
        <v>47</v>
      </c>
      <c r="AL609">
        <v>37</v>
      </c>
      <c r="AM609" t="s">
        <v>5</v>
      </c>
      <c r="AN609">
        <v>1</v>
      </c>
      <c r="AO609">
        <v>1</v>
      </c>
      <c r="AP609">
        <v>0</v>
      </c>
      <c r="AQ609">
        <v>1</v>
      </c>
    </row>
    <row r="610" spans="1:43" x14ac:dyDescent="0.25">
      <c r="A610" t="s">
        <v>2411</v>
      </c>
      <c r="B610" t="s">
        <v>2408</v>
      </c>
      <c r="C610" t="s">
        <v>2410</v>
      </c>
      <c r="D610" s="1">
        <v>45906</v>
      </c>
      <c r="E610" t="s">
        <v>125</v>
      </c>
      <c r="F610" t="s">
        <v>124</v>
      </c>
      <c r="G610" t="s">
        <v>17</v>
      </c>
      <c r="H610" t="s">
        <v>29</v>
      </c>
      <c r="I610" t="s">
        <v>28</v>
      </c>
      <c r="J610" t="s">
        <v>55</v>
      </c>
      <c r="K610" t="s">
        <v>54</v>
      </c>
      <c r="L610" t="s">
        <v>88</v>
      </c>
      <c r="M610" t="s">
        <v>11</v>
      </c>
      <c r="N610" t="s">
        <v>75</v>
      </c>
      <c r="O610" t="s">
        <v>130</v>
      </c>
      <c r="P610" t="s">
        <v>63</v>
      </c>
      <c r="Q610" t="s">
        <v>198</v>
      </c>
      <c r="R610" t="s">
        <v>6</v>
      </c>
      <c r="S610">
        <v>5</v>
      </c>
      <c r="T610">
        <v>5</v>
      </c>
      <c r="U610">
        <v>105</v>
      </c>
      <c r="V610" t="s">
        <v>0</v>
      </c>
      <c r="W610" t="s">
        <v>0</v>
      </c>
      <c r="X610" t="s">
        <v>0</v>
      </c>
      <c r="Y610" t="s">
        <v>4</v>
      </c>
      <c r="Z610" t="s">
        <v>0</v>
      </c>
      <c r="AA610">
        <v>0</v>
      </c>
      <c r="AB610">
        <v>0</v>
      </c>
      <c r="AC610">
        <v>0</v>
      </c>
      <c r="AD610" t="s">
        <v>3</v>
      </c>
      <c r="AE610" t="s">
        <v>0</v>
      </c>
      <c r="AF610" t="s">
        <v>3</v>
      </c>
      <c r="AG610" t="s">
        <v>2</v>
      </c>
      <c r="AI610" t="s">
        <v>1</v>
      </c>
      <c r="AJ610">
        <v>3</v>
      </c>
      <c r="AK610">
        <v>27</v>
      </c>
      <c r="AL610">
        <v>0</v>
      </c>
      <c r="AM610" t="s">
        <v>0</v>
      </c>
      <c r="AN610">
        <v>0</v>
      </c>
      <c r="AO610">
        <v>0</v>
      </c>
      <c r="AP610">
        <v>0</v>
      </c>
      <c r="AQ610">
        <v>0</v>
      </c>
    </row>
    <row r="611" spans="1:43" x14ac:dyDescent="0.25">
      <c r="A611" t="s">
        <v>2409</v>
      </c>
      <c r="B611" t="s">
        <v>2408</v>
      </c>
      <c r="C611" t="s">
        <v>2407</v>
      </c>
      <c r="D611" s="1">
        <v>45937</v>
      </c>
      <c r="E611" t="s">
        <v>149</v>
      </c>
      <c r="F611" t="s">
        <v>589</v>
      </c>
      <c r="G611" t="s">
        <v>56</v>
      </c>
      <c r="H611" t="s">
        <v>16</v>
      </c>
      <c r="I611" t="s">
        <v>15</v>
      </c>
      <c r="J611" t="s">
        <v>14</v>
      </c>
      <c r="K611" t="s">
        <v>13</v>
      </c>
      <c r="L611" t="s">
        <v>42</v>
      </c>
      <c r="M611" t="s">
        <v>11</v>
      </c>
      <c r="N611" t="s">
        <v>41</v>
      </c>
      <c r="O611" t="s">
        <v>199</v>
      </c>
      <c r="P611" t="s">
        <v>63</v>
      </c>
      <c r="Q611" t="s">
        <v>7</v>
      </c>
      <c r="R611" t="s">
        <v>6</v>
      </c>
      <c r="S611">
        <v>5</v>
      </c>
      <c r="T611">
        <v>5</v>
      </c>
      <c r="U611">
        <v>133</v>
      </c>
      <c r="V611" t="s">
        <v>0</v>
      </c>
      <c r="W611" t="s">
        <v>5</v>
      </c>
      <c r="X611" t="s">
        <v>0</v>
      </c>
      <c r="Y611" t="s">
        <v>4</v>
      </c>
      <c r="Z611" t="s">
        <v>5</v>
      </c>
      <c r="AA611">
        <v>80.53</v>
      </c>
      <c r="AB611">
        <v>0</v>
      </c>
      <c r="AC611">
        <v>0</v>
      </c>
      <c r="AD611" t="s">
        <v>3</v>
      </c>
      <c r="AE611" t="s">
        <v>0</v>
      </c>
      <c r="AF611" t="s">
        <v>3</v>
      </c>
      <c r="AG611" t="s">
        <v>2</v>
      </c>
      <c r="AI611" t="s">
        <v>23</v>
      </c>
      <c r="AJ611">
        <v>4</v>
      </c>
      <c r="AK611">
        <v>49</v>
      </c>
      <c r="AL611">
        <v>0</v>
      </c>
      <c r="AM611" t="s">
        <v>0</v>
      </c>
      <c r="AN611">
        <v>1</v>
      </c>
      <c r="AO611">
        <v>1</v>
      </c>
      <c r="AP611">
        <v>0</v>
      </c>
      <c r="AQ611">
        <v>0</v>
      </c>
    </row>
    <row r="612" spans="1:43" x14ac:dyDescent="0.25">
      <c r="A612" t="s">
        <v>2406</v>
      </c>
      <c r="B612" t="s">
        <v>1529</v>
      </c>
      <c r="C612" t="s">
        <v>2405</v>
      </c>
      <c r="D612" s="1">
        <v>45665</v>
      </c>
      <c r="E612" t="s">
        <v>19</v>
      </c>
      <c r="F612" t="s">
        <v>2214</v>
      </c>
      <c r="G612" t="s">
        <v>17</v>
      </c>
      <c r="H612" t="s">
        <v>77</v>
      </c>
      <c r="I612" t="s">
        <v>28</v>
      </c>
      <c r="J612" t="s">
        <v>14</v>
      </c>
      <c r="K612" t="s">
        <v>13</v>
      </c>
      <c r="L612" t="s">
        <v>117</v>
      </c>
      <c r="M612" t="s">
        <v>11</v>
      </c>
      <c r="N612" t="s">
        <v>75</v>
      </c>
      <c r="O612" t="s">
        <v>51</v>
      </c>
      <c r="P612" t="s">
        <v>8</v>
      </c>
      <c r="Q612" t="s">
        <v>7</v>
      </c>
      <c r="R612" t="s">
        <v>6</v>
      </c>
      <c r="S612">
        <v>6</v>
      </c>
      <c r="T612">
        <v>6</v>
      </c>
      <c r="U612">
        <v>131</v>
      </c>
      <c r="V612" t="s">
        <v>0</v>
      </c>
      <c r="W612" t="s">
        <v>0</v>
      </c>
      <c r="X612" t="s">
        <v>0</v>
      </c>
      <c r="Y612" t="s">
        <v>4</v>
      </c>
      <c r="Z612" t="s">
        <v>0</v>
      </c>
      <c r="AA612">
        <v>0</v>
      </c>
      <c r="AB612">
        <v>0</v>
      </c>
      <c r="AC612">
        <v>0</v>
      </c>
      <c r="AD612" t="s">
        <v>61</v>
      </c>
      <c r="AE612" t="s">
        <v>5</v>
      </c>
      <c r="AF612" t="s">
        <v>61</v>
      </c>
      <c r="AG612" t="s">
        <v>36</v>
      </c>
      <c r="AH612">
        <v>50</v>
      </c>
      <c r="AI612" t="s">
        <v>1</v>
      </c>
      <c r="AJ612">
        <v>4</v>
      </c>
      <c r="AK612">
        <v>25</v>
      </c>
      <c r="AL612">
        <v>41</v>
      </c>
      <c r="AM612" t="s">
        <v>5</v>
      </c>
      <c r="AN612">
        <v>0</v>
      </c>
      <c r="AO612">
        <v>0</v>
      </c>
      <c r="AP612">
        <v>0</v>
      </c>
      <c r="AQ612">
        <v>1</v>
      </c>
    </row>
    <row r="613" spans="1:43" x14ac:dyDescent="0.25">
      <c r="A613" t="s">
        <v>2404</v>
      </c>
      <c r="B613" t="s">
        <v>2403</v>
      </c>
      <c r="C613" t="s">
        <v>2402</v>
      </c>
      <c r="D613" s="1">
        <v>45782</v>
      </c>
      <c r="E613" t="s">
        <v>156</v>
      </c>
      <c r="F613" t="s">
        <v>155</v>
      </c>
      <c r="G613" t="s">
        <v>110</v>
      </c>
      <c r="H613" t="s">
        <v>77</v>
      </c>
      <c r="I613" t="s">
        <v>28</v>
      </c>
      <c r="J613" t="s">
        <v>55</v>
      </c>
      <c r="K613" t="s">
        <v>54</v>
      </c>
      <c r="L613" t="s">
        <v>42</v>
      </c>
      <c r="M613" t="s">
        <v>27</v>
      </c>
      <c r="N613" t="s">
        <v>75</v>
      </c>
      <c r="O613" t="s">
        <v>9</v>
      </c>
      <c r="P613" t="s">
        <v>8</v>
      </c>
      <c r="Q613" t="s">
        <v>7</v>
      </c>
      <c r="R613" t="s">
        <v>6</v>
      </c>
      <c r="S613">
        <v>7</v>
      </c>
      <c r="T613">
        <v>7</v>
      </c>
      <c r="U613">
        <v>206</v>
      </c>
      <c r="V613" t="s">
        <v>0</v>
      </c>
      <c r="W613" t="s">
        <v>5</v>
      </c>
      <c r="X613" t="s">
        <v>0</v>
      </c>
      <c r="Y613" t="s">
        <v>4</v>
      </c>
      <c r="Z613" t="s">
        <v>5</v>
      </c>
      <c r="AA613">
        <v>18.100000000000001</v>
      </c>
      <c r="AB613">
        <v>0</v>
      </c>
      <c r="AC613">
        <v>0.37</v>
      </c>
      <c r="AD613" t="s">
        <v>3</v>
      </c>
      <c r="AE613" t="s">
        <v>0</v>
      </c>
      <c r="AF613" t="s">
        <v>3</v>
      </c>
      <c r="AG613" t="s">
        <v>2</v>
      </c>
      <c r="AI613" t="s">
        <v>23</v>
      </c>
      <c r="AJ613">
        <v>3</v>
      </c>
      <c r="AK613">
        <v>27</v>
      </c>
      <c r="AL613">
        <v>26</v>
      </c>
      <c r="AM613" t="s">
        <v>0</v>
      </c>
      <c r="AN613">
        <v>1</v>
      </c>
      <c r="AO613">
        <v>1</v>
      </c>
      <c r="AP613">
        <v>0</v>
      </c>
      <c r="AQ613">
        <v>0</v>
      </c>
    </row>
    <row r="614" spans="1:43" x14ac:dyDescent="0.25">
      <c r="A614" t="s">
        <v>2401</v>
      </c>
      <c r="B614" t="s">
        <v>506</v>
      </c>
      <c r="C614" t="s">
        <v>2400</v>
      </c>
      <c r="D614" s="1">
        <v>46062</v>
      </c>
      <c r="E614" t="s">
        <v>95</v>
      </c>
      <c r="F614" t="s">
        <v>338</v>
      </c>
      <c r="G614" t="s">
        <v>30</v>
      </c>
      <c r="H614" t="s">
        <v>16</v>
      </c>
      <c r="I614" t="s">
        <v>28</v>
      </c>
      <c r="J614" t="s">
        <v>146</v>
      </c>
      <c r="K614" t="s">
        <v>145</v>
      </c>
      <c r="L614" t="s">
        <v>88</v>
      </c>
      <c r="M614" t="s">
        <v>11</v>
      </c>
      <c r="N614" t="s">
        <v>93</v>
      </c>
      <c r="O614" t="s">
        <v>26</v>
      </c>
      <c r="P614" t="s">
        <v>8</v>
      </c>
      <c r="Q614" t="s">
        <v>100</v>
      </c>
      <c r="R614" t="s">
        <v>38</v>
      </c>
      <c r="S614">
        <v>4</v>
      </c>
      <c r="T614">
        <v>4</v>
      </c>
      <c r="U614">
        <v>101</v>
      </c>
      <c r="V614" t="s">
        <v>0</v>
      </c>
      <c r="W614" t="s">
        <v>287</v>
      </c>
      <c r="X614" t="s">
        <v>181</v>
      </c>
      <c r="Y614" t="s">
        <v>4</v>
      </c>
      <c r="Z614" t="s">
        <v>5</v>
      </c>
      <c r="AA614">
        <v>123.8</v>
      </c>
      <c r="AB614">
        <v>0.2</v>
      </c>
      <c r="AC614">
        <v>0</v>
      </c>
      <c r="AD614" t="s">
        <v>3</v>
      </c>
      <c r="AE614" t="s">
        <v>0</v>
      </c>
      <c r="AF614" t="s">
        <v>3</v>
      </c>
      <c r="AG614" t="s">
        <v>2</v>
      </c>
      <c r="AI614" t="s">
        <v>23</v>
      </c>
      <c r="AJ614">
        <v>5</v>
      </c>
      <c r="AK614">
        <v>37</v>
      </c>
      <c r="AL614">
        <v>33</v>
      </c>
      <c r="AM614" t="s">
        <v>5</v>
      </c>
      <c r="AN614">
        <v>1</v>
      </c>
      <c r="AO614">
        <v>1</v>
      </c>
      <c r="AP614">
        <v>0</v>
      </c>
      <c r="AQ614">
        <v>1</v>
      </c>
    </row>
    <row r="615" spans="1:43" x14ac:dyDescent="0.25">
      <c r="A615" t="s">
        <v>2399</v>
      </c>
      <c r="B615" t="s">
        <v>2398</v>
      </c>
      <c r="C615" t="s">
        <v>2397</v>
      </c>
      <c r="D615" s="1">
        <v>46099</v>
      </c>
      <c r="E615" t="s">
        <v>45</v>
      </c>
      <c r="F615" t="s">
        <v>348</v>
      </c>
      <c r="G615" t="s">
        <v>30</v>
      </c>
      <c r="H615" t="s">
        <v>77</v>
      </c>
      <c r="I615" t="s">
        <v>28</v>
      </c>
      <c r="J615" t="s">
        <v>14</v>
      </c>
      <c r="K615" t="s">
        <v>13</v>
      </c>
      <c r="L615" t="s">
        <v>117</v>
      </c>
      <c r="M615" t="s">
        <v>299</v>
      </c>
      <c r="N615" t="s">
        <v>116</v>
      </c>
      <c r="O615" t="s">
        <v>193</v>
      </c>
      <c r="P615" t="s">
        <v>39</v>
      </c>
      <c r="Q615" t="s">
        <v>7</v>
      </c>
      <c r="R615" t="s">
        <v>6</v>
      </c>
      <c r="S615">
        <v>9</v>
      </c>
      <c r="T615">
        <v>9</v>
      </c>
      <c r="U615">
        <v>266</v>
      </c>
      <c r="V615" t="s">
        <v>0</v>
      </c>
      <c r="W615" t="s">
        <v>0</v>
      </c>
      <c r="X615" t="s">
        <v>0</v>
      </c>
      <c r="Y615" t="s">
        <v>4</v>
      </c>
      <c r="Z615" t="s">
        <v>0</v>
      </c>
      <c r="AA615">
        <v>0</v>
      </c>
      <c r="AB615">
        <v>0</v>
      </c>
      <c r="AC615">
        <v>0</v>
      </c>
      <c r="AD615" t="s">
        <v>3</v>
      </c>
      <c r="AE615" t="s">
        <v>0</v>
      </c>
      <c r="AF615" t="s">
        <v>3</v>
      </c>
      <c r="AG615" t="s">
        <v>2</v>
      </c>
      <c r="AI615" t="s">
        <v>122</v>
      </c>
      <c r="AJ615">
        <v>3</v>
      </c>
      <c r="AK615">
        <v>-61</v>
      </c>
      <c r="AL615">
        <v>34</v>
      </c>
      <c r="AM615" t="s">
        <v>5</v>
      </c>
      <c r="AN615">
        <v>0</v>
      </c>
      <c r="AO615">
        <v>0</v>
      </c>
      <c r="AP615">
        <v>0</v>
      </c>
      <c r="AQ615">
        <v>1</v>
      </c>
    </row>
    <row r="616" spans="1:43" x14ac:dyDescent="0.25">
      <c r="A616" t="s">
        <v>2396</v>
      </c>
      <c r="B616" t="s">
        <v>1728</v>
      </c>
      <c r="C616" t="s">
        <v>2395</v>
      </c>
      <c r="D616" s="1">
        <v>45822</v>
      </c>
      <c r="E616" t="s">
        <v>45</v>
      </c>
      <c r="F616" t="s">
        <v>44</v>
      </c>
      <c r="G616" t="s">
        <v>123</v>
      </c>
      <c r="H616" t="s">
        <v>77</v>
      </c>
      <c r="I616" t="s">
        <v>28</v>
      </c>
      <c r="J616" t="s">
        <v>55</v>
      </c>
      <c r="K616" t="s">
        <v>54</v>
      </c>
      <c r="L616" t="s">
        <v>64</v>
      </c>
      <c r="M616" t="s">
        <v>11</v>
      </c>
      <c r="N616" t="s">
        <v>52</v>
      </c>
      <c r="O616" t="s">
        <v>40</v>
      </c>
      <c r="P616" t="s">
        <v>25</v>
      </c>
      <c r="Q616" t="s">
        <v>7</v>
      </c>
      <c r="R616" t="s">
        <v>6</v>
      </c>
      <c r="S616">
        <v>8</v>
      </c>
      <c r="T616">
        <v>8</v>
      </c>
      <c r="U616">
        <v>216</v>
      </c>
      <c r="V616" t="s">
        <v>0</v>
      </c>
      <c r="W616" t="s">
        <v>5</v>
      </c>
      <c r="X616" t="s">
        <v>5</v>
      </c>
      <c r="Y616" t="s">
        <v>913</v>
      </c>
      <c r="Z616" t="s">
        <v>0</v>
      </c>
      <c r="AA616">
        <v>0</v>
      </c>
      <c r="AB616">
        <v>0</v>
      </c>
      <c r="AC616">
        <v>0</v>
      </c>
      <c r="AD616" t="s">
        <v>3</v>
      </c>
      <c r="AE616" t="s">
        <v>0</v>
      </c>
      <c r="AF616" t="s">
        <v>3</v>
      </c>
      <c r="AG616" t="s">
        <v>2</v>
      </c>
      <c r="AI616" t="s">
        <v>23</v>
      </c>
      <c r="AJ616">
        <v>2</v>
      </c>
      <c r="AK616">
        <v>-12</v>
      </c>
      <c r="AL616">
        <v>18</v>
      </c>
      <c r="AM616" t="s">
        <v>5</v>
      </c>
      <c r="AN616">
        <v>1</v>
      </c>
      <c r="AO616">
        <v>0</v>
      </c>
      <c r="AP616">
        <v>1</v>
      </c>
      <c r="AQ616">
        <v>1</v>
      </c>
    </row>
    <row r="617" spans="1:43" x14ac:dyDescent="0.25">
      <c r="A617" t="s">
        <v>2394</v>
      </c>
      <c r="B617" t="s">
        <v>2393</v>
      </c>
      <c r="C617" t="s">
        <v>2392</v>
      </c>
      <c r="D617" s="1">
        <v>45725</v>
      </c>
      <c r="E617" t="s">
        <v>32</v>
      </c>
      <c r="F617" t="s">
        <v>356</v>
      </c>
      <c r="G617" t="s">
        <v>110</v>
      </c>
      <c r="H617" t="s">
        <v>16</v>
      </c>
      <c r="I617" t="s">
        <v>28</v>
      </c>
      <c r="J617" t="s">
        <v>146</v>
      </c>
      <c r="K617" t="s">
        <v>145</v>
      </c>
      <c r="L617" t="s">
        <v>64</v>
      </c>
      <c r="M617" t="s">
        <v>11</v>
      </c>
      <c r="N617" t="s">
        <v>10</v>
      </c>
      <c r="O617" t="s">
        <v>40</v>
      </c>
      <c r="P617" t="s">
        <v>63</v>
      </c>
      <c r="Q617" t="s">
        <v>7</v>
      </c>
      <c r="R617" t="s">
        <v>6</v>
      </c>
      <c r="S617">
        <v>8</v>
      </c>
      <c r="T617">
        <v>8</v>
      </c>
      <c r="U617">
        <v>234</v>
      </c>
      <c r="V617" t="s">
        <v>0</v>
      </c>
      <c r="W617" t="s">
        <v>5</v>
      </c>
      <c r="X617" t="s">
        <v>135</v>
      </c>
      <c r="Y617" t="s">
        <v>4</v>
      </c>
      <c r="Z617" t="s">
        <v>0</v>
      </c>
      <c r="AA617">
        <v>0</v>
      </c>
      <c r="AB617">
        <v>0</v>
      </c>
      <c r="AC617">
        <v>0</v>
      </c>
      <c r="AD617" t="s">
        <v>3</v>
      </c>
      <c r="AE617" t="s">
        <v>0</v>
      </c>
      <c r="AF617" t="s">
        <v>3</v>
      </c>
      <c r="AG617" t="s">
        <v>2</v>
      </c>
      <c r="AI617" t="s">
        <v>23</v>
      </c>
      <c r="AJ617">
        <v>3</v>
      </c>
      <c r="AK617">
        <v>33</v>
      </c>
      <c r="AL617">
        <v>0</v>
      </c>
      <c r="AM617" t="s">
        <v>0</v>
      </c>
      <c r="AN617">
        <v>1</v>
      </c>
      <c r="AO617">
        <v>0</v>
      </c>
      <c r="AP617">
        <v>0</v>
      </c>
      <c r="AQ617">
        <v>0</v>
      </c>
    </row>
    <row r="618" spans="1:43" x14ac:dyDescent="0.25">
      <c r="A618" t="s">
        <v>2391</v>
      </c>
      <c r="B618" t="s">
        <v>823</v>
      </c>
      <c r="C618" t="s">
        <v>2390</v>
      </c>
      <c r="D618" s="1">
        <v>46000</v>
      </c>
      <c r="E618" t="s">
        <v>149</v>
      </c>
      <c r="F618" t="s">
        <v>183</v>
      </c>
      <c r="G618" t="s">
        <v>123</v>
      </c>
      <c r="H618" t="s">
        <v>16</v>
      </c>
      <c r="I618" t="s">
        <v>15</v>
      </c>
      <c r="J618" t="s">
        <v>146</v>
      </c>
      <c r="K618" t="s">
        <v>145</v>
      </c>
      <c r="L618" t="s">
        <v>12</v>
      </c>
      <c r="M618" t="s">
        <v>27</v>
      </c>
      <c r="N618" t="s">
        <v>52</v>
      </c>
      <c r="O618" t="s">
        <v>101</v>
      </c>
      <c r="P618" t="s">
        <v>39</v>
      </c>
      <c r="Q618" t="s">
        <v>198</v>
      </c>
      <c r="R618" t="s">
        <v>38</v>
      </c>
      <c r="S618">
        <v>4</v>
      </c>
      <c r="T618">
        <v>4</v>
      </c>
      <c r="U618">
        <v>108</v>
      </c>
      <c r="V618" t="s">
        <v>0</v>
      </c>
      <c r="W618" t="s">
        <v>5</v>
      </c>
      <c r="X618" t="s">
        <v>0</v>
      </c>
      <c r="Y618" t="s">
        <v>4</v>
      </c>
      <c r="Z618" t="s">
        <v>5</v>
      </c>
      <c r="AA618">
        <v>21.88</v>
      </c>
      <c r="AB618">
        <v>0.54</v>
      </c>
      <c r="AC618">
        <v>0.37</v>
      </c>
      <c r="AD618" t="s">
        <v>3</v>
      </c>
      <c r="AE618" t="s">
        <v>0</v>
      </c>
      <c r="AF618" t="s">
        <v>3</v>
      </c>
      <c r="AG618" t="s">
        <v>2</v>
      </c>
      <c r="AI618" t="s">
        <v>23</v>
      </c>
      <c r="AJ618">
        <v>5</v>
      </c>
      <c r="AK618">
        <v>7</v>
      </c>
      <c r="AL618" t="s">
        <v>2389</v>
      </c>
      <c r="AM618" t="s">
        <v>5</v>
      </c>
      <c r="AN618">
        <v>1</v>
      </c>
      <c r="AO618">
        <v>1</v>
      </c>
      <c r="AP618">
        <v>0</v>
      </c>
      <c r="AQ618">
        <v>1</v>
      </c>
    </row>
    <row r="619" spans="1:43" x14ac:dyDescent="0.25">
      <c r="A619" t="s">
        <v>1425</v>
      </c>
      <c r="B619" t="s">
        <v>1424</v>
      </c>
      <c r="C619" t="s">
        <v>1423</v>
      </c>
      <c r="D619" s="1">
        <v>45765</v>
      </c>
      <c r="E619" t="s">
        <v>79</v>
      </c>
      <c r="F619" t="s">
        <v>78</v>
      </c>
      <c r="G619" t="s">
        <v>56</v>
      </c>
      <c r="H619" t="s">
        <v>66</v>
      </c>
      <c r="I619" t="s">
        <v>28</v>
      </c>
      <c r="J619" t="s">
        <v>55</v>
      </c>
      <c r="K619" t="s">
        <v>54</v>
      </c>
      <c r="L619" t="s">
        <v>42</v>
      </c>
      <c r="M619" t="s">
        <v>27</v>
      </c>
      <c r="N619" t="s">
        <v>269</v>
      </c>
      <c r="O619" t="s">
        <v>9</v>
      </c>
      <c r="P619" t="s">
        <v>39</v>
      </c>
      <c r="Q619" t="s">
        <v>7</v>
      </c>
      <c r="R619" t="s">
        <v>6</v>
      </c>
      <c r="S619">
        <v>7</v>
      </c>
      <c r="T619">
        <v>7</v>
      </c>
      <c r="U619">
        <v>312</v>
      </c>
      <c r="V619" t="s">
        <v>0</v>
      </c>
      <c r="W619" t="s">
        <v>0</v>
      </c>
      <c r="X619" t="s">
        <v>5</v>
      </c>
      <c r="Y619" t="s">
        <v>450</v>
      </c>
      <c r="Z619" t="s">
        <v>0</v>
      </c>
      <c r="AA619">
        <v>0</v>
      </c>
      <c r="AB619">
        <v>0</v>
      </c>
      <c r="AC619">
        <v>0</v>
      </c>
      <c r="AD619" t="s">
        <v>61</v>
      </c>
      <c r="AE619" t="s">
        <v>5</v>
      </c>
      <c r="AF619" t="s">
        <v>61</v>
      </c>
      <c r="AG619" t="s">
        <v>36</v>
      </c>
      <c r="AH619">
        <v>20</v>
      </c>
      <c r="AI619" t="s">
        <v>122</v>
      </c>
      <c r="AJ619">
        <v>3</v>
      </c>
      <c r="AK619">
        <v>-8</v>
      </c>
      <c r="AL619">
        <v>37</v>
      </c>
      <c r="AM619" t="s">
        <v>5</v>
      </c>
      <c r="AN619">
        <v>0</v>
      </c>
      <c r="AO619">
        <v>0</v>
      </c>
      <c r="AP619">
        <v>1</v>
      </c>
      <c r="AQ619">
        <v>1</v>
      </c>
    </row>
    <row r="620" spans="1:43" x14ac:dyDescent="0.25">
      <c r="A620" t="s">
        <v>2388</v>
      </c>
      <c r="B620" t="s">
        <v>1870</v>
      </c>
      <c r="C620" t="s">
        <v>2387</v>
      </c>
      <c r="D620" s="1">
        <v>46069</v>
      </c>
      <c r="E620" t="s">
        <v>32</v>
      </c>
      <c r="F620" t="s">
        <v>356</v>
      </c>
      <c r="G620" t="s">
        <v>83</v>
      </c>
      <c r="H620" t="s">
        <v>77</v>
      </c>
      <c r="I620" t="s">
        <v>15</v>
      </c>
      <c r="J620" t="s">
        <v>55</v>
      </c>
      <c r="K620" t="s">
        <v>54</v>
      </c>
      <c r="L620" t="s">
        <v>117</v>
      </c>
      <c r="M620" t="s">
        <v>11</v>
      </c>
      <c r="N620" t="s">
        <v>10</v>
      </c>
      <c r="O620" t="s">
        <v>9</v>
      </c>
      <c r="P620" t="s">
        <v>39</v>
      </c>
      <c r="Q620" t="s">
        <v>7</v>
      </c>
      <c r="R620" t="s">
        <v>6</v>
      </c>
      <c r="S620">
        <v>7</v>
      </c>
      <c r="T620">
        <v>5</v>
      </c>
      <c r="U620">
        <v>254</v>
      </c>
      <c r="V620" t="s">
        <v>5</v>
      </c>
      <c r="W620" t="s">
        <v>5</v>
      </c>
      <c r="X620" t="s">
        <v>0</v>
      </c>
      <c r="Y620" t="s">
        <v>4</v>
      </c>
      <c r="Z620" t="s">
        <v>0</v>
      </c>
      <c r="AA620">
        <v>0</v>
      </c>
      <c r="AB620">
        <v>0</v>
      </c>
      <c r="AC620">
        <v>0</v>
      </c>
      <c r="AD620" t="s">
        <v>187</v>
      </c>
      <c r="AE620" t="s">
        <v>5</v>
      </c>
      <c r="AF620" t="s">
        <v>187</v>
      </c>
      <c r="AG620" t="s">
        <v>139</v>
      </c>
      <c r="AH620">
        <v>16</v>
      </c>
      <c r="AI620" t="s">
        <v>23</v>
      </c>
      <c r="AJ620">
        <v>2</v>
      </c>
      <c r="AK620">
        <v>-32</v>
      </c>
      <c r="AL620">
        <v>46</v>
      </c>
      <c r="AM620" t="s">
        <v>5</v>
      </c>
      <c r="AN620">
        <v>1</v>
      </c>
      <c r="AO620">
        <v>0</v>
      </c>
      <c r="AP620">
        <v>0</v>
      </c>
      <c r="AQ620">
        <v>1</v>
      </c>
    </row>
    <row r="621" spans="1:43" x14ac:dyDescent="0.25">
      <c r="A621" t="s">
        <v>2386</v>
      </c>
      <c r="B621" t="s">
        <v>1191</v>
      </c>
      <c r="C621" t="s">
        <v>2385</v>
      </c>
      <c r="D621" s="1">
        <v>45709</v>
      </c>
      <c r="E621" t="s">
        <v>162</v>
      </c>
      <c r="F621" t="s">
        <v>310</v>
      </c>
      <c r="G621" t="s">
        <v>17</v>
      </c>
      <c r="H621" t="s">
        <v>29</v>
      </c>
      <c r="I621" t="s">
        <v>28</v>
      </c>
      <c r="J621" t="s">
        <v>55</v>
      </c>
      <c r="K621" t="s">
        <v>54</v>
      </c>
      <c r="L621" t="s">
        <v>117</v>
      </c>
      <c r="M621" t="s">
        <v>11</v>
      </c>
      <c r="N621" t="s">
        <v>10</v>
      </c>
      <c r="O621" t="s">
        <v>199</v>
      </c>
      <c r="P621" t="s">
        <v>39</v>
      </c>
      <c r="Q621" t="s">
        <v>247</v>
      </c>
      <c r="R621" t="s">
        <v>6</v>
      </c>
      <c r="S621">
        <v>5</v>
      </c>
      <c r="T621">
        <v>5</v>
      </c>
      <c r="U621">
        <v>176</v>
      </c>
      <c r="V621" t="s">
        <v>0</v>
      </c>
      <c r="W621" t="s">
        <v>5</v>
      </c>
      <c r="X621" t="s">
        <v>5</v>
      </c>
      <c r="Y621" t="s">
        <v>410</v>
      </c>
      <c r="Z621" t="s">
        <v>5</v>
      </c>
      <c r="AA621">
        <v>44.85</v>
      </c>
      <c r="AB621">
        <v>0</v>
      </c>
      <c r="AC621">
        <v>0</v>
      </c>
      <c r="AD621" t="s">
        <v>3</v>
      </c>
      <c r="AE621" t="s">
        <v>0</v>
      </c>
      <c r="AF621" t="s">
        <v>3</v>
      </c>
      <c r="AG621" t="s">
        <v>2</v>
      </c>
      <c r="AI621" t="s">
        <v>23</v>
      </c>
      <c r="AJ621">
        <v>4</v>
      </c>
      <c r="AK621">
        <v>-12</v>
      </c>
      <c r="AL621">
        <v>38</v>
      </c>
      <c r="AM621" t="s">
        <v>5</v>
      </c>
      <c r="AN621">
        <v>1</v>
      </c>
      <c r="AO621">
        <v>1</v>
      </c>
      <c r="AP621">
        <v>1</v>
      </c>
      <c r="AQ621">
        <v>1</v>
      </c>
    </row>
    <row r="622" spans="1:43" x14ac:dyDescent="0.25">
      <c r="A622" t="s">
        <v>2384</v>
      </c>
      <c r="B622" t="s">
        <v>2383</v>
      </c>
      <c r="C622" t="s">
        <v>2382</v>
      </c>
      <c r="D622" s="1">
        <v>45921</v>
      </c>
      <c r="E622" t="s">
        <v>45</v>
      </c>
      <c r="F622" t="s">
        <v>44</v>
      </c>
      <c r="G622" t="s">
        <v>17</v>
      </c>
      <c r="H622" t="s">
        <v>77</v>
      </c>
      <c r="I622" t="s">
        <v>28</v>
      </c>
      <c r="J622" t="s">
        <v>14</v>
      </c>
      <c r="K622" t="s">
        <v>13</v>
      </c>
      <c r="L622" t="s">
        <v>117</v>
      </c>
      <c r="M622" t="s">
        <v>27</v>
      </c>
      <c r="N622" t="s">
        <v>93</v>
      </c>
      <c r="O622" t="s">
        <v>26</v>
      </c>
      <c r="P622" t="s">
        <v>39</v>
      </c>
      <c r="Q622" t="s">
        <v>24</v>
      </c>
      <c r="R622" t="s">
        <v>38</v>
      </c>
      <c r="S622">
        <v>4</v>
      </c>
      <c r="T622">
        <v>4</v>
      </c>
      <c r="U622">
        <v>108</v>
      </c>
      <c r="V622" t="s">
        <v>0</v>
      </c>
      <c r="W622" t="s">
        <v>5</v>
      </c>
      <c r="X622" t="s">
        <v>0</v>
      </c>
      <c r="Y622" t="s">
        <v>4</v>
      </c>
      <c r="Z622" t="s">
        <v>5</v>
      </c>
      <c r="AA622">
        <v>67.489999999999995</v>
      </c>
      <c r="AB622">
        <v>0.21</v>
      </c>
      <c r="AC622">
        <v>0.37</v>
      </c>
      <c r="AD622" t="s">
        <v>3</v>
      </c>
      <c r="AE622" t="s">
        <v>0</v>
      </c>
      <c r="AF622" t="s">
        <v>3</v>
      </c>
      <c r="AG622" t="s">
        <v>2</v>
      </c>
      <c r="AI622" t="s">
        <v>23</v>
      </c>
      <c r="AJ622">
        <v>5</v>
      </c>
      <c r="AK622">
        <v>17</v>
      </c>
      <c r="AL622">
        <v>5</v>
      </c>
      <c r="AM622" t="s">
        <v>5</v>
      </c>
      <c r="AN622">
        <v>1</v>
      </c>
      <c r="AO622">
        <v>1</v>
      </c>
      <c r="AP622">
        <v>0</v>
      </c>
      <c r="AQ622">
        <v>1</v>
      </c>
    </row>
    <row r="623" spans="1:43" x14ac:dyDescent="0.25">
      <c r="A623" t="s">
        <v>2381</v>
      </c>
      <c r="B623" t="s">
        <v>2380</v>
      </c>
      <c r="C623" t="s">
        <v>2379</v>
      </c>
      <c r="D623" s="1">
        <v>46079</v>
      </c>
      <c r="E623" t="s">
        <v>168</v>
      </c>
      <c r="F623" t="s">
        <v>177</v>
      </c>
      <c r="G623" t="s">
        <v>83</v>
      </c>
      <c r="H623" t="s">
        <v>16</v>
      </c>
      <c r="I623" t="s">
        <v>15</v>
      </c>
      <c r="J623" t="s">
        <v>14</v>
      </c>
      <c r="K623" t="s">
        <v>13</v>
      </c>
      <c r="L623" t="s">
        <v>88</v>
      </c>
      <c r="M623" t="s">
        <v>53</v>
      </c>
      <c r="N623" t="s">
        <v>93</v>
      </c>
      <c r="O623" t="s">
        <v>74</v>
      </c>
      <c r="P623" t="s">
        <v>39</v>
      </c>
      <c r="Q623" t="s">
        <v>7</v>
      </c>
      <c r="R623" t="s">
        <v>6</v>
      </c>
      <c r="S623">
        <v>99</v>
      </c>
      <c r="T623">
        <v>6</v>
      </c>
      <c r="U623">
        <v>180</v>
      </c>
      <c r="V623" t="s">
        <v>0</v>
      </c>
      <c r="W623" t="s">
        <v>5</v>
      </c>
      <c r="X623" t="s">
        <v>5</v>
      </c>
      <c r="Y623" t="s">
        <v>314</v>
      </c>
      <c r="Z623" t="s">
        <v>5</v>
      </c>
      <c r="AA623">
        <v>17.260000000000002</v>
      </c>
      <c r="AB623">
        <v>0</v>
      </c>
      <c r="AC623">
        <v>0.17</v>
      </c>
      <c r="AD623" t="s">
        <v>3</v>
      </c>
      <c r="AE623" t="s">
        <v>0</v>
      </c>
      <c r="AF623" t="s">
        <v>3</v>
      </c>
      <c r="AG623" t="s">
        <v>2</v>
      </c>
      <c r="AI623" t="s">
        <v>23</v>
      </c>
      <c r="AJ623">
        <v>3</v>
      </c>
      <c r="AK623">
        <v>150</v>
      </c>
      <c r="AL623">
        <v>80</v>
      </c>
      <c r="AM623" t="s">
        <v>5</v>
      </c>
      <c r="AN623">
        <v>1</v>
      </c>
      <c r="AO623">
        <v>1</v>
      </c>
      <c r="AP623">
        <v>1</v>
      </c>
      <c r="AQ623">
        <v>1</v>
      </c>
    </row>
    <row r="624" spans="1:43" x14ac:dyDescent="0.25">
      <c r="A624" t="s">
        <v>2378</v>
      </c>
      <c r="B624" t="s">
        <v>2377</v>
      </c>
      <c r="C624" t="s">
        <v>2376</v>
      </c>
      <c r="D624" s="1">
        <v>45731</v>
      </c>
      <c r="E624" t="s">
        <v>125</v>
      </c>
      <c r="F624" t="s">
        <v>124</v>
      </c>
      <c r="G624" t="s">
        <v>17</v>
      </c>
      <c r="H624" t="s">
        <v>16</v>
      </c>
      <c r="I624" t="s">
        <v>28</v>
      </c>
      <c r="J624" t="s">
        <v>14</v>
      </c>
      <c r="K624" t="s">
        <v>13</v>
      </c>
      <c r="L624" t="s">
        <v>64</v>
      </c>
      <c r="M624" t="s">
        <v>53</v>
      </c>
      <c r="N624" t="s">
        <v>93</v>
      </c>
      <c r="O624" t="s">
        <v>101</v>
      </c>
      <c r="P624" t="s">
        <v>63</v>
      </c>
      <c r="Q624" t="s">
        <v>198</v>
      </c>
      <c r="R624" t="s">
        <v>6</v>
      </c>
      <c r="S624">
        <v>4</v>
      </c>
      <c r="T624">
        <v>4</v>
      </c>
      <c r="U624">
        <v>116</v>
      </c>
      <c r="V624" t="s">
        <v>0</v>
      </c>
      <c r="W624" t="s">
        <v>5</v>
      </c>
      <c r="X624" t="s">
        <v>0</v>
      </c>
      <c r="Y624" t="s">
        <v>4</v>
      </c>
      <c r="Z624" t="s">
        <v>5</v>
      </c>
      <c r="AA624">
        <v>23.4</v>
      </c>
      <c r="AB624">
        <v>0.56000000000000005</v>
      </c>
      <c r="AC624">
        <v>0.17</v>
      </c>
      <c r="AD624" t="s">
        <v>3</v>
      </c>
      <c r="AE624" t="s">
        <v>0</v>
      </c>
      <c r="AF624" t="s">
        <v>3</v>
      </c>
      <c r="AG624" t="s">
        <v>2</v>
      </c>
      <c r="AI624" t="s">
        <v>23</v>
      </c>
      <c r="AJ624">
        <v>5</v>
      </c>
      <c r="AK624">
        <v>-8</v>
      </c>
      <c r="AL624">
        <v>0</v>
      </c>
      <c r="AM624" t="s">
        <v>5</v>
      </c>
      <c r="AN624">
        <v>1</v>
      </c>
      <c r="AO624">
        <v>1</v>
      </c>
      <c r="AP624">
        <v>0</v>
      </c>
      <c r="AQ624">
        <v>1</v>
      </c>
    </row>
    <row r="625" spans="1:43" x14ac:dyDescent="0.25">
      <c r="A625" t="s">
        <v>2375</v>
      </c>
      <c r="B625" t="s">
        <v>137</v>
      </c>
      <c r="C625" t="s">
        <v>2374</v>
      </c>
      <c r="D625" s="1">
        <v>45668</v>
      </c>
      <c r="E625" t="s">
        <v>162</v>
      </c>
      <c r="F625" t="s">
        <v>2080</v>
      </c>
      <c r="G625" t="s">
        <v>123</v>
      </c>
      <c r="H625" t="s">
        <v>16</v>
      </c>
      <c r="I625" t="s">
        <v>15</v>
      </c>
      <c r="J625" t="s">
        <v>14</v>
      </c>
      <c r="K625" t="s">
        <v>13</v>
      </c>
      <c r="L625" t="s">
        <v>88</v>
      </c>
      <c r="M625" t="s">
        <v>27</v>
      </c>
      <c r="N625" t="s">
        <v>93</v>
      </c>
      <c r="O625" t="s">
        <v>193</v>
      </c>
      <c r="P625" t="s">
        <v>63</v>
      </c>
      <c r="Q625" t="s">
        <v>7</v>
      </c>
      <c r="R625" t="s">
        <v>6</v>
      </c>
      <c r="S625">
        <v>9</v>
      </c>
      <c r="T625">
        <v>9</v>
      </c>
      <c r="U625">
        <v>281</v>
      </c>
      <c r="V625" t="s">
        <v>0</v>
      </c>
      <c r="W625" t="s">
        <v>5</v>
      </c>
      <c r="X625" t="s">
        <v>0</v>
      </c>
      <c r="Y625" t="s">
        <v>4</v>
      </c>
      <c r="Z625" t="s">
        <v>5</v>
      </c>
      <c r="AA625">
        <v>87.14</v>
      </c>
      <c r="AB625">
        <v>3.36</v>
      </c>
      <c r="AC625">
        <v>0.37</v>
      </c>
      <c r="AD625" t="s">
        <v>3</v>
      </c>
      <c r="AE625" t="s">
        <v>0</v>
      </c>
      <c r="AF625" t="s">
        <v>3</v>
      </c>
      <c r="AG625" t="s">
        <v>2</v>
      </c>
      <c r="AI625" t="s">
        <v>23</v>
      </c>
      <c r="AJ625">
        <v>2</v>
      </c>
      <c r="AK625">
        <v>44</v>
      </c>
      <c r="AL625">
        <v>0</v>
      </c>
      <c r="AM625" t="s">
        <v>5</v>
      </c>
      <c r="AN625">
        <v>1</v>
      </c>
      <c r="AO625">
        <v>1</v>
      </c>
      <c r="AP625">
        <v>0</v>
      </c>
      <c r="AQ625">
        <v>1</v>
      </c>
    </row>
    <row r="626" spans="1:43" x14ac:dyDescent="0.25">
      <c r="A626" t="s">
        <v>2373</v>
      </c>
      <c r="B626" t="s">
        <v>941</v>
      </c>
      <c r="C626" t="s">
        <v>2372</v>
      </c>
      <c r="D626" s="1">
        <v>46048</v>
      </c>
      <c r="E626" t="s">
        <v>149</v>
      </c>
      <c r="F626" t="s">
        <v>589</v>
      </c>
      <c r="G626" t="s">
        <v>17</v>
      </c>
      <c r="H626" t="s">
        <v>66</v>
      </c>
      <c r="I626" t="s">
        <v>147</v>
      </c>
      <c r="J626" t="s">
        <v>14</v>
      </c>
      <c r="K626" t="s">
        <v>13</v>
      </c>
      <c r="L626" t="s">
        <v>88</v>
      </c>
      <c r="M626" t="s">
        <v>11</v>
      </c>
      <c r="N626" t="s">
        <v>93</v>
      </c>
      <c r="O626" t="s">
        <v>199</v>
      </c>
      <c r="P626" t="s">
        <v>8</v>
      </c>
      <c r="Q626" t="s">
        <v>7</v>
      </c>
      <c r="R626" t="s">
        <v>6</v>
      </c>
      <c r="S626" t="s">
        <v>479</v>
      </c>
      <c r="T626">
        <v>5</v>
      </c>
      <c r="U626">
        <v>113</v>
      </c>
      <c r="V626" t="s">
        <v>0</v>
      </c>
      <c r="W626" t="s">
        <v>287</v>
      </c>
      <c r="X626" t="s">
        <v>0</v>
      </c>
      <c r="Y626" t="s">
        <v>4</v>
      </c>
      <c r="Z626" t="s">
        <v>0</v>
      </c>
      <c r="AA626">
        <v>0</v>
      </c>
      <c r="AB626">
        <v>0</v>
      </c>
      <c r="AC626">
        <v>0</v>
      </c>
      <c r="AD626" t="s">
        <v>3</v>
      </c>
      <c r="AE626" t="s">
        <v>0</v>
      </c>
      <c r="AF626" t="s">
        <v>3</v>
      </c>
      <c r="AG626" t="s">
        <v>2</v>
      </c>
      <c r="AI626" t="s">
        <v>23</v>
      </c>
      <c r="AJ626">
        <v>5</v>
      </c>
      <c r="AK626">
        <v>46</v>
      </c>
      <c r="AL626">
        <v>56</v>
      </c>
      <c r="AM626" t="s">
        <v>5</v>
      </c>
      <c r="AN626">
        <v>1</v>
      </c>
      <c r="AO626">
        <v>0</v>
      </c>
      <c r="AP626">
        <v>0</v>
      </c>
      <c r="AQ626">
        <v>1</v>
      </c>
    </row>
    <row r="627" spans="1:43" x14ac:dyDescent="0.25">
      <c r="A627" t="s">
        <v>2371</v>
      </c>
      <c r="B627" t="s">
        <v>2370</v>
      </c>
      <c r="C627" t="s">
        <v>2369</v>
      </c>
      <c r="D627" s="1">
        <v>45938</v>
      </c>
      <c r="E627" t="s">
        <v>168</v>
      </c>
      <c r="F627" t="s">
        <v>177</v>
      </c>
      <c r="G627" t="s">
        <v>17</v>
      </c>
      <c r="H627" t="s">
        <v>43</v>
      </c>
      <c r="I627" t="s">
        <v>28</v>
      </c>
      <c r="J627" t="s">
        <v>55</v>
      </c>
      <c r="K627" t="s">
        <v>54</v>
      </c>
      <c r="L627" t="s">
        <v>64</v>
      </c>
      <c r="M627" t="s">
        <v>11</v>
      </c>
      <c r="N627" t="s">
        <v>93</v>
      </c>
      <c r="O627" t="s">
        <v>130</v>
      </c>
      <c r="P627" t="s">
        <v>39</v>
      </c>
      <c r="Q627" t="s">
        <v>24</v>
      </c>
      <c r="R627" t="s">
        <v>38</v>
      </c>
      <c r="S627">
        <v>5</v>
      </c>
      <c r="T627">
        <v>5</v>
      </c>
      <c r="U627">
        <v>144</v>
      </c>
      <c r="V627" t="s">
        <v>0</v>
      </c>
      <c r="W627" t="s">
        <v>0</v>
      </c>
      <c r="X627" t="s">
        <v>0</v>
      </c>
      <c r="Y627" t="s">
        <v>4</v>
      </c>
      <c r="Z627" t="s">
        <v>0</v>
      </c>
      <c r="AA627">
        <v>0</v>
      </c>
      <c r="AB627">
        <v>0</v>
      </c>
      <c r="AC627">
        <v>0</v>
      </c>
      <c r="AD627" t="s">
        <v>3</v>
      </c>
      <c r="AE627" t="s">
        <v>0</v>
      </c>
      <c r="AF627" t="s">
        <v>3</v>
      </c>
      <c r="AG627" t="s">
        <v>2</v>
      </c>
      <c r="AI627" t="s">
        <v>122</v>
      </c>
      <c r="AJ627">
        <v>4</v>
      </c>
      <c r="AK627">
        <v>77</v>
      </c>
      <c r="AL627">
        <v>12</v>
      </c>
      <c r="AM627" t="s">
        <v>0</v>
      </c>
      <c r="AN627">
        <v>0</v>
      </c>
      <c r="AO627">
        <v>0</v>
      </c>
      <c r="AP627">
        <v>0</v>
      </c>
      <c r="AQ627">
        <v>0</v>
      </c>
    </row>
    <row r="628" spans="1:43" x14ac:dyDescent="0.25">
      <c r="A628" t="s">
        <v>2368</v>
      </c>
      <c r="B628" t="s">
        <v>2367</v>
      </c>
      <c r="C628" t="s">
        <v>2366</v>
      </c>
      <c r="D628" s="1">
        <v>46134</v>
      </c>
      <c r="E628" t="s">
        <v>168</v>
      </c>
      <c r="F628" t="s">
        <v>283</v>
      </c>
      <c r="G628" t="s">
        <v>17</v>
      </c>
      <c r="H628" t="s">
        <v>66</v>
      </c>
      <c r="I628" t="s">
        <v>15</v>
      </c>
      <c r="J628" t="s">
        <v>55</v>
      </c>
      <c r="K628" t="s">
        <v>54</v>
      </c>
      <c r="L628" t="s">
        <v>42</v>
      </c>
      <c r="M628" t="s">
        <v>11</v>
      </c>
      <c r="N628" t="s">
        <v>75</v>
      </c>
      <c r="O628" t="s">
        <v>193</v>
      </c>
      <c r="P628" t="s">
        <v>25</v>
      </c>
      <c r="Q628" t="s">
        <v>7</v>
      </c>
      <c r="R628" t="s">
        <v>6</v>
      </c>
      <c r="S628">
        <v>9</v>
      </c>
      <c r="T628">
        <v>9</v>
      </c>
      <c r="U628">
        <v>239</v>
      </c>
      <c r="V628" t="s">
        <v>0</v>
      </c>
      <c r="W628" t="s">
        <v>0</v>
      </c>
      <c r="X628" t="s">
        <v>0</v>
      </c>
      <c r="Y628" t="s">
        <v>4</v>
      </c>
      <c r="Z628" t="s">
        <v>0</v>
      </c>
      <c r="AA628">
        <v>0</v>
      </c>
      <c r="AB628">
        <v>0</v>
      </c>
      <c r="AC628">
        <v>0</v>
      </c>
      <c r="AD628" t="s">
        <v>3</v>
      </c>
      <c r="AE628" t="s">
        <v>0</v>
      </c>
      <c r="AF628" t="s">
        <v>3</v>
      </c>
      <c r="AG628" t="s">
        <v>2</v>
      </c>
      <c r="AI628" t="s">
        <v>23</v>
      </c>
      <c r="AJ628">
        <v>2</v>
      </c>
      <c r="AK628">
        <v>24</v>
      </c>
      <c r="AL628">
        <v>1</v>
      </c>
      <c r="AM628" t="s">
        <v>0</v>
      </c>
      <c r="AN628">
        <v>0</v>
      </c>
      <c r="AO628">
        <v>0</v>
      </c>
      <c r="AP628">
        <v>0</v>
      </c>
      <c r="AQ628">
        <v>0</v>
      </c>
    </row>
    <row r="629" spans="1:43" x14ac:dyDescent="0.25">
      <c r="A629" t="s">
        <v>2365</v>
      </c>
      <c r="B629" t="s">
        <v>2364</v>
      </c>
      <c r="C629" t="s">
        <v>2363</v>
      </c>
      <c r="D629" s="1">
        <v>45703</v>
      </c>
      <c r="E629" t="s">
        <v>68</v>
      </c>
      <c r="F629" t="s">
        <v>216</v>
      </c>
      <c r="G629" t="s">
        <v>131</v>
      </c>
      <c r="H629" t="s">
        <v>66</v>
      </c>
      <c r="I629" t="s">
        <v>963</v>
      </c>
      <c r="J629" t="s">
        <v>55</v>
      </c>
      <c r="K629" t="s">
        <v>54</v>
      </c>
      <c r="L629" t="s">
        <v>12</v>
      </c>
      <c r="M629" t="s">
        <v>11</v>
      </c>
      <c r="N629" t="s">
        <v>116</v>
      </c>
      <c r="O629" t="s">
        <v>130</v>
      </c>
      <c r="P629" t="s">
        <v>39</v>
      </c>
      <c r="Q629" t="s">
        <v>7</v>
      </c>
      <c r="R629" t="s">
        <v>6</v>
      </c>
      <c r="S629">
        <v>5</v>
      </c>
      <c r="T629">
        <v>3</v>
      </c>
      <c r="U629">
        <v>195</v>
      </c>
      <c r="V629" t="s">
        <v>5</v>
      </c>
      <c r="W629" t="s">
        <v>135</v>
      </c>
      <c r="X629" t="s">
        <v>0</v>
      </c>
      <c r="Y629" t="s">
        <v>4</v>
      </c>
      <c r="Z629" t="s">
        <v>5</v>
      </c>
      <c r="AA629">
        <v>46.76</v>
      </c>
      <c r="AB629">
        <v>0</v>
      </c>
      <c r="AC629">
        <v>0</v>
      </c>
      <c r="AD629" t="s">
        <v>3</v>
      </c>
      <c r="AE629" t="s">
        <v>0</v>
      </c>
      <c r="AF629" t="s">
        <v>3</v>
      </c>
      <c r="AG629" t="s">
        <v>2</v>
      </c>
      <c r="AI629" t="s">
        <v>332</v>
      </c>
      <c r="AJ629">
        <v>4</v>
      </c>
      <c r="AK629">
        <v>-13</v>
      </c>
      <c r="AL629">
        <v>4</v>
      </c>
      <c r="AM629" t="s">
        <v>5</v>
      </c>
      <c r="AN629">
        <v>0</v>
      </c>
      <c r="AO629">
        <v>1</v>
      </c>
      <c r="AP629">
        <v>0</v>
      </c>
      <c r="AQ629">
        <v>1</v>
      </c>
    </row>
    <row r="630" spans="1:43" x14ac:dyDescent="0.25">
      <c r="A630" t="s">
        <v>2362</v>
      </c>
      <c r="B630" t="s">
        <v>2361</v>
      </c>
      <c r="C630" t="s">
        <v>2360</v>
      </c>
      <c r="D630" s="1">
        <v>45707</v>
      </c>
      <c r="E630" t="s">
        <v>149</v>
      </c>
      <c r="F630" t="s">
        <v>1382</v>
      </c>
      <c r="G630" t="s">
        <v>83</v>
      </c>
      <c r="H630" t="s">
        <v>43</v>
      </c>
      <c r="I630" t="s">
        <v>15</v>
      </c>
      <c r="J630" t="s">
        <v>55</v>
      </c>
      <c r="K630" t="s">
        <v>54</v>
      </c>
      <c r="L630" t="s">
        <v>88</v>
      </c>
      <c r="M630" t="s">
        <v>27</v>
      </c>
      <c r="N630" t="s">
        <v>116</v>
      </c>
      <c r="O630" t="s">
        <v>26</v>
      </c>
      <c r="P630" t="s">
        <v>39</v>
      </c>
      <c r="Q630" t="s">
        <v>100</v>
      </c>
      <c r="R630" t="s">
        <v>6</v>
      </c>
      <c r="S630">
        <v>4</v>
      </c>
      <c r="T630">
        <v>4</v>
      </c>
      <c r="U630">
        <v>113</v>
      </c>
      <c r="V630" t="s">
        <v>0</v>
      </c>
      <c r="W630" t="s">
        <v>5</v>
      </c>
      <c r="X630" t="s">
        <v>0</v>
      </c>
      <c r="Y630" t="s">
        <v>4</v>
      </c>
      <c r="Z630" t="s">
        <v>5</v>
      </c>
      <c r="AA630">
        <v>155.9</v>
      </c>
      <c r="AB630">
        <v>0.2</v>
      </c>
      <c r="AC630">
        <v>0.37</v>
      </c>
      <c r="AD630" t="s">
        <v>3</v>
      </c>
      <c r="AE630" t="s">
        <v>0</v>
      </c>
      <c r="AF630" t="s">
        <v>3</v>
      </c>
      <c r="AG630" t="s">
        <v>2</v>
      </c>
      <c r="AI630" t="s">
        <v>23</v>
      </c>
      <c r="AJ630">
        <v>3</v>
      </c>
      <c r="AK630">
        <v>10</v>
      </c>
      <c r="AL630">
        <v>4</v>
      </c>
      <c r="AM630" t="s">
        <v>5</v>
      </c>
      <c r="AN630">
        <v>1</v>
      </c>
      <c r="AO630">
        <v>1</v>
      </c>
      <c r="AP630">
        <v>0</v>
      </c>
      <c r="AQ630">
        <v>1</v>
      </c>
    </row>
    <row r="631" spans="1:43" x14ac:dyDescent="0.25">
      <c r="A631" t="s">
        <v>2359</v>
      </c>
      <c r="B631" t="s">
        <v>606</v>
      </c>
      <c r="C631" t="s">
        <v>2358</v>
      </c>
      <c r="D631" s="1">
        <v>46074</v>
      </c>
      <c r="E631" t="s">
        <v>149</v>
      </c>
      <c r="F631" t="s">
        <v>183</v>
      </c>
      <c r="G631" t="s">
        <v>123</v>
      </c>
      <c r="H631" t="s">
        <v>43</v>
      </c>
      <c r="I631" t="s">
        <v>28</v>
      </c>
      <c r="J631" t="s">
        <v>14</v>
      </c>
      <c r="K631" t="s">
        <v>13</v>
      </c>
      <c r="L631" t="s">
        <v>117</v>
      </c>
      <c r="M631" t="s">
        <v>11</v>
      </c>
      <c r="N631" t="s">
        <v>52</v>
      </c>
      <c r="O631" t="s">
        <v>40</v>
      </c>
      <c r="P631" t="s">
        <v>63</v>
      </c>
      <c r="Q631" t="s">
        <v>198</v>
      </c>
      <c r="R631" t="s">
        <v>38</v>
      </c>
      <c r="S631">
        <v>8</v>
      </c>
      <c r="T631">
        <v>7</v>
      </c>
      <c r="U631">
        <v>0</v>
      </c>
      <c r="V631" t="s">
        <v>5</v>
      </c>
      <c r="W631" t="s">
        <v>287</v>
      </c>
      <c r="X631" t="s">
        <v>0</v>
      </c>
      <c r="Y631" t="s">
        <v>4</v>
      </c>
      <c r="Z631" t="s">
        <v>5</v>
      </c>
      <c r="AA631">
        <v>461.24</v>
      </c>
      <c r="AB631">
        <v>2.3199999999999998</v>
      </c>
      <c r="AC631">
        <v>0</v>
      </c>
      <c r="AD631" t="s">
        <v>3</v>
      </c>
      <c r="AE631" t="s">
        <v>0</v>
      </c>
      <c r="AF631" t="s">
        <v>3</v>
      </c>
      <c r="AG631" t="s">
        <v>2</v>
      </c>
      <c r="AI631" t="s">
        <v>23</v>
      </c>
      <c r="AJ631">
        <v>4</v>
      </c>
      <c r="AK631">
        <v>21</v>
      </c>
      <c r="AL631">
        <v>0</v>
      </c>
      <c r="AM631" t="s">
        <v>5</v>
      </c>
      <c r="AN631">
        <v>1</v>
      </c>
      <c r="AO631">
        <v>1</v>
      </c>
      <c r="AP631">
        <v>0</v>
      </c>
      <c r="AQ631">
        <v>1</v>
      </c>
    </row>
    <row r="632" spans="1:43" x14ac:dyDescent="0.25">
      <c r="A632" t="s">
        <v>2357</v>
      </c>
      <c r="B632" t="s">
        <v>2356</v>
      </c>
      <c r="C632" t="s">
        <v>2355</v>
      </c>
      <c r="D632" s="1">
        <v>46110</v>
      </c>
      <c r="E632" t="s">
        <v>68</v>
      </c>
      <c r="F632" t="s">
        <v>278</v>
      </c>
      <c r="G632" t="s">
        <v>17</v>
      </c>
      <c r="H632" t="s">
        <v>16</v>
      </c>
      <c r="I632" t="s">
        <v>15</v>
      </c>
      <c r="J632" t="s">
        <v>55</v>
      </c>
      <c r="K632" t="s">
        <v>54</v>
      </c>
      <c r="L632" t="s">
        <v>64</v>
      </c>
      <c r="M632" t="s">
        <v>27</v>
      </c>
      <c r="N632" t="s">
        <v>41</v>
      </c>
      <c r="O632" t="s">
        <v>101</v>
      </c>
      <c r="P632" t="s">
        <v>39</v>
      </c>
      <c r="Q632" t="s">
        <v>7</v>
      </c>
      <c r="R632" t="s">
        <v>6</v>
      </c>
      <c r="S632">
        <v>4</v>
      </c>
      <c r="T632">
        <v>4</v>
      </c>
      <c r="U632">
        <v>73</v>
      </c>
      <c r="V632" t="s">
        <v>0</v>
      </c>
      <c r="W632" t="s">
        <v>0</v>
      </c>
      <c r="X632" t="s">
        <v>0</v>
      </c>
      <c r="Y632" t="s">
        <v>4</v>
      </c>
      <c r="Z632" t="s">
        <v>0</v>
      </c>
      <c r="AA632">
        <v>0</v>
      </c>
      <c r="AB632">
        <v>0</v>
      </c>
      <c r="AC632">
        <v>0</v>
      </c>
      <c r="AD632" t="s">
        <v>3</v>
      </c>
      <c r="AE632" t="s">
        <v>0</v>
      </c>
      <c r="AF632" t="s">
        <v>3</v>
      </c>
      <c r="AG632" t="s">
        <v>2</v>
      </c>
      <c r="AI632" t="s">
        <v>23</v>
      </c>
      <c r="AJ632">
        <v>4</v>
      </c>
      <c r="AK632">
        <v>8</v>
      </c>
      <c r="AL632">
        <v>25</v>
      </c>
      <c r="AM632" t="s">
        <v>0</v>
      </c>
      <c r="AN632">
        <v>0</v>
      </c>
      <c r="AO632">
        <v>0</v>
      </c>
      <c r="AP632">
        <v>0</v>
      </c>
      <c r="AQ632">
        <v>0</v>
      </c>
    </row>
    <row r="633" spans="1:43" x14ac:dyDescent="0.25">
      <c r="A633" t="s">
        <v>2354</v>
      </c>
      <c r="B633" t="s">
        <v>2353</v>
      </c>
      <c r="C633" t="s">
        <v>2352</v>
      </c>
      <c r="D633" s="1">
        <v>45919</v>
      </c>
      <c r="E633" t="s">
        <v>125</v>
      </c>
      <c r="F633" t="s">
        <v>124</v>
      </c>
      <c r="G633" t="s">
        <v>56</v>
      </c>
      <c r="H633" t="s">
        <v>16</v>
      </c>
      <c r="I633" t="s">
        <v>28</v>
      </c>
      <c r="J633" t="s">
        <v>55</v>
      </c>
      <c r="K633" t="s">
        <v>65</v>
      </c>
      <c r="L633" t="s">
        <v>12</v>
      </c>
      <c r="M633" t="s">
        <v>11</v>
      </c>
      <c r="N633" t="s">
        <v>75</v>
      </c>
      <c r="O633" t="s">
        <v>199</v>
      </c>
      <c r="P633" t="s">
        <v>39</v>
      </c>
      <c r="Q633" t="s">
        <v>50</v>
      </c>
      <c r="R633" t="s">
        <v>38</v>
      </c>
      <c r="S633">
        <v>5</v>
      </c>
      <c r="T633">
        <v>4</v>
      </c>
      <c r="U633">
        <v>171</v>
      </c>
      <c r="V633" t="s">
        <v>182</v>
      </c>
      <c r="W633" t="s">
        <v>0</v>
      </c>
      <c r="X633" t="s">
        <v>5</v>
      </c>
      <c r="Y633" t="s">
        <v>197</v>
      </c>
      <c r="Z633" t="s">
        <v>0</v>
      </c>
      <c r="AA633">
        <v>0</v>
      </c>
      <c r="AB633">
        <v>0</v>
      </c>
      <c r="AC633">
        <v>0</v>
      </c>
      <c r="AD633" t="s">
        <v>37</v>
      </c>
      <c r="AE633" t="s">
        <v>5</v>
      </c>
      <c r="AF633" t="s">
        <v>37</v>
      </c>
      <c r="AG633" t="s">
        <v>36</v>
      </c>
      <c r="AH633">
        <v>32</v>
      </c>
      <c r="AI633" t="s">
        <v>1</v>
      </c>
      <c r="AJ633">
        <v>3</v>
      </c>
      <c r="AK633">
        <v>-13</v>
      </c>
      <c r="AL633">
        <v>49</v>
      </c>
      <c r="AM633" t="s">
        <v>0</v>
      </c>
      <c r="AN633">
        <v>0</v>
      </c>
      <c r="AO633">
        <v>0</v>
      </c>
      <c r="AP633">
        <v>1</v>
      </c>
      <c r="AQ633">
        <v>0</v>
      </c>
    </row>
    <row r="634" spans="1:43" x14ac:dyDescent="0.25">
      <c r="A634" t="s">
        <v>2351</v>
      </c>
      <c r="B634" t="s">
        <v>2350</v>
      </c>
      <c r="C634" t="s">
        <v>2349</v>
      </c>
      <c r="D634" s="1">
        <v>46081</v>
      </c>
      <c r="E634" t="s">
        <v>45</v>
      </c>
      <c r="F634" t="s">
        <v>44</v>
      </c>
      <c r="G634" t="s">
        <v>17</v>
      </c>
      <c r="H634" t="s">
        <v>43</v>
      </c>
      <c r="I634" t="s">
        <v>15</v>
      </c>
      <c r="J634" t="s">
        <v>14</v>
      </c>
      <c r="K634" t="s">
        <v>13</v>
      </c>
      <c r="L634" t="s">
        <v>42</v>
      </c>
      <c r="M634" t="s">
        <v>11</v>
      </c>
      <c r="N634" t="s">
        <v>41</v>
      </c>
      <c r="O634" t="s">
        <v>40</v>
      </c>
      <c r="P634" t="s">
        <v>39</v>
      </c>
      <c r="Q634" t="s">
        <v>24</v>
      </c>
      <c r="R634" t="s">
        <v>38</v>
      </c>
      <c r="S634">
        <v>8</v>
      </c>
      <c r="T634">
        <v>8</v>
      </c>
      <c r="U634">
        <v>177</v>
      </c>
      <c r="V634" t="s">
        <v>0</v>
      </c>
      <c r="W634" t="s">
        <v>5</v>
      </c>
      <c r="X634" t="s">
        <v>0</v>
      </c>
      <c r="Y634" t="s">
        <v>4</v>
      </c>
      <c r="Z634" t="s">
        <v>0</v>
      </c>
      <c r="AA634">
        <v>0</v>
      </c>
      <c r="AB634">
        <v>0</v>
      </c>
      <c r="AC634">
        <v>0</v>
      </c>
      <c r="AD634" t="s">
        <v>37</v>
      </c>
      <c r="AE634" t="s">
        <v>5</v>
      </c>
      <c r="AF634" t="s">
        <v>37</v>
      </c>
      <c r="AG634" t="s">
        <v>36</v>
      </c>
      <c r="AH634">
        <v>42</v>
      </c>
      <c r="AI634" t="s">
        <v>23</v>
      </c>
      <c r="AJ634">
        <v>5</v>
      </c>
      <c r="AK634">
        <v>3</v>
      </c>
      <c r="AL634">
        <v>38</v>
      </c>
      <c r="AM634" t="s">
        <v>5</v>
      </c>
      <c r="AN634">
        <v>1</v>
      </c>
      <c r="AO634">
        <v>0</v>
      </c>
      <c r="AP634">
        <v>0</v>
      </c>
      <c r="AQ634">
        <v>1</v>
      </c>
    </row>
    <row r="635" spans="1:43" x14ac:dyDescent="0.25">
      <c r="A635" t="s">
        <v>2348</v>
      </c>
      <c r="B635" t="s">
        <v>683</v>
      </c>
      <c r="C635" t="s">
        <v>2347</v>
      </c>
      <c r="D635" s="1">
        <v>45839</v>
      </c>
      <c r="E635" t="s">
        <v>156</v>
      </c>
      <c r="F635" t="s">
        <v>155</v>
      </c>
      <c r="G635" t="s">
        <v>30</v>
      </c>
      <c r="H635" t="s">
        <v>16</v>
      </c>
      <c r="I635" t="s">
        <v>15</v>
      </c>
      <c r="J635" t="s">
        <v>14</v>
      </c>
      <c r="K635" t="s">
        <v>13</v>
      </c>
      <c r="L635" t="s">
        <v>117</v>
      </c>
      <c r="M635" t="s">
        <v>11</v>
      </c>
      <c r="N635" t="s">
        <v>52</v>
      </c>
      <c r="O635" t="s">
        <v>130</v>
      </c>
      <c r="P635" t="s">
        <v>25</v>
      </c>
      <c r="Q635" t="s">
        <v>24</v>
      </c>
      <c r="R635" t="s">
        <v>6</v>
      </c>
      <c r="S635">
        <v>5</v>
      </c>
      <c r="T635">
        <v>4</v>
      </c>
      <c r="U635">
        <v>0</v>
      </c>
      <c r="V635" t="s">
        <v>5</v>
      </c>
      <c r="W635" t="s">
        <v>5</v>
      </c>
      <c r="X635" t="s">
        <v>0</v>
      </c>
      <c r="Y635" t="s">
        <v>4</v>
      </c>
      <c r="Z635" t="s">
        <v>5</v>
      </c>
      <c r="AA635">
        <v>54.39</v>
      </c>
      <c r="AB635">
        <v>0</v>
      </c>
      <c r="AC635">
        <v>0</v>
      </c>
      <c r="AD635" t="s">
        <v>3</v>
      </c>
      <c r="AE635" t="s">
        <v>0</v>
      </c>
      <c r="AF635" t="s">
        <v>3</v>
      </c>
      <c r="AG635" t="s">
        <v>2</v>
      </c>
      <c r="AI635" t="s">
        <v>23</v>
      </c>
      <c r="AJ635">
        <v>4</v>
      </c>
      <c r="AK635">
        <v>25</v>
      </c>
      <c r="AL635">
        <v>47</v>
      </c>
      <c r="AM635" t="s">
        <v>5</v>
      </c>
      <c r="AN635">
        <v>1</v>
      </c>
      <c r="AO635">
        <v>1</v>
      </c>
      <c r="AP635">
        <v>0</v>
      </c>
      <c r="AQ635">
        <v>1</v>
      </c>
    </row>
    <row r="636" spans="1:43" x14ac:dyDescent="0.25">
      <c r="A636" t="s">
        <v>2346</v>
      </c>
      <c r="B636" t="s">
        <v>1873</v>
      </c>
      <c r="C636" t="s">
        <v>2345</v>
      </c>
      <c r="D636" s="1">
        <v>45790</v>
      </c>
      <c r="E636" t="s">
        <v>95</v>
      </c>
      <c r="F636" t="s">
        <v>1409</v>
      </c>
      <c r="G636" t="s">
        <v>83</v>
      </c>
      <c r="H636" t="s">
        <v>43</v>
      </c>
      <c r="I636" t="s">
        <v>15</v>
      </c>
      <c r="J636" t="s">
        <v>14</v>
      </c>
      <c r="K636" t="s">
        <v>13</v>
      </c>
      <c r="L636" t="s">
        <v>88</v>
      </c>
      <c r="M636" t="s">
        <v>11</v>
      </c>
      <c r="N636" t="s">
        <v>75</v>
      </c>
      <c r="O636" t="s">
        <v>40</v>
      </c>
      <c r="P636" t="s">
        <v>39</v>
      </c>
      <c r="Q636" t="s">
        <v>100</v>
      </c>
      <c r="R636" t="s">
        <v>6</v>
      </c>
      <c r="S636">
        <v>8</v>
      </c>
      <c r="T636">
        <v>8</v>
      </c>
      <c r="U636">
        <v>191</v>
      </c>
      <c r="V636" t="s">
        <v>0</v>
      </c>
      <c r="W636" t="s">
        <v>5</v>
      </c>
      <c r="X636" t="s">
        <v>0</v>
      </c>
      <c r="Y636" t="s">
        <v>4</v>
      </c>
      <c r="Z636" t="s">
        <v>5</v>
      </c>
      <c r="AA636">
        <v>441.16</v>
      </c>
      <c r="AB636">
        <v>2.4</v>
      </c>
      <c r="AC636">
        <v>0</v>
      </c>
      <c r="AD636" t="s">
        <v>3</v>
      </c>
      <c r="AE636" t="s">
        <v>0</v>
      </c>
      <c r="AF636" t="s">
        <v>3</v>
      </c>
      <c r="AG636" t="s">
        <v>2</v>
      </c>
      <c r="AI636" t="s">
        <v>23</v>
      </c>
      <c r="AJ636">
        <v>4</v>
      </c>
      <c r="AK636">
        <v>-26</v>
      </c>
      <c r="AL636">
        <v>23</v>
      </c>
      <c r="AM636" t="s">
        <v>5</v>
      </c>
      <c r="AN636">
        <v>1</v>
      </c>
      <c r="AO636">
        <v>1</v>
      </c>
      <c r="AP636">
        <v>0</v>
      </c>
      <c r="AQ636">
        <v>1</v>
      </c>
    </row>
    <row r="637" spans="1:43" x14ac:dyDescent="0.25">
      <c r="A637" t="s">
        <v>2344</v>
      </c>
      <c r="B637" t="s">
        <v>2343</v>
      </c>
      <c r="C637" t="s">
        <v>2342</v>
      </c>
      <c r="D637" s="1">
        <v>45920</v>
      </c>
      <c r="E637" t="s">
        <v>162</v>
      </c>
      <c r="F637" t="s">
        <v>200</v>
      </c>
      <c r="G637" t="s">
        <v>17</v>
      </c>
      <c r="H637" t="s">
        <v>29</v>
      </c>
      <c r="I637" t="s">
        <v>15</v>
      </c>
      <c r="J637" t="s">
        <v>55</v>
      </c>
      <c r="K637" t="s">
        <v>54</v>
      </c>
      <c r="L637" t="s">
        <v>88</v>
      </c>
      <c r="M637" t="s">
        <v>53</v>
      </c>
      <c r="N637" t="s">
        <v>52</v>
      </c>
      <c r="O637" t="s">
        <v>40</v>
      </c>
      <c r="P637" t="s">
        <v>8</v>
      </c>
      <c r="Q637" t="s">
        <v>7</v>
      </c>
      <c r="R637" t="s">
        <v>6</v>
      </c>
      <c r="S637">
        <v>8</v>
      </c>
      <c r="T637">
        <v>8</v>
      </c>
      <c r="U637">
        <v>206</v>
      </c>
      <c r="V637" t="s">
        <v>0</v>
      </c>
      <c r="W637" t="s">
        <v>5</v>
      </c>
      <c r="X637" t="s">
        <v>5</v>
      </c>
      <c r="Y637" t="s">
        <v>489</v>
      </c>
      <c r="Z637" t="s">
        <v>5</v>
      </c>
      <c r="AA637">
        <v>323.94</v>
      </c>
      <c r="AB637">
        <v>2.5499999999999998</v>
      </c>
      <c r="AC637">
        <v>0.17</v>
      </c>
      <c r="AD637" t="s">
        <v>3</v>
      </c>
      <c r="AE637" t="s">
        <v>0</v>
      </c>
      <c r="AF637" t="s">
        <v>3</v>
      </c>
      <c r="AG637" t="s">
        <v>2</v>
      </c>
      <c r="AI637" t="s">
        <v>23</v>
      </c>
      <c r="AJ637">
        <v>2</v>
      </c>
      <c r="AK637">
        <v>-24</v>
      </c>
      <c r="AL637">
        <v>16</v>
      </c>
      <c r="AM637" t="s">
        <v>0</v>
      </c>
      <c r="AN637">
        <v>1</v>
      </c>
      <c r="AO637">
        <v>1</v>
      </c>
      <c r="AP637">
        <v>1</v>
      </c>
      <c r="AQ637">
        <v>0</v>
      </c>
    </row>
    <row r="638" spans="1:43" x14ac:dyDescent="0.25">
      <c r="A638" t="s">
        <v>2341</v>
      </c>
      <c r="B638" t="s">
        <v>2340</v>
      </c>
      <c r="C638" t="s">
        <v>2339</v>
      </c>
      <c r="D638" s="1">
        <v>45684</v>
      </c>
      <c r="E638" t="s">
        <v>168</v>
      </c>
      <c r="F638" t="s">
        <v>167</v>
      </c>
      <c r="G638" t="s">
        <v>56</v>
      </c>
      <c r="H638" t="s">
        <v>66</v>
      </c>
      <c r="I638" t="s">
        <v>28</v>
      </c>
      <c r="J638" t="s">
        <v>55</v>
      </c>
      <c r="K638" t="s">
        <v>54</v>
      </c>
      <c r="L638" t="s">
        <v>12</v>
      </c>
      <c r="M638" t="s">
        <v>11</v>
      </c>
      <c r="N638" t="s">
        <v>93</v>
      </c>
      <c r="O638" t="s">
        <v>101</v>
      </c>
      <c r="P638" t="s">
        <v>63</v>
      </c>
      <c r="Q638" t="s">
        <v>24</v>
      </c>
      <c r="R638" t="s">
        <v>6</v>
      </c>
      <c r="S638">
        <v>99</v>
      </c>
      <c r="T638">
        <v>4</v>
      </c>
      <c r="U638">
        <v>95</v>
      </c>
      <c r="V638" t="s">
        <v>0</v>
      </c>
      <c r="W638" t="s">
        <v>5</v>
      </c>
      <c r="X638" t="s">
        <v>0</v>
      </c>
      <c r="Y638" t="s">
        <v>4</v>
      </c>
      <c r="Z638" t="s">
        <v>5</v>
      </c>
      <c r="AA638">
        <v>89.68</v>
      </c>
      <c r="AB638">
        <v>0.43</v>
      </c>
      <c r="AC638">
        <v>0</v>
      </c>
      <c r="AD638" t="s">
        <v>3</v>
      </c>
      <c r="AE638" t="s">
        <v>0</v>
      </c>
      <c r="AF638" t="s">
        <v>3</v>
      </c>
      <c r="AG638" t="s">
        <v>2</v>
      </c>
      <c r="AI638" t="s">
        <v>23</v>
      </c>
      <c r="AJ638">
        <v>4</v>
      </c>
      <c r="AK638">
        <v>49</v>
      </c>
      <c r="AL638">
        <v>0</v>
      </c>
      <c r="AM638" t="s">
        <v>5</v>
      </c>
      <c r="AN638">
        <v>1</v>
      </c>
      <c r="AO638">
        <v>1</v>
      </c>
      <c r="AP638">
        <v>0</v>
      </c>
      <c r="AQ638">
        <v>1</v>
      </c>
    </row>
    <row r="639" spans="1:43" x14ac:dyDescent="0.25">
      <c r="A639" t="s">
        <v>2338</v>
      </c>
      <c r="B639" t="s">
        <v>1723</v>
      </c>
      <c r="C639" t="s">
        <v>2337</v>
      </c>
      <c r="D639" s="1">
        <v>45748</v>
      </c>
      <c r="E639" t="s">
        <v>168</v>
      </c>
      <c r="F639" t="s">
        <v>167</v>
      </c>
      <c r="G639" t="s">
        <v>83</v>
      </c>
      <c r="H639" t="s">
        <v>66</v>
      </c>
      <c r="I639" t="s">
        <v>15</v>
      </c>
      <c r="J639" t="s">
        <v>14</v>
      </c>
      <c r="K639" t="s">
        <v>76</v>
      </c>
      <c r="L639" t="s">
        <v>12</v>
      </c>
      <c r="M639" t="s">
        <v>11</v>
      </c>
      <c r="N639" t="s">
        <v>75</v>
      </c>
      <c r="O639" t="s">
        <v>9</v>
      </c>
      <c r="P639" t="s">
        <v>39</v>
      </c>
      <c r="Q639" t="s">
        <v>7</v>
      </c>
      <c r="R639" t="s">
        <v>6</v>
      </c>
      <c r="S639">
        <v>7</v>
      </c>
      <c r="T639">
        <v>7</v>
      </c>
      <c r="U639">
        <v>204</v>
      </c>
      <c r="V639" t="s">
        <v>0</v>
      </c>
      <c r="W639" t="s">
        <v>5</v>
      </c>
      <c r="X639" t="s">
        <v>0</v>
      </c>
      <c r="Y639" t="s">
        <v>4</v>
      </c>
      <c r="Z639" t="s">
        <v>5</v>
      </c>
      <c r="AA639">
        <v>0</v>
      </c>
      <c r="AB639">
        <v>0</v>
      </c>
      <c r="AC639">
        <v>0</v>
      </c>
      <c r="AD639" t="s">
        <v>3</v>
      </c>
      <c r="AE639" t="s">
        <v>0</v>
      </c>
      <c r="AF639" t="s">
        <v>3</v>
      </c>
      <c r="AG639" t="s">
        <v>2</v>
      </c>
      <c r="AI639" t="s">
        <v>23</v>
      </c>
      <c r="AJ639">
        <v>5</v>
      </c>
      <c r="AK639">
        <v>22</v>
      </c>
      <c r="AL639">
        <v>7</v>
      </c>
      <c r="AM639" t="s">
        <v>5</v>
      </c>
      <c r="AN639">
        <v>1</v>
      </c>
      <c r="AO639">
        <v>1</v>
      </c>
      <c r="AP639">
        <v>0</v>
      </c>
      <c r="AQ639">
        <v>1</v>
      </c>
    </row>
    <row r="640" spans="1:43" x14ac:dyDescent="0.25">
      <c r="A640" t="s">
        <v>2336</v>
      </c>
      <c r="B640" t="s">
        <v>2335</v>
      </c>
      <c r="C640" t="s">
        <v>2334</v>
      </c>
      <c r="D640" s="1">
        <v>45931</v>
      </c>
      <c r="E640" t="s">
        <v>125</v>
      </c>
      <c r="F640" t="s">
        <v>265</v>
      </c>
      <c r="G640" t="s">
        <v>17</v>
      </c>
      <c r="H640" t="s">
        <v>43</v>
      </c>
      <c r="I640" t="s">
        <v>15</v>
      </c>
      <c r="J640" t="s">
        <v>14</v>
      </c>
      <c r="K640" t="s">
        <v>13</v>
      </c>
      <c r="L640" t="s">
        <v>117</v>
      </c>
      <c r="M640" t="s">
        <v>11</v>
      </c>
      <c r="N640" t="s">
        <v>75</v>
      </c>
      <c r="O640" t="s">
        <v>51</v>
      </c>
      <c r="P640" t="s">
        <v>39</v>
      </c>
      <c r="Q640" t="s">
        <v>172</v>
      </c>
      <c r="R640" t="s">
        <v>38</v>
      </c>
      <c r="S640">
        <v>6</v>
      </c>
      <c r="T640">
        <v>6</v>
      </c>
      <c r="U640">
        <v>170</v>
      </c>
      <c r="V640" t="s">
        <v>0</v>
      </c>
      <c r="W640" t="s">
        <v>0</v>
      </c>
      <c r="X640" t="s">
        <v>0</v>
      </c>
      <c r="Y640" t="s">
        <v>4</v>
      </c>
      <c r="Z640" t="s">
        <v>0</v>
      </c>
      <c r="AA640">
        <v>0</v>
      </c>
      <c r="AB640">
        <v>0</v>
      </c>
      <c r="AC640">
        <v>0</v>
      </c>
      <c r="AD640" t="s">
        <v>3</v>
      </c>
      <c r="AE640" t="s">
        <v>0</v>
      </c>
      <c r="AF640" t="s">
        <v>3</v>
      </c>
      <c r="AG640" t="s">
        <v>2</v>
      </c>
      <c r="AI640" t="s">
        <v>23</v>
      </c>
      <c r="AJ640">
        <v>3</v>
      </c>
      <c r="AK640">
        <v>3</v>
      </c>
      <c r="AL640">
        <v>69</v>
      </c>
      <c r="AM640" t="s">
        <v>0</v>
      </c>
      <c r="AN640">
        <v>0</v>
      </c>
      <c r="AO640">
        <v>0</v>
      </c>
      <c r="AP640">
        <v>0</v>
      </c>
      <c r="AQ640">
        <v>0</v>
      </c>
    </row>
    <row r="641" spans="1:43" x14ac:dyDescent="0.25">
      <c r="A641" t="s">
        <v>2333</v>
      </c>
      <c r="B641" t="s">
        <v>2332</v>
      </c>
      <c r="C641" t="s">
        <v>2331</v>
      </c>
      <c r="D641" s="1">
        <v>45847</v>
      </c>
      <c r="E641" t="s">
        <v>162</v>
      </c>
      <c r="F641" t="s">
        <v>161</v>
      </c>
      <c r="G641" t="s">
        <v>17</v>
      </c>
      <c r="H641" t="s">
        <v>77</v>
      </c>
      <c r="I641" t="s">
        <v>15</v>
      </c>
      <c r="J641" t="s">
        <v>14</v>
      </c>
      <c r="K641" t="s">
        <v>13</v>
      </c>
      <c r="L641" t="s">
        <v>64</v>
      </c>
      <c r="M641" t="s">
        <v>299</v>
      </c>
      <c r="N641" t="s">
        <v>41</v>
      </c>
      <c r="O641" t="s">
        <v>51</v>
      </c>
      <c r="P641" t="s">
        <v>63</v>
      </c>
      <c r="Q641" t="s">
        <v>24</v>
      </c>
      <c r="R641" t="s">
        <v>6</v>
      </c>
      <c r="S641">
        <v>6</v>
      </c>
      <c r="T641">
        <v>4</v>
      </c>
      <c r="U641">
        <v>179</v>
      </c>
      <c r="V641" t="s">
        <v>5</v>
      </c>
      <c r="W641" t="s">
        <v>0</v>
      </c>
      <c r="X641" t="s">
        <v>0</v>
      </c>
      <c r="Y641" t="s">
        <v>4</v>
      </c>
      <c r="Z641" t="s">
        <v>0</v>
      </c>
      <c r="AA641">
        <v>0</v>
      </c>
      <c r="AB641">
        <v>0</v>
      </c>
      <c r="AC641">
        <v>0</v>
      </c>
      <c r="AD641" t="s">
        <v>3</v>
      </c>
      <c r="AE641" t="s">
        <v>0</v>
      </c>
      <c r="AF641" t="s">
        <v>3</v>
      </c>
      <c r="AG641" t="s">
        <v>2</v>
      </c>
      <c r="AI641" t="s">
        <v>1</v>
      </c>
      <c r="AJ641">
        <v>2</v>
      </c>
      <c r="AK641">
        <v>7</v>
      </c>
      <c r="AL641">
        <v>0</v>
      </c>
      <c r="AM641" t="s">
        <v>0</v>
      </c>
      <c r="AN641">
        <v>0</v>
      </c>
      <c r="AO641">
        <v>0</v>
      </c>
      <c r="AP641">
        <v>0</v>
      </c>
      <c r="AQ641">
        <v>0</v>
      </c>
    </row>
    <row r="642" spans="1:43" x14ac:dyDescent="0.25">
      <c r="A642" t="s">
        <v>2330</v>
      </c>
      <c r="B642" t="s">
        <v>442</v>
      </c>
      <c r="C642" t="s">
        <v>2329</v>
      </c>
      <c r="D642" s="1">
        <v>45940</v>
      </c>
      <c r="E642" t="s">
        <v>68</v>
      </c>
      <c r="F642" t="s">
        <v>1536</v>
      </c>
      <c r="G642" t="s">
        <v>30</v>
      </c>
      <c r="H642" t="s">
        <v>43</v>
      </c>
      <c r="I642" t="s">
        <v>15</v>
      </c>
      <c r="J642" t="s">
        <v>55</v>
      </c>
      <c r="K642" t="s">
        <v>54</v>
      </c>
      <c r="L642" t="s">
        <v>12</v>
      </c>
      <c r="M642" t="s">
        <v>11</v>
      </c>
      <c r="N642" t="s">
        <v>52</v>
      </c>
      <c r="O642" t="s">
        <v>87</v>
      </c>
      <c r="P642" t="s">
        <v>39</v>
      </c>
      <c r="Q642" t="s">
        <v>7</v>
      </c>
      <c r="R642" t="s">
        <v>6</v>
      </c>
      <c r="S642">
        <v>5</v>
      </c>
      <c r="T642">
        <v>5</v>
      </c>
      <c r="U642">
        <v>161</v>
      </c>
      <c r="V642" t="s">
        <v>0</v>
      </c>
      <c r="W642" t="s">
        <v>287</v>
      </c>
      <c r="X642" t="s">
        <v>5</v>
      </c>
      <c r="Y642" t="s">
        <v>1381</v>
      </c>
      <c r="Z642" t="s">
        <v>0</v>
      </c>
      <c r="AA642">
        <v>0</v>
      </c>
      <c r="AB642">
        <v>0</v>
      </c>
      <c r="AC642">
        <v>0</v>
      </c>
      <c r="AD642" t="s">
        <v>3</v>
      </c>
      <c r="AE642" t="s">
        <v>0</v>
      </c>
      <c r="AF642" t="s">
        <v>3</v>
      </c>
      <c r="AG642" t="s">
        <v>2</v>
      </c>
      <c r="AI642" t="s">
        <v>23</v>
      </c>
      <c r="AJ642">
        <v>5</v>
      </c>
      <c r="AK642">
        <v>-17</v>
      </c>
      <c r="AL642">
        <v>5</v>
      </c>
      <c r="AM642" t="s">
        <v>5</v>
      </c>
      <c r="AN642">
        <v>1</v>
      </c>
      <c r="AO642">
        <v>0</v>
      </c>
      <c r="AP642">
        <v>1</v>
      </c>
      <c r="AQ642">
        <v>1</v>
      </c>
    </row>
    <row r="643" spans="1:43" x14ac:dyDescent="0.25">
      <c r="A643" t="s">
        <v>2328</v>
      </c>
      <c r="B643" t="s">
        <v>2327</v>
      </c>
      <c r="C643" t="s">
        <v>2326</v>
      </c>
      <c r="D643" s="1">
        <v>45834</v>
      </c>
      <c r="E643" t="s">
        <v>168</v>
      </c>
      <c r="F643" t="s">
        <v>177</v>
      </c>
      <c r="G643" t="s">
        <v>30</v>
      </c>
      <c r="H643" t="s">
        <v>77</v>
      </c>
      <c r="I643" t="s">
        <v>28</v>
      </c>
      <c r="J643" t="s">
        <v>14</v>
      </c>
      <c r="K643" t="s">
        <v>13</v>
      </c>
      <c r="L643" t="s">
        <v>88</v>
      </c>
      <c r="M643" t="s">
        <v>27</v>
      </c>
      <c r="N643" t="s">
        <v>93</v>
      </c>
      <c r="O643" t="s">
        <v>74</v>
      </c>
      <c r="P643" t="s">
        <v>39</v>
      </c>
      <c r="Q643" t="s">
        <v>172</v>
      </c>
      <c r="R643" t="s">
        <v>38</v>
      </c>
      <c r="S643" t="s">
        <v>205</v>
      </c>
      <c r="T643">
        <v>5</v>
      </c>
      <c r="U643">
        <v>262</v>
      </c>
      <c r="V643" t="s">
        <v>5</v>
      </c>
      <c r="W643" t="s">
        <v>5</v>
      </c>
      <c r="X643" t="s">
        <v>5</v>
      </c>
      <c r="Y643" t="s">
        <v>1444</v>
      </c>
      <c r="Z643" t="s">
        <v>0</v>
      </c>
      <c r="AA643">
        <v>0</v>
      </c>
      <c r="AB643">
        <v>0</v>
      </c>
      <c r="AC643">
        <v>0</v>
      </c>
      <c r="AD643" t="s">
        <v>3</v>
      </c>
      <c r="AE643" t="s">
        <v>0</v>
      </c>
      <c r="AF643" t="s">
        <v>3</v>
      </c>
      <c r="AG643" t="s">
        <v>2</v>
      </c>
      <c r="AI643" t="s">
        <v>23</v>
      </c>
      <c r="AJ643">
        <v>3</v>
      </c>
      <c r="AK643">
        <v>-14</v>
      </c>
      <c r="AL643">
        <v>36</v>
      </c>
      <c r="AM643" t="s">
        <v>0</v>
      </c>
      <c r="AN643">
        <v>1</v>
      </c>
      <c r="AO643">
        <v>0</v>
      </c>
      <c r="AP643">
        <v>1</v>
      </c>
      <c r="AQ643">
        <v>0</v>
      </c>
    </row>
    <row r="644" spans="1:43" x14ac:dyDescent="0.25">
      <c r="A644" t="s">
        <v>2325</v>
      </c>
      <c r="B644" t="s">
        <v>519</v>
      </c>
      <c r="C644" t="s">
        <v>2324</v>
      </c>
      <c r="D644" s="1">
        <v>45748</v>
      </c>
      <c r="E644" t="s">
        <v>125</v>
      </c>
      <c r="F644" t="s">
        <v>2323</v>
      </c>
      <c r="G644" t="s">
        <v>56</v>
      </c>
      <c r="H644" t="s">
        <v>43</v>
      </c>
      <c r="I644" t="s">
        <v>28</v>
      </c>
      <c r="J644" t="s">
        <v>55</v>
      </c>
      <c r="K644" t="s">
        <v>54</v>
      </c>
      <c r="L644" t="s">
        <v>42</v>
      </c>
      <c r="M644" t="s">
        <v>11</v>
      </c>
      <c r="N644" t="s">
        <v>75</v>
      </c>
      <c r="O644" t="s">
        <v>199</v>
      </c>
      <c r="P644" t="s">
        <v>63</v>
      </c>
      <c r="Q644" t="s">
        <v>7</v>
      </c>
      <c r="R644" t="s">
        <v>6</v>
      </c>
      <c r="S644">
        <v>5</v>
      </c>
      <c r="T644">
        <v>5</v>
      </c>
      <c r="U644">
        <v>140</v>
      </c>
      <c r="V644" t="s">
        <v>0</v>
      </c>
      <c r="W644" t="s">
        <v>5</v>
      </c>
      <c r="X644" t="s">
        <v>0</v>
      </c>
      <c r="Y644" t="s">
        <v>4</v>
      </c>
      <c r="Z644" t="s">
        <v>5</v>
      </c>
      <c r="AA644">
        <v>67.41</v>
      </c>
      <c r="AB644">
        <v>0</v>
      </c>
      <c r="AC644">
        <v>0</v>
      </c>
      <c r="AD644" t="s">
        <v>3</v>
      </c>
      <c r="AE644" t="s">
        <v>0</v>
      </c>
      <c r="AF644" t="s">
        <v>3</v>
      </c>
      <c r="AG644" t="s">
        <v>2</v>
      </c>
      <c r="AI644" t="s">
        <v>23</v>
      </c>
      <c r="AJ644">
        <v>4</v>
      </c>
      <c r="AK644">
        <v>69</v>
      </c>
      <c r="AL644">
        <v>0</v>
      </c>
      <c r="AM644" t="s">
        <v>5</v>
      </c>
      <c r="AN644">
        <v>1</v>
      </c>
      <c r="AO644">
        <v>1</v>
      </c>
      <c r="AP644">
        <v>0</v>
      </c>
      <c r="AQ644">
        <v>1</v>
      </c>
    </row>
    <row r="645" spans="1:43" x14ac:dyDescent="0.25">
      <c r="A645" t="s">
        <v>2322</v>
      </c>
      <c r="B645" t="s">
        <v>2321</v>
      </c>
      <c r="C645" t="s">
        <v>2320</v>
      </c>
      <c r="D645" s="1">
        <v>45705</v>
      </c>
      <c r="E645" t="s">
        <v>149</v>
      </c>
      <c r="F645" t="s">
        <v>471</v>
      </c>
      <c r="G645" t="s">
        <v>56</v>
      </c>
      <c r="H645" t="s">
        <v>66</v>
      </c>
      <c r="I645" t="s">
        <v>15</v>
      </c>
      <c r="J645" t="s">
        <v>55</v>
      </c>
      <c r="K645" t="s">
        <v>54</v>
      </c>
      <c r="L645" t="s">
        <v>64</v>
      </c>
      <c r="M645" t="s">
        <v>299</v>
      </c>
      <c r="N645" t="s">
        <v>93</v>
      </c>
      <c r="O645" t="s">
        <v>130</v>
      </c>
      <c r="P645" t="s">
        <v>39</v>
      </c>
      <c r="Q645" t="s">
        <v>198</v>
      </c>
      <c r="R645" t="s">
        <v>38</v>
      </c>
      <c r="S645">
        <v>5</v>
      </c>
      <c r="T645">
        <v>5</v>
      </c>
      <c r="U645">
        <v>152</v>
      </c>
      <c r="V645" t="s">
        <v>0</v>
      </c>
      <c r="W645" t="s">
        <v>0</v>
      </c>
      <c r="X645" t="s">
        <v>0</v>
      </c>
      <c r="Y645" t="s">
        <v>4</v>
      </c>
      <c r="Z645" t="s">
        <v>5</v>
      </c>
      <c r="AA645">
        <v>46.51</v>
      </c>
      <c r="AB645">
        <v>0</v>
      </c>
      <c r="AC645">
        <v>0</v>
      </c>
      <c r="AD645" t="s">
        <v>3</v>
      </c>
      <c r="AE645" t="s">
        <v>0</v>
      </c>
      <c r="AF645" t="s">
        <v>3</v>
      </c>
      <c r="AG645" t="s">
        <v>2</v>
      </c>
      <c r="AI645" t="s">
        <v>23</v>
      </c>
      <c r="AJ645">
        <v>5</v>
      </c>
      <c r="AK645">
        <v>59</v>
      </c>
      <c r="AL645" t="s">
        <v>2319</v>
      </c>
      <c r="AM645" t="s">
        <v>0</v>
      </c>
      <c r="AN645">
        <v>0</v>
      </c>
      <c r="AO645">
        <v>1</v>
      </c>
      <c r="AP645">
        <v>0</v>
      </c>
      <c r="AQ645">
        <v>0</v>
      </c>
    </row>
    <row r="646" spans="1:43" x14ac:dyDescent="0.25">
      <c r="A646" t="s">
        <v>2318</v>
      </c>
      <c r="B646" t="s">
        <v>535</v>
      </c>
      <c r="C646" t="s">
        <v>2317</v>
      </c>
      <c r="D646" s="1">
        <v>45916</v>
      </c>
      <c r="E646" t="s">
        <v>168</v>
      </c>
      <c r="F646" t="s">
        <v>233</v>
      </c>
      <c r="G646" t="s">
        <v>131</v>
      </c>
      <c r="H646" t="s">
        <v>29</v>
      </c>
      <c r="I646" t="s">
        <v>28</v>
      </c>
      <c r="J646" t="s">
        <v>55</v>
      </c>
      <c r="K646" t="s">
        <v>54</v>
      </c>
      <c r="L646" t="s">
        <v>42</v>
      </c>
      <c r="M646" t="s">
        <v>11</v>
      </c>
      <c r="N646" t="s">
        <v>116</v>
      </c>
      <c r="O646" t="s">
        <v>74</v>
      </c>
      <c r="P646" t="s">
        <v>63</v>
      </c>
      <c r="Q646" t="s">
        <v>7</v>
      </c>
      <c r="R646" t="s">
        <v>6</v>
      </c>
      <c r="S646">
        <v>6</v>
      </c>
      <c r="T646">
        <v>6</v>
      </c>
      <c r="U646">
        <v>162</v>
      </c>
      <c r="V646" t="s">
        <v>0</v>
      </c>
      <c r="W646" t="s">
        <v>5</v>
      </c>
      <c r="X646" t="s">
        <v>0</v>
      </c>
      <c r="Y646" t="s">
        <v>4</v>
      </c>
      <c r="Z646" t="s">
        <v>0</v>
      </c>
      <c r="AA646">
        <v>0</v>
      </c>
      <c r="AB646">
        <v>0</v>
      </c>
      <c r="AC646">
        <v>0</v>
      </c>
      <c r="AD646" t="s">
        <v>3</v>
      </c>
      <c r="AE646" t="s">
        <v>0</v>
      </c>
      <c r="AF646" t="s">
        <v>3</v>
      </c>
      <c r="AG646" t="s">
        <v>2</v>
      </c>
      <c r="AI646" t="s">
        <v>23</v>
      </c>
      <c r="AJ646">
        <v>4</v>
      </c>
      <c r="AK646">
        <v>6</v>
      </c>
      <c r="AL646">
        <v>0</v>
      </c>
      <c r="AM646" t="s">
        <v>5</v>
      </c>
      <c r="AN646">
        <v>1</v>
      </c>
      <c r="AO646">
        <v>0</v>
      </c>
      <c r="AP646">
        <v>0</v>
      </c>
      <c r="AQ646">
        <v>1</v>
      </c>
    </row>
    <row r="647" spans="1:43" x14ac:dyDescent="0.25">
      <c r="A647" t="s">
        <v>2316</v>
      </c>
      <c r="B647" t="s">
        <v>2315</v>
      </c>
      <c r="C647" t="s">
        <v>2314</v>
      </c>
      <c r="D647" s="1">
        <v>46051</v>
      </c>
      <c r="E647" t="s">
        <v>45</v>
      </c>
      <c r="F647" t="s">
        <v>57</v>
      </c>
      <c r="G647" t="s">
        <v>56</v>
      </c>
      <c r="H647" t="s">
        <v>77</v>
      </c>
      <c r="I647" t="s">
        <v>15</v>
      </c>
      <c r="J647" t="s">
        <v>146</v>
      </c>
      <c r="K647" t="s">
        <v>145</v>
      </c>
      <c r="L647" t="s">
        <v>88</v>
      </c>
      <c r="M647" t="s">
        <v>11</v>
      </c>
      <c r="N647" t="s">
        <v>93</v>
      </c>
      <c r="O647" t="s">
        <v>199</v>
      </c>
      <c r="P647" t="s">
        <v>8</v>
      </c>
      <c r="Q647" t="s">
        <v>7</v>
      </c>
      <c r="R647" t="s">
        <v>6</v>
      </c>
      <c r="S647" t="s">
        <v>277</v>
      </c>
      <c r="T647">
        <v>5</v>
      </c>
      <c r="U647">
        <v>156</v>
      </c>
      <c r="V647" t="s">
        <v>0</v>
      </c>
      <c r="W647" t="s">
        <v>0</v>
      </c>
      <c r="X647" t="s">
        <v>5</v>
      </c>
      <c r="Y647" t="s">
        <v>410</v>
      </c>
      <c r="Z647" t="s">
        <v>0</v>
      </c>
      <c r="AA647">
        <v>0</v>
      </c>
      <c r="AB647">
        <v>0</v>
      </c>
      <c r="AC647">
        <v>0</v>
      </c>
      <c r="AD647" t="s">
        <v>37</v>
      </c>
      <c r="AE647" t="s">
        <v>5</v>
      </c>
      <c r="AF647" t="s">
        <v>37</v>
      </c>
      <c r="AG647" t="s">
        <v>36</v>
      </c>
      <c r="AH647">
        <v>37</v>
      </c>
      <c r="AI647" t="s">
        <v>23</v>
      </c>
      <c r="AJ647">
        <v>3</v>
      </c>
      <c r="AK647">
        <v>-39</v>
      </c>
      <c r="AL647">
        <v>30</v>
      </c>
      <c r="AM647" t="s">
        <v>5</v>
      </c>
      <c r="AN647">
        <v>0</v>
      </c>
      <c r="AO647">
        <v>0</v>
      </c>
      <c r="AP647">
        <v>1</v>
      </c>
      <c r="AQ647">
        <v>1</v>
      </c>
    </row>
    <row r="648" spans="1:43" x14ac:dyDescent="0.25">
      <c r="A648" t="s">
        <v>2313</v>
      </c>
      <c r="B648" t="s">
        <v>680</v>
      </c>
      <c r="C648" t="s">
        <v>2312</v>
      </c>
      <c r="D648" s="1">
        <v>46072</v>
      </c>
      <c r="E648" t="s">
        <v>19</v>
      </c>
      <c r="F648" t="s">
        <v>575</v>
      </c>
      <c r="G648" t="s">
        <v>56</v>
      </c>
      <c r="H648" t="s">
        <v>77</v>
      </c>
      <c r="I648" t="s">
        <v>28</v>
      </c>
      <c r="J648" t="s">
        <v>146</v>
      </c>
      <c r="K648" t="s">
        <v>145</v>
      </c>
      <c r="L648" t="s">
        <v>42</v>
      </c>
      <c r="M648" t="s">
        <v>53</v>
      </c>
      <c r="N648" t="s">
        <v>93</v>
      </c>
      <c r="O648" t="s">
        <v>130</v>
      </c>
      <c r="P648" t="s">
        <v>39</v>
      </c>
      <c r="Q648" t="s">
        <v>50</v>
      </c>
      <c r="R648" t="s">
        <v>38</v>
      </c>
      <c r="S648">
        <v>5</v>
      </c>
      <c r="T648">
        <v>5</v>
      </c>
      <c r="U648">
        <v>111</v>
      </c>
      <c r="V648" t="s">
        <v>0</v>
      </c>
      <c r="W648" t="s">
        <v>0</v>
      </c>
      <c r="X648" t="s">
        <v>0</v>
      </c>
      <c r="Y648" t="s">
        <v>4</v>
      </c>
      <c r="Z648" t="s">
        <v>0</v>
      </c>
      <c r="AA648">
        <v>0</v>
      </c>
      <c r="AB648">
        <v>0</v>
      </c>
      <c r="AC648">
        <v>0</v>
      </c>
      <c r="AD648" t="s">
        <v>3</v>
      </c>
      <c r="AE648" t="s">
        <v>0</v>
      </c>
      <c r="AF648" t="s">
        <v>3</v>
      </c>
      <c r="AG648" t="s">
        <v>2</v>
      </c>
      <c r="AI648" t="s">
        <v>1</v>
      </c>
      <c r="AJ648">
        <v>3</v>
      </c>
      <c r="AK648">
        <v>67</v>
      </c>
      <c r="AL648">
        <v>34</v>
      </c>
      <c r="AM648" t="s">
        <v>5</v>
      </c>
      <c r="AN648">
        <v>0</v>
      </c>
      <c r="AO648">
        <v>0</v>
      </c>
      <c r="AP648">
        <v>0</v>
      </c>
      <c r="AQ648">
        <v>1</v>
      </c>
    </row>
    <row r="649" spans="1:43" x14ac:dyDescent="0.25">
      <c r="A649" t="s">
        <v>2311</v>
      </c>
      <c r="B649" t="s">
        <v>529</v>
      </c>
      <c r="C649" t="s">
        <v>2310</v>
      </c>
      <c r="D649" s="1">
        <v>45708</v>
      </c>
      <c r="E649" t="s">
        <v>168</v>
      </c>
      <c r="F649" t="s">
        <v>283</v>
      </c>
      <c r="G649" t="s">
        <v>30</v>
      </c>
      <c r="H649" t="s">
        <v>237</v>
      </c>
      <c r="I649" t="s">
        <v>15</v>
      </c>
      <c r="J649" t="s">
        <v>14</v>
      </c>
      <c r="K649" t="s">
        <v>13</v>
      </c>
      <c r="L649" t="s">
        <v>64</v>
      </c>
      <c r="M649" t="s">
        <v>11</v>
      </c>
      <c r="N649" t="s">
        <v>52</v>
      </c>
      <c r="O649" t="s">
        <v>199</v>
      </c>
      <c r="P649" t="s">
        <v>39</v>
      </c>
      <c r="Q649" t="s">
        <v>7</v>
      </c>
      <c r="R649" t="s">
        <v>6</v>
      </c>
      <c r="S649">
        <v>99</v>
      </c>
      <c r="T649">
        <v>5</v>
      </c>
      <c r="U649">
        <v>189</v>
      </c>
      <c r="V649" t="s">
        <v>0</v>
      </c>
      <c r="W649" t="s">
        <v>5</v>
      </c>
      <c r="X649" t="s">
        <v>5</v>
      </c>
      <c r="Y649" t="s">
        <v>410</v>
      </c>
      <c r="Z649" t="s">
        <v>5</v>
      </c>
      <c r="AA649">
        <v>101.26</v>
      </c>
      <c r="AB649">
        <v>0</v>
      </c>
      <c r="AC649">
        <v>0</v>
      </c>
      <c r="AD649" t="s">
        <v>3</v>
      </c>
      <c r="AE649" t="s">
        <v>0</v>
      </c>
      <c r="AF649" t="s">
        <v>3</v>
      </c>
      <c r="AG649" t="s">
        <v>2</v>
      </c>
      <c r="AI649" t="s">
        <v>23</v>
      </c>
      <c r="AJ649">
        <v>4</v>
      </c>
      <c r="AK649">
        <v>-16</v>
      </c>
      <c r="AL649">
        <v>14</v>
      </c>
      <c r="AM649" t="s">
        <v>0</v>
      </c>
      <c r="AN649">
        <v>1</v>
      </c>
      <c r="AO649">
        <v>1</v>
      </c>
      <c r="AP649">
        <v>1</v>
      </c>
      <c r="AQ649">
        <v>0</v>
      </c>
    </row>
    <row r="650" spans="1:43" x14ac:dyDescent="0.25">
      <c r="A650" t="s">
        <v>2309</v>
      </c>
      <c r="B650" t="s">
        <v>1803</v>
      </c>
      <c r="C650" t="s">
        <v>2308</v>
      </c>
      <c r="D650" s="1">
        <v>45686</v>
      </c>
      <c r="E650" t="s">
        <v>32</v>
      </c>
      <c r="F650" t="s">
        <v>107</v>
      </c>
      <c r="G650" t="s">
        <v>131</v>
      </c>
      <c r="H650" t="s">
        <v>16</v>
      </c>
      <c r="I650" t="s">
        <v>15</v>
      </c>
      <c r="J650" t="s">
        <v>55</v>
      </c>
      <c r="K650" t="s">
        <v>65</v>
      </c>
      <c r="L650" t="s">
        <v>117</v>
      </c>
      <c r="M650" t="s">
        <v>11</v>
      </c>
      <c r="N650" t="s">
        <v>10</v>
      </c>
      <c r="O650" t="s">
        <v>40</v>
      </c>
      <c r="P650" t="s">
        <v>39</v>
      </c>
      <c r="Q650" t="s">
        <v>50</v>
      </c>
      <c r="R650" t="s">
        <v>6</v>
      </c>
      <c r="S650">
        <v>8</v>
      </c>
      <c r="T650">
        <v>8</v>
      </c>
      <c r="U650">
        <v>211</v>
      </c>
      <c r="V650" t="s">
        <v>0</v>
      </c>
      <c r="W650" t="s">
        <v>5</v>
      </c>
      <c r="X650" t="s">
        <v>0</v>
      </c>
      <c r="Y650" t="s">
        <v>4</v>
      </c>
      <c r="Z650" t="s">
        <v>5</v>
      </c>
      <c r="AA650">
        <v>445.2</v>
      </c>
      <c r="AB650">
        <v>2.48</v>
      </c>
      <c r="AC650">
        <v>0</v>
      </c>
      <c r="AD650" t="s">
        <v>3</v>
      </c>
      <c r="AE650" t="s">
        <v>0</v>
      </c>
      <c r="AF650" t="s">
        <v>3</v>
      </c>
      <c r="AG650" t="s">
        <v>2</v>
      </c>
      <c r="AI650" t="s">
        <v>23</v>
      </c>
      <c r="AJ650">
        <v>3</v>
      </c>
      <c r="AK650">
        <v>5</v>
      </c>
      <c r="AL650">
        <v>43</v>
      </c>
      <c r="AM650" t="s">
        <v>0</v>
      </c>
      <c r="AN650">
        <v>1</v>
      </c>
      <c r="AO650">
        <v>1</v>
      </c>
      <c r="AP650">
        <v>0</v>
      </c>
      <c r="AQ650">
        <v>0</v>
      </c>
    </row>
    <row r="651" spans="1:43" x14ac:dyDescent="0.25">
      <c r="A651" t="s">
        <v>2307</v>
      </c>
      <c r="B651" t="s">
        <v>2306</v>
      </c>
      <c r="C651" t="s">
        <v>2305</v>
      </c>
      <c r="D651" s="1">
        <v>45663</v>
      </c>
      <c r="E651" t="s">
        <v>112</v>
      </c>
      <c r="F651" t="s">
        <v>111</v>
      </c>
      <c r="G651" t="s">
        <v>110</v>
      </c>
      <c r="H651" t="s">
        <v>29</v>
      </c>
      <c r="I651" t="s">
        <v>15</v>
      </c>
      <c r="J651" t="s">
        <v>14</v>
      </c>
      <c r="K651" t="s">
        <v>13</v>
      </c>
      <c r="L651" t="s">
        <v>12</v>
      </c>
      <c r="M651" t="s">
        <v>11</v>
      </c>
      <c r="N651" t="s">
        <v>93</v>
      </c>
      <c r="O651" t="s">
        <v>51</v>
      </c>
      <c r="P651" t="s">
        <v>39</v>
      </c>
      <c r="Q651" t="s">
        <v>24</v>
      </c>
      <c r="R651" t="s">
        <v>6</v>
      </c>
      <c r="S651">
        <v>6</v>
      </c>
      <c r="T651">
        <v>6</v>
      </c>
      <c r="U651">
        <v>167</v>
      </c>
      <c r="V651" t="s">
        <v>0</v>
      </c>
      <c r="W651" t="s">
        <v>5</v>
      </c>
      <c r="X651" t="s">
        <v>0</v>
      </c>
      <c r="Y651" t="s">
        <v>4</v>
      </c>
      <c r="Z651" t="s">
        <v>5</v>
      </c>
      <c r="AA651">
        <v>34.18</v>
      </c>
      <c r="AB651">
        <v>0.1</v>
      </c>
      <c r="AC651">
        <v>0</v>
      </c>
      <c r="AD651" t="s">
        <v>3</v>
      </c>
      <c r="AE651" t="s">
        <v>0</v>
      </c>
      <c r="AF651" t="s">
        <v>3</v>
      </c>
      <c r="AG651" t="s">
        <v>2</v>
      </c>
      <c r="AI651" t="s">
        <v>23</v>
      </c>
      <c r="AJ651">
        <v>3</v>
      </c>
      <c r="AK651">
        <v>2</v>
      </c>
      <c r="AL651">
        <v>39</v>
      </c>
      <c r="AM651" t="s">
        <v>5</v>
      </c>
      <c r="AN651">
        <v>1</v>
      </c>
      <c r="AO651">
        <v>1</v>
      </c>
      <c r="AP651">
        <v>0</v>
      </c>
      <c r="AQ651">
        <v>1</v>
      </c>
    </row>
    <row r="652" spans="1:43" x14ac:dyDescent="0.25">
      <c r="A652" t="s">
        <v>2304</v>
      </c>
      <c r="B652" t="s">
        <v>1046</v>
      </c>
      <c r="C652" t="s">
        <v>2303</v>
      </c>
      <c r="D652" s="1">
        <v>45834</v>
      </c>
      <c r="E652" t="s">
        <v>156</v>
      </c>
      <c r="F652" t="s">
        <v>325</v>
      </c>
      <c r="G652" t="s">
        <v>123</v>
      </c>
      <c r="H652" t="s">
        <v>77</v>
      </c>
      <c r="I652" t="s">
        <v>28</v>
      </c>
      <c r="J652" t="s">
        <v>55</v>
      </c>
      <c r="K652" t="s">
        <v>54</v>
      </c>
      <c r="L652" t="s">
        <v>64</v>
      </c>
      <c r="M652" t="s">
        <v>11</v>
      </c>
      <c r="N652" t="s">
        <v>41</v>
      </c>
      <c r="O652" t="s">
        <v>9</v>
      </c>
      <c r="P652" t="s">
        <v>63</v>
      </c>
      <c r="Q652" t="s">
        <v>7</v>
      </c>
      <c r="R652" t="s">
        <v>6</v>
      </c>
      <c r="S652">
        <v>7</v>
      </c>
      <c r="T652">
        <v>7</v>
      </c>
      <c r="U652">
        <v>217</v>
      </c>
      <c r="V652" t="s">
        <v>0</v>
      </c>
      <c r="W652" t="s">
        <v>287</v>
      </c>
      <c r="X652" t="s">
        <v>0</v>
      </c>
      <c r="Y652" t="s">
        <v>4</v>
      </c>
      <c r="Z652" t="s">
        <v>5</v>
      </c>
      <c r="AA652">
        <v>71.02</v>
      </c>
      <c r="AB652">
        <v>0</v>
      </c>
      <c r="AC652">
        <v>0</v>
      </c>
      <c r="AD652" t="s">
        <v>3</v>
      </c>
      <c r="AE652" t="s">
        <v>0</v>
      </c>
      <c r="AF652" t="s">
        <v>3</v>
      </c>
      <c r="AG652" t="s">
        <v>2</v>
      </c>
      <c r="AI652" t="s">
        <v>23</v>
      </c>
      <c r="AJ652">
        <v>4</v>
      </c>
      <c r="AK652">
        <v>55</v>
      </c>
      <c r="AL652">
        <v>0</v>
      </c>
      <c r="AM652" t="s">
        <v>5</v>
      </c>
      <c r="AN652">
        <v>1</v>
      </c>
      <c r="AO652">
        <v>1</v>
      </c>
      <c r="AP652">
        <v>0</v>
      </c>
      <c r="AQ652">
        <v>1</v>
      </c>
    </row>
    <row r="653" spans="1:43" x14ac:dyDescent="0.25">
      <c r="A653" t="s">
        <v>2302</v>
      </c>
      <c r="B653" t="s">
        <v>1944</v>
      </c>
      <c r="C653" t="s">
        <v>2301</v>
      </c>
      <c r="D653" s="1">
        <v>45796</v>
      </c>
      <c r="E653" t="s">
        <v>162</v>
      </c>
      <c r="F653" t="s">
        <v>540</v>
      </c>
      <c r="G653" t="s">
        <v>123</v>
      </c>
      <c r="H653" t="s">
        <v>16</v>
      </c>
      <c r="I653" t="s">
        <v>28</v>
      </c>
      <c r="J653" t="s">
        <v>55</v>
      </c>
      <c r="K653" t="s">
        <v>54</v>
      </c>
      <c r="L653" t="s">
        <v>42</v>
      </c>
      <c r="M653" t="s">
        <v>11</v>
      </c>
      <c r="N653" t="s">
        <v>52</v>
      </c>
      <c r="O653" t="s">
        <v>101</v>
      </c>
      <c r="P653" t="s">
        <v>63</v>
      </c>
      <c r="Q653" t="s">
        <v>7</v>
      </c>
      <c r="R653" t="s">
        <v>6</v>
      </c>
      <c r="S653">
        <v>4</v>
      </c>
      <c r="T653">
        <v>3</v>
      </c>
      <c r="U653">
        <v>133</v>
      </c>
      <c r="V653" t="s">
        <v>5</v>
      </c>
      <c r="W653" t="s">
        <v>0</v>
      </c>
      <c r="X653" t="s">
        <v>0</v>
      </c>
      <c r="Y653" t="s">
        <v>479</v>
      </c>
      <c r="Z653" t="s">
        <v>0</v>
      </c>
      <c r="AA653">
        <v>0</v>
      </c>
      <c r="AB653">
        <v>0</v>
      </c>
      <c r="AC653">
        <v>0</v>
      </c>
      <c r="AD653" t="s">
        <v>3</v>
      </c>
      <c r="AE653" t="s">
        <v>0</v>
      </c>
      <c r="AF653" t="s">
        <v>3</v>
      </c>
      <c r="AG653" t="s">
        <v>2</v>
      </c>
      <c r="AI653" t="s">
        <v>332</v>
      </c>
      <c r="AJ653">
        <v>3</v>
      </c>
      <c r="AK653">
        <v>-4</v>
      </c>
      <c r="AL653">
        <v>0</v>
      </c>
      <c r="AM653" t="s">
        <v>0</v>
      </c>
      <c r="AN653">
        <v>0</v>
      </c>
      <c r="AO653">
        <v>0</v>
      </c>
      <c r="AP653">
        <v>0</v>
      </c>
      <c r="AQ653">
        <v>0</v>
      </c>
    </row>
    <row r="654" spans="1:43" x14ac:dyDescent="0.25">
      <c r="A654" t="s">
        <v>2300</v>
      </c>
      <c r="B654" t="s">
        <v>2299</v>
      </c>
      <c r="C654" t="s">
        <v>2298</v>
      </c>
      <c r="D654" s="1">
        <v>45829</v>
      </c>
      <c r="E654" t="s">
        <v>156</v>
      </c>
      <c r="F654" t="s">
        <v>325</v>
      </c>
      <c r="G654" t="s">
        <v>110</v>
      </c>
      <c r="H654" t="s">
        <v>77</v>
      </c>
      <c r="I654" t="s">
        <v>28</v>
      </c>
      <c r="J654" t="s">
        <v>14</v>
      </c>
      <c r="K654" t="s">
        <v>13</v>
      </c>
      <c r="L654" t="s">
        <v>64</v>
      </c>
      <c r="M654" t="s">
        <v>11</v>
      </c>
      <c r="N654" t="s">
        <v>52</v>
      </c>
      <c r="O654" t="s">
        <v>74</v>
      </c>
      <c r="P654" t="s">
        <v>39</v>
      </c>
      <c r="Q654" t="s">
        <v>198</v>
      </c>
      <c r="R654" t="s">
        <v>38</v>
      </c>
      <c r="S654">
        <v>6</v>
      </c>
      <c r="T654">
        <v>6</v>
      </c>
      <c r="U654">
        <v>138</v>
      </c>
      <c r="V654" t="s">
        <v>0</v>
      </c>
      <c r="W654" t="s">
        <v>5</v>
      </c>
      <c r="X654" t="s">
        <v>0</v>
      </c>
      <c r="Y654" t="s">
        <v>4</v>
      </c>
      <c r="Z654" t="s">
        <v>5</v>
      </c>
      <c r="AA654">
        <v>0</v>
      </c>
      <c r="AB654">
        <v>0</v>
      </c>
      <c r="AC654">
        <v>0</v>
      </c>
      <c r="AD654" t="s">
        <v>3</v>
      </c>
      <c r="AE654" t="s">
        <v>0</v>
      </c>
      <c r="AF654" t="s">
        <v>3</v>
      </c>
      <c r="AG654" t="s">
        <v>2</v>
      </c>
      <c r="AI654" t="s">
        <v>23</v>
      </c>
      <c r="AJ654">
        <v>4</v>
      </c>
      <c r="AK654">
        <v>-6</v>
      </c>
      <c r="AL654">
        <v>27</v>
      </c>
      <c r="AM654" t="s">
        <v>5</v>
      </c>
      <c r="AN654">
        <v>1</v>
      </c>
      <c r="AO654">
        <v>1</v>
      </c>
      <c r="AP654">
        <v>0</v>
      </c>
      <c r="AQ654">
        <v>1</v>
      </c>
    </row>
    <row r="655" spans="1:43" x14ac:dyDescent="0.25">
      <c r="A655" t="s">
        <v>2297</v>
      </c>
      <c r="B655" t="s">
        <v>2296</v>
      </c>
      <c r="C655" t="s">
        <v>2295</v>
      </c>
      <c r="D655" s="1">
        <v>46134</v>
      </c>
      <c r="E655" t="s">
        <v>168</v>
      </c>
      <c r="F655" t="s">
        <v>167</v>
      </c>
      <c r="G655" t="s">
        <v>110</v>
      </c>
      <c r="H655" t="s">
        <v>16</v>
      </c>
      <c r="I655" t="s">
        <v>15</v>
      </c>
      <c r="J655" t="s">
        <v>146</v>
      </c>
      <c r="K655" t="s">
        <v>145</v>
      </c>
      <c r="L655" t="s">
        <v>117</v>
      </c>
      <c r="M655" t="s">
        <v>53</v>
      </c>
      <c r="N655" t="s">
        <v>75</v>
      </c>
      <c r="O655" t="s">
        <v>51</v>
      </c>
      <c r="P655" t="s">
        <v>8</v>
      </c>
      <c r="Q655" t="s">
        <v>100</v>
      </c>
      <c r="R655" t="s">
        <v>38</v>
      </c>
      <c r="S655">
        <v>6</v>
      </c>
      <c r="T655" t="s">
        <v>205</v>
      </c>
      <c r="U655">
        <v>148</v>
      </c>
      <c r="V655" t="s">
        <v>0</v>
      </c>
      <c r="W655" t="s">
        <v>5</v>
      </c>
      <c r="X655" t="s">
        <v>0</v>
      </c>
      <c r="Y655" t="s">
        <v>4</v>
      </c>
      <c r="Z655" t="s">
        <v>5</v>
      </c>
      <c r="AA655">
        <v>55.96</v>
      </c>
      <c r="AB655">
        <v>0.1</v>
      </c>
      <c r="AC655">
        <v>0.17</v>
      </c>
      <c r="AD655" t="s">
        <v>3</v>
      </c>
      <c r="AE655" t="s">
        <v>0</v>
      </c>
      <c r="AF655" t="s">
        <v>3</v>
      </c>
      <c r="AG655" t="s">
        <v>2</v>
      </c>
      <c r="AI655" t="s">
        <v>23</v>
      </c>
      <c r="AJ655">
        <v>5</v>
      </c>
      <c r="AK655">
        <v>-30</v>
      </c>
      <c r="AL655">
        <v>53</v>
      </c>
      <c r="AM655" t="s">
        <v>5</v>
      </c>
      <c r="AN655">
        <v>1</v>
      </c>
      <c r="AO655">
        <v>1</v>
      </c>
      <c r="AP655">
        <v>0</v>
      </c>
      <c r="AQ655">
        <v>1</v>
      </c>
    </row>
    <row r="656" spans="1:43" x14ac:dyDescent="0.25">
      <c r="A656" t="s">
        <v>2294</v>
      </c>
      <c r="B656" t="s">
        <v>1090</v>
      </c>
      <c r="C656" t="s">
        <v>2293</v>
      </c>
      <c r="D656" s="1">
        <v>45865</v>
      </c>
      <c r="E656" t="s">
        <v>149</v>
      </c>
      <c r="F656" t="s">
        <v>148</v>
      </c>
      <c r="G656" t="s">
        <v>83</v>
      </c>
      <c r="H656" t="s">
        <v>66</v>
      </c>
      <c r="I656" t="s">
        <v>28</v>
      </c>
      <c r="J656" t="s">
        <v>146</v>
      </c>
      <c r="K656" t="s">
        <v>145</v>
      </c>
      <c r="L656" t="s">
        <v>64</v>
      </c>
      <c r="M656" t="s">
        <v>11</v>
      </c>
      <c r="N656" t="s">
        <v>41</v>
      </c>
      <c r="O656" t="s">
        <v>9</v>
      </c>
      <c r="P656" t="s">
        <v>63</v>
      </c>
      <c r="Q656" t="s">
        <v>7</v>
      </c>
      <c r="R656" t="s">
        <v>6</v>
      </c>
      <c r="S656">
        <v>7</v>
      </c>
      <c r="T656">
        <v>6</v>
      </c>
      <c r="U656">
        <v>265</v>
      </c>
      <c r="V656" t="s">
        <v>5</v>
      </c>
      <c r="W656" t="s">
        <v>0</v>
      </c>
      <c r="X656" t="s">
        <v>5</v>
      </c>
      <c r="Y656" t="s">
        <v>450</v>
      </c>
      <c r="Z656" t="s">
        <v>0</v>
      </c>
      <c r="AA656">
        <v>0</v>
      </c>
      <c r="AB656">
        <v>0</v>
      </c>
      <c r="AC656">
        <v>0</v>
      </c>
      <c r="AD656" t="s">
        <v>3</v>
      </c>
      <c r="AE656" t="s">
        <v>0</v>
      </c>
      <c r="AF656" t="s">
        <v>3</v>
      </c>
      <c r="AG656" t="s">
        <v>2</v>
      </c>
      <c r="AI656" t="s">
        <v>1</v>
      </c>
      <c r="AJ656">
        <v>1</v>
      </c>
      <c r="AK656">
        <v>-10</v>
      </c>
      <c r="AL656" t="s">
        <v>347</v>
      </c>
      <c r="AM656" t="s">
        <v>0</v>
      </c>
      <c r="AN656">
        <v>0</v>
      </c>
      <c r="AO656">
        <v>0</v>
      </c>
      <c r="AP656">
        <v>1</v>
      </c>
      <c r="AQ656">
        <v>0</v>
      </c>
    </row>
    <row r="657" spans="1:43" x14ac:dyDescent="0.25">
      <c r="A657" t="s">
        <v>2292</v>
      </c>
      <c r="B657" t="s">
        <v>2291</v>
      </c>
      <c r="C657" t="s">
        <v>2290</v>
      </c>
      <c r="D657" s="1">
        <v>46072</v>
      </c>
      <c r="E657" t="s">
        <v>112</v>
      </c>
      <c r="F657" t="s">
        <v>307</v>
      </c>
      <c r="G657" t="s">
        <v>83</v>
      </c>
      <c r="H657" t="s">
        <v>77</v>
      </c>
      <c r="I657" t="s">
        <v>15</v>
      </c>
      <c r="J657" t="s">
        <v>14</v>
      </c>
      <c r="K657" t="s">
        <v>13</v>
      </c>
      <c r="L657" t="s">
        <v>42</v>
      </c>
      <c r="M657" t="s">
        <v>27</v>
      </c>
      <c r="N657" t="s">
        <v>10</v>
      </c>
      <c r="O657" t="s">
        <v>199</v>
      </c>
      <c r="P657" t="s">
        <v>39</v>
      </c>
      <c r="Q657" t="s">
        <v>100</v>
      </c>
      <c r="R657" t="s">
        <v>38</v>
      </c>
      <c r="S657">
        <v>5</v>
      </c>
      <c r="T657">
        <v>5</v>
      </c>
      <c r="U657">
        <v>110</v>
      </c>
      <c r="V657" t="s">
        <v>0</v>
      </c>
      <c r="W657" t="s">
        <v>5</v>
      </c>
      <c r="X657" t="s">
        <v>0</v>
      </c>
      <c r="Y657" t="s">
        <v>4</v>
      </c>
      <c r="Z657" t="s">
        <v>5</v>
      </c>
      <c r="AA657">
        <v>54.44</v>
      </c>
      <c r="AB657">
        <v>0</v>
      </c>
      <c r="AC657">
        <v>0.37</v>
      </c>
      <c r="AD657" t="s">
        <v>3</v>
      </c>
      <c r="AE657" t="s">
        <v>0</v>
      </c>
      <c r="AF657" t="s">
        <v>3</v>
      </c>
      <c r="AG657" t="s">
        <v>2</v>
      </c>
      <c r="AI657" t="s">
        <v>23</v>
      </c>
      <c r="AJ657">
        <v>5</v>
      </c>
      <c r="AK657">
        <v>35</v>
      </c>
      <c r="AL657">
        <v>64</v>
      </c>
      <c r="AM657" t="s">
        <v>5</v>
      </c>
      <c r="AN657">
        <v>1</v>
      </c>
      <c r="AO657">
        <v>1</v>
      </c>
      <c r="AP657">
        <v>0</v>
      </c>
      <c r="AQ657">
        <v>1</v>
      </c>
    </row>
    <row r="658" spans="1:43" x14ac:dyDescent="0.25">
      <c r="A658" t="s">
        <v>2289</v>
      </c>
      <c r="B658" t="s">
        <v>1369</v>
      </c>
      <c r="C658" t="s">
        <v>2288</v>
      </c>
      <c r="D658" s="1">
        <v>45981</v>
      </c>
      <c r="E658" t="s">
        <v>125</v>
      </c>
      <c r="F658" t="s">
        <v>132</v>
      </c>
      <c r="G658" t="s">
        <v>56</v>
      </c>
      <c r="H658" t="s">
        <v>77</v>
      </c>
      <c r="I658" t="s">
        <v>28</v>
      </c>
      <c r="J658" t="s">
        <v>55</v>
      </c>
      <c r="K658" t="s">
        <v>54</v>
      </c>
      <c r="L658" t="s">
        <v>117</v>
      </c>
      <c r="M658" t="s">
        <v>11</v>
      </c>
      <c r="N658" t="s">
        <v>41</v>
      </c>
      <c r="O658" t="s">
        <v>74</v>
      </c>
      <c r="P658" t="s">
        <v>8</v>
      </c>
      <c r="Q658" t="s">
        <v>7</v>
      </c>
      <c r="R658" t="s">
        <v>6</v>
      </c>
      <c r="S658">
        <v>6</v>
      </c>
      <c r="T658">
        <v>3</v>
      </c>
      <c r="U658">
        <v>246</v>
      </c>
      <c r="V658" t="s">
        <v>5</v>
      </c>
      <c r="W658" t="s">
        <v>0</v>
      </c>
      <c r="X658" t="s">
        <v>0</v>
      </c>
      <c r="Y658" t="s">
        <v>4</v>
      </c>
      <c r="Z658" t="s">
        <v>0</v>
      </c>
      <c r="AA658">
        <v>0</v>
      </c>
      <c r="AB658">
        <v>0</v>
      </c>
      <c r="AC658">
        <v>0</v>
      </c>
      <c r="AD658" t="s">
        <v>3</v>
      </c>
      <c r="AE658" t="s">
        <v>0</v>
      </c>
      <c r="AF658" t="s">
        <v>3</v>
      </c>
      <c r="AG658" t="s">
        <v>2</v>
      </c>
      <c r="AI658" t="s">
        <v>129</v>
      </c>
      <c r="AJ658">
        <v>3</v>
      </c>
      <c r="AK658">
        <v>-15</v>
      </c>
      <c r="AL658">
        <v>46</v>
      </c>
      <c r="AM658" t="s">
        <v>0</v>
      </c>
      <c r="AN658">
        <v>0</v>
      </c>
      <c r="AO658">
        <v>0</v>
      </c>
      <c r="AP658">
        <v>0</v>
      </c>
      <c r="AQ658">
        <v>0</v>
      </c>
    </row>
    <row r="659" spans="1:43" x14ac:dyDescent="0.25">
      <c r="A659" t="s">
        <v>2287</v>
      </c>
      <c r="B659" t="s">
        <v>2286</v>
      </c>
      <c r="C659" t="s">
        <v>2285</v>
      </c>
      <c r="D659" s="1">
        <v>45747</v>
      </c>
      <c r="E659" t="s">
        <v>19</v>
      </c>
      <c r="F659" t="s">
        <v>575</v>
      </c>
      <c r="G659" t="s">
        <v>17</v>
      </c>
      <c r="H659" t="s">
        <v>77</v>
      </c>
      <c r="I659" t="s">
        <v>28</v>
      </c>
      <c r="J659" t="s">
        <v>14</v>
      </c>
      <c r="K659" t="s">
        <v>13</v>
      </c>
      <c r="L659" t="s">
        <v>12</v>
      </c>
      <c r="M659" t="s">
        <v>11</v>
      </c>
      <c r="N659" t="s">
        <v>52</v>
      </c>
      <c r="O659" t="s">
        <v>9</v>
      </c>
      <c r="P659" t="s">
        <v>25</v>
      </c>
      <c r="Q659" t="s">
        <v>24</v>
      </c>
      <c r="R659" t="s">
        <v>6</v>
      </c>
      <c r="S659">
        <v>7</v>
      </c>
      <c r="T659">
        <v>7</v>
      </c>
      <c r="U659">
        <v>204</v>
      </c>
      <c r="V659" t="s">
        <v>0</v>
      </c>
      <c r="W659" t="s">
        <v>5</v>
      </c>
      <c r="X659" t="s">
        <v>0</v>
      </c>
      <c r="Y659" t="s">
        <v>4</v>
      </c>
      <c r="Z659" t="s">
        <v>5</v>
      </c>
      <c r="AA659">
        <v>0</v>
      </c>
      <c r="AB659">
        <v>0</v>
      </c>
      <c r="AC659">
        <v>0</v>
      </c>
      <c r="AD659" t="s">
        <v>3</v>
      </c>
      <c r="AE659" t="s">
        <v>0</v>
      </c>
      <c r="AF659" t="s">
        <v>3</v>
      </c>
      <c r="AG659" t="s">
        <v>2</v>
      </c>
      <c r="AI659" t="s">
        <v>23</v>
      </c>
      <c r="AJ659">
        <v>3</v>
      </c>
      <c r="AK659">
        <v>49</v>
      </c>
      <c r="AL659">
        <v>1</v>
      </c>
      <c r="AM659" t="s">
        <v>0</v>
      </c>
      <c r="AN659">
        <v>1</v>
      </c>
      <c r="AO659">
        <v>1</v>
      </c>
      <c r="AP659">
        <v>0</v>
      </c>
      <c r="AQ659">
        <v>0</v>
      </c>
    </row>
    <row r="660" spans="1:43" x14ac:dyDescent="0.25">
      <c r="A660" t="s">
        <v>2284</v>
      </c>
      <c r="B660" t="s">
        <v>2283</v>
      </c>
      <c r="C660" t="s">
        <v>2282</v>
      </c>
      <c r="D660" s="1">
        <v>45961</v>
      </c>
      <c r="E660" t="s">
        <v>168</v>
      </c>
      <c r="F660" t="s">
        <v>177</v>
      </c>
      <c r="G660" t="s">
        <v>110</v>
      </c>
      <c r="H660" t="s">
        <v>16</v>
      </c>
      <c r="I660" t="s">
        <v>28</v>
      </c>
      <c r="J660" t="s">
        <v>146</v>
      </c>
      <c r="K660" t="s">
        <v>460</v>
      </c>
      <c r="L660" t="s">
        <v>117</v>
      </c>
      <c r="M660" t="s">
        <v>11</v>
      </c>
      <c r="N660" t="s">
        <v>52</v>
      </c>
      <c r="O660" t="s">
        <v>130</v>
      </c>
      <c r="P660" t="s">
        <v>63</v>
      </c>
      <c r="Q660" t="s">
        <v>172</v>
      </c>
      <c r="R660" t="s">
        <v>38</v>
      </c>
      <c r="S660">
        <v>5</v>
      </c>
      <c r="T660">
        <v>5</v>
      </c>
      <c r="U660">
        <v>202</v>
      </c>
      <c r="V660" t="s">
        <v>0</v>
      </c>
      <c r="W660" t="s">
        <v>5</v>
      </c>
      <c r="X660" t="s">
        <v>5</v>
      </c>
      <c r="Y660" t="s">
        <v>1249</v>
      </c>
      <c r="Z660" t="s">
        <v>5</v>
      </c>
      <c r="AA660">
        <v>54.11</v>
      </c>
      <c r="AB660">
        <v>0</v>
      </c>
      <c r="AC660">
        <v>0</v>
      </c>
      <c r="AD660" t="s">
        <v>61</v>
      </c>
      <c r="AE660" t="s">
        <v>5</v>
      </c>
      <c r="AF660" t="s">
        <v>61</v>
      </c>
      <c r="AG660" t="s">
        <v>36</v>
      </c>
      <c r="AH660">
        <v>2</v>
      </c>
      <c r="AI660" t="s">
        <v>23</v>
      </c>
      <c r="AJ660">
        <v>4</v>
      </c>
      <c r="AK660">
        <v>32</v>
      </c>
      <c r="AL660">
        <v>0</v>
      </c>
      <c r="AM660" t="s">
        <v>5</v>
      </c>
      <c r="AN660">
        <v>1</v>
      </c>
      <c r="AO660">
        <v>1</v>
      </c>
      <c r="AP660">
        <v>1</v>
      </c>
      <c r="AQ660">
        <v>1</v>
      </c>
    </row>
    <row r="661" spans="1:43" x14ac:dyDescent="0.25">
      <c r="A661" t="s">
        <v>2281</v>
      </c>
      <c r="B661" t="s">
        <v>2280</v>
      </c>
      <c r="C661" t="s">
        <v>2279</v>
      </c>
      <c r="D661" s="1">
        <v>45824</v>
      </c>
      <c r="E661" t="s">
        <v>95</v>
      </c>
      <c r="F661" t="s">
        <v>321</v>
      </c>
      <c r="G661" t="s">
        <v>30</v>
      </c>
      <c r="H661" t="s">
        <v>29</v>
      </c>
      <c r="I661" t="s">
        <v>15</v>
      </c>
      <c r="J661" t="s">
        <v>55</v>
      </c>
      <c r="K661" t="s">
        <v>54</v>
      </c>
      <c r="L661" t="s">
        <v>64</v>
      </c>
      <c r="M661" t="s">
        <v>11</v>
      </c>
      <c r="N661" t="s">
        <v>41</v>
      </c>
      <c r="O661" t="s">
        <v>74</v>
      </c>
      <c r="P661" t="s">
        <v>8</v>
      </c>
      <c r="Q661" t="s">
        <v>24</v>
      </c>
      <c r="R661" t="s">
        <v>38</v>
      </c>
      <c r="S661">
        <v>6</v>
      </c>
      <c r="T661">
        <v>6</v>
      </c>
      <c r="U661">
        <v>178</v>
      </c>
      <c r="V661" t="s">
        <v>0</v>
      </c>
      <c r="W661" t="s">
        <v>5</v>
      </c>
      <c r="X661" t="s">
        <v>0</v>
      </c>
      <c r="Y661" t="s">
        <v>4</v>
      </c>
      <c r="Z661" t="s">
        <v>5</v>
      </c>
      <c r="AA661">
        <v>30.16</v>
      </c>
      <c r="AB661">
        <v>0</v>
      </c>
      <c r="AC661">
        <v>0</v>
      </c>
      <c r="AD661" t="s">
        <v>187</v>
      </c>
      <c r="AE661" t="s">
        <v>5</v>
      </c>
      <c r="AF661" t="s">
        <v>187</v>
      </c>
      <c r="AG661" t="s">
        <v>36</v>
      </c>
      <c r="AH661">
        <v>21</v>
      </c>
      <c r="AI661" t="s">
        <v>23</v>
      </c>
      <c r="AJ661">
        <v>5</v>
      </c>
      <c r="AK661">
        <v>54</v>
      </c>
      <c r="AL661">
        <v>28</v>
      </c>
      <c r="AM661" t="s">
        <v>5</v>
      </c>
      <c r="AN661">
        <v>1</v>
      </c>
      <c r="AO661">
        <v>1</v>
      </c>
      <c r="AP661">
        <v>0</v>
      </c>
      <c r="AQ661">
        <v>1</v>
      </c>
    </row>
    <row r="662" spans="1:43" x14ac:dyDescent="0.25">
      <c r="A662" t="s">
        <v>2278</v>
      </c>
      <c r="B662" t="s">
        <v>1944</v>
      </c>
      <c r="C662" t="s">
        <v>2277</v>
      </c>
      <c r="D662" s="1">
        <v>46050</v>
      </c>
      <c r="E662" t="s">
        <v>68</v>
      </c>
      <c r="F662" t="s">
        <v>243</v>
      </c>
      <c r="G662" t="s">
        <v>56</v>
      </c>
      <c r="H662" t="s">
        <v>77</v>
      </c>
      <c r="I662" t="s">
        <v>28</v>
      </c>
      <c r="J662" t="s">
        <v>55</v>
      </c>
      <c r="K662" t="s">
        <v>54</v>
      </c>
      <c r="L662" t="s">
        <v>12</v>
      </c>
      <c r="M662" t="s">
        <v>11</v>
      </c>
      <c r="N662" t="s">
        <v>269</v>
      </c>
      <c r="O662" t="s">
        <v>87</v>
      </c>
      <c r="P662" t="s">
        <v>39</v>
      </c>
      <c r="Q662" t="s">
        <v>50</v>
      </c>
      <c r="R662" t="s">
        <v>6</v>
      </c>
      <c r="S662">
        <v>5</v>
      </c>
      <c r="T662">
        <v>5</v>
      </c>
      <c r="U662">
        <v>155</v>
      </c>
      <c r="V662" t="s">
        <v>0</v>
      </c>
      <c r="W662" t="s">
        <v>5</v>
      </c>
      <c r="X662" t="s">
        <v>0</v>
      </c>
      <c r="Y662" t="s">
        <v>4</v>
      </c>
      <c r="Z662" t="s">
        <v>5</v>
      </c>
      <c r="AA662">
        <v>149.12</v>
      </c>
      <c r="AB662">
        <v>0</v>
      </c>
      <c r="AC662">
        <v>0</v>
      </c>
      <c r="AD662" t="s">
        <v>3</v>
      </c>
      <c r="AE662" t="s">
        <v>0</v>
      </c>
      <c r="AF662" t="s">
        <v>3</v>
      </c>
      <c r="AG662" t="s">
        <v>2</v>
      </c>
      <c r="AI662" t="s">
        <v>23</v>
      </c>
      <c r="AJ662">
        <v>4</v>
      </c>
      <c r="AK662">
        <v>70</v>
      </c>
      <c r="AL662">
        <v>52</v>
      </c>
      <c r="AM662" t="s">
        <v>5</v>
      </c>
      <c r="AN662">
        <v>1</v>
      </c>
      <c r="AO662">
        <v>1</v>
      </c>
      <c r="AP662">
        <v>0</v>
      </c>
      <c r="AQ662">
        <v>1</v>
      </c>
    </row>
    <row r="663" spans="1:43" x14ac:dyDescent="0.25">
      <c r="A663" t="s">
        <v>2276</v>
      </c>
      <c r="B663" t="s">
        <v>1806</v>
      </c>
      <c r="C663" t="s">
        <v>2275</v>
      </c>
      <c r="D663" s="1">
        <v>45875</v>
      </c>
      <c r="E663" t="s">
        <v>68</v>
      </c>
      <c r="F663" t="s">
        <v>243</v>
      </c>
      <c r="G663" t="s">
        <v>17</v>
      </c>
      <c r="H663" t="s">
        <v>43</v>
      </c>
      <c r="I663" t="s">
        <v>28</v>
      </c>
      <c r="J663" t="s">
        <v>14</v>
      </c>
      <c r="K663" t="s">
        <v>13</v>
      </c>
      <c r="L663" t="s">
        <v>12</v>
      </c>
      <c r="M663" t="s">
        <v>53</v>
      </c>
      <c r="N663" t="s">
        <v>52</v>
      </c>
      <c r="O663" t="s">
        <v>101</v>
      </c>
      <c r="P663" t="s">
        <v>39</v>
      </c>
      <c r="Q663" t="s">
        <v>172</v>
      </c>
      <c r="R663" t="s">
        <v>6</v>
      </c>
      <c r="S663">
        <v>4</v>
      </c>
      <c r="T663">
        <v>2</v>
      </c>
      <c r="U663">
        <v>161</v>
      </c>
      <c r="V663" t="s">
        <v>5</v>
      </c>
      <c r="W663" t="s">
        <v>5</v>
      </c>
      <c r="X663" t="s">
        <v>0</v>
      </c>
      <c r="Y663" t="s">
        <v>4</v>
      </c>
      <c r="Z663" t="s">
        <v>5</v>
      </c>
      <c r="AA663">
        <v>0</v>
      </c>
      <c r="AB663">
        <v>0.43</v>
      </c>
      <c r="AC663">
        <v>0.17</v>
      </c>
      <c r="AD663" t="s">
        <v>3</v>
      </c>
      <c r="AE663" t="s">
        <v>0</v>
      </c>
      <c r="AF663" t="s">
        <v>3</v>
      </c>
      <c r="AG663" t="s">
        <v>2</v>
      </c>
      <c r="AI663" t="s">
        <v>23</v>
      </c>
      <c r="AJ663">
        <v>2</v>
      </c>
      <c r="AK663">
        <v>-1</v>
      </c>
      <c r="AL663" t="s">
        <v>766</v>
      </c>
      <c r="AM663" t="s">
        <v>5</v>
      </c>
      <c r="AN663">
        <v>1</v>
      </c>
      <c r="AO663">
        <v>1</v>
      </c>
      <c r="AP663">
        <v>0</v>
      </c>
      <c r="AQ663">
        <v>1</v>
      </c>
    </row>
    <row r="664" spans="1:43" x14ac:dyDescent="0.25">
      <c r="A664" t="s">
        <v>2274</v>
      </c>
      <c r="B664" t="s">
        <v>2273</v>
      </c>
      <c r="C664" t="s">
        <v>2272</v>
      </c>
      <c r="D664" s="1">
        <v>45957</v>
      </c>
      <c r="E664" t="s">
        <v>156</v>
      </c>
      <c r="F664" t="s">
        <v>155</v>
      </c>
      <c r="G664" t="s">
        <v>56</v>
      </c>
      <c r="H664" t="s">
        <v>66</v>
      </c>
      <c r="I664" t="s">
        <v>28</v>
      </c>
      <c r="J664" t="s">
        <v>14</v>
      </c>
      <c r="K664" t="s">
        <v>13</v>
      </c>
      <c r="L664" t="s">
        <v>64</v>
      </c>
      <c r="M664" t="s">
        <v>11</v>
      </c>
      <c r="N664" t="s">
        <v>75</v>
      </c>
      <c r="O664" t="s">
        <v>74</v>
      </c>
      <c r="P664" t="s">
        <v>25</v>
      </c>
      <c r="Q664" t="s">
        <v>24</v>
      </c>
      <c r="R664" t="s">
        <v>38</v>
      </c>
      <c r="S664">
        <v>6</v>
      </c>
      <c r="T664">
        <v>5</v>
      </c>
      <c r="U664">
        <v>280</v>
      </c>
      <c r="V664" t="s">
        <v>5</v>
      </c>
      <c r="W664" t="s">
        <v>135</v>
      </c>
      <c r="X664" t="s">
        <v>0</v>
      </c>
      <c r="Y664" t="s">
        <v>4</v>
      </c>
      <c r="Z664" t="s">
        <v>0</v>
      </c>
      <c r="AA664">
        <v>0</v>
      </c>
      <c r="AB664">
        <v>0</v>
      </c>
      <c r="AC664">
        <v>0</v>
      </c>
      <c r="AD664" t="s">
        <v>3</v>
      </c>
      <c r="AE664" t="s">
        <v>0</v>
      </c>
      <c r="AF664" t="s">
        <v>3</v>
      </c>
      <c r="AG664" t="s">
        <v>2</v>
      </c>
      <c r="AI664" t="s">
        <v>1</v>
      </c>
      <c r="AJ664">
        <v>3</v>
      </c>
      <c r="AK664">
        <v>3</v>
      </c>
      <c r="AL664">
        <v>41</v>
      </c>
      <c r="AM664" t="s">
        <v>0</v>
      </c>
      <c r="AN664">
        <v>0</v>
      </c>
      <c r="AO664">
        <v>0</v>
      </c>
      <c r="AP664">
        <v>0</v>
      </c>
      <c r="AQ664">
        <v>0</v>
      </c>
    </row>
    <row r="665" spans="1:43" x14ac:dyDescent="0.25">
      <c r="A665" t="s">
        <v>2271</v>
      </c>
      <c r="B665" t="s">
        <v>1076</v>
      </c>
      <c r="C665" t="s">
        <v>2270</v>
      </c>
      <c r="D665" s="1">
        <v>45729</v>
      </c>
      <c r="E665" t="s">
        <v>156</v>
      </c>
      <c r="F665" t="s">
        <v>238</v>
      </c>
      <c r="G665" t="s">
        <v>56</v>
      </c>
      <c r="H665" t="s">
        <v>43</v>
      </c>
      <c r="I665" t="s">
        <v>15</v>
      </c>
      <c r="J665" t="s">
        <v>55</v>
      </c>
      <c r="K665" t="s">
        <v>54</v>
      </c>
      <c r="L665" t="s">
        <v>88</v>
      </c>
      <c r="M665" t="s">
        <v>11</v>
      </c>
      <c r="N665" t="s">
        <v>41</v>
      </c>
      <c r="O665" t="s">
        <v>101</v>
      </c>
      <c r="P665" t="s">
        <v>63</v>
      </c>
      <c r="Q665" t="s">
        <v>24</v>
      </c>
      <c r="R665" t="s">
        <v>38</v>
      </c>
      <c r="S665">
        <v>4</v>
      </c>
      <c r="T665">
        <v>4</v>
      </c>
      <c r="U665">
        <v>112</v>
      </c>
      <c r="V665" t="s">
        <v>0</v>
      </c>
      <c r="W665" t="s">
        <v>5</v>
      </c>
      <c r="X665" t="s">
        <v>0</v>
      </c>
      <c r="Y665" t="s">
        <v>4</v>
      </c>
      <c r="Z665" t="s">
        <v>5</v>
      </c>
      <c r="AA665">
        <v>91.68</v>
      </c>
      <c r="AB665">
        <v>0.54</v>
      </c>
      <c r="AC665">
        <v>0</v>
      </c>
      <c r="AD665" t="s">
        <v>3</v>
      </c>
      <c r="AE665" t="s">
        <v>0</v>
      </c>
      <c r="AF665" t="s">
        <v>3</v>
      </c>
      <c r="AG665" t="s">
        <v>2</v>
      </c>
      <c r="AI665" t="s">
        <v>23</v>
      </c>
      <c r="AJ665">
        <v>5</v>
      </c>
      <c r="AK665">
        <v>79</v>
      </c>
      <c r="AL665">
        <v>0</v>
      </c>
      <c r="AM665" t="s">
        <v>5</v>
      </c>
      <c r="AN665">
        <v>1</v>
      </c>
      <c r="AO665">
        <v>1</v>
      </c>
      <c r="AP665">
        <v>0</v>
      </c>
      <c r="AQ665">
        <v>1</v>
      </c>
    </row>
    <row r="666" spans="1:43" x14ac:dyDescent="0.25">
      <c r="A666" t="s">
        <v>2269</v>
      </c>
      <c r="B666" t="s">
        <v>572</v>
      </c>
      <c r="C666" t="s">
        <v>2268</v>
      </c>
      <c r="D666" s="1">
        <v>45815</v>
      </c>
      <c r="E666" t="s">
        <v>125</v>
      </c>
      <c r="F666" t="s">
        <v>265</v>
      </c>
      <c r="G666" t="s">
        <v>83</v>
      </c>
      <c r="H666" t="s">
        <v>16</v>
      </c>
      <c r="I666" t="s">
        <v>28</v>
      </c>
      <c r="J666" t="s">
        <v>14</v>
      </c>
      <c r="K666" t="s">
        <v>13</v>
      </c>
      <c r="L666" t="s">
        <v>88</v>
      </c>
      <c r="M666" t="s">
        <v>27</v>
      </c>
      <c r="N666" t="s">
        <v>154</v>
      </c>
      <c r="O666" t="s">
        <v>101</v>
      </c>
      <c r="P666" t="s">
        <v>63</v>
      </c>
      <c r="Q666" t="s">
        <v>24</v>
      </c>
      <c r="R666" t="s">
        <v>6</v>
      </c>
      <c r="S666">
        <v>4</v>
      </c>
      <c r="T666">
        <v>4</v>
      </c>
      <c r="U666">
        <v>96</v>
      </c>
      <c r="V666" t="s">
        <v>0</v>
      </c>
      <c r="W666" t="s">
        <v>5</v>
      </c>
      <c r="X666" t="s">
        <v>5</v>
      </c>
      <c r="Y666" t="s">
        <v>696</v>
      </c>
      <c r="Z666" t="s">
        <v>5</v>
      </c>
      <c r="AA666">
        <v>125.1</v>
      </c>
      <c r="AB666">
        <v>0.45</v>
      </c>
      <c r="AC666">
        <v>0.37</v>
      </c>
      <c r="AD666" t="s">
        <v>3</v>
      </c>
      <c r="AE666" t="s">
        <v>0</v>
      </c>
      <c r="AF666" t="s">
        <v>3</v>
      </c>
      <c r="AG666" t="s">
        <v>2</v>
      </c>
      <c r="AI666" t="s">
        <v>23</v>
      </c>
      <c r="AJ666">
        <v>3</v>
      </c>
      <c r="AK666">
        <v>58</v>
      </c>
      <c r="AL666" t="s">
        <v>347</v>
      </c>
      <c r="AM666" t="s">
        <v>5</v>
      </c>
      <c r="AN666">
        <v>1</v>
      </c>
      <c r="AO666">
        <v>1</v>
      </c>
      <c r="AP666">
        <v>1</v>
      </c>
      <c r="AQ666">
        <v>1</v>
      </c>
    </row>
    <row r="667" spans="1:43" x14ac:dyDescent="0.25">
      <c r="A667" t="s">
        <v>2267</v>
      </c>
      <c r="B667" t="s">
        <v>1397</v>
      </c>
      <c r="C667" t="s">
        <v>2266</v>
      </c>
      <c r="D667" s="1">
        <v>45932</v>
      </c>
      <c r="E667" t="s">
        <v>68</v>
      </c>
      <c r="F667" t="s">
        <v>216</v>
      </c>
      <c r="G667" t="s">
        <v>30</v>
      </c>
      <c r="H667" t="s">
        <v>29</v>
      </c>
      <c r="I667" t="s">
        <v>15</v>
      </c>
      <c r="J667" t="s">
        <v>55</v>
      </c>
      <c r="K667" t="s">
        <v>54</v>
      </c>
      <c r="L667" t="s">
        <v>12</v>
      </c>
      <c r="M667" t="s">
        <v>567</v>
      </c>
      <c r="N667" t="s">
        <v>154</v>
      </c>
      <c r="O667" t="s">
        <v>9</v>
      </c>
      <c r="P667" t="s">
        <v>39</v>
      </c>
      <c r="Q667" t="s">
        <v>24</v>
      </c>
      <c r="R667" t="s">
        <v>38</v>
      </c>
      <c r="S667">
        <v>7</v>
      </c>
      <c r="T667">
        <v>7</v>
      </c>
      <c r="U667">
        <v>240</v>
      </c>
      <c r="V667" t="s">
        <v>0</v>
      </c>
      <c r="W667" t="s">
        <v>0</v>
      </c>
      <c r="X667" t="s">
        <v>5</v>
      </c>
      <c r="Y667" t="s">
        <v>294</v>
      </c>
      <c r="Z667" t="s">
        <v>0</v>
      </c>
      <c r="AA667">
        <v>0</v>
      </c>
      <c r="AB667">
        <v>0</v>
      </c>
      <c r="AC667">
        <v>0</v>
      </c>
      <c r="AD667" t="s">
        <v>3</v>
      </c>
      <c r="AE667" t="s">
        <v>0</v>
      </c>
      <c r="AF667" t="s">
        <v>3</v>
      </c>
      <c r="AG667" t="s">
        <v>2</v>
      </c>
      <c r="AI667" t="s">
        <v>122</v>
      </c>
      <c r="AJ667">
        <v>4</v>
      </c>
      <c r="AK667">
        <v>-30</v>
      </c>
      <c r="AL667">
        <v>45</v>
      </c>
      <c r="AM667" t="s">
        <v>0</v>
      </c>
      <c r="AN667">
        <v>0</v>
      </c>
      <c r="AO667">
        <v>0</v>
      </c>
      <c r="AP667">
        <v>1</v>
      </c>
      <c r="AQ667">
        <v>0</v>
      </c>
    </row>
    <row r="668" spans="1:43" x14ac:dyDescent="0.25">
      <c r="A668" t="s">
        <v>2265</v>
      </c>
      <c r="B668" t="s">
        <v>1073</v>
      </c>
      <c r="C668" t="s">
        <v>2264</v>
      </c>
      <c r="D668" s="1">
        <v>45880</v>
      </c>
      <c r="E668" t="s">
        <v>79</v>
      </c>
      <c r="F668" t="s">
        <v>223</v>
      </c>
      <c r="G668" t="s">
        <v>110</v>
      </c>
      <c r="H668" t="s">
        <v>29</v>
      </c>
      <c r="I668" t="s">
        <v>28</v>
      </c>
      <c r="J668" t="s">
        <v>55</v>
      </c>
      <c r="K668" t="s">
        <v>54</v>
      </c>
      <c r="L668" t="s">
        <v>64</v>
      </c>
      <c r="M668" t="s">
        <v>11</v>
      </c>
      <c r="N668" t="s">
        <v>154</v>
      </c>
      <c r="O668" t="s">
        <v>101</v>
      </c>
      <c r="P668" t="s">
        <v>39</v>
      </c>
      <c r="Q668" t="s">
        <v>198</v>
      </c>
      <c r="R668" t="s">
        <v>38</v>
      </c>
      <c r="S668">
        <v>4</v>
      </c>
      <c r="T668">
        <v>4</v>
      </c>
      <c r="U668">
        <v>100</v>
      </c>
      <c r="V668" t="s">
        <v>0</v>
      </c>
      <c r="W668" t="s">
        <v>5</v>
      </c>
      <c r="X668" t="s">
        <v>5</v>
      </c>
      <c r="Y668" t="s">
        <v>545</v>
      </c>
      <c r="Z668" t="s">
        <v>0</v>
      </c>
      <c r="AA668">
        <v>0</v>
      </c>
      <c r="AB668">
        <v>0</v>
      </c>
      <c r="AC668">
        <v>0</v>
      </c>
      <c r="AD668" t="s">
        <v>3</v>
      </c>
      <c r="AE668" t="s">
        <v>0</v>
      </c>
      <c r="AF668" t="s">
        <v>3</v>
      </c>
      <c r="AG668" t="s">
        <v>2</v>
      </c>
      <c r="AI668" t="s">
        <v>23</v>
      </c>
      <c r="AJ668">
        <v>3</v>
      </c>
      <c r="AK668">
        <v>45</v>
      </c>
      <c r="AL668">
        <v>46</v>
      </c>
      <c r="AM668" t="s">
        <v>5</v>
      </c>
      <c r="AN668">
        <v>1</v>
      </c>
      <c r="AO668">
        <v>0</v>
      </c>
      <c r="AP668">
        <v>1</v>
      </c>
      <c r="AQ668">
        <v>1</v>
      </c>
    </row>
    <row r="669" spans="1:43" x14ac:dyDescent="0.25">
      <c r="A669" t="s">
        <v>2263</v>
      </c>
      <c r="B669" t="s">
        <v>509</v>
      </c>
      <c r="C669" t="s">
        <v>2262</v>
      </c>
      <c r="D669" s="1">
        <v>45910</v>
      </c>
      <c r="E669" t="s">
        <v>95</v>
      </c>
      <c r="F669" t="s">
        <v>94</v>
      </c>
      <c r="G669" t="s">
        <v>30</v>
      </c>
      <c r="H669" t="s">
        <v>43</v>
      </c>
      <c r="I669" t="s">
        <v>15</v>
      </c>
      <c r="J669" t="s">
        <v>55</v>
      </c>
      <c r="K669" t="s">
        <v>54</v>
      </c>
      <c r="L669" t="s">
        <v>12</v>
      </c>
      <c r="M669" t="s">
        <v>11</v>
      </c>
      <c r="N669" t="s">
        <v>116</v>
      </c>
      <c r="O669" t="s">
        <v>26</v>
      </c>
      <c r="P669" t="s">
        <v>39</v>
      </c>
      <c r="Q669" t="s">
        <v>7</v>
      </c>
      <c r="R669" t="s">
        <v>6</v>
      </c>
      <c r="S669">
        <v>4</v>
      </c>
      <c r="T669">
        <v>4</v>
      </c>
      <c r="U669">
        <v>126</v>
      </c>
      <c r="V669" t="s">
        <v>0</v>
      </c>
      <c r="W669" t="s">
        <v>5</v>
      </c>
      <c r="X669" t="s">
        <v>0</v>
      </c>
      <c r="Y669" t="s">
        <v>4</v>
      </c>
      <c r="Z669" t="s">
        <v>0</v>
      </c>
      <c r="AA669">
        <v>0</v>
      </c>
      <c r="AB669">
        <v>0</v>
      </c>
      <c r="AC669">
        <v>0</v>
      </c>
      <c r="AD669" t="s">
        <v>3</v>
      </c>
      <c r="AE669" t="s">
        <v>0</v>
      </c>
      <c r="AF669" t="s">
        <v>3</v>
      </c>
      <c r="AG669" t="s">
        <v>2</v>
      </c>
      <c r="AI669" t="s">
        <v>23</v>
      </c>
      <c r="AJ669">
        <v>4</v>
      </c>
      <c r="AK669">
        <v>32</v>
      </c>
      <c r="AL669">
        <v>39</v>
      </c>
      <c r="AM669" t="s">
        <v>5</v>
      </c>
      <c r="AN669">
        <v>1</v>
      </c>
      <c r="AO669">
        <v>0</v>
      </c>
      <c r="AP669">
        <v>0</v>
      </c>
      <c r="AQ669">
        <v>1</v>
      </c>
    </row>
    <row r="670" spans="1:43" x14ac:dyDescent="0.25">
      <c r="A670" t="s">
        <v>2261</v>
      </c>
      <c r="B670" t="s">
        <v>2260</v>
      </c>
      <c r="C670" t="s">
        <v>2259</v>
      </c>
      <c r="D670" s="1">
        <v>45708</v>
      </c>
      <c r="E670" t="s">
        <v>156</v>
      </c>
      <c r="F670" t="s">
        <v>155</v>
      </c>
      <c r="G670" t="s">
        <v>30</v>
      </c>
      <c r="H670" t="s">
        <v>77</v>
      </c>
      <c r="I670" t="s">
        <v>28</v>
      </c>
      <c r="J670" t="s">
        <v>55</v>
      </c>
      <c r="K670" t="s">
        <v>54</v>
      </c>
      <c r="L670" t="s">
        <v>64</v>
      </c>
      <c r="M670" t="s">
        <v>11</v>
      </c>
      <c r="N670" t="s">
        <v>75</v>
      </c>
      <c r="O670" t="s">
        <v>26</v>
      </c>
      <c r="P670" t="s">
        <v>63</v>
      </c>
      <c r="Q670" t="s">
        <v>7</v>
      </c>
      <c r="R670" t="s">
        <v>6</v>
      </c>
      <c r="S670">
        <v>4</v>
      </c>
      <c r="T670">
        <v>4</v>
      </c>
      <c r="U670">
        <v>172</v>
      </c>
      <c r="V670" t="s">
        <v>0</v>
      </c>
      <c r="W670" t="s">
        <v>5</v>
      </c>
      <c r="X670" t="s">
        <v>5</v>
      </c>
      <c r="Y670" t="s">
        <v>144</v>
      </c>
      <c r="Z670" t="s">
        <v>5</v>
      </c>
      <c r="AA670">
        <v>208.1</v>
      </c>
      <c r="AB670">
        <v>0.21</v>
      </c>
      <c r="AC670">
        <v>0</v>
      </c>
      <c r="AD670" t="s">
        <v>3</v>
      </c>
      <c r="AE670" t="s">
        <v>0</v>
      </c>
      <c r="AF670" t="s">
        <v>3</v>
      </c>
      <c r="AG670" t="s">
        <v>2</v>
      </c>
      <c r="AI670" t="s">
        <v>23</v>
      </c>
      <c r="AJ670">
        <v>3</v>
      </c>
      <c r="AK670">
        <v>30</v>
      </c>
      <c r="AL670">
        <v>0</v>
      </c>
      <c r="AM670" t="s">
        <v>5</v>
      </c>
      <c r="AN670">
        <v>1</v>
      </c>
      <c r="AO670">
        <v>1</v>
      </c>
      <c r="AP670">
        <v>1</v>
      </c>
      <c r="AQ670">
        <v>1</v>
      </c>
    </row>
    <row r="671" spans="1:43" x14ac:dyDescent="0.25">
      <c r="A671" t="s">
        <v>2258</v>
      </c>
      <c r="B671" t="s">
        <v>2257</v>
      </c>
      <c r="C671" t="s">
        <v>2256</v>
      </c>
      <c r="D671" s="1">
        <v>45726</v>
      </c>
      <c r="E671" t="s">
        <v>168</v>
      </c>
      <c r="F671" t="s">
        <v>167</v>
      </c>
      <c r="G671" t="s">
        <v>56</v>
      </c>
      <c r="H671" t="s">
        <v>237</v>
      </c>
      <c r="I671" t="s">
        <v>15</v>
      </c>
      <c r="J671" t="s">
        <v>14</v>
      </c>
      <c r="K671" t="s">
        <v>13</v>
      </c>
      <c r="L671" t="s">
        <v>117</v>
      </c>
      <c r="M671" t="s">
        <v>11</v>
      </c>
      <c r="N671" t="s">
        <v>41</v>
      </c>
      <c r="O671" t="s">
        <v>74</v>
      </c>
      <c r="P671" t="s">
        <v>39</v>
      </c>
      <c r="Q671" t="s">
        <v>24</v>
      </c>
      <c r="R671" t="s">
        <v>6</v>
      </c>
      <c r="S671">
        <v>6</v>
      </c>
      <c r="T671">
        <v>6</v>
      </c>
      <c r="U671">
        <v>165</v>
      </c>
      <c r="V671" t="s">
        <v>247</v>
      </c>
      <c r="W671" t="s">
        <v>0</v>
      </c>
      <c r="X671" t="s">
        <v>0</v>
      </c>
      <c r="Y671" t="s">
        <v>4</v>
      </c>
      <c r="Z671" t="s">
        <v>5</v>
      </c>
      <c r="AA671">
        <v>0</v>
      </c>
      <c r="AB671">
        <v>0</v>
      </c>
      <c r="AC671">
        <v>0</v>
      </c>
      <c r="AD671" t="s">
        <v>3</v>
      </c>
      <c r="AE671" t="s">
        <v>0</v>
      </c>
      <c r="AF671" t="s">
        <v>3</v>
      </c>
      <c r="AG671" t="s">
        <v>2</v>
      </c>
      <c r="AI671" t="s">
        <v>544</v>
      </c>
      <c r="AJ671">
        <v>2</v>
      </c>
      <c r="AK671">
        <v>24</v>
      </c>
      <c r="AL671">
        <v>44</v>
      </c>
      <c r="AM671" t="s">
        <v>0</v>
      </c>
      <c r="AN671">
        <v>0</v>
      </c>
      <c r="AO671">
        <v>1</v>
      </c>
      <c r="AP671">
        <v>0</v>
      </c>
      <c r="AQ671">
        <v>0</v>
      </c>
    </row>
    <row r="672" spans="1:43" x14ac:dyDescent="0.25">
      <c r="A672" t="s">
        <v>2255</v>
      </c>
      <c r="B672" t="s">
        <v>2254</v>
      </c>
      <c r="C672" t="s">
        <v>2253</v>
      </c>
      <c r="D672" s="1">
        <v>45988</v>
      </c>
      <c r="E672" t="s">
        <v>162</v>
      </c>
      <c r="F672" t="s">
        <v>200</v>
      </c>
      <c r="G672" t="s">
        <v>123</v>
      </c>
      <c r="H672" t="s">
        <v>43</v>
      </c>
      <c r="I672" t="s">
        <v>28</v>
      </c>
      <c r="J672" t="s">
        <v>14</v>
      </c>
      <c r="K672" t="s">
        <v>13</v>
      </c>
      <c r="L672" t="s">
        <v>64</v>
      </c>
      <c r="M672" t="s">
        <v>11</v>
      </c>
      <c r="N672" t="s">
        <v>52</v>
      </c>
      <c r="O672" t="s">
        <v>26</v>
      </c>
      <c r="P672" t="s">
        <v>39</v>
      </c>
      <c r="Q672" t="s">
        <v>198</v>
      </c>
      <c r="R672" t="s">
        <v>6</v>
      </c>
      <c r="S672">
        <v>4</v>
      </c>
      <c r="T672">
        <v>4</v>
      </c>
      <c r="U672">
        <v>93</v>
      </c>
      <c r="V672" t="s">
        <v>0</v>
      </c>
      <c r="W672" t="s">
        <v>5</v>
      </c>
      <c r="X672" t="s">
        <v>0</v>
      </c>
      <c r="Y672" t="s">
        <v>4</v>
      </c>
      <c r="Z672" t="s">
        <v>0</v>
      </c>
      <c r="AA672">
        <v>0</v>
      </c>
      <c r="AB672">
        <v>0</v>
      </c>
      <c r="AC672">
        <v>0</v>
      </c>
      <c r="AD672" t="s">
        <v>3</v>
      </c>
      <c r="AE672" t="s">
        <v>0</v>
      </c>
      <c r="AF672" t="s">
        <v>3</v>
      </c>
      <c r="AG672" t="s">
        <v>2</v>
      </c>
      <c r="AI672" t="s">
        <v>23</v>
      </c>
      <c r="AJ672">
        <v>5</v>
      </c>
      <c r="AK672">
        <v>-15</v>
      </c>
      <c r="AL672" t="s">
        <v>2252</v>
      </c>
      <c r="AM672" t="s">
        <v>0</v>
      </c>
      <c r="AN672">
        <v>1</v>
      </c>
      <c r="AO672">
        <v>0</v>
      </c>
      <c r="AP672">
        <v>0</v>
      </c>
      <c r="AQ672">
        <v>0</v>
      </c>
    </row>
    <row r="673" spans="1:43" x14ac:dyDescent="0.25">
      <c r="A673" t="s">
        <v>2251</v>
      </c>
      <c r="B673" t="s">
        <v>1994</v>
      </c>
      <c r="C673" t="s">
        <v>2250</v>
      </c>
      <c r="D673" s="1">
        <v>46088</v>
      </c>
      <c r="E673" t="s">
        <v>162</v>
      </c>
      <c r="F673" t="s">
        <v>2249</v>
      </c>
      <c r="G673" t="s">
        <v>30</v>
      </c>
      <c r="H673" t="s">
        <v>43</v>
      </c>
      <c r="I673" t="s">
        <v>15</v>
      </c>
      <c r="J673" t="s">
        <v>146</v>
      </c>
      <c r="K673" t="s">
        <v>460</v>
      </c>
      <c r="L673" t="s">
        <v>88</v>
      </c>
      <c r="M673" t="s">
        <v>299</v>
      </c>
      <c r="N673" t="s">
        <v>116</v>
      </c>
      <c r="O673" t="s">
        <v>74</v>
      </c>
      <c r="P673" t="s">
        <v>39</v>
      </c>
      <c r="Q673" t="s">
        <v>198</v>
      </c>
      <c r="R673" t="s">
        <v>6</v>
      </c>
      <c r="S673">
        <v>6</v>
      </c>
      <c r="T673">
        <v>6</v>
      </c>
      <c r="U673">
        <v>110</v>
      </c>
      <c r="V673" t="s">
        <v>0</v>
      </c>
      <c r="W673" t="s">
        <v>5</v>
      </c>
      <c r="X673" t="s">
        <v>0</v>
      </c>
      <c r="Y673" t="s">
        <v>4</v>
      </c>
      <c r="Z673" t="s">
        <v>5</v>
      </c>
      <c r="AA673">
        <v>9</v>
      </c>
      <c r="AB673">
        <v>0</v>
      </c>
      <c r="AC673">
        <v>0</v>
      </c>
      <c r="AD673" t="s">
        <v>3</v>
      </c>
      <c r="AE673" t="s">
        <v>0</v>
      </c>
      <c r="AF673" t="s">
        <v>3</v>
      </c>
      <c r="AG673" t="s">
        <v>2</v>
      </c>
      <c r="AI673" t="s">
        <v>23</v>
      </c>
      <c r="AJ673">
        <v>4</v>
      </c>
      <c r="AK673">
        <v>15</v>
      </c>
      <c r="AL673">
        <v>42</v>
      </c>
      <c r="AM673" t="s">
        <v>5</v>
      </c>
      <c r="AN673">
        <v>1</v>
      </c>
      <c r="AO673">
        <v>1</v>
      </c>
      <c r="AP673">
        <v>0</v>
      </c>
      <c r="AQ673">
        <v>1</v>
      </c>
    </row>
    <row r="674" spans="1:43" x14ac:dyDescent="0.25">
      <c r="A674" t="s">
        <v>2248</v>
      </c>
      <c r="B674" t="s">
        <v>2247</v>
      </c>
      <c r="C674" t="s">
        <v>2246</v>
      </c>
      <c r="D674" s="1">
        <v>46120</v>
      </c>
      <c r="E674" t="s">
        <v>168</v>
      </c>
      <c r="F674" t="s">
        <v>167</v>
      </c>
      <c r="G674" t="s">
        <v>123</v>
      </c>
      <c r="H674" t="s">
        <v>29</v>
      </c>
      <c r="I674" t="s">
        <v>28</v>
      </c>
      <c r="J674" t="s">
        <v>55</v>
      </c>
      <c r="K674" t="s">
        <v>65</v>
      </c>
      <c r="L674" t="s">
        <v>88</v>
      </c>
      <c r="M674" t="s">
        <v>27</v>
      </c>
      <c r="N674" t="s">
        <v>116</v>
      </c>
      <c r="O674" t="s">
        <v>130</v>
      </c>
      <c r="P674" t="s">
        <v>39</v>
      </c>
      <c r="Q674" t="s">
        <v>24</v>
      </c>
      <c r="R674" t="s">
        <v>38</v>
      </c>
      <c r="S674">
        <v>5</v>
      </c>
      <c r="T674">
        <v>5</v>
      </c>
      <c r="U674">
        <v>157</v>
      </c>
      <c r="V674" t="s">
        <v>0</v>
      </c>
      <c r="W674" t="s">
        <v>5</v>
      </c>
      <c r="X674" t="s">
        <v>0</v>
      </c>
      <c r="Y674" t="s">
        <v>4</v>
      </c>
      <c r="Z674" t="s">
        <v>5</v>
      </c>
      <c r="AA674">
        <v>85.33</v>
      </c>
      <c r="AB674">
        <v>0</v>
      </c>
      <c r="AC674">
        <v>0.37</v>
      </c>
      <c r="AD674" t="s">
        <v>3</v>
      </c>
      <c r="AE674" t="s">
        <v>0</v>
      </c>
      <c r="AF674" t="s">
        <v>3</v>
      </c>
      <c r="AG674" t="s">
        <v>2</v>
      </c>
      <c r="AI674" t="s">
        <v>23</v>
      </c>
      <c r="AJ674">
        <v>5</v>
      </c>
      <c r="AK674">
        <v>61</v>
      </c>
      <c r="AL674">
        <v>31</v>
      </c>
      <c r="AM674" t="s">
        <v>5</v>
      </c>
      <c r="AN674">
        <v>1</v>
      </c>
      <c r="AO674">
        <v>1</v>
      </c>
      <c r="AP674">
        <v>0</v>
      </c>
      <c r="AQ674">
        <v>1</v>
      </c>
    </row>
    <row r="675" spans="1:43" x14ac:dyDescent="0.25">
      <c r="A675" t="s">
        <v>2245</v>
      </c>
      <c r="B675" t="s">
        <v>2244</v>
      </c>
      <c r="C675" t="s">
        <v>2243</v>
      </c>
      <c r="D675" s="1">
        <v>45773</v>
      </c>
      <c r="E675" t="s">
        <v>19</v>
      </c>
      <c r="F675" t="s">
        <v>89</v>
      </c>
      <c r="G675" t="s">
        <v>17</v>
      </c>
      <c r="H675" t="s">
        <v>16</v>
      </c>
      <c r="I675" t="s">
        <v>28</v>
      </c>
      <c r="J675" t="s">
        <v>55</v>
      </c>
      <c r="K675" t="s">
        <v>65</v>
      </c>
      <c r="L675" t="s">
        <v>42</v>
      </c>
      <c r="M675" t="s">
        <v>11</v>
      </c>
      <c r="N675" t="s">
        <v>10</v>
      </c>
      <c r="O675" t="s">
        <v>26</v>
      </c>
      <c r="P675" t="s">
        <v>63</v>
      </c>
      <c r="Q675" t="s">
        <v>24</v>
      </c>
      <c r="R675" t="s">
        <v>38</v>
      </c>
      <c r="S675">
        <v>4</v>
      </c>
      <c r="T675">
        <v>4</v>
      </c>
      <c r="U675">
        <v>116</v>
      </c>
      <c r="V675" t="s">
        <v>0</v>
      </c>
      <c r="W675" t="s">
        <v>5</v>
      </c>
      <c r="X675" t="s">
        <v>135</v>
      </c>
      <c r="Y675" t="s">
        <v>4</v>
      </c>
      <c r="Z675" t="s">
        <v>0</v>
      </c>
      <c r="AA675">
        <v>0</v>
      </c>
      <c r="AB675">
        <v>0</v>
      </c>
      <c r="AC675">
        <v>0</v>
      </c>
      <c r="AD675" t="s">
        <v>3</v>
      </c>
      <c r="AE675" t="s">
        <v>0</v>
      </c>
      <c r="AF675" t="s">
        <v>3</v>
      </c>
      <c r="AG675" t="s">
        <v>2</v>
      </c>
      <c r="AI675" t="s">
        <v>23</v>
      </c>
      <c r="AJ675">
        <v>4</v>
      </c>
      <c r="AK675">
        <v>100</v>
      </c>
      <c r="AL675">
        <v>0</v>
      </c>
      <c r="AM675" t="s">
        <v>5</v>
      </c>
      <c r="AN675">
        <v>1</v>
      </c>
      <c r="AO675">
        <v>0</v>
      </c>
      <c r="AP675">
        <v>0</v>
      </c>
      <c r="AQ675">
        <v>1</v>
      </c>
    </row>
    <row r="676" spans="1:43" x14ac:dyDescent="0.25">
      <c r="A676" t="s">
        <v>2242</v>
      </c>
      <c r="B676" t="s">
        <v>2241</v>
      </c>
      <c r="C676" t="s">
        <v>2240</v>
      </c>
      <c r="D676" s="1">
        <v>46197</v>
      </c>
      <c r="E676" t="s">
        <v>32</v>
      </c>
      <c r="F676" t="s">
        <v>31</v>
      </c>
      <c r="G676" t="s">
        <v>17</v>
      </c>
      <c r="H676" t="s">
        <v>29</v>
      </c>
      <c r="I676" t="s">
        <v>28</v>
      </c>
      <c r="J676" t="s">
        <v>55</v>
      </c>
      <c r="K676" t="s">
        <v>54</v>
      </c>
      <c r="L676" t="s">
        <v>117</v>
      </c>
      <c r="M676" t="s">
        <v>11</v>
      </c>
      <c r="N676" t="s">
        <v>41</v>
      </c>
      <c r="O676" t="s">
        <v>9</v>
      </c>
      <c r="P676" t="s">
        <v>8</v>
      </c>
      <c r="Q676" t="s">
        <v>7</v>
      </c>
      <c r="R676" t="s">
        <v>6</v>
      </c>
      <c r="S676">
        <v>7</v>
      </c>
      <c r="T676">
        <v>7</v>
      </c>
      <c r="U676">
        <v>191</v>
      </c>
      <c r="V676" t="s">
        <v>0</v>
      </c>
      <c r="W676" t="s">
        <v>0</v>
      </c>
      <c r="X676" t="s">
        <v>181</v>
      </c>
      <c r="Y676" t="s">
        <v>4</v>
      </c>
      <c r="Z676" t="s">
        <v>0</v>
      </c>
      <c r="AA676">
        <v>0</v>
      </c>
      <c r="AB676">
        <v>0</v>
      </c>
      <c r="AC676">
        <v>0</v>
      </c>
      <c r="AD676" t="s">
        <v>3</v>
      </c>
      <c r="AE676" t="s">
        <v>0</v>
      </c>
      <c r="AF676" t="s">
        <v>3</v>
      </c>
      <c r="AG676" t="s">
        <v>2</v>
      </c>
      <c r="AI676" t="s">
        <v>332</v>
      </c>
      <c r="AJ676">
        <v>4</v>
      </c>
      <c r="AK676">
        <v>1</v>
      </c>
      <c r="AL676">
        <v>42</v>
      </c>
      <c r="AM676" t="s">
        <v>0</v>
      </c>
      <c r="AN676">
        <v>0</v>
      </c>
      <c r="AO676">
        <v>0</v>
      </c>
      <c r="AP676">
        <v>0</v>
      </c>
      <c r="AQ676">
        <v>0</v>
      </c>
    </row>
    <row r="677" spans="1:43" x14ac:dyDescent="0.25">
      <c r="A677" t="s">
        <v>2239</v>
      </c>
      <c r="B677" t="s">
        <v>2238</v>
      </c>
      <c r="C677" t="s">
        <v>2237</v>
      </c>
      <c r="D677" s="1">
        <v>45931</v>
      </c>
      <c r="E677" t="s">
        <v>149</v>
      </c>
      <c r="F677" t="s">
        <v>589</v>
      </c>
      <c r="G677" t="s">
        <v>123</v>
      </c>
      <c r="H677" t="s">
        <v>29</v>
      </c>
      <c r="I677" t="s">
        <v>15</v>
      </c>
      <c r="J677" t="s">
        <v>55</v>
      </c>
      <c r="K677" t="s">
        <v>54</v>
      </c>
      <c r="L677" t="s">
        <v>88</v>
      </c>
      <c r="M677" t="s">
        <v>11</v>
      </c>
      <c r="N677" t="s">
        <v>247</v>
      </c>
      <c r="O677" t="s">
        <v>40</v>
      </c>
      <c r="P677" t="s">
        <v>39</v>
      </c>
      <c r="Q677" t="s">
        <v>7</v>
      </c>
      <c r="R677" t="s">
        <v>6</v>
      </c>
      <c r="S677">
        <v>8</v>
      </c>
      <c r="T677">
        <v>6</v>
      </c>
      <c r="U677">
        <v>300</v>
      </c>
      <c r="V677" t="s">
        <v>5</v>
      </c>
      <c r="W677" t="s">
        <v>0</v>
      </c>
      <c r="X677" t="s">
        <v>5</v>
      </c>
      <c r="Y677" t="s">
        <v>160</v>
      </c>
      <c r="Z677" t="s">
        <v>0</v>
      </c>
      <c r="AA677">
        <v>0</v>
      </c>
      <c r="AB677">
        <v>0</v>
      </c>
      <c r="AC677">
        <v>0</v>
      </c>
      <c r="AD677" t="s">
        <v>3</v>
      </c>
      <c r="AE677" t="s">
        <v>0</v>
      </c>
      <c r="AF677" t="s">
        <v>3</v>
      </c>
      <c r="AG677" t="s">
        <v>2</v>
      </c>
      <c r="AI677" t="s">
        <v>332</v>
      </c>
      <c r="AJ677">
        <v>1</v>
      </c>
      <c r="AK677">
        <v>-62</v>
      </c>
      <c r="AL677">
        <v>41</v>
      </c>
      <c r="AM677" t="s">
        <v>0</v>
      </c>
      <c r="AN677">
        <v>0</v>
      </c>
      <c r="AO677">
        <v>0</v>
      </c>
      <c r="AP677">
        <v>1</v>
      </c>
      <c r="AQ677">
        <v>0</v>
      </c>
    </row>
    <row r="678" spans="1:43" x14ac:dyDescent="0.25">
      <c r="A678" t="s">
        <v>2236</v>
      </c>
      <c r="B678" t="s">
        <v>1607</v>
      </c>
      <c r="C678" t="s">
        <v>2235</v>
      </c>
      <c r="D678" s="1">
        <v>45723</v>
      </c>
      <c r="E678" t="s">
        <v>68</v>
      </c>
      <c r="F678" t="s">
        <v>2234</v>
      </c>
      <c r="G678" t="s">
        <v>110</v>
      </c>
      <c r="H678" t="s">
        <v>16</v>
      </c>
      <c r="I678" t="s">
        <v>28</v>
      </c>
      <c r="J678" t="s">
        <v>55</v>
      </c>
      <c r="K678" t="s">
        <v>54</v>
      </c>
      <c r="L678" t="s">
        <v>64</v>
      </c>
      <c r="M678" t="s">
        <v>11</v>
      </c>
      <c r="N678" t="s">
        <v>10</v>
      </c>
      <c r="O678" t="s">
        <v>40</v>
      </c>
      <c r="P678" t="s">
        <v>63</v>
      </c>
      <c r="Q678" t="s">
        <v>7</v>
      </c>
      <c r="R678" t="s">
        <v>6</v>
      </c>
      <c r="S678">
        <v>99</v>
      </c>
      <c r="T678">
        <v>6</v>
      </c>
      <c r="U678">
        <v>335</v>
      </c>
      <c r="V678" t="s">
        <v>5</v>
      </c>
      <c r="W678" t="s">
        <v>0</v>
      </c>
      <c r="X678" t="s">
        <v>5</v>
      </c>
      <c r="Y678" t="s">
        <v>160</v>
      </c>
      <c r="Z678" t="s">
        <v>0</v>
      </c>
      <c r="AA678">
        <v>0</v>
      </c>
      <c r="AB678">
        <v>0</v>
      </c>
      <c r="AC678">
        <v>0</v>
      </c>
      <c r="AD678" t="s">
        <v>61</v>
      </c>
      <c r="AE678" t="s">
        <v>5</v>
      </c>
      <c r="AF678" t="s">
        <v>61</v>
      </c>
      <c r="AG678" t="s">
        <v>36</v>
      </c>
      <c r="AH678">
        <v>25</v>
      </c>
      <c r="AI678" t="s">
        <v>1</v>
      </c>
      <c r="AJ678">
        <v>1</v>
      </c>
      <c r="AK678">
        <v>-16</v>
      </c>
      <c r="AL678">
        <v>0</v>
      </c>
      <c r="AM678" t="s">
        <v>0</v>
      </c>
      <c r="AN678">
        <v>0</v>
      </c>
      <c r="AO678">
        <v>0</v>
      </c>
      <c r="AP678">
        <v>1</v>
      </c>
      <c r="AQ678">
        <v>0</v>
      </c>
    </row>
    <row r="679" spans="1:43" x14ac:dyDescent="0.25">
      <c r="A679" t="s">
        <v>2233</v>
      </c>
      <c r="B679" t="s">
        <v>358</v>
      </c>
      <c r="C679" t="s">
        <v>2232</v>
      </c>
      <c r="D679" s="1">
        <v>45908</v>
      </c>
      <c r="E679" t="s">
        <v>95</v>
      </c>
      <c r="F679" t="s">
        <v>94</v>
      </c>
      <c r="G679" t="s">
        <v>30</v>
      </c>
      <c r="H679" t="s">
        <v>29</v>
      </c>
      <c r="I679" t="s">
        <v>15</v>
      </c>
      <c r="J679" t="s">
        <v>55</v>
      </c>
      <c r="K679" t="s">
        <v>54</v>
      </c>
      <c r="L679" t="s">
        <v>88</v>
      </c>
      <c r="M679" t="s">
        <v>11</v>
      </c>
      <c r="N679" t="s">
        <v>93</v>
      </c>
      <c r="O679" t="s">
        <v>40</v>
      </c>
      <c r="P679" t="s">
        <v>63</v>
      </c>
      <c r="Q679" t="s">
        <v>7</v>
      </c>
      <c r="R679" t="s">
        <v>6</v>
      </c>
      <c r="S679">
        <v>8</v>
      </c>
      <c r="T679">
        <v>7</v>
      </c>
      <c r="U679">
        <v>433</v>
      </c>
      <c r="V679" t="s">
        <v>5</v>
      </c>
      <c r="W679" t="s">
        <v>0</v>
      </c>
      <c r="X679" t="s">
        <v>5</v>
      </c>
      <c r="Y679" t="s">
        <v>489</v>
      </c>
      <c r="Z679" t="s">
        <v>0</v>
      </c>
      <c r="AA679">
        <v>0</v>
      </c>
      <c r="AB679">
        <v>0</v>
      </c>
      <c r="AC679">
        <v>0</v>
      </c>
      <c r="AD679" t="s">
        <v>3</v>
      </c>
      <c r="AE679" t="s">
        <v>0</v>
      </c>
      <c r="AF679" t="s">
        <v>3</v>
      </c>
      <c r="AG679" t="s">
        <v>2</v>
      </c>
      <c r="AI679" t="s">
        <v>122</v>
      </c>
      <c r="AJ679">
        <v>1</v>
      </c>
      <c r="AK679">
        <v>-88</v>
      </c>
      <c r="AL679">
        <v>0</v>
      </c>
      <c r="AM679" t="s">
        <v>0</v>
      </c>
      <c r="AN679">
        <v>0</v>
      </c>
      <c r="AO679">
        <v>0</v>
      </c>
      <c r="AP679">
        <v>1</v>
      </c>
      <c r="AQ679">
        <v>0</v>
      </c>
    </row>
    <row r="680" spans="1:43" x14ac:dyDescent="0.25">
      <c r="A680" t="s">
        <v>2231</v>
      </c>
      <c r="B680" t="s">
        <v>1469</v>
      </c>
      <c r="C680" t="s">
        <v>2230</v>
      </c>
      <c r="D680" s="1">
        <v>46060</v>
      </c>
      <c r="E680" t="s">
        <v>149</v>
      </c>
      <c r="F680" t="s">
        <v>1996</v>
      </c>
      <c r="G680" t="s">
        <v>56</v>
      </c>
      <c r="H680" t="s">
        <v>77</v>
      </c>
      <c r="I680" t="s">
        <v>28</v>
      </c>
      <c r="J680" t="s">
        <v>55</v>
      </c>
      <c r="K680" t="s">
        <v>65</v>
      </c>
      <c r="L680" t="s">
        <v>12</v>
      </c>
      <c r="M680" t="s">
        <v>27</v>
      </c>
      <c r="N680" t="s">
        <v>10</v>
      </c>
      <c r="O680" t="s">
        <v>40</v>
      </c>
      <c r="P680" t="s">
        <v>63</v>
      </c>
      <c r="Q680" t="s">
        <v>7</v>
      </c>
      <c r="R680" t="s">
        <v>6</v>
      </c>
      <c r="S680">
        <v>8</v>
      </c>
      <c r="T680">
        <v>8</v>
      </c>
      <c r="U680">
        <v>202</v>
      </c>
      <c r="V680" t="s">
        <v>0</v>
      </c>
      <c r="W680" t="s">
        <v>5</v>
      </c>
      <c r="X680" t="s">
        <v>0</v>
      </c>
      <c r="Y680" t="s">
        <v>4</v>
      </c>
      <c r="Z680" t="s">
        <v>0</v>
      </c>
      <c r="AA680">
        <v>0</v>
      </c>
      <c r="AB680">
        <v>0</v>
      </c>
      <c r="AC680">
        <v>0</v>
      </c>
      <c r="AD680" t="s">
        <v>3</v>
      </c>
      <c r="AE680" t="s">
        <v>0</v>
      </c>
      <c r="AF680" t="s">
        <v>3</v>
      </c>
      <c r="AG680" t="s">
        <v>2</v>
      </c>
      <c r="AI680" t="s">
        <v>23</v>
      </c>
      <c r="AJ680">
        <v>5</v>
      </c>
      <c r="AK680">
        <v>6</v>
      </c>
      <c r="AL680">
        <v>0</v>
      </c>
      <c r="AM680" t="s">
        <v>5</v>
      </c>
      <c r="AN680">
        <v>1</v>
      </c>
      <c r="AO680">
        <v>0</v>
      </c>
      <c r="AP680">
        <v>0</v>
      </c>
      <c r="AQ680">
        <v>1</v>
      </c>
    </row>
    <row r="681" spans="1:43" x14ac:dyDescent="0.25">
      <c r="A681" t="s">
        <v>2229</v>
      </c>
      <c r="B681" t="s">
        <v>2228</v>
      </c>
      <c r="C681" t="s">
        <v>2227</v>
      </c>
      <c r="D681" s="1">
        <v>45810</v>
      </c>
      <c r="E681" t="s">
        <v>156</v>
      </c>
      <c r="F681" t="s">
        <v>1671</v>
      </c>
      <c r="G681" t="s">
        <v>110</v>
      </c>
      <c r="H681" t="s">
        <v>77</v>
      </c>
      <c r="I681" t="s">
        <v>28</v>
      </c>
      <c r="J681" t="s">
        <v>146</v>
      </c>
      <c r="K681" t="s">
        <v>145</v>
      </c>
      <c r="L681" t="s">
        <v>64</v>
      </c>
      <c r="M681" t="s">
        <v>11</v>
      </c>
      <c r="N681" t="s">
        <v>10</v>
      </c>
      <c r="O681" t="s">
        <v>26</v>
      </c>
      <c r="P681" t="s">
        <v>39</v>
      </c>
      <c r="Q681" t="s">
        <v>24</v>
      </c>
      <c r="R681" t="s">
        <v>6</v>
      </c>
      <c r="S681">
        <v>4</v>
      </c>
      <c r="T681">
        <v>4</v>
      </c>
      <c r="U681">
        <v>118</v>
      </c>
      <c r="V681" t="s">
        <v>0</v>
      </c>
      <c r="W681" t="s">
        <v>5</v>
      </c>
      <c r="X681" t="s">
        <v>0</v>
      </c>
      <c r="Y681" t="s">
        <v>4</v>
      </c>
      <c r="Z681" t="s">
        <v>5</v>
      </c>
      <c r="AA681">
        <v>173.44</v>
      </c>
      <c r="AB681">
        <v>0.2</v>
      </c>
      <c r="AC681">
        <v>0</v>
      </c>
      <c r="AD681" t="s">
        <v>3</v>
      </c>
      <c r="AE681" t="s">
        <v>0</v>
      </c>
      <c r="AF681" t="s">
        <v>3</v>
      </c>
      <c r="AG681" t="s">
        <v>2</v>
      </c>
      <c r="AI681" t="s">
        <v>23</v>
      </c>
      <c r="AJ681">
        <v>4</v>
      </c>
      <c r="AK681">
        <v>-3</v>
      </c>
      <c r="AL681" t="s">
        <v>2226</v>
      </c>
      <c r="AM681" t="s">
        <v>5</v>
      </c>
      <c r="AN681">
        <v>1</v>
      </c>
      <c r="AO681">
        <v>1</v>
      </c>
      <c r="AP681">
        <v>0</v>
      </c>
      <c r="AQ681">
        <v>1</v>
      </c>
    </row>
    <row r="682" spans="1:43" x14ac:dyDescent="0.25">
      <c r="A682" t="s">
        <v>2225</v>
      </c>
      <c r="B682" t="s">
        <v>789</v>
      </c>
      <c r="C682" t="s">
        <v>2224</v>
      </c>
      <c r="D682" s="1">
        <v>45742</v>
      </c>
      <c r="E682" t="s">
        <v>45</v>
      </c>
      <c r="F682" t="s">
        <v>559</v>
      </c>
      <c r="G682" t="s">
        <v>30</v>
      </c>
      <c r="H682" t="s">
        <v>29</v>
      </c>
      <c r="I682" t="s">
        <v>15</v>
      </c>
      <c r="J682" t="s">
        <v>55</v>
      </c>
      <c r="K682" t="s">
        <v>54</v>
      </c>
      <c r="L682" t="s">
        <v>12</v>
      </c>
      <c r="M682" t="s">
        <v>11</v>
      </c>
      <c r="N682" t="s">
        <v>116</v>
      </c>
      <c r="O682" t="s">
        <v>199</v>
      </c>
      <c r="P682" t="s">
        <v>25</v>
      </c>
      <c r="Q682" t="s">
        <v>198</v>
      </c>
      <c r="R682" t="s">
        <v>38</v>
      </c>
      <c r="S682" t="s">
        <v>277</v>
      </c>
      <c r="T682">
        <v>5</v>
      </c>
      <c r="U682">
        <v>106</v>
      </c>
      <c r="V682" t="s">
        <v>0</v>
      </c>
      <c r="W682" t="s">
        <v>5</v>
      </c>
      <c r="X682" t="s">
        <v>0</v>
      </c>
      <c r="Y682" t="s">
        <v>4</v>
      </c>
      <c r="Z682" t="s">
        <v>0</v>
      </c>
      <c r="AA682">
        <v>0</v>
      </c>
      <c r="AB682">
        <v>0</v>
      </c>
      <c r="AC682">
        <v>0</v>
      </c>
      <c r="AD682" t="s">
        <v>3</v>
      </c>
      <c r="AE682" t="s">
        <v>0</v>
      </c>
      <c r="AF682" t="s">
        <v>3</v>
      </c>
      <c r="AG682" t="s">
        <v>2</v>
      </c>
      <c r="AI682" t="s">
        <v>23</v>
      </c>
      <c r="AJ682">
        <v>5</v>
      </c>
      <c r="AK682">
        <v>54</v>
      </c>
      <c r="AL682">
        <v>24</v>
      </c>
      <c r="AM682" t="s">
        <v>5</v>
      </c>
      <c r="AN682">
        <v>1</v>
      </c>
      <c r="AO682">
        <v>0</v>
      </c>
      <c r="AP682">
        <v>0</v>
      </c>
      <c r="AQ682">
        <v>1</v>
      </c>
    </row>
    <row r="683" spans="1:43" x14ac:dyDescent="0.25">
      <c r="A683" t="s">
        <v>2223</v>
      </c>
      <c r="B683" t="s">
        <v>2222</v>
      </c>
      <c r="C683" t="s">
        <v>2221</v>
      </c>
      <c r="D683" s="1">
        <v>45990</v>
      </c>
      <c r="E683" t="s">
        <v>95</v>
      </c>
      <c r="F683" t="s">
        <v>94</v>
      </c>
      <c r="G683" t="s">
        <v>17</v>
      </c>
      <c r="H683" t="s">
        <v>77</v>
      </c>
      <c r="I683" t="s">
        <v>28</v>
      </c>
      <c r="J683" t="s">
        <v>14</v>
      </c>
      <c r="K683" t="s">
        <v>13</v>
      </c>
      <c r="L683" t="s">
        <v>64</v>
      </c>
      <c r="M683" t="s">
        <v>11</v>
      </c>
      <c r="N683" t="s">
        <v>93</v>
      </c>
      <c r="O683" t="s">
        <v>51</v>
      </c>
      <c r="P683" t="s">
        <v>63</v>
      </c>
      <c r="Q683" t="s">
        <v>7</v>
      </c>
      <c r="R683" t="s">
        <v>6</v>
      </c>
      <c r="S683">
        <v>6</v>
      </c>
      <c r="T683">
        <v>3</v>
      </c>
      <c r="U683">
        <v>248</v>
      </c>
      <c r="V683" t="s">
        <v>287</v>
      </c>
      <c r="W683" t="s">
        <v>0</v>
      </c>
      <c r="X683" t="s">
        <v>0</v>
      </c>
      <c r="Y683" t="s">
        <v>4</v>
      </c>
      <c r="Z683" t="s">
        <v>5</v>
      </c>
      <c r="AA683">
        <v>112.89</v>
      </c>
      <c r="AB683">
        <v>0.1</v>
      </c>
      <c r="AC683">
        <v>0</v>
      </c>
      <c r="AD683" t="s">
        <v>3</v>
      </c>
      <c r="AE683" t="s">
        <v>0</v>
      </c>
      <c r="AF683" t="s">
        <v>3</v>
      </c>
      <c r="AG683" t="s">
        <v>2</v>
      </c>
      <c r="AI683" t="s">
        <v>1</v>
      </c>
      <c r="AJ683">
        <v>3</v>
      </c>
      <c r="AK683">
        <v>-20</v>
      </c>
      <c r="AL683">
        <v>0</v>
      </c>
      <c r="AM683" t="s">
        <v>0</v>
      </c>
      <c r="AN683">
        <v>0</v>
      </c>
      <c r="AO683">
        <v>1</v>
      </c>
      <c r="AP683">
        <v>0</v>
      </c>
      <c r="AQ683">
        <v>0</v>
      </c>
    </row>
    <row r="684" spans="1:43" x14ac:dyDescent="0.25">
      <c r="A684" t="s">
        <v>2220</v>
      </c>
      <c r="B684" t="s">
        <v>2219</v>
      </c>
      <c r="C684" t="s">
        <v>2218</v>
      </c>
      <c r="D684" s="1">
        <v>45669</v>
      </c>
      <c r="E684" t="s">
        <v>68</v>
      </c>
      <c r="F684" t="s">
        <v>67</v>
      </c>
      <c r="G684" t="s">
        <v>110</v>
      </c>
      <c r="H684" t="s">
        <v>77</v>
      </c>
      <c r="I684" t="s">
        <v>15</v>
      </c>
      <c r="J684" t="s">
        <v>55</v>
      </c>
      <c r="K684" t="s">
        <v>54</v>
      </c>
      <c r="L684" t="s">
        <v>88</v>
      </c>
      <c r="M684" t="s">
        <v>53</v>
      </c>
      <c r="N684" t="s">
        <v>75</v>
      </c>
      <c r="O684" t="s">
        <v>9</v>
      </c>
      <c r="P684" t="s">
        <v>8</v>
      </c>
      <c r="Q684" t="s">
        <v>7</v>
      </c>
      <c r="R684" t="s">
        <v>6</v>
      </c>
      <c r="S684">
        <v>7</v>
      </c>
      <c r="T684">
        <v>7</v>
      </c>
      <c r="U684">
        <v>169</v>
      </c>
      <c r="V684" t="s">
        <v>0</v>
      </c>
      <c r="W684" t="s">
        <v>5</v>
      </c>
      <c r="X684" t="s">
        <v>0</v>
      </c>
      <c r="Y684" t="s">
        <v>4</v>
      </c>
      <c r="Z684" t="s">
        <v>5</v>
      </c>
      <c r="AA684">
        <v>0</v>
      </c>
      <c r="AB684">
        <v>0</v>
      </c>
      <c r="AC684">
        <v>0.17</v>
      </c>
      <c r="AD684" t="s">
        <v>3</v>
      </c>
      <c r="AE684" t="s">
        <v>0</v>
      </c>
      <c r="AF684" t="s">
        <v>3</v>
      </c>
      <c r="AG684" t="s">
        <v>2</v>
      </c>
      <c r="AI684" t="s">
        <v>23</v>
      </c>
      <c r="AJ684">
        <v>3</v>
      </c>
      <c r="AK684">
        <v>14</v>
      </c>
      <c r="AL684">
        <v>20</v>
      </c>
      <c r="AM684" t="s">
        <v>5</v>
      </c>
      <c r="AN684">
        <v>1</v>
      </c>
      <c r="AO684">
        <v>1</v>
      </c>
      <c r="AP684">
        <v>0</v>
      </c>
      <c r="AQ684">
        <v>1</v>
      </c>
    </row>
    <row r="685" spans="1:43" x14ac:dyDescent="0.25">
      <c r="A685" t="s">
        <v>2217</v>
      </c>
      <c r="B685" t="s">
        <v>2216</v>
      </c>
      <c r="C685" t="s">
        <v>2215</v>
      </c>
      <c r="D685" s="1">
        <v>45994</v>
      </c>
      <c r="E685" t="s">
        <v>19</v>
      </c>
      <c r="F685" t="s">
        <v>2214</v>
      </c>
      <c r="G685" t="s">
        <v>83</v>
      </c>
      <c r="H685" t="s">
        <v>77</v>
      </c>
      <c r="I685" t="s">
        <v>15</v>
      </c>
      <c r="J685" t="s">
        <v>55</v>
      </c>
      <c r="K685" t="s">
        <v>54</v>
      </c>
      <c r="L685" t="s">
        <v>88</v>
      </c>
      <c r="M685" t="s">
        <v>53</v>
      </c>
      <c r="N685" t="s">
        <v>52</v>
      </c>
      <c r="O685" t="s">
        <v>26</v>
      </c>
      <c r="P685" t="s">
        <v>63</v>
      </c>
      <c r="Q685" t="s">
        <v>24</v>
      </c>
      <c r="R685" t="s">
        <v>6</v>
      </c>
      <c r="S685">
        <v>4</v>
      </c>
      <c r="T685">
        <v>4</v>
      </c>
      <c r="U685">
        <v>106</v>
      </c>
      <c r="V685" t="s">
        <v>0</v>
      </c>
      <c r="W685" t="s">
        <v>0</v>
      </c>
      <c r="X685" t="s">
        <v>0</v>
      </c>
      <c r="Y685" t="s">
        <v>4</v>
      </c>
      <c r="Z685" t="s">
        <v>0</v>
      </c>
      <c r="AA685">
        <v>0</v>
      </c>
      <c r="AB685">
        <v>0</v>
      </c>
      <c r="AC685">
        <v>0</v>
      </c>
      <c r="AD685" t="s">
        <v>3</v>
      </c>
      <c r="AE685" t="s">
        <v>0</v>
      </c>
      <c r="AF685" t="s">
        <v>3</v>
      </c>
      <c r="AG685" t="s">
        <v>2</v>
      </c>
      <c r="AI685" t="s">
        <v>129</v>
      </c>
      <c r="AJ685">
        <v>4</v>
      </c>
      <c r="AK685">
        <v>19</v>
      </c>
      <c r="AL685">
        <v>0</v>
      </c>
      <c r="AM685" t="s">
        <v>0</v>
      </c>
      <c r="AN685">
        <v>0</v>
      </c>
      <c r="AO685">
        <v>0</v>
      </c>
      <c r="AP685">
        <v>0</v>
      </c>
      <c r="AQ685">
        <v>0</v>
      </c>
    </row>
    <row r="686" spans="1:43" x14ac:dyDescent="0.25">
      <c r="A686" t="s">
        <v>2213</v>
      </c>
      <c r="B686" t="s">
        <v>1116</v>
      </c>
      <c r="C686" t="s">
        <v>2212</v>
      </c>
      <c r="D686" s="1">
        <v>46041</v>
      </c>
      <c r="E686" t="s">
        <v>125</v>
      </c>
      <c r="F686" t="s">
        <v>140</v>
      </c>
      <c r="G686" t="s">
        <v>123</v>
      </c>
      <c r="H686" t="s">
        <v>29</v>
      </c>
      <c r="I686" t="s">
        <v>15</v>
      </c>
      <c r="J686" t="s">
        <v>14</v>
      </c>
      <c r="K686" t="s">
        <v>13</v>
      </c>
      <c r="L686" t="s">
        <v>88</v>
      </c>
      <c r="M686" t="s">
        <v>567</v>
      </c>
      <c r="N686" t="s">
        <v>10</v>
      </c>
      <c r="O686" t="s">
        <v>74</v>
      </c>
      <c r="P686" t="s">
        <v>39</v>
      </c>
      <c r="Q686" t="s">
        <v>198</v>
      </c>
      <c r="R686" t="s">
        <v>6</v>
      </c>
      <c r="S686">
        <v>6</v>
      </c>
      <c r="T686">
        <v>5</v>
      </c>
      <c r="U686">
        <v>269</v>
      </c>
      <c r="V686" t="s">
        <v>5</v>
      </c>
      <c r="W686" t="s">
        <v>5</v>
      </c>
      <c r="X686" t="s">
        <v>0</v>
      </c>
      <c r="Y686" t="s">
        <v>4</v>
      </c>
      <c r="Z686" t="s">
        <v>5</v>
      </c>
      <c r="AA686">
        <v>78.540000000000006</v>
      </c>
      <c r="AB686">
        <v>0</v>
      </c>
      <c r="AC686">
        <v>0.37</v>
      </c>
      <c r="AD686" t="s">
        <v>3</v>
      </c>
      <c r="AE686" t="s">
        <v>0</v>
      </c>
      <c r="AF686" t="s">
        <v>3</v>
      </c>
      <c r="AG686" t="s">
        <v>2</v>
      </c>
      <c r="AI686" t="s">
        <v>23</v>
      </c>
      <c r="AJ686">
        <v>3</v>
      </c>
      <c r="AK686">
        <v>-25</v>
      </c>
      <c r="AL686">
        <v>40</v>
      </c>
      <c r="AM686" t="s">
        <v>5</v>
      </c>
      <c r="AN686">
        <v>1</v>
      </c>
      <c r="AO686">
        <v>1</v>
      </c>
      <c r="AP686">
        <v>0</v>
      </c>
      <c r="AQ686">
        <v>1</v>
      </c>
    </row>
    <row r="687" spans="1:43" x14ac:dyDescent="0.25">
      <c r="A687" t="s">
        <v>2211</v>
      </c>
      <c r="B687" t="s">
        <v>127</v>
      </c>
      <c r="C687" t="s">
        <v>2210</v>
      </c>
      <c r="D687" s="1">
        <v>45944</v>
      </c>
      <c r="E687" t="s">
        <v>149</v>
      </c>
      <c r="F687" t="s">
        <v>248</v>
      </c>
      <c r="G687" t="s">
        <v>56</v>
      </c>
      <c r="H687" t="s">
        <v>43</v>
      </c>
      <c r="I687" t="s">
        <v>15</v>
      </c>
      <c r="J687" t="s">
        <v>14</v>
      </c>
      <c r="K687" t="s">
        <v>13</v>
      </c>
      <c r="L687" t="s">
        <v>88</v>
      </c>
      <c r="M687" t="s">
        <v>27</v>
      </c>
      <c r="N687" t="s">
        <v>41</v>
      </c>
      <c r="O687" t="s">
        <v>26</v>
      </c>
      <c r="P687" t="s">
        <v>63</v>
      </c>
      <c r="Q687" t="s">
        <v>24</v>
      </c>
      <c r="R687" t="s">
        <v>6</v>
      </c>
      <c r="S687">
        <v>4</v>
      </c>
      <c r="T687" t="s">
        <v>1829</v>
      </c>
      <c r="U687">
        <v>142</v>
      </c>
      <c r="V687" t="s">
        <v>5</v>
      </c>
      <c r="W687" t="s">
        <v>5</v>
      </c>
      <c r="X687" t="s">
        <v>0</v>
      </c>
      <c r="Y687" t="s">
        <v>4</v>
      </c>
      <c r="Z687" t="s">
        <v>5</v>
      </c>
      <c r="AA687">
        <v>102.6</v>
      </c>
      <c r="AB687">
        <v>0.19</v>
      </c>
      <c r="AC687">
        <v>0.37</v>
      </c>
      <c r="AD687" t="s">
        <v>3</v>
      </c>
      <c r="AE687" t="s">
        <v>0</v>
      </c>
      <c r="AF687" t="s">
        <v>3</v>
      </c>
      <c r="AG687" t="s">
        <v>2</v>
      </c>
      <c r="AI687" t="s">
        <v>23</v>
      </c>
      <c r="AJ687">
        <v>3</v>
      </c>
      <c r="AK687">
        <v>-9</v>
      </c>
      <c r="AL687">
        <v>0</v>
      </c>
      <c r="AM687" t="s">
        <v>0</v>
      </c>
      <c r="AN687">
        <v>1</v>
      </c>
      <c r="AO687">
        <v>1</v>
      </c>
      <c r="AP687">
        <v>0</v>
      </c>
      <c r="AQ687">
        <v>0</v>
      </c>
    </row>
    <row r="688" spans="1:43" x14ac:dyDescent="0.25">
      <c r="A688" t="s">
        <v>2209</v>
      </c>
      <c r="B688" t="s">
        <v>2208</v>
      </c>
      <c r="C688" t="s">
        <v>2207</v>
      </c>
      <c r="D688" s="1">
        <v>46155</v>
      </c>
      <c r="E688" t="s">
        <v>19</v>
      </c>
      <c r="F688" t="s">
        <v>295</v>
      </c>
      <c r="G688" t="s">
        <v>56</v>
      </c>
      <c r="H688" t="s">
        <v>16</v>
      </c>
      <c r="I688" t="s">
        <v>15</v>
      </c>
      <c r="J688" t="s">
        <v>14</v>
      </c>
      <c r="K688" t="s">
        <v>13</v>
      </c>
      <c r="L688" t="s">
        <v>88</v>
      </c>
      <c r="M688" t="s">
        <v>53</v>
      </c>
      <c r="N688" t="s">
        <v>75</v>
      </c>
      <c r="O688" t="s">
        <v>51</v>
      </c>
      <c r="P688" t="s">
        <v>63</v>
      </c>
      <c r="Q688" t="s">
        <v>100</v>
      </c>
      <c r="R688" t="s">
        <v>6</v>
      </c>
      <c r="S688">
        <v>6</v>
      </c>
      <c r="T688">
        <v>5</v>
      </c>
      <c r="U688">
        <v>278</v>
      </c>
      <c r="V688" t="s">
        <v>5</v>
      </c>
      <c r="W688" t="s">
        <v>0</v>
      </c>
      <c r="X688" t="s">
        <v>5</v>
      </c>
      <c r="Y688" t="s">
        <v>153</v>
      </c>
      <c r="Z688" t="s">
        <v>0</v>
      </c>
      <c r="AA688">
        <v>0</v>
      </c>
      <c r="AB688">
        <v>0</v>
      </c>
      <c r="AC688">
        <v>0</v>
      </c>
      <c r="AD688" t="s">
        <v>3</v>
      </c>
      <c r="AE688" t="s">
        <v>0</v>
      </c>
      <c r="AF688" t="s">
        <v>3</v>
      </c>
      <c r="AG688" t="s">
        <v>2</v>
      </c>
      <c r="AI688" t="s">
        <v>122</v>
      </c>
      <c r="AJ688">
        <v>1</v>
      </c>
      <c r="AK688">
        <v>-36</v>
      </c>
      <c r="AL688">
        <v>0</v>
      </c>
      <c r="AM688" t="s">
        <v>0</v>
      </c>
      <c r="AN688">
        <v>0</v>
      </c>
      <c r="AO688">
        <v>0</v>
      </c>
      <c r="AP688">
        <v>1</v>
      </c>
      <c r="AQ688">
        <v>0</v>
      </c>
    </row>
    <row r="689" spans="1:43" x14ac:dyDescent="0.25">
      <c r="A689" t="s">
        <v>2206</v>
      </c>
      <c r="B689" t="s">
        <v>1593</v>
      </c>
      <c r="C689" t="s">
        <v>2205</v>
      </c>
      <c r="D689" s="1">
        <v>45672</v>
      </c>
      <c r="E689" t="s">
        <v>112</v>
      </c>
      <c r="F689" t="s">
        <v>461</v>
      </c>
      <c r="G689" t="s">
        <v>30</v>
      </c>
      <c r="H689" t="s">
        <v>77</v>
      </c>
      <c r="I689" t="s">
        <v>15</v>
      </c>
      <c r="J689" t="s">
        <v>14</v>
      </c>
      <c r="K689" t="s">
        <v>13</v>
      </c>
      <c r="L689" t="s">
        <v>12</v>
      </c>
      <c r="M689" t="s">
        <v>11</v>
      </c>
      <c r="N689" t="s">
        <v>41</v>
      </c>
      <c r="O689" t="s">
        <v>193</v>
      </c>
      <c r="P689" t="s">
        <v>25</v>
      </c>
      <c r="Q689" t="s">
        <v>198</v>
      </c>
      <c r="R689" t="s">
        <v>38</v>
      </c>
      <c r="S689">
        <v>9</v>
      </c>
      <c r="T689">
        <v>-1</v>
      </c>
      <c r="U689">
        <v>212</v>
      </c>
      <c r="V689" t="s">
        <v>0</v>
      </c>
      <c r="W689" t="s">
        <v>5</v>
      </c>
      <c r="X689" t="s">
        <v>0</v>
      </c>
      <c r="Y689" t="s">
        <v>4</v>
      </c>
      <c r="Z689" t="s">
        <v>5</v>
      </c>
      <c r="AA689">
        <v>231.54</v>
      </c>
      <c r="AB689">
        <v>2.91</v>
      </c>
      <c r="AC689">
        <v>0</v>
      </c>
      <c r="AD689" t="s">
        <v>3</v>
      </c>
      <c r="AE689" t="s">
        <v>0</v>
      </c>
      <c r="AF689" t="s">
        <v>3</v>
      </c>
      <c r="AG689" t="s">
        <v>2</v>
      </c>
      <c r="AI689" t="s">
        <v>23</v>
      </c>
      <c r="AJ689">
        <v>5</v>
      </c>
      <c r="AK689">
        <v>40</v>
      </c>
      <c r="AL689">
        <v>35</v>
      </c>
      <c r="AM689" t="s">
        <v>247</v>
      </c>
      <c r="AN689">
        <v>1</v>
      </c>
      <c r="AO689">
        <v>1</v>
      </c>
      <c r="AP689">
        <v>0</v>
      </c>
      <c r="AQ689">
        <v>0</v>
      </c>
    </row>
    <row r="690" spans="1:43" x14ac:dyDescent="0.25">
      <c r="A690" t="s">
        <v>2204</v>
      </c>
      <c r="B690" t="s">
        <v>1529</v>
      </c>
      <c r="C690" t="s">
        <v>2203</v>
      </c>
      <c r="D690" s="1">
        <v>45679</v>
      </c>
      <c r="E690" t="s">
        <v>168</v>
      </c>
      <c r="F690" t="s">
        <v>177</v>
      </c>
      <c r="G690" t="s">
        <v>83</v>
      </c>
      <c r="H690" t="s">
        <v>77</v>
      </c>
      <c r="I690" t="s">
        <v>28</v>
      </c>
      <c r="J690" t="s">
        <v>14</v>
      </c>
      <c r="K690" t="s">
        <v>13</v>
      </c>
      <c r="L690" t="s">
        <v>12</v>
      </c>
      <c r="M690" t="s">
        <v>11</v>
      </c>
      <c r="N690" t="s">
        <v>41</v>
      </c>
      <c r="O690" t="s">
        <v>101</v>
      </c>
      <c r="P690" t="s">
        <v>39</v>
      </c>
      <c r="Q690" t="s">
        <v>7</v>
      </c>
      <c r="R690" t="s">
        <v>6</v>
      </c>
      <c r="S690">
        <v>4</v>
      </c>
      <c r="T690">
        <v>2</v>
      </c>
      <c r="U690">
        <v>136</v>
      </c>
      <c r="V690" t="s">
        <v>5</v>
      </c>
      <c r="W690" t="s">
        <v>0</v>
      </c>
      <c r="X690" t="s">
        <v>0</v>
      </c>
      <c r="Y690" t="s">
        <v>4</v>
      </c>
      <c r="Z690" t="s">
        <v>0</v>
      </c>
      <c r="AA690">
        <v>0</v>
      </c>
      <c r="AB690">
        <v>0</v>
      </c>
      <c r="AC690">
        <v>0</v>
      </c>
      <c r="AD690" t="s">
        <v>1399</v>
      </c>
      <c r="AE690" t="s">
        <v>5</v>
      </c>
      <c r="AF690" t="s">
        <v>1399</v>
      </c>
      <c r="AG690" t="s">
        <v>36</v>
      </c>
      <c r="AH690">
        <v>41</v>
      </c>
      <c r="AI690" t="s">
        <v>191</v>
      </c>
      <c r="AJ690">
        <v>3</v>
      </c>
      <c r="AK690">
        <v>32</v>
      </c>
      <c r="AL690">
        <v>42</v>
      </c>
      <c r="AM690" t="s">
        <v>0</v>
      </c>
      <c r="AN690">
        <v>0</v>
      </c>
      <c r="AO690">
        <v>0</v>
      </c>
      <c r="AP690">
        <v>0</v>
      </c>
      <c r="AQ690">
        <v>0</v>
      </c>
    </row>
    <row r="691" spans="1:43" x14ac:dyDescent="0.25">
      <c r="A691" t="s">
        <v>2202</v>
      </c>
      <c r="B691" t="s">
        <v>532</v>
      </c>
      <c r="C691" t="s">
        <v>2201</v>
      </c>
      <c r="D691" s="1">
        <v>45951</v>
      </c>
      <c r="E691" t="s">
        <v>68</v>
      </c>
      <c r="F691" t="s">
        <v>216</v>
      </c>
      <c r="G691" t="s">
        <v>56</v>
      </c>
      <c r="H691" t="s">
        <v>16</v>
      </c>
      <c r="I691" t="s">
        <v>15</v>
      </c>
      <c r="J691" t="s">
        <v>146</v>
      </c>
      <c r="K691" t="s">
        <v>145</v>
      </c>
      <c r="L691" t="s">
        <v>12</v>
      </c>
      <c r="M691" t="s">
        <v>27</v>
      </c>
      <c r="N691" t="s">
        <v>52</v>
      </c>
      <c r="O691" t="s">
        <v>26</v>
      </c>
      <c r="P691" t="s">
        <v>63</v>
      </c>
      <c r="Q691" t="s">
        <v>7</v>
      </c>
      <c r="R691" t="s">
        <v>6</v>
      </c>
      <c r="S691">
        <v>4</v>
      </c>
      <c r="T691">
        <v>4</v>
      </c>
      <c r="U691">
        <v>112</v>
      </c>
      <c r="V691" t="s">
        <v>0</v>
      </c>
      <c r="W691" t="s">
        <v>5</v>
      </c>
      <c r="X691" t="s">
        <v>0</v>
      </c>
      <c r="Y691" t="s">
        <v>4</v>
      </c>
      <c r="Z691" t="s">
        <v>5</v>
      </c>
      <c r="AA691">
        <v>142.5</v>
      </c>
      <c r="AB691">
        <v>0.18</v>
      </c>
      <c r="AC691">
        <v>0.37</v>
      </c>
      <c r="AD691" t="s">
        <v>3</v>
      </c>
      <c r="AE691" t="s">
        <v>0</v>
      </c>
      <c r="AF691" t="s">
        <v>3</v>
      </c>
      <c r="AG691" t="s">
        <v>2</v>
      </c>
      <c r="AI691" t="s">
        <v>23</v>
      </c>
      <c r="AJ691">
        <v>4</v>
      </c>
      <c r="AK691">
        <v>-17</v>
      </c>
      <c r="AL691">
        <v>0</v>
      </c>
      <c r="AM691" t="s">
        <v>5</v>
      </c>
      <c r="AN691">
        <v>1</v>
      </c>
      <c r="AO691">
        <v>1</v>
      </c>
      <c r="AP691">
        <v>0</v>
      </c>
      <c r="AQ691">
        <v>1</v>
      </c>
    </row>
    <row r="692" spans="1:43" x14ac:dyDescent="0.25">
      <c r="A692" t="s">
        <v>2200</v>
      </c>
      <c r="B692" t="s">
        <v>2199</v>
      </c>
      <c r="C692" t="s">
        <v>2198</v>
      </c>
      <c r="D692" s="1">
        <v>45943</v>
      </c>
      <c r="E692" t="s">
        <v>45</v>
      </c>
      <c r="F692" t="s">
        <v>856</v>
      </c>
      <c r="G692" t="s">
        <v>83</v>
      </c>
      <c r="H692" t="s">
        <v>29</v>
      </c>
      <c r="I692" t="s">
        <v>15</v>
      </c>
      <c r="J692" t="s">
        <v>55</v>
      </c>
      <c r="K692" t="s">
        <v>54</v>
      </c>
      <c r="L692" t="s">
        <v>12</v>
      </c>
      <c r="M692" t="s">
        <v>11</v>
      </c>
      <c r="N692" t="s">
        <v>41</v>
      </c>
      <c r="O692" t="s">
        <v>26</v>
      </c>
      <c r="P692" t="s">
        <v>39</v>
      </c>
      <c r="Q692" t="s">
        <v>7</v>
      </c>
      <c r="R692" t="s">
        <v>6</v>
      </c>
      <c r="S692">
        <v>4</v>
      </c>
      <c r="T692">
        <v>4</v>
      </c>
      <c r="U692">
        <v>89</v>
      </c>
      <c r="V692" t="s">
        <v>0</v>
      </c>
      <c r="W692" t="s">
        <v>5</v>
      </c>
      <c r="X692" t="s">
        <v>0</v>
      </c>
      <c r="Y692" t="s">
        <v>4</v>
      </c>
      <c r="Z692" t="s">
        <v>5</v>
      </c>
      <c r="AA692">
        <v>152.31</v>
      </c>
      <c r="AB692">
        <v>0.23</v>
      </c>
      <c r="AC692">
        <v>0</v>
      </c>
      <c r="AD692" t="s">
        <v>3</v>
      </c>
      <c r="AE692" t="s">
        <v>0</v>
      </c>
      <c r="AF692" t="s">
        <v>3</v>
      </c>
      <c r="AG692" t="s">
        <v>2</v>
      </c>
      <c r="AI692" t="s">
        <v>23</v>
      </c>
      <c r="AJ692">
        <v>5</v>
      </c>
      <c r="AK692">
        <v>11</v>
      </c>
      <c r="AL692">
        <v>43</v>
      </c>
      <c r="AM692" t="s">
        <v>5</v>
      </c>
      <c r="AN692">
        <v>1</v>
      </c>
      <c r="AO692">
        <v>1</v>
      </c>
      <c r="AP692">
        <v>0</v>
      </c>
      <c r="AQ692">
        <v>1</v>
      </c>
    </row>
    <row r="693" spans="1:43" x14ac:dyDescent="0.25">
      <c r="A693" t="s">
        <v>2197</v>
      </c>
      <c r="B693" t="s">
        <v>2196</v>
      </c>
      <c r="C693" t="s">
        <v>2195</v>
      </c>
      <c r="D693" s="1">
        <v>45779</v>
      </c>
      <c r="E693" t="s">
        <v>162</v>
      </c>
      <c r="F693" t="s">
        <v>540</v>
      </c>
      <c r="G693" t="s">
        <v>17</v>
      </c>
      <c r="H693" t="s">
        <v>66</v>
      </c>
      <c r="I693" t="s">
        <v>15</v>
      </c>
      <c r="J693" t="s">
        <v>14</v>
      </c>
      <c r="K693" t="s">
        <v>13</v>
      </c>
      <c r="L693" t="s">
        <v>64</v>
      </c>
      <c r="M693" t="s">
        <v>11</v>
      </c>
      <c r="N693" t="s">
        <v>154</v>
      </c>
      <c r="O693" t="s">
        <v>40</v>
      </c>
      <c r="P693" t="s">
        <v>39</v>
      </c>
      <c r="Q693" t="s">
        <v>50</v>
      </c>
      <c r="R693" t="s">
        <v>38</v>
      </c>
      <c r="S693">
        <v>8</v>
      </c>
      <c r="T693" t="s">
        <v>242</v>
      </c>
      <c r="U693">
        <v>329</v>
      </c>
      <c r="V693" t="s">
        <v>5</v>
      </c>
      <c r="W693" t="s">
        <v>5</v>
      </c>
      <c r="X693" t="s">
        <v>0</v>
      </c>
      <c r="Y693" t="s">
        <v>4</v>
      </c>
      <c r="Z693" t="s">
        <v>0</v>
      </c>
      <c r="AA693">
        <v>0</v>
      </c>
      <c r="AB693">
        <v>0</v>
      </c>
      <c r="AC693">
        <v>0</v>
      </c>
      <c r="AD693" t="s">
        <v>3</v>
      </c>
      <c r="AE693" t="s">
        <v>0</v>
      </c>
      <c r="AF693" t="s">
        <v>3</v>
      </c>
      <c r="AG693" t="s">
        <v>2</v>
      </c>
      <c r="AI693" t="s">
        <v>23</v>
      </c>
      <c r="AJ693">
        <v>2</v>
      </c>
      <c r="AK693">
        <v>14</v>
      </c>
      <c r="AL693">
        <v>24</v>
      </c>
      <c r="AM693" t="s">
        <v>5</v>
      </c>
      <c r="AN693">
        <v>1</v>
      </c>
      <c r="AO693">
        <v>0</v>
      </c>
      <c r="AP693">
        <v>0</v>
      </c>
      <c r="AQ693">
        <v>1</v>
      </c>
    </row>
    <row r="694" spans="1:43" x14ac:dyDescent="0.25">
      <c r="A694" t="s">
        <v>2194</v>
      </c>
      <c r="B694" t="s">
        <v>2193</v>
      </c>
      <c r="C694" t="s">
        <v>2192</v>
      </c>
      <c r="D694" s="1">
        <v>46297</v>
      </c>
      <c r="E694" t="s">
        <v>45</v>
      </c>
      <c r="F694" t="s">
        <v>856</v>
      </c>
      <c r="G694" t="s">
        <v>17</v>
      </c>
      <c r="H694" t="s">
        <v>77</v>
      </c>
      <c r="I694" t="s">
        <v>15</v>
      </c>
      <c r="J694" t="s">
        <v>55</v>
      </c>
      <c r="K694" t="s">
        <v>54</v>
      </c>
      <c r="L694" t="s">
        <v>42</v>
      </c>
      <c r="M694" t="s">
        <v>11</v>
      </c>
      <c r="N694" t="s">
        <v>93</v>
      </c>
      <c r="O694" t="s">
        <v>26</v>
      </c>
      <c r="P694" t="s">
        <v>39</v>
      </c>
      <c r="Q694" t="s">
        <v>24</v>
      </c>
      <c r="R694" t="s">
        <v>6</v>
      </c>
      <c r="S694">
        <v>4</v>
      </c>
      <c r="T694">
        <v>4</v>
      </c>
      <c r="U694">
        <v>120</v>
      </c>
      <c r="V694" t="s">
        <v>0</v>
      </c>
      <c r="W694" t="s">
        <v>5</v>
      </c>
      <c r="X694" t="s">
        <v>135</v>
      </c>
      <c r="Y694" t="s">
        <v>4</v>
      </c>
      <c r="Z694" t="s">
        <v>5</v>
      </c>
      <c r="AA694">
        <v>149.18</v>
      </c>
      <c r="AB694">
        <v>0.23</v>
      </c>
      <c r="AC694">
        <v>0</v>
      </c>
      <c r="AD694" t="s">
        <v>3</v>
      </c>
      <c r="AE694" t="s">
        <v>0</v>
      </c>
      <c r="AF694" t="s">
        <v>3</v>
      </c>
      <c r="AG694" t="s">
        <v>2</v>
      </c>
      <c r="AI694" t="s">
        <v>23</v>
      </c>
      <c r="AJ694">
        <v>4</v>
      </c>
      <c r="AK694">
        <v>1</v>
      </c>
      <c r="AL694">
        <v>30</v>
      </c>
      <c r="AM694" t="s">
        <v>5</v>
      </c>
      <c r="AN694">
        <v>1</v>
      </c>
      <c r="AO694">
        <v>1</v>
      </c>
      <c r="AP694">
        <v>0</v>
      </c>
      <c r="AQ694">
        <v>1</v>
      </c>
    </row>
    <row r="695" spans="1:43" x14ac:dyDescent="0.25">
      <c r="A695" t="s">
        <v>2191</v>
      </c>
      <c r="B695" t="s">
        <v>1566</v>
      </c>
      <c r="C695" t="s">
        <v>2190</v>
      </c>
      <c r="D695" s="1">
        <v>46033</v>
      </c>
      <c r="E695" t="s">
        <v>162</v>
      </c>
      <c r="F695" t="s">
        <v>540</v>
      </c>
      <c r="G695" t="s">
        <v>131</v>
      </c>
      <c r="H695" t="s">
        <v>16</v>
      </c>
      <c r="I695" t="s">
        <v>15</v>
      </c>
      <c r="J695" t="s">
        <v>14</v>
      </c>
      <c r="K695" t="s">
        <v>13</v>
      </c>
      <c r="L695" t="s">
        <v>88</v>
      </c>
      <c r="M695" t="s">
        <v>11</v>
      </c>
      <c r="N695" t="s">
        <v>116</v>
      </c>
      <c r="O695" t="s">
        <v>9</v>
      </c>
      <c r="P695" t="s">
        <v>8</v>
      </c>
      <c r="Q695" t="s">
        <v>198</v>
      </c>
      <c r="R695" t="s">
        <v>6</v>
      </c>
      <c r="S695">
        <v>7</v>
      </c>
      <c r="T695">
        <v>6</v>
      </c>
      <c r="U695">
        <v>296</v>
      </c>
      <c r="V695" t="s">
        <v>5</v>
      </c>
      <c r="W695" t="s">
        <v>5</v>
      </c>
      <c r="X695" t="s">
        <v>0</v>
      </c>
      <c r="Y695" t="s">
        <v>4</v>
      </c>
      <c r="Z695" t="s">
        <v>5</v>
      </c>
      <c r="AA695">
        <v>11.5</v>
      </c>
      <c r="AB695">
        <v>0</v>
      </c>
      <c r="AC695">
        <v>0</v>
      </c>
      <c r="AD695" t="s">
        <v>3</v>
      </c>
      <c r="AE695" t="s">
        <v>0</v>
      </c>
      <c r="AF695" t="s">
        <v>3</v>
      </c>
      <c r="AG695" t="s">
        <v>2</v>
      </c>
      <c r="AI695" t="s">
        <v>23</v>
      </c>
      <c r="AJ695">
        <v>3</v>
      </c>
      <c r="AK695">
        <v>-17</v>
      </c>
      <c r="AL695">
        <v>73</v>
      </c>
      <c r="AM695" t="s">
        <v>5</v>
      </c>
      <c r="AN695">
        <v>1</v>
      </c>
      <c r="AO695">
        <v>1</v>
      </c>
      <c r="AP695">
        <v>0</v>
      </c>
      <c r="AQ695">
        <v>1</v>
      </c>
    </row>
    <row r="696" spans="1:43" x14ac:dyDescent="0.25">
      <c r="A696" t="s">
        <v>2189</v>
      </c>
      <c r="B696" t="s">
        <v>2188</v>
      </c>
      <c r="C696" t="s">
        <v>2187</v>
      </c>
      <c r="D696" s="1">
        <v>45931</v>
      </c>
      <c r="E696" t="s">
        <v>68</v>
      </c>
      <c r="F696" t="s">
        <v>67</v>
      </c>
      <c r="G696" t="s">
        <v>110</v>
      </c>
      <c r="H696" t="s">
        <v>77</v>
      </c>
      <c r="I696" t="s">
        <v>15</v>
      </c>
      <c r="J696" t="s">
        <v>146</v>
      </c>
      <c r="K696" t="s">
        <v>176</v>
      </c>
      <c r="L696" t="s">
        <v>88</v>
      </c>
      <c r="M696" t="s">
        <v>11</v>
      </c>
      <c r="N696" t="s">
        <v>75</v>
      </c>
      <c r="O696" t="s">
        <v>26</v>
      </c>
      <c r="P696" t="s">
        <v>63</v>
      </c>
      <c r="Q696" t="s">
        <v>7</v>
      </c>
      <c r="R696" t="s">
        <v>6</v>
      </c>
      <c r="S696">
        <v>4</v>
      </c>
      <c r="T696">
        <v>4</v>
      </c>
      <c r="U696">
        <v>95</v>
      </c>
      <c r="V696" t="s">
        <v>0</v>
      </c>
      <c r="W696" t="s">
        <v>5</v>
      </c>
      <c r="X696" t="s">
        <v>0</v>
      </c>
      <c r="Y696" t="s">
        <v>4</v>
      </c>
      <c r="Z696" t="s">
        <v>5</v>
      </c>
      <c r="AA696">
        <v>86.05</v>
      </c>
      <c r="AB696">
        <v>0.18</v>
      </c>
      <c r="AC696">
        <v>0</v>
      </c>
      <c r="AD696" t="s">
        <v>3</v>
      </c>
      <c r="AE696" t="s">
        <v>0</v>
      </c>
      <c r="AF696" t="s">
        <v>3</v>
      </c>
      <c r="AG696" t="s">
        <v>2</v>
      </c>
      <c r="AI696" t="s">
        <v>23</v>
      </c>
      <c r="AJ696">
        <v>4</v>
      </c>
      <c r="AK696">
        <v>62</v>
      </c>
      <c r="AL696">
        <v>0</v>
      </c>
      <c r="AM696" t="s">
        <v>5</v>
      </c>
      <c r="AN696">
        <v>1</v>
      </c>
      <c r="AO696">
        <v>1</v>
      </c>
      <c r="AP696">
        <v>0</v>
      </c>
      <c r="AQ696">
        <v>1</v>
      </c>
    </row>
    <row r="697" spans="1:43" x14ac:dyDescent="0.25">
      <c r="A697" t="s">
        <v>2186</v>
      </c>
      <c r="B697" t="s">
        <v>885</v>
      </c>
      <c r="C697" t="s">
        <v>2185</v>
      </c>
      <c r="D697" s="1">
        <v>46028</v>
      </c>
      <c r="E697" t="s">
        <v>162</v>
      </c>
      <c r="F697" t="s">
        <v>161</v>
      </c>
      <c r="G697" t="s">
        <v>83</v>
      </c>
      <c r="H697" t="s">
        <v>77</v>
      </c>
      <c r="I697" t="s">
        <v>15</v>
      </c>
      <c r="J697" t="s">
        <v>14</v>
      </c>
      <c r="K697" t="s">
        <v>13</v>
      </c>
      <c r="L697" t="s">
        <v>88</v>
      </c>
      <c r="M697" t="s">
        <v>11</v>
      </c>
      <c r="N697" t="s">
        <v>269</v>
      </c>
      <c r="O697" t="s">
        <v>9</v>
      </c>
      <c r="P697" t="s">
        <v>39</v>
      </c>
      <c r="Q697" t="s">
        <v>100</v>
      </c>
      <c r="R697" t="s">
        <v>38</v>
      </c>
      <c r="S697">
        <v>7</v>
      </c>
      <c r="T697">
        <v>4</v>
      </c>
      <c r="U697">
        <v>255</v>
      </c>
      <c r="V697" t="s">
        <v>287</v>
      </c>
      <c r="W697" t="s">
        <v>5</v>
      </c>
      <c r="X697" t="s">
        <v>135</v>
      </c>
      <c r="Y697" t="s">
        <v>4</v>
      </c>
      <c r="Z697" t="s">
        <v>5</v>
      </c>
      <c r="AA697">
        <v>0</v>
      </c>
      <c r="AB697">
        <v>0</v>
      </c>
      <c r="AC697">
        <v>0</v>
      </c>
      <c r="AD697" t="s">
        <v>3</v>
      </c>
      <c r="AE697" t="s">
        <v>0</v>
      </c>
      <c r="AF697" t="s">
        <v>3</v>
      </c>
      <c r="AG697" t="s">
        <v>2</v>
      </c>
      <c r="AI697" t="s">
        <v>23</v>
      </c>
      <c r="AJ697">
        <v>2</v>
      </c>
      <c r="AK697">
        <v>10</v>
      </c>
      <c r="AL697">
        <v>8</v>
      </c>
      <c r="AM697" t="s">
        <v>0</v>
      </c>
      <c r="AN697">
        <v>1</v>
      </c>
      <c r="AO697">
        <v>1</v>
      </c>
      <c r="AP697">
        <v>0</v>
      </c>
      <c r="AQ697">
        <v>0</v>
      </c>
    </row>
    <row r="698" spans="1:43" x14ac:dyDescent="0.25">
      <c r="A698" t="s">
        <v>2184</v>
      </c>
      <c r="B698" t="s">
        <v>448</v>
      </c>
      <c r="C698" t="s">
        <v>2183</v>
      </c>
      <c r="D698" s="1">
        <v>46098</v>
      </c>
      <c r="E698" t="s">
        <v>162</v>
      </c>
      <c r="F698" t="s">
        <v>200</v>
      </c>
      <c r="G698" t="s">
        <v>30</v>
      </c>
      <c r="H698" t="s">
        <v>77</v>
      </c>
      <c r="I698" t="s">
        <v>28</v>
      </c>
      <c r="J698" t="s">
        <v>146</v>
      </c>
      <c r="K698" t="s">
        <v>145</v>
      </c>
      <c r="L698" t="s">
        <v>117</v>
      </c>
      <c r="M698" t="s">
        <v>11</v>
      </c>
      <c r="N698" t="s">
        <v>93</v>
      </c>
      <c r="O698" t="s">
        <v>9</v>
      </c>
      <c r="P698" t="s">
        <v>39</v>
      </c>
      <c r="Q698" t="s">
        <v>7</v>
      </c>
      <c r="R698" t="s">
        <v>6</v>
      </c>
      <c r="S698">
        <v>7</v>
      </c>
      <c r="T698">
        <v>7</v>
      </c>
      <c r="U698">
        <v>221</v>
      </c>
      <c r="V698" t="s">
        <v>0</v>
      </c>
      <c r="W698" t="s">
        <v>0</v>
      </c>
      <c r="X698" t="s">
        <v>5</v>
      </c>
      <c r="Y698" t="s">
        <v>450</v>
      </c>
      <c r="Z698" t="s">
        <v>0</v>
      </c>
      <c r="AA698">
        <v>0</v>
      </c>
      <c r="AB698">
        <v>0</v>
      </c>
      <c r="AC698">
        <v>0</v>
      </c>
      <c r="AD698" t="s">
        <v>3</v>
      </c>
      <c r="AE698" t="s">
        <v>0</v>
      </c>
      <c r="AF698" t="s">
        <v>3</v>
      </c>
      <c r="AG698" t="s">
        <v>2</v>
      </c>
      <c r="AI698" t="s">
        <v>23</v>
      </c>
      <c r="AJ698">
        <v>2</v>
      </c>
      <c r="AK698">
        <v>-58</v>
      </c>
      <c r="AL698">
        <v>50</v>
      </c>
      <c r="AM698" t="s">
        <v>5</v>
      </c>
      <c r="AN698">
        <v>0</v>
      </c>
      <c r="AO698">
        <v>0</v>
      </c>
      <c r="AP698">
        <v>1</v>
      </c>
      <c r="AQ698">
        <v>1</v>
      </c>
    </row>
    <row r="699" spans="1:43" x14ac:dyDescent="0.25">
      <c r="A699" t="s">
        <v>2182</v>
      </c>
      <c r="B699" t="s">
        <v>2181</v>
      </c>
      <c r="C699" t="s">
        <v>2180</v>
      </c>
      <c r="D699" s="1">
        <v>45733</v>
      </c>
      <c r="E699" t="s">
        <v>19</v>
      </c>
      <c r="F699" t="s">
        <v>295</v>
      </c>
      <c r="G699" t="s">
        <v>30</v>
      </c>
      <c r="H699" t="s">
        <v>77</v>
      </c>
      <c r="I699" t="s">
        <v>28</v>
      </c>
      <c r="J699" t="s">
        <v>14</v>
      </c>
      <c r="K699" t="s">
        <v>13</v>
      </c>
      <c r="L699" t="s">
        <v>88</v>
      </c>
      <c r="M699" t="s">
        <v>53</v>
      </c>
      <c r="N699" t="s">
        <v>75</v>
      </c>
      <c r="O699" t="s">
        <v>40</v>
      </c>
      <c r="P699" t="s">
        <v>39</v>
      </c>
      <c r="Q699" t="s">
        <v>100</v>
      </c>
      <c r="R699" t="s">
        <v>38</v>
      </c>
      <c r="S699">
        <v>8</v>
      </c>
      <c r="T699">
        <v>4</v>
      </c>
      <c r="U699">
        <v>360</v>
      </c>
      <c r="V699" t="s">
        <v>5</v>
      </c>
      <c r="W699" t="s">
        <v>5</v>
      </c>
      <c r="X699" t="s">
        <v>0</v>
      </c>
      <c r="Y699" t="s">
        <v>4</v>
      </c>
      <c r="Z699" t="s">
        <v>5</v>
      </c>
      <c r="AA699">
        <v>307.58999999999997</v>
      </c>
      <c r="AB699">
        <v>2.59</v>
      </c>
      <c r="AC699">
        <v>0.17</v>
      </c>
      <c r="AD699" t="s">
        <v>3</v>
      </c>
      <c r="AE699" t="s">
        <v>0</v>
      </c>
      <c r="AF699" t="s">
        <v>3</v>
      </c>
      <c r="AG699" t="s">
        <v>2</v>
      </c>
      <c r="AI699" t="s">
        <v>23</v>
      </c>
      <c r="AJ699">
        <v>2</v>
      </c>
      <c r="AK699">
        <v>23</v>
      </c>
      <c r="AL699">
        <v>18</v>
      </c>
      <c r="AM699" t="s">
        <v>5</v>
      </c>
      <c r="AN699">
        <v>1</v>
      </c>
      <c r="AO699">
        <v>1</v>
      </c>
      <c r="AP699">
        <v>0</v>
      </c>
      <c r="AQ699">
        <v>1</v>
      </c>
    </row>
    <row r="700" spans="1:43" x14ac:dyDescent="0.25">
      <c r="A700" t="s">
        <v>2179</v>
      </c>
      <c r="B700" t="s">
        <v>1207</v>
      </c>
      <c r="C700" t="s">
        <v>2178</v>
      </c>
      <c r="D700" s="1">
        <v>45665</v>
      </c>
      <c r="E700" t="s">
        <v>32</v>
      </c>
      <c r="F700" t="s">
        <v>31</v>
      </c>
      <c r="G700" t="s">
        <v>56</v>
      </c>
      <c r="H700" t="s">
        <v>29</v>
      </c>
      <c r="I700" t="s">
        <v>28</v>
      </c>
      <c r="J700" t="s">
        <v>14</v>
      </c>
      <c r="K700" t="s">
        <v>13</v>
      </c>
      <c r="L700" t="s">
        <v>64</v>
      </c>
      <c r="M700" t="s">
        <v>11</v>
      </c>
      <c r="N700" t="s">
        <v>116</v>
      </c>
      <c r="O700" t="s">
        <v>40</v>
      </c>
      <c r="P700" t="s">
        <v>8</v>
      </c>
      <c r="Q700" t="s">
        <v>7</v>
      </c>
      <c r="R700" t="s">
        <v>6</v>
      </c>
      <c r="S700">
        <v>8</v>
      </c>
      <c r="T700">
        <v>8</v>
      </c>
      <c r="U700">
        <v>181</v>
      </c>
      <c r="V700" t="s">
        <v>0</v>
      </c>
      <c r="W700" t="s">
        <v>5</v>
      </c>
      <c r="X700" t="s">
        <v>0</v>
      </c>
      <c r="Y700" t="s">
        <v>4</v>
      </c>
      <c r="Z700" t="s">
        <v>0</v>
      </c>
      <c r="AA700">
        <v>0</v>
      </c>
      <c r="AB700">
        <v>0</v>
      </c>
      <c r="AC700">
        <v>0</v>
      </c>
      <c r="AD700" t="s">
        <v>3</v>
      </c>
      <c r="AE700" t="s">
        <v>0</v>
      </c>
      <c r="AF700" t="s">
        <v>3</v>
      </c>
      <c r="AG700" t="s">
        <v>2</v>
      </c>
      <c r="AI700" t="s">
        <v>23</v>
      </c>
      <c r="AJ700">
        <v>4</v>
      </c>
      <c r="AK700">
        <v>58</v>
      </c>
      <c r="AL700">
        <v>8</v>
      </c>
      <c r="AM700" t="s">
        <v>0</v>
      </c>
      <c r="AN700">
        <v>1</v>
      </c>
      <c r="AO700">
        <v>0</v>
      </c>
      <c r="AP700">
        <v>0</v>
      </c>
      <c r="AQ700">
        <v>0</v>
      </c>
    </row>
    <row r="701" spans="1:43" x14ac:dyDescent="0.25">
      <c r="A701" t="s">
        <v>2177</v>
      </c>
      <c r="B701" t="s">
        <v>2176</v>
      </c>
      <c r="C701" t="s">
        <v>2175</v>
      </c>
      <c r="D701" s="1">
        <v>45840</v>
      </c>
      <c r="E701" t="s">
        <v>156</v>
      </c>
      <c r="F701" t="s">
        <v>155</v>
      </c>
      <c r="G701" t="s">
        <v>110</v>
      </c>
      <c r="H701" t="s">
        <v>43</v>
      </c>
      <c r="I701" t="s">
        <v>15</v>
      </c>
      <c r="J701" t="s">
        <v>14</v>
      </c>
      <c r="K701" t="s">
        <v>13</v>
      </c>
      <c r="L701" t="s">
        <v>64</v>
      </c>
      <c r="M701" t="s">
        <v>53</v>
      </c>
      <c r="N701" t="s">
        <v>75</v>
      </c>
      <c r="O701" t="s">
        <v>101</v>
      </c>
      <c r="P701" t="s">
        <v>39</v>
      </c>
      <c r="Q701" t="s">
        <v>50</v>
      </c>
      <c r="R701" t="s">
        <v>6</v>
      </c>
      <c r="S701">
        <v>4</v>
      </c>
      <c r="T701">
        <v>4</v>
      </c>
      <c r="U701">
        <v>80</v>
      </c>
      <c r="V701" t="s">
        <v>0</v>
      </c>
      <c r="W701" t="s">
        <v>5</v>
      </c>
      <c r="X701" t="s">
        <v>0</v>
      </c>
      <c r="Y701" t="s">
        <v>4</v>
      </c>
      <c r="Z701" t="s">
        <v>5</v>
      </c>
      <c r="AA701">
        <v>0</v>
      </c>
      <c r="AB701">
        <v>0.53</v>
      </c>
      <c r="AC701">
        <v>0.17</v>
      </c>
      <c r="AD701" t="s">
        <v>3</v>
      </c>
      <c r="AE701" t="s">
        <v>0</v>
      </c>
      <c r="AF701" t="s">
        <v>3</v>
      </c>
      <c r="AG701" t="s">
        <v>2</v>
      </c>
      <c r="AI701" t="s">
        <v>23</v>
      </c>
      <c r="AJ701">
        <v>4</v>
      </c>
      <c r="AK701">
        <v>2</v>
      </c>
      <c r="AL701">
        <v>34</v>
      </c>
      <c r="AM701" t="s">
        <v>5</v>
      </c>
      <c r="AN701">
        <v>1</v>
      </c>
      <c r="AO701">
        <v>1</v>
      </c>
      <c r="AP701">
        <v>0</v>
      </c>
      <c r="AQ701">
        <v>1</v>
      </c>
    </row>
    <row r="702" spans="1:43" x14ac:dyDescent="0.25">
      <c r="A702" t="s">
        <v>2174</v>
      </c>
      <c r="B702" t="s">
        <v>316</v>
      </c>
      <c r="C702" t="s">
        <v>2173</v>
      </c>
      <c r="D702" s="1">
        <v>45984</v>
      </c>
      <c r="E702" t="s">
        <v>79</v>
      </c>
      <c r="F702" t="s">
        <v>223</v>
      </c>
      <c r="G702" t="s">
        <v>83</v>
      </c>
      <c r="H702" t="s">
        <v>77</v>
      </c>
      <c r="I702" t="s">
        <v>28</v>
      </c>
      <c r="J702" t="s">
        <v>14</v>
      </c>
      <c r="K702" t="s">
        <v>13</v>
      </c>
      <c r="L702" t="s">
        <v>64</v>
      </c>
      <c r="M702" t="s">
        <v>11</v>
      </c>
      <c r="N702" t="s">
        <v>10</v>
      </c>
      <c r="O702" t="s">
        <v>26</v>
      </c>
      <c r="P702" t="s">
        <v>39</v>
      </c>
      <c r="Q702" t="s">
        <v>24</v>
      </c>
      <c r="R702" t="s">
        <v>38</v>
      </c>
      <c r="S702">
        <v>4</v>
      </c>
      <c r="T702">
        <v>4</v>
      </c>
      <c r="U702">
        <v>88</v>
      </c>
      <c r="V702" t="s">
        <v>0</v>
      </c>
      <c r="W702" t="s">
        <v>5</v>
      </c>
      <c r="X702" t="s">
        <v>0</v>
      </c>
      <c r="Y702" t="s">
        <v>4</v>
      </c>
      <c r="Z702" t="s">
        <v>5</v>
      </c>
      <c r="AA702">
        <v>170.17</v>
      </c>
      <c r="AB702">
        <v>0.19</v>
      </c>
      <c r="AC702">
        <v>0</v>
      </c>
      <c r="AD702" t="s">
        <v>3</v>
      </c>
      <c r="AE702" t="s">
        <v>0</v>
      </c>
      <c r="AF702" t="s">
        <v>3</v>
      </c>
      <c r="AG702" t="s">
        <v>2</v>
      </c>
      <c r="AI702" t="s">
        <v>23</v>
      </c>
      <c r="AJ702">
        <v>4</v>
      </c>
      <c r="AK702">
        <v>15</v>
      </c>
      <c r="AL702">
        <v>39</v>
      </c>
      <c r="AM702" t="s">
        <v>5</v>
      </c>
      <c r="AN702">
        <v>1</v>
      </c>
      <c r="AO702">
        <v>1</v>
      </c>
      <c r="AP702">
        <v>0</v>
      </c>
      <c r="AQ702">
        <v>1</v>
      </c>
    </row>
    <row r="703" spans="1:43" x14ac:dyDescent="0.25">
      <c r="A703" t="s">
        <v>2172</v>
      </c>
      <c r="B703" t="s">
        <v>2171</v>
      </c>
      <c r="C703" t="s">
        <v>2170</v>
      </c>
      <c r="D703" s="1">
        <v>46196</v>
      </c>
      <c r="E703" t="s">
        <v>45</v>
      </c>
      <c r="F703" t="s">
        <v>57</v>
      </c>
      <c r="G703" t="s">
        <v>131</v>
      </c>
      <c r="H703" t="s">
        <v>16</v>
      </c>
      <c r="I703" t="s">
        <v>28</v>
      </c>
      <c r="J703" t="s">
        <v>55</v>
      </c>
      <c r="K703" t="s">
        <v>54</v>
      </c>
      <c r="L703" t="s">
        <v>88</v>
      </c>
      <c r="M703" t="s">
        <v>11</v>
      </c>
      <c r="N703" t="s">
        <v>52</v>
      </c>
      <c r="O703" t="s">
        <v>40</v>
      </c>
      <c r="P703" t="s">
        <v>39</v>
      </c>
      <c r="Q703" t="s">
        <v>7</v>
      </c>
      <c r="R703" t="s">
        <v>6</v>
      </c>
      <c r="S703">
        <v>8</v>
      </c>
      <c r="T703">
        <v>8</v>
      </c>
      <c r="U703">
        <v>171</v>
      </c>
      <c r="V703" t="s">
        <v>0</v>
      </c>
      <c r="W703" t="s">
        <v>5</v>
      </c>
      <c r="X703" t="s">
        <v>0</v>
      </c>
      <c r="Y703" t="s">
        <v>4</v>
      </c>
      <c r="Z703" t="s">
        <v>5</v>
      </c>
      <c r="AA703">
        <v>0</v>
      </c>
      <c r="AB703">
        <v>2.68</v>
      </c>
      <c r="AC703">
        <v>0</v>
      </c>
      <c r="AD703" t="s">
        <v>3</v>
      </c>
      <c r="AE703" t="s">
        <v>0</v>
      </c>
      <c r="AF703" t="s">
        <v>3</v>
      </c>
      <c r="AG703" t="s">
        <v>2</v>
      </c>
      <c r="AI703" t="s">
        <v>23</v>
      </c>
      <c r="AJ703">
        <v>4</v>
      </c>
      <c r="AK703">
        <v>-5</v>
      </c>
      <c r="AL703">
        <v>40</v>
      </c>
      <c r="AM703" t="s">
        <v>5</v>
      </c>
      <c r="AN703">
        <v>1</v>
      </c>
      <c r="AO703">
        <v>1</v>
      </c>
      <c r="AP703">
        <v>0</v>
      </c>
      <c r="AQ703">
        <v>1</v>
      </c>
    </row>
    <row r="704" spans="1:43" x14ac:dyDescent="0.25">
      <c r="A704" t="s">
        <v>2169</v>
      </c>
      <c r="B704" t="s">
        <v>2168</v>
      </c>
      <c r="C704" t="s">
        <v>2167</v>
      </c>
      <c r="D704" s="1">
        <v>45835</v>
      </c>
      <c r="E704" t="s">
        <v>45</v>
      </c>
      <c r="F704" t="s">
        <v>670</v>
      </c>
      <c r="G704" t="s">
        <v>30</v>
      </c>
      <c r="H704" t="s">
        <v>66</v>
      </c>
      <c r="I704" t="s">
        <v>15</v>
      </c>
      <c r="J704" t="s">
        <v>55</v>
      </c>
      <c r="K704" t="s">
        <v>54</v>
      </c>
      <c r="L704" t="s">
        <v>64</v>
      </c>
      <c r="M704" t="s">
        <v>53</v>
      </c>
      <c r="N704" t="s">
        <v>10</v>
      </c>
      <c r="O704" t="s">
        <v>199</v>
      </c>
      <c r="P704" t="s">
        <v>39</v>
      </c>
      <c r="Q704" t="s">
        <v>24</v>
      </c>
      <c r="R704" t="s">
        <v>38</v>
      </c>
      <c r="S704">
        <v>5</v>
      </c>
      <c r="T704">
        <v>5</v>
      </c>
      <c r="U704">
        <v>110</v>
      </c>
      <c r="V704" t="s">
        <v>0</v>
      </c>
      <c r="W704" t="s">
        <v>5</v>
      </c>
      <c r="X704" t="s">
        <v>0</v>
      </c>
      <c r="Y704" t="s">
        <v>4</v>
      </c>
      <c r="Z704" t="s">
        <v>5</v>
      </c>
      <c r="AA704">
        <v>36.47</v>
      </c>
      <c r="AB704">
        <v>0</v>
      </c>
      <c r="AC704">
        <v>0.17</v>
      </c>
      <c r="AD704" t="s">
        <v>3</v>
      </c>
      <c r="AE704" t="s">
        <v>0</v>
      </c>
      <c r="AF704" t="s">
        <v>3</v>
      </c>
      <c r="AG704" t="s">
        <v>2</v>
      </c>
      <c r="AI704" t="s">
        <v>23</v>
      </c>
      <c r="AJ704">
        <v>5</v>
      </c>
      <c r="AK704">
        <v>49</v>
      </c>
      <c r="AL704">
        <v>-5</v>
      </c>
      <c r="AM704" t="s">
        <v>5</v>
      </c>
      <c r="AN704">
        <v>1</v>
      </c>
      <c r="AO704">
        <v>1</v>
      </c>
      <c r="AP704">
        <v>0</v>
      </c>
      <c r="AQ704">
        <v>1</v>
      </c>
    </row>
    <row r="705" spans="1:43" x14ac:dyDescent="0.25">
      <c r="A705" t="s">
        <v>2166</v>
      </c>
      <c r="B705" t="s">
        <v>2165</v>
      </c>
      <c r="C705" t="s">
        <v>2164</v>
      </c>
      <c r="D705" s="1">
        <v>45780</v>
      </c>
      <c r="E705" t="s">
        <v>162</v>
      </c>
      <c r="F705" t="s">
        <v>540</v>
      </c>
      <c r="G705" t="s">
        <v>17</v>
      </c>
      <c r="H705" t="s">
        <v>77</v>
      </c>
      <c r="I705" t="s">
        <v>15</v>
      </c>
      <c r="J705" t="s">
        <v>14</v>
      </c>
      <c r="K705" t="s">
        <v>13</v>
      </c>
      <c r="L705" t="s">
        <v>64</v>
      </c>
      <c r="M705" t="s">
        <v>53</v>
      </c>
      <c r="N705" t="s">
        <v>52</v>
      </c>
      <c r="O705" t="s">
        <v>26</v>
      </c>
      <c r="P705" t="s">
        <v>8</v>
      </c>
      <c r="Q705" t="s">
        <v>198</v>
      </c>
      <c r="R705" t="s">
        <v>6</v>
      </c>
      <c r="S705">
        <v>4</v>
      </c>
      <c r="T705">
        <v>4</v>
      </c>
      <c r="U705">
        <v>101</v>
      </c>
      <c r="V705" t="s">
        <v>0</v>
      </c>
      <c r="W705" t="s">
        <v>5</v>
      </c>
      <c r="X705" t="s">
        <v>5</v>
      </c>
      <c r="Y705" t="s">
        <v>2163</v>
      </c>
      <c r="Z705" t="s">
        <v>0</v>
      </c>
      <c r="AA705">
        <v>0</v>
      </c>
      <c r="AB705">
        <v>0</v>
      </c>
      <c r="AC705">
        <v>0</v>
      </c>
      <c r="AD705" t="s">
        <v>3</v>
      </c>
      <c r="AE705" t="s">
        <v>0</v>
      </c>
      <c r="AF705" t="s">
        <v>3</v>
      </c>
      <c r="AG705" t="s">
        <v>2</v>
      </c>
      <c r="AI705" t="s">
        <v>23</v>
      </c>
      <c r="AJ705">
        <v>3</v>
      </c>
      <c r="AK705">
        <v>23</v>
      </c>
      <c r="AL705">
        <v>8</v>
      </c>
      <c r="AM705" t="s">
        <v>5</v>
      </c>
      <c r="AN705">
        <v>1</v>
      </c>
      <c r="AO705">
        <v>0</v>
      </c>
      <c r="AP705">
        <v>1</v>
      </c>
      <c r="AQ705">
        <v>1</v>
      </c>
    </row>
    <row r="706" spans="1:43" x14ac:dyDescent="0.25">
      <c r="A706" t="s">
        <v>2162</v>
      </c>
      <c r="B706" t="s">
        <v>2161</v>
      </c>
      <c r="C706" t="s">
        <v>2160</v>
      </c>
      <c r="D706" s="1">
        <v>45694</v>
      </c>
      <c r="E706" t="s">
        <v>112</v>
      </c>
      <c r="F706" t="s">
        <v>2159</v>
      </c>
      <c r="G706" t="s">
        <v>110</v>
      </c>
      <c r="H706" t="s">
        <v>66</v>
      </c>
      <c r="I706" t="s">
        <v>15</v>
      </c>
      <c r="J706" t="s">
        <v>14</v>
      </c>
      <c r="K706" t="s">
        <v>13</v>
      </c>
      <c r="L706" t="s">
        <v>12</v>
      </c>
      <c r="M706" t="s">
        <v>11</v>
      </c>
      <c r="N706" t="s">
        <v>93</v>
      </c>
      <c r="O706" t="s">
        <v>101</v>
      </c>
      <c r="P706" t="s">
        <v>39</v>
      </c>
      <c r="Q706" t="s">
        <v>24</v>
      </c>
      <c r="R706" t="s">
        <v>38</v>
      </c>
      <c r="S706">
        <v>4</v>
      </c>
      <c r="T706">
        <v>4</v>
      </c>
      <c r="U706">
        <v>83</v>
      </c>
      <c r="V706" t="s">
        <v>0</v>
      </c>
      <c r="W706" t="s">
        <v>0</v>
      </c>
      <c r="X706" t="s">
        <v>0</v>
      </c>
      <c r="Y706" t="s">
        <v>4</v>
      </c>
      <c r="Z706" t="s">
        <v>5</v>
      </c>
      <c r="AA706">
        <v>81.8</v>
      </c>
      <c r="AB706">
        <v>0.46</v>
      </c>
      <c r="AC706">
        <v>0</v>
      </c>
      <c r="AD706" t="s">
        <v>3</v>
      </c>
      <c r="AE706" t="s">
        <v>0</v>
      </c>
      <c r="AF706" t="s">
        <v>3</v>
      </c>
      <c r="AG706" t="s">
        <v>2</v>
      </c>
      <c r="AI706" t="s">
        <v>129</v>
      </c>
      <c r="AJ706">
        <v>3</v>
      </c>
      <c r="AK706">
        <v>48</v>
      </c>
      <c r="AL706">
        <v>13</v>
      </c>
      <c r="AM706" t="s">
        <v>0</v>
      </c>
      <c r="AN706">
        <v>0</v>
      </c>
      <c r="AO706">
        <v>1</v>
      </c>
      <c r="AP706">
        <v>0</v>
      </c>
      <c r="AQ706">
        <v>0</v>
      </c>
    </row>
    <row r="707" spans="1:43" x14ac:dyDescent="0.25">
      <c r="A707" t="s">
        <v>2158</v>
      </c>
      <c r="B707" t="s">
        <v>2157</v>
      </c>
      <c r="C707" t="s">
        <v>2156</v>
      </c>
      <c r="D707" s="1">
        <v>45793</v>
      </c>
      <c r="E707" t="s">
        <v>79</v>
      </c>
      <c r="F707" t="s">
        <v>78</v>
      </c>
      <c r="G707" t="s">
        <v>83</v>
      </c>
      <c r="H707" t="s">
        <v>16</v>
      </c>
      <c r="I707" t="s">
        <v>28</v>
      </c>
      <c r="J707" t="s">
        <v>55</v>
      </c>
      <c r="K707" t="s">
        <v>54</v>
      </c>
      <c r="L707" t="s">
        <v>12</v>
      </c>
      <c r="M707" t="s">
        <v>299</v>
      </c>
      <c r="N707" t="s">
        <v>93</v>
      </c>
      <c r="O707" t="s">
        <v>193</v>
      </c>
      <c r="P707" t="s">
        <v>39</v>
      </c>
      <c r="Q707" t="s">
        <v>7</v>
      </c>
      <c r="R707" t="s">
        <v>6</v>
      </c>
      <c r="S707" t="s">
        <v>232</v>
      </c>
      <c r="T707">
        <v>9</v>
      </c>
      <c r="U707">
        <v>270</v>
      </c>
      <c r="V707" t="s">
        <v>0</v>
      </c>
      <c r="W707" t="s">
        <v>5</v>
      </c>
      <c r="X707" t="s">
        <v>0</v>
      </c>
      <c r="Y707" t="s">
        <v>4</v>
      </c>
      <c r="Z707" t="s">
        <v>0</v>
      </c>
      <c r="AA707">
        <v>0</v>
      </c>
      <c r="AB707">
        <v>0</v>
      </c>
      <c r="AC707">
        <v>0</v>
      </c>
      <c r="AD707" t="s">
        <v>3</v>
      </c>
      <c r="AE707" t="s">
        <v>0</v>
      </c>
      <c r="AF707" t="s">
        <v>3</v>
      </c>
      <c r="AG707" t="s">
        <v>2</v>
      </c>
      <c r="AI707" t="s">
        <v>23</v>
      </c>
      <c r="AJ707">
        <v>5</v>
      </c>
      <c r="AK707">
        <v>6</v>
      </c>
      <c r="AL707">
        <v>1</v>
      </c>
      <c r="AM707" t="s">
        <v>0</v>
      </c>
      <c r="AN707">
        <v>1</v>
      </c>
      <c r="AO707">
        <v>0</v>
      </c>
      <c r="AP707">
        <v>0</v>
      </c>
      <c r="AQ707">
        <v>0</v>
      </c>
    </row>
    <row r="708" spans="1:43" x14ac:dyDescent="0.25">
      <c r="A708" t="s">
        <v>2155</v>
      </c>
      <c r="B708" t="s">
        <v>1890</v>
      </c>
      <c r="C708" t="s">
        <v>2154</v>
      </c>
      <c r="D708" s="1">
        <v>45752</v>
      </c>
      <c r="E708" t="s">
        <v>168</v>
      </c>
      <c r="F708" t="s">
        <v>233</v>
      </c>
      <c r="G708" t="s">
        <v>30</v>
      </c>
      <c r="H708" t="s">
        <v>237</v>
      </c>
      <c r="I708" t="s">
        <v>15</v>
      </c>
      <c r="J708" t="s">
        <v>14</v>
      </c>
      <c r="K708" t="s">
        <v>13</v>
      </c>
      <c r="L708" t="s">
        <v>88</v>
      </c>
      <c r="M708" t="s">
        <v>11</v>
      </c>
      <c r="N708" t="s">
        <v>41</v>
      </c>
      <c r="O708" t="s">
        <v>74</v>
      </c>
      <c r="P708" t="s">
        <v>39</v>
      </c>
      <c r="Q708" t="s">
        <v>24</v>
      </c>
      <c r="R708" t="s">
        <v>6</v>
      </c>
      <c r="S708">
        <v>6</v>
      </c>
      <c r="T708">
        <v>6</v>
      </c>
      <c r="U708">
        <v>114</v>
      </c>
      <c r="V708" t="s">
        <v>0</v>
      </c>
      <c r="W708" t="s">
        <v>5</v>
      </c>
      <c r="X708" t="s">
        <v>0</v>
      </c>
      <c r="Y708" t="s">
        <v>4</v>
      </c>
      <c r="Z708" t="s">
        <v>5</v>
      </c>
      <c r="AA708">
        <v>8.18</v>
      </c>
      <c r="AB708">
        <v>0</v>
      </c>
      <c r="AC708">
        <v>0</v>
      </c>
      <c r="AD708" t="s">
        <v>3</v>
      </c>
      <c r="AE708" t="s">
        <v>0</v>
      </c>
      <c r="AF708" t="s">
        <v>3</v>
      </c>
      <c r="AG708" t="s">
        <v>2</v>
      </c>
      <c r="AI708" t="s">
        <v>23</v>
      </c>
      <c r="AJ708">
        <v>3</v>
      </c>
      <c r="AK708">
        <v>-36</v>
      </c>
      <c r="AL708">
        <v>25</v>
      </c>
      <c r="AM708" t="s">
        <v>5</v>
      </c>
      <c r="AN708">
        <v>1</v>
      </c>
      <c r="AO708">
        <v>1</v>
      </c>
      <c r="AP708">
        <v>0</v>
      </c>
      <c r="AQ708">
        <v>1</v>
      </c>
    </row>
    <row r="709" spans="1:43" x14ac:dyDescent="0.25">
      <c r="A709" t="s">
        <v>2153</v>
      </c>
      <c r="B709" t="s">
        <v>882</v>
      </c>
      <c r="C709" t="s">
        <v>2152</v>
      </c>
      <c r="D709" s="1">
        <v>45813</v>
      </c>
      <c r="E709" t="s">
        <v>19</v>
      </c>
      <c r="F709" t="s">
        <v>89</v>
      </c>
      <c r="G709" t="s">
        <v>83</v>
      </c>
      <c r="H709" t="s">
        <v>77</v>
      </c>
      <c r="I709" t="s">
        <v>147</v>
      </c>
      <c r="J709" t="s">
        <v>14</v>
      </c>
      <c r="K709" t="s">
        <v>13</v>
      </c>
      <c r="L709" t="s">
        <v>64</v>
      </c>
      <c r="M709" t="s">
        <v>11</v>
      </c>
      <c r="N709" t="s">
        <v>154</v>
      </c>
      <c r="O709" t="s">
        <v>199</v>
      </c>
      <c r="P709" t="s">
        <v>25</v>
      </c>
      <c r="Q709" t="s">
        <v>7</v>
      </c>
      <c r="R709" t="s">
        <v>6</v>
      </c>
      <c r="S709">
        <v>5</v>
      </c>
      <c r="T709">
        <v>5</v>
      </c>
      <c r="U709">
        <v>116</v>
      </c>
      <c r="V709" t="s">
        <v>0</v>
      </c>
      <c r="W709" t="s">
        <v>5</v>
      </c>
      <c r="X709" t="s">
        <v>0</v>
      </c>
      <c r="Y709" t="s">
        <v>4</v>
      </c>
      <c r="Z709" t="s">
        <v>5</v>
      </c>
      <c r="AA709">
        <v>37.75</v>
      </c>
      <c r="AB709">
        <v>0</v>
      </c>
      <c r="AC709">
        <v>0</v>
      </c>
      <c r="AD709" t="s">
        <v>3</v>
      </c>
      <c r="AE709" t="s">
        <v>0</v>
      </c>
      <c r="AF709" t="s">
        <v>3</v>
      </c>
      <c r="AG709" t="s">
        <v>2</v>
      </c>
      <c r="AI709" t="s">
        <v>23</v>
      </c>
      <c r="AJ709">
        <v>5</v>
      </c>
      <c r="AK709">
        <v>12</v>
      </c>
      <c r="AL709">
        <v>48</v>
      </c>
      <c r="AM709" t="s">
        <v>5</v>
      </c>
      <c r="AN709">
        <v>1</v>
      </c>
      <c r="AO709">
        <v>1</v>
      </c>
      <c r="AP709">
        <v>0</v>
      </c>
      <c r="AQ709">
        <v>1</v>
      </c>
    </row>
    <row r="710" spans="1:43" x14ac:dyDescent="0.25">
      <c r="A710" t="s">
        <v>2151</v>
      </c>
      <c r="B710" t="s">
        <v>2150</v>
      </c>
      <c r="C710" t="s">
        <v>2149</v>
      </c>
      <c r="D710" s="1">
        <v>46003</v>
      </c>
      <c r="E710" t="s">
        <v>95</v>
      </c>
      <c r="F710" t="s">
        <v>338</v>
      </c>
      <c r="G710" t="s">
        <v>17</v>
      </c>
      <c r="H710" t="s">
        <v>66</v>
      </c>
      <c r="I710" t="s">
        <v>28</v>
      </c>
      <c r="J710" t="s">
        <v>55</v>
      </c>
      <c r="K710" t="s">
        <v>54</v>
      </c>
      <c r="L710" t="s">
        <v>12</v>
      </c>
      <c r="M710" t="s">
        <v>11</v>
      </c>
      <c r="N710" t="s">
        <v>41</v>
      </c>
      <c r="O710" t="s">
        <v>101</v>
      </c>
      <c r="P710" t="s">
        <v>63</v>
      </c>
      <c r="Q710" t="s">
        <v>7</v>
      </c>
      <c r="R710" t="s">
        <v>6</v>
      </c>
      <c r="S710">
        <v>4</v>
      </c>
      <c r="T710">
        <v>4</v>
      </c>
      <c r="U710">
        <v>123</v>
      </c>
      <c r="V710" t="s">
        <v>0</v>
      </c>
      <c r="W710" t="s">
        <v>287</v>
      </c>
      <c r="X710" t="s">
        <v>0</v>
      </c>
      <c r="Y710" t="s">
        <v>4</v>
      </c>
      <c r="Z710" t="s">
        <v>5</v>
      </c>
      <c r="AA710">
        <v>68.95</v>
      </c>
      <c r="AB710">
        <v>0.56000000000000005</v>
      </c>
      <c r="AC710">
        <v>0</v>
      </c>
      <c r="AD710" t="s">
        <v>3</v>
      </c>
      <c r="AE710" t="s">
        <v>0</v>
      </c>
      <c r="AF710" t="s">
        <v>3</v>
      </c>
      <c r="AG710" t="s">
        <v>2</v>
      </c>
      <c r="AI710" t="s">
        <v>23</v>
      </c>
      <c r="AJ710">
        <v>4</v>
      </c>
      <c r="AK710">
        <v>21</v>
      </c>
      <c r="AL710">
        <v>0</v>
      </c>
      <c r="AM710" t="s">
        <v>5</v>
      </c>
      <c r="AN710">
        <v>1</v>
      </c>
      <c r="AO710">
        <v>1</v>
      </c>
      <c r="AP710">
        <v>0</v>
      </c>
      <c r="AQ710">
        <v>1</v>
      </c>
    </row>
    <row r="711" spans="1:43" x14ac:dyDescent="0.25">
      <c r="A711" t="s">
        <v>2148</v>
      </c>
      <c r="B711" t="s">
        <v>938</v>
      </c>
      <c r="C711" t="s">
        <v>2147</v>
      </c>
      <c r="D711" s="1">
        <v>46028</v>
      </c>
      <c r="E711" t="s">
        <v>168</v>
      </c>
      <c r="F711" t="s">
        <v>283</v>
      </c>
      <c r="G711" t="s">
        <v>110</v>
      </c>
      <c r="H711" t="s">
        <v>77</v>
      </c>
      <c r="I711" t="s">
        <v>15</v>
      </c>
      <c r="J711" t="s">
        <v>146</v>
      </c>
      <c r="K711" t="s">
        <v>145</v>
      </c>
      <c r="L711" t="s">
        <v>88</v>
      </c>
      <c r="M711" t="s">
        <v>27</v>
      </c>
      <c r="N711" t="s">
        <v>75</v>
      </c>
      <c r="O711" t="s">
        <v>40</v>
      </c>
      <c r="P711" t="s">
        <v>63</v>
      </c>
      <c r="Q711" t="s">
        <v>198</v>
      </c>
      <c r="R711" t="s">
        <v>6</v>
      </c>
      <c r="S711">
        <v>8</v>
      </c>
      <c r="T711">
        <v>8</v>
      </c>
      <c r="U711">
        <v>162</v>
      </c>
      <c r="V711" t="s">
        <v>0</v>
      </c>
      <c r="W711" t="s">
        <v>5</v>
      </c>
      <c r="X711" t="s">
        <v>0</v>
      </c>
      <c r="Y711" t="s">
        <v>4</v>
      </c>
      <c r="Z711" t="s">
        <v>5</v>
      </c>
      <c r="AA711">
        <v>387.19</v>
      </c>
      <c r="AB711">
        <v>2.86</v>
      </c>
      <c r="AC711">
        <v>0.37</v>
      </c>
      <c r="AD711" t="s">
        <v>3</v>
      </c>
      <c r="AE711" t="s">
        <v>0</v>
      </c>
      <c r="AF711" t="s">
        <v>3</v>
      </c>
      <c r="AG711" t="s">
        <v>2</v>
      </c>
      <c r="AI711" t="s">
        <v>23</v>
      </c>
      <c r="AJ711">
        <v>3</v>
      </c>
      <c r="AK711">
        <v>-2</v>
      </c>
      <c r="AL711" t="s">
        <v>347</v>
      </c>
      <c r="AM711" t="s">
        <v>5</v>
      </c>
      <c r="AN711">
        <v>1</v>
      </c>
      <c r="AO711">
        <v>1</v>
      </c>
      <c r="AP711">
        <v>0</v>
      </c>
      <c r="AQ711">
        <v>1</v>
      </c>
    </row>
    <row r="712" spans="1:43" x14ac:dyDescent="0.25">
      <c r="A712" t="s">
        <v>2146</v>
      </c>
      <c r="B712" t="s">
        <v>2114</v>
      </c>
      <c r="C712" t="s">
        <v>2145</v>
      </c>
      <c r="D712" s="1">
        <v>46079</v>
      </c>
      <c r="E712" t="s">
        <v>162</v>
      </c>
      <c r="F712" t="s">
        <v>540</v>
      </c>
      <c r="G712" t="s">
        <v>123</v>
      </c>
      <c r="H712" t="s">
        <v>77</v>
      </c>
      <c r="I712" t="s">
        <v>15</v>
      </c>
      <c r="J712" t="s">
        <v>14</v>
      </c>
      <c r="K712" t="s">
        <v>13</v>
      </c>
      <c r="L712" t="s">
        <v>64</v>
      </c>
      <c r="M712" t="s">
        <v>11</v>
      </c>
      <c r="N712" t="s">
        <v>269</v>
      </c>
      <c r="O712" t="s">
        <v>101</v>
      </c>
      <c r="P712" t="s">
        <v>25</v>
      </c>
      <c r="Q712" t="s">
        <v>50</v>
      </c>
      <c r="R712" t="s">
        <v>6</v>
      </c>
      <c r="S712">
        <v>4</v>
      </c>
      <c r="T712">
        <v>4</v>
      </c>
      <c r="U712">
        <v>111</v>
      </c>
      <c r="V712" t="s">
        <v>0</v>
      </c>
      <c r="W712" t="s">
        <v>0</v>
      </c>
      <c r="X712" t="s">
        <v>0</v>
      </c>
      <c r="Y712" t="s">
        <v>4</v>
      </c>
      <c r="Z712" t="s">
        <v>0</v>
      </c>
      <c r="AA712">
        <v>0</v>
      </c>
      <c r="AB712">
        <v>0</v>
      </c>
      <c r="AC712">
        <v>0</v>
      </c>
      <c r="AD712" t="s">
        <v>3</v>
      </c>
      <c r="AE712" t="s">
        <v>0</v>
      </c>
      <c r="AF712" t="s">
        <v>3</v>
      </c>
      <c r="AG712" t="s">
        <v>479</v>
      </c>
      <c r="AI712" t="s">
        <v>23</v>
      </c>
      <c r="AJ712">
        <v>3</v>
      </c>
      <c r="AK712">
        <v>22</v>
      </c>
      <c r="AL712">
        <v>12</v>
      </c>
      <c r="AM712" t="s">
        <v>0</v>
      </c>
      <c r="AN712">
        <v>0</v>
      </c>
      <c r="AO712">
        <v>0</v>
      </c>
      <c r="AP712">
        <v>0</v>
      </c>
      <c r="AQ712">
        <v>0</v>
      </c>
    </row>
    <row r="713" spans="1:43" x14ac:dyDescent="0.25">
      <c r="A713" t="s">
        <v>2144</v>
      </c>
      <c r="B713" t="s">
        <v>368</v>
      </c>
      <c r="C713" t="s">
        <v>2143</v>
      </c>
      <c r="D713" s="1">
        <v>45939</v>
      </c>
      <c r="E713" t="s">
        <v>32</v>
      </c>
      <c r="F713" t="s">
        <v>356</v>
      </c>
      <c r="G713" t="s">
        <v>123</v>
      </c>
      <c r="H713" t="s">
        <v>29</v>
      </c>
      <c r="I713" t="s">
        <v>28</v>
      </c>
      <c r="J713" t="s">
        <v>55</v>
      </c>
      <c r="K713" t="s">
        <v>54</v>
      </c>
      <c r="L713" t="s">
        <v>88</v>
      </c>
      <c r="M713" t="s">
        <v>11</v>
      </c>
      <c r="N713" t="s">
        <v>75</v>
      </c>
      <c r="O713" t="s">
        <v>9</v>
      </c>
      <c r="P713" t="s">
        <v>63</v>
      </c>
      <c r="Q713" t="s">
        <v>7</v>
      </c>
      <c r="R713" t="s">
        <v>6</v>
      </c>
      <c r="S713">
        <v>7</v>
      </c>
      <c r="T713">
        <v>7</v>
      </c>
      <c r="U713">
        <v>171</v>
      </c>
      <c r="V713" t="s">
        <v>247</v>
      </c>
      <c r="W713" t="s">
        <v>0</v>
      </c>
      <c r="X713" t="s">
        <v>0</v>
      </c>
      <c r="Y713" t="s">
        <v>4</v>
      </c>
      <c r="Z713" t="s">
        <v>5</v>
      </c>
      <c r="AA713">
        <v>0</v>
      </c>
      <c r="AB713">
        <v>0</v>
      </c>
      <c r="AC713">
        <v>0</v>
      </c>
      <c r="AD713" t="s">
        <v>3</v>
      </c>
      <c r="AE713" t="s">
        <v>0</v>
      </c>
      <c r="AF713" t="s">
        <v>3</v>
      </c>
      <c r="AG713" t="s">
        <v>2</v>
      </c>
      <c r="AI713" t="s">
        <v>122</v>
      </c>
      <c r="AJ713">
        <v>2</v>
      </c>
      <c r="AK713">
        <v>-16</v>
      </c>
      <c r="AL713">
        <v>0</v>
      </c>
      <c r="AM713" t="s">
        <v>0</v>
      </c>
      <c r="AN713">
        <v>0</v>
      </c>
      <c r="AO713">
        <v>1</v>
      </c>
      <c r="AP713">
        <v>0</v>
      </c>
      <c r="AQ713">
        <v>0</v>
      </c>
    </row>
    <row r="714" spans="1:43" x14ac:dyDescent="0.25">
      <c r="A714" t="s">
        <v>2142</v>
      </c>
      <c r="B714" t="s">
        <v>481</v>
      </c>
      <c r="C714" t="s">
        <v>2141</v>
      </c>
      <c r="D714" s="1">
        <v>45926</v>
      </c>
      <c r="E714" t="s">
        <v>112</v>
      </c>
      <c r="F714" t="s">
        <v>111</v>
      </c>
      <c r="G714" t="s">
        <v>30</v>
      </c>
      <c r="H714" t="s">
        <v>77</v>
      </c>
      <c r="I714" t="s">
        <v>28</v>
      </c>
      <c r="J714" t="s">
        <v>14</v>
      </c>
      <c r="K714" t="s">
        <v>13</v>
      </c>
      <c r="L714" t="s">
        <v>64</v>
      </c>
      <c r="M714" t="s">
        <v>11</v>
      </c>
      <c r="N714" t="s">
        <v>116</v>
      </c>
      <c r="O714" t="s">
        <v>101</v>
      </c>
      <c r="P714" t="s">
        <v>39</v>
      </c>
      <c r="Q714" t="s">
        <v>7</v>
      </c>
      <c r="R714" t="s">
        <v>6</v>
      </c>
      <c r="S714">
        <v>4</v>
      </c>
      <c r="T714">
        <v>4</v>
      </c>
      <c r="U714">
        <v>106</v>
      </c>
      <c r="V714" t="s">
        <v>0</v>
      </c>
      <c r="W714" t="s">
        <v>5</v>
      </c>
      <c r="X714" t="s">
        <v>0</v>
      </c>
      <c r="Y714" t="s">
        <v>4</v>
      </c>
      <c r="Z714" t="s">
        <v>5</v>
      </c>
      <c r="AA714">
        <v>23.3</v>
      </c>
      <c r="AB714">
        <v>0.49</v>
      </c>
      <c r="AC714">
        <v>0</v>
      </c>
      <c r="AD714" t="s">
        <v>187</v>
      </c>
      <c r="AE714" t="s">
        <v>5</v>
      </c>
      <c r="AF714" t="s">
        <v>187</v>
      </c>
      <c r="AG714" t="s">
        <v>36</v>
      </c>
      <c r="AH714">
        <v>32</v>
      </c>
      <c r="AI714" t="s">
        <v>23</v>
      </c>
      <c r="AJ714">
        <v>4</v>
      </c>
      <c r="AK714">
        <v>-6</v>
      </c>
      <c r="AL714">
        <v>27</v>
      </c>
      <c r="AM714" t="s">
        <v>0</v>
      </c>
      <c r="AN714">
        <v>1</v>
      </c>
      <c r="AO714">
        <v>1</v>
      </c>
      <c r="AP714">
        <v>0</v>
      </c>
      <c r="AQ714">
        <v>0</v>
      </c>
    </row>
    <row r="715" spans="1:43" x14ac:dyDescent="0.25">
      <c r="A715" t="s">
        <v>2140</v>
      </c>
      <c r="B715" t="s">
        <v>1876</v>
      </c>
      <c r="C715" t="s">
        <v>2139</v>
      </c>
      <c r="D715" s="1">
        <v>45754</v>
      </c>
      <c r="E715" t="s">
        <v>95</v>
      </c>
      <c r="F715" t="s">
        <v>321</v>
      </c>
      <c r="G715" t="s">
        <v>17</v>
      </c>
      <c r="H715" t="s">
        <v>16</v>
      </c>
      <c r="I715" t="s">
        <v>28</v>
      </c>
      <c r="J715" t="s">
        <v>55</v>
      </c>
      <c r="K715" t="s">
        <v>54</v>
      </c>
      <c r="L715" t="s">
        <v>64</v>
      </c>
      <c r="M715" t="s">
        <v>11</v>
      </c>
      <c r="N715" t="s">
        <v>75</v>
      </c>
      <c r="O715" t="s">
        <v>101</v>
      </c>
      <c r="P715" t="s">
        <v>63</v>
      </c>
      <c r="Q715" t="s">
        <v>7</v>
      </c>
      <c r="R715" t="s">
        <v>6</v>
      </c>
      <c r="S715" t="s">
        <v>99</v>
      </c>
      <c r="T715">
        <v>4</v>
      </c>
      <c r="U715">
        <v>101</v>
      </c>
      <c r="V715" t="s">
        <v>0</v>
      </c>
      <c r="W715" t="s">
        <v>5</v>
      </c>
      <c r="X715" t="s">
        <v>0</v>
      </c>
      <c r="Y715" t="s">
        <v>4</v>
      </c>
      <c r="Z715" t="s">
        <v>0</v>
      </c>
      <c r="AA715">
        <v>0</v>
      </c>
      <c r="AB715">
        <v>0</v>
      </c>
      <c r="AC715">
        <v>0</v>
      </c>
      <c r="AD715" t="s">
        <v>3</v>
      </c>
      <c r="AE715" t="s">
        <v>0</v>
      </c>
      <c r="AF715" t="s">
        <v>3</v>
      </c>
      <c r="AG715" t="s">
        <v>2</v>
      </c>
      <c r="AI715" t="s">
        <v>23</v>
      </c>
      <c r="AJ715">
        <v>4</v>
      </c>
      <c r="AK715">
        <v>48</v>
      </c>
      <c r="AL715">
        <v>0</v>
      </c>
      <c r="AM715" t="s">
        <v>0</v>
      </c>
      <c r="AN715">
        <v>1</v>
      </c>
      <c r="AO715">
        <v>0</v>
      </c>
      <c r="AP715">
        <v>0</v>
      </c>
      <c r="AQ715">
        <v>0</v>
      </c>
    </row>
    <row r="716" spans="1:43" x14ac:dyDescent="0.25">
      <c r="A716" t="s">
        <v>2138</v>
      </c>
      <c r="B716" t="s">
        <v>2137</v>
      </c>
      <c r="C716" t="s">
        <v>2136</v>
      </c>
      <c r="D716" s="1">
        <v>45665</v>
      </c>
      <c r="E716" t="s">
        <v>68</v>
      </c>
      <c r="F716" t="s">
        <v>278</v>
      </c>
      <c r="G716" t="s">
        <v>56</v>
      </c>
      <c r="H716" t="s">
        <v>29</v>
      </c>
      <c r="I716" t="s">
        <v>28</v>
      </c>
      <c r="J716" t="s">
        <v>14</v>
      </c>
      <c r="K716" t="s">
        <v>13</v>
      </c>
      <c r="L716" t="s">
        <v>117</v>
      </c>
      <c r="M716" t="s">
        <v>11</v>
      </c>
      <c r="N716" t="s">
        <v>269</v>
      </c>
      <c r="O716" t="s">
        <v>9</v>
      </c>
      <c r="P716" t="s">
        <v>63</v>
      </c>
      <c r="Q716" t="s">
        <v>24</v>
      </c>
      <c r="R716" t="s">
        <v>6</v>
      </c>
      <c r="S716">
        <v>7</v>
      </c>
      <c r="T716">
        <v>7</v>
      </c>
      <c r="U716">
        <v>258</v>
      </c>
      <c r="V716" t="s">
        <v>0</v>
      </c>
      <c r="W716" t="s">
        <v>0</v>
      </c>
      <c r="X716" t="s">
        <v>5</v>
      </c>
      <c r="Y716" t="s">
        <v>294</v>
      </c>
      <c r="Z716" t="s">
        <v>0</v>
      </c>
      <c r="AA716">
        <v>0</v>
      </c>
      <c r="AB716">
        <v>0</v>
      </c>
      <c r="AC716">
        <v>0</v>
      </c>
      <c r="AD716" t="s">
        <v>3</v>
      </c>
      <c r="AE716" t="s">
        <v>0</v>
      </c>
      <c r="AF716" t="s">
        <v>3</v>
      </c>
      <c r="AG716" t="s">
        <v>2</v>
      </c>
      <c r="AI716" t="s">
        <v>122</v>
      </c>
      <c r="AJ716">
        <v>2</v>
      </c>
      <c r="AK716">
        <v>-19</v>
      </c>
      <c r="AL716">
        <v>0</v>
      </c>
      <c r="AM716" t="s">
        <v>5</v>
      </c>
      <c r="AN716">
        <v>0</v>
      </c>
      <c r="AO716">
        <v>0</v>
      </c>
      <c r="AP716">
        <v>1</v>
      </c>
      <c r="AQ716">
        <v>1</v>
      </c>
    </row>
    <row r="717" spans="1:43" x14ac:dyDescent="0.25">
      <c r="A717" t="s">
        <v>2135</v>
      </c>
      <c r="B717" t="s">
        <v>2134</v>
      </c>
      <c r="C717" t="s">
        <v>2133</v>
      </c>
      <c r="D717" s="1">
        <v>45954</v>
      </c>
      <c r="E717" t="s">
        <v>95</v>
      </c>
      <c r="F717" t="s">
        <v>338</v>
      </c>
      <c r="G717" t="s">
        <v>110</v>
      </c>
      <c r="H717" t="s">
        <v>43</v>
      </c>
      <c r="I717" t="s">
        <v>15</v>
      </c>
      <c r="J717" t="s">
        <v>55</v>
      </c>
      <c r="K717" t="s">
        <v>54</v>
      </c>
      <c r="L717" t="s">
        <v>64</v>
      </c>
      <c r="M717" t="s">
        <v>53</v>
      </c>
      <c r="N717" t="s">
        <v>52</v>
      </c>
      <c r="O717" t="s">
        <v>87</v>
      </c>
      <c r="P717" t="s">
        <v>39</v>
      </c>
      <c r="Q717" t="s">
        <v>100</v>
      </c>
      <c r="R717" t="s">
        <v>6</v>
      </c>
      <c r="S717">
        <v>5</v>
      </c>
      <c r="T717">
        <v>5</v>
      </c>
      <c r="U717">
        <v>121</v>
      </c>
      <c r="V717" t="s">
        <v>0</v>
      </c>
      <c r="W717" t="s">
        <v>5</v>
      </c>
      <c r="X717" t="s">
        <v>135</v>
      </c>
      <c r="Y717" t="s">
        <v>4</v>
      </c>
      <c r="Z717" t="s">
        <v>5</v>
      </c>
      <c r="AA717">
        <v>85.11</v>
      </c>
      <c r="AB717">
        <v>0</v>
      </c>
      <c r="AC717">
        <v>0.17</v>
      </c>
      <c r="AD717" t="s">
        <v>3</v>
      </c>
      <c r="AE717" t="s">
        <v>0</v>
      </c>
      <c r="AF717" t="s">
        <v>3</v>
      </c>
      <c r="AG717" t="s">
        <v>2</v>
      </c>
      <c r="AI717" t="s">
        <v>23</v>
      </c>
      <c r="AJ717">
        <v>5</v>
      </c>
      <c r="AK717">
        <v>37</v>
      </c>
      <c r="AL717">
        <v>42</v>
      </c>
      <c r="AM717" t="s">
        <v>5</v>
      </c>
      <c r="AN717">
        <v>1</v>
      </c>
      <c r="AO717">
        <v>1</v>
      </c>
      <c r="AP717">
        <v>0</v>
      </c>
      <c r="AQ717">
        <v>1</v>
      </c>
    </row>
    <row r="718" spans="1:43" x14ac:dyDescent="0.25">
      <c r="A718" t="s">
        <v>2132</v>
      </c>
      <c r="B718" t="s">
        <v>835</v>
      </c>
      <c r="C718" t="s">
        <v>2131</v>
      </c>
      <c r="D718" s="1">
        <v>45747</v>
      </c>
      <c r="E718" t="s">
        <v>19</v>
      </c>
      <c r="F718" t="s">
        <v>89</v>
      </c>
      <c r="G718" t="s">
        <v>17</v>
      </c>
      <c r="H718" t="s">
        <v>77</v>
      </c>
      <c r="I718" t="s">
        <v>28</v>
      </c>
      <c r="J718" t="s">
        <v>14</v>
      </c>
      <c r="K718" t="s">
        <v>13</v>
      </c>
      <c r="L718" t="s">
        <v>117</v>
      </c>
      <c r="M718" t="s">
        <v>11</v>
      </c>
      <c r="N718" t="s">
        <v>93</v>
      </c>
      <c r="O718" t="s">
        <v>26</v>
      </c>
      <c r="P718" t="s">
        <v>39</v>
      </c>
      <c r="Q718" t="s">
        <v>7</v>
      </c>
      <c r="R718" t="s">
        <v>6</v>
      </c>
      <c r="S718">
        <v>4</v>
      </c>
      <c r="T718">
        <v>4</v>
      </c>
      <c r="U718">
        <v>88</v>
      </c>
      <c r="V718" t="s">
        <v>0</v>
      </c>
      <c r="W718" t="s">
        <v>287</v>
      </c>
      <c r="X718" t="s">
        <v>0</v>
      </c>
      <c r="Y718" t="s">
        <v>4</v>
      </c>
      <c r="Z718" t="s">
        <v>5</v>
      </c>
      <c r="AA718">
        <v>144.13</v>
      </c>
      <c r="AB718">
        <v>0.2</v>
      </c>
      <c r="AC718">
        <v>0</v>
      </c>
      <c r="AD718" t="s">
        <v>3</v>
      </c>
      <c r="AE718" t="s">
        <v>0</v>
      </c>
      <c r="AF718" t="s">
        <v>3</v>
      </c>
      <c r="AG718" t="s">
        <v>2</v>
      </c>
      <c r="AI718" t="s">
        <v>23</v>
      </c>
      <c r="AJ718">
        <v>4</v>
      </c>
      <c r="AK718">
        <v>51</v>
      </c>
      <c r="AL718">
        <v>49</v>
      </c>
      <c r="AM718" t="s">
        <v>5</v>
      </c>
      <c r="AN718">
        <v>1</v>
      </c>
      <c r="AO718">
        <v>1</v>
      </c>
      <c r="AP718">
        <v>0</v>
      </c>
      <c r="AQ718">
        <v>1</v>
      </c>
    </row>
    <row r="719" spans="1:43" x14ac:dyDescent="0.25">
      <c r="A719" t="s">
        <v>2130</v>
      </c>
      <c r="B719" t="s">
        <v>2129</v>
      </c>
      <c r="C719" t="s">
        <v>2128</v>
      </c>
      <c r="D719" s="1">
        <v>45694</v>
      </c>
      <c r="E719" t="s">
        <v>162</v>
      </c>
      <c r="F719" t="s">
        <v>310</v>
      </c>
      <c r="G719" t="s">
        <v>17</v>
      </c>
      <c r="H719" t="s">
        <v>66</v>
      </c>
      <c r="I719" t="s">
        <v>28</v>
      </c>
      <c r="J719" t="s">
        <v>14</v>
      </c>
      <c r="K719" t="s">
        <v>13</v>
      </c>
      <c r="L719" t="s">
        <v>64</v>
      </c>
      <c r="M719" t="s">
        <v>27</v>
      </c>
      <c r="N719" t="s">
        <v>52</v>
      </c>
      <c r="O719" t="s">
        <v>26</v>
      </c>
      <c r="P719" t="s">
        <v>39</v>
      </c>
      <c r="Q719" t="s">
        <v>7</v>
      </c>
      <c r="R719" t="s">
        <v>6</v>
      </c>
      <c r="S719">
        <v>4</v>
      </c>
      <c r="T719">
        <v>4</v>
      </c>
      <c r="U719">
        <v>125</v>
      </c>
      <c r="V719" t="s">
        <v>0</v>
      </c>
      <c r="W719" t="s">
        <v>0</v>
      </c>
      <c r="X719" t="s">
        <v>0</v>
      </c>
      <c r="Y719" t="s">
        <v>4</v>
      </c>
      <c r="Z719" t="s">
        <v>0</v>
      </c>
      <c r="AA719">
        <v>0</v>
      </c>
      <c r="AB719">
        <v>0</v>
      </c>
      <c r="AC719">
        <v>0</v>
      </c>
      <c r="AD719" t="s">
        <v>3</v>
      </c>
      <c r="AE719" t="s">
        <v>0</v>
      </c>
      <c r="AF719" t="s">
        <v>3</v>
      </c>
      <c r="AG719" t="s">
        <v>2</v>
      </c>
      <c r="AI719" t="s">
        <v>23</v>
      </c>
      <c r="AJ719">
        <v>3</v>
      </c>
      <c r="AK719">
        <v>14</v>
      </c>
      <c r="AL719">
        <v>45</v>
      </c>
      <c r="AM719" t="s">
        <v>0</v>
      </c>
      <c r="AN719">
        <v>0</v>
      </c>
      <c r="AO719">
        <v>0</v>
      </c>
      <c r="AP719">
        <v>0</v>
      </c>
      <c r="AQ719">
        <v>0</v>
      </c>
    </row>
    <row r="720" spans="1:43" x14ac:dyDescent="0.25">
      <c r="A720" t="s">
        <v>2127</v>
      </c>
      <c r="B720" t="s">
        <v>2126</v>
      </c>
      <c r="C720" t="s">
        <v>2125</v>
      </c>
      <c r="D720" s="1">
        <v>45693</v>
      </c>
      <c r="E720" t="s">
        <v>162</v>
      </c>
      <c r="F720" t="s">
        <v>540</v>
      </c>
      <c r="G720" t="s">
        <v>30</v>
      </c>
      <c r="H720" t="s">
        <v>66</v>
      </c>
      <c r="I720" t="s">
        <v>15</v>
      </c>
      <c r="J720" t="s">
        <v>14</v>
      </c>
      <c r="K720" t="s">
        <v>13</v>
      </c>
      <c r="L720" t="s">
        <v>117</v>
      </c>
      <c r="M720" t="s">
        <v>11</v>
      </c>
      <c r="N720" t="s">
        <v>41</v>
      </c>
      <c r="O720" t="s">
        <v>87</v>
      </c>
      <c r="P720" t="s">
        <v>39</v>
      </c>
      <c r="Q720" t="s">
        <v>7</v>
      </c>
      <c r="R720" t="s">
        <v>6</v>
      </c>
      <c r="S720" t="s">
        <v>277</v>
      </c>
      <c r="T720">
        <v>3</v>
      </c>
      <c r="U720">
        <v>213</v>
      </c>
      <c r="V720" t="s">
        <v>5</v>
      </c>
      <c r="W720" t="s">
        <v>5</v>
      </c>
      <c r="X720" t="s">
        <v>0</v>
      </c>
      <c r="Y720" t="s">
        <v>4</v>
      </c>
      <c r="Z720" t="s">
        <v>5</v>
      </c>
      <c r="AA720">
        <v>118.69</v>
      </c>
      <c r="AB720">
        <v>0</v>
      </c>
      <c r="AC720">
        <v>0</v>
      </c>
      <c r="AD720" t="s">
        <v>3</v>
      </c>
      <c r="AE720" t="s">
        <v>0</v>
      </c>
      <c r="AF720" t="s">
        <v>3</v>
      </c>
      <c r="AG720" t="s">
        <v>2</v>
      </c>
      <c r="AI720" t="s">
        <v>23</v>
      </c>
      <c r="AJ720">
        <v>3</v>
      </c>
      <c r="AK720">
        <v>5</v>
      </c>
      <c r="AL720" t="s">
        <v>440</v>
      </c>
      <c r="AM720" t="s">
        <v>5</v>
      </c>
      <c r="AN720">
        <v>1</v>
      </c>
      <c r="AO720">
        <v>1</v>
      </c>
      <c r="AP720">
        <v>0</v>
      </c>
      <c r="AQ720">
        <v>1</v>
      </c>
    </row>
    <row r="721" spans="1:43" x14ac:dyDescent="0.25">
      <c r="A721" t="s">
        <v>2124</v>
      </c>
      <c r="B721" t="s">
        <v>2123</v>
      </c>
      <c r="C721" t="s">
        <v>2122</v>
      </c>
      <c r="D721" s="1">
        <v>46024</v>
      </c>
      <c r="E721" t="s">
        <v>19</v>
      </c>
      <c r="F721" t="s">
        <v>255</v>
      </c>
      <c r="G721" t="s">
        <v>56</v>
      </c>
      <c r="H721" t="s">
        <v>43</v>
      </c>
      <c r="I721" t="s">
        <v>28</v>
      </c>
      <c r="J721" t="s">
        <v>55</v>
      </c>
      <c r="K721" t="s">
        <v>54</v>
      </c>
      <c r="L721" t="s">
        <v>88</v>
      </c>
      <c r="M721" t="s">
        <v>11</v>
      </c>
      <c r="N721" t="s">
        <v>75</v>
      </c>
      <c r="O721" t="s">
        <v>87</v>
      </c>
      <c r="P721" t="s">
        <v>39</v>
      </c>
      <c r="Q721" t="s">
        <v>24</v>
      </c>
      <c r="R721" t="s">
        <v>38</v>
      </c>
      <c r="S721">
        <v>5</v>
      </c>
      <c r="T721">
        <v>4</v>
      </c>
      <c r="U721">
        <v>203</v>
      </c>
      <c r="V721" t="s">
        <v>5</v>
      </c>
      <c r="W721" t="s">
        <v>5</v>
      </c>
      <c r="X721" t="s">
        <v>0</v>
      </c>
      <c r="Y721" t="s">
        <v>4</v>
      </c>
      <c r="Z721" t="s">
        <v>5</v>
      </c>
      <c r="AA721">
        <v>122.63</v>
      </c>
      <c r="AB721">
        <v>0</v>
      </c>
      <c r="AC721">
        <v>0</v>
      </c>
      <c r="AD721" t="s">
        <v>3</v>
      </c>
      <c r="AE721" t="s">
        <v>0</v>
      </c>
      <c r="AF721" t="s">
        <v>3</v>
      </c>
      <c r="AG721" t="s">
        <v>2</v>
      </c>
      <c r="AI721" t="s">
        <v>23</v>
      </c>
      <c r="AJ721">
        <v>3</v>
      </c>
      <c r="AK721">
        <v>2</v>
      </c>
      <c r="AL721">
        <v>28</v>
      </c>
      <c r="AM721" t="s">
        <v>5</v>
      </c>
      <c r="AN721">
        <v>1</v>
      </c>
      <c r="AO721">
        <v>1</v>
      </c>
      <c r="AP721">
        <v>0</v>
      </c>
      <c r="AQ721">
        <v>1</v>
      </c>
    </row>
    <row r="722" spans="1:43" x14ac:dyDescent="0.25">
      <c r="A722" t="s">
        <v>2121</v>
      </c>
      <c r="B722" t="s">
        <v>2120</v>
      </c>
      <c r="C722" t="s">
        <v>2119</v>
      </c>
      <c r="D722" s="1">
        <v>45902</v>
      </c>
      <c r="E722" t="s">
        <v>168</v>
      </c>
      <c r="F722" t="s">
        <v>233</v>
      </c>
      <c r="G722" t="s">
        <v>17</v>
      </c>
      <c r="H722" t="s">
        <v>16</v>
      </c>
      <c r="I722" t="s">
        <v>28</v>
      </c>
      <c r="J722" t="s">
        <v>55</v>
      </c>
      <c r="K722" t="s">
        <v>54</v>
      </c>
      <c r="L722" t="s">
        <v>117</v>
      </c>
      <c r="M722" t="s">
        <v>11</v>
      </c>
      <c r="N722" t="s">
        <v>269</v>
      </c>
      <c r="O722" t="s">
        <v>199</v>
      </c>
      <c r="P722" t="s">
        <v>39</v>
      </c>
      <c r="Q722" t="s">
        <v>7</v>
      </c>
      <c r="R722" t="s">
        <v>6</v>
      </c>
      <c r="S722">
        <v>5</v>
      </c>
      <c r="T722">
        <v>5</v>
      </c>
      <c r="U722">
        <v>132</v>
      </c>
      <c r="V722" t="s">
        <v>0</v>
      </c>
      <c r="W722" t="s">
        <v>5</v>
      </c>
      <c r="X722" t="s">
        <v>0</v>
      </c>
      <c r="Y722" t="s">
        <v>4</v>
      </c>
      <c r="Z722" t="s">
        <v>5</v>
      </c>
      <c r="AA722">
        <v>29.99</v>
      </c>
      <c r="AB722">
        <v>0</v>
      </c>
      <c r="AC722">
        <v>0</v>
      </c>
      <c r="AD722" t="s">
        <v>3</v>
      </c>
      <c r="AE722" t="s">
        <v>0</v>
      </c>
      <c r="AF722" t="s">
        <v>3</v>
      </c>
      <c r="AG722" t="s">
        <v>2</v>
      </c>
      <c r="AI722" t="s">
        <v>23</v>
      </c>
      <c r="AJ722">
        <v>4</v>
      </c>
      <c r="AK722">
        <v>20</v>
      </c>
      <c r="AL722">
        <v>29</v>
      </c>
      <c r="AM722" t="s">
        <v>5</v>
      </c>
      <c r="AN722">
        <v>1</v>
      </c>
      <c r="AO722">
        <v>1</v>
      </c>
      <c r="AP722">
        <v>0</v>
      </c>
      <c r="AQ722">
        <v>1</v>
      </c>
    </row>
    <row r="723" spans="1:43" x14ac:dyDescent="0.25">
      <c r="A723" t="s">
        <v>2118</v>
      </c>
      <c r="B723" t="s">
        <v>2117</v>
      </c>
      <c r="C723" t="s">
        <v>2116</v>
      </c>
      <c r="D723" s="1">
        <v>45884</v>
      </c>
      <c r="E723" t="s">
        <v>125</v>
      </c>
      <c r="F723" t="s">
        <v>140</v>
      </c>
      <c r="G723" t="s">
        <v>17</v>
      </c>
      <c r="H723" t="s">
        <v>77</v>
      </c>
      <c r="I723" t="s">
        <v>28</v>
      </c>
      <c r="J723" t="s">
        <v>55</v>
      </c>
      <c r="K723" t="s">
        <v>54</v>
      </c>
      <c r="L723" t="s">
        <v>42</v>
      </c>
      <c r="M723" t="s">
        <v>11</v>
      </c>
      <c r="N723" t="s">
        <v>75</v>
      </c>
      <c r="O723" t="s">
        <v>247</v>
      </c>
      <c r="P723" t="s">
        <v>63</v>
      </c>
      <c r="Q723" t="s">
        <v>198</v>
      </c>
      <c r="R723" t="s">
        <v>38</v>
      </c>
      <c r="S723">
        <v>6</v>
      </c>
      <c r="T723">
        <v>6</v>
      </c>
      <c r="U723">
        <v>157</v>
      </c>
      <c r="V723" t="s">
        <v>0</v>
      </c>
      <c r="W723" t="s">
        <v>5</v>
      </c>
      <c r="X723" t="s">
        <v>0</v>
      </c>
      <c r="Y723" t="s">
        <v>4</v>
      </c>
      <c r="Z723" t="s">
        <v>5</v>
      </c>
      <c r="AA723">
        <v>0</v>
      </c>
      <c r="AB723">
        <v>0.09</v>
      </c>
      <c r="AC723">
        <v>0</v>
      </c>
      <c r="AD723" t="s">
        <v>3</v>
      </c>
      <c r="AE723" t="s">
        <v>0</v>
      </c>
      <c r="AF723" t="s">
        <v>3</v>
      </c>
      <c r="AG723" t="s">
        <v>2</v>
      </c>
      <c r="AI723" t="s">
        <v>23</v>
      </c>
      <c r="AJ723">
        <v>5</v>
      </c>
      <c r="AK723">
        <v>51</v>
      </c>
      <c r="AL723">
        <v>0</v>
      </c>
      <c r="AM723" t="s">
        <v>5</v>
      </c>
      <c r="AN723">
        <v>1</v>
      </c>
      <c r="AO723">
        <v>1</v>
      </c>
      <c r="AP723">
        <v>0</v>
      </c>
      <c r="AQ723">
        <v>1</v>
      </c>
    </row>
    <row r="724" spans="1:43" x14ac:dyDescent="0.25">
      <c r="A724" t="s">
        <v>2115</v>
      </c>
      <c r="B724" t="s">
        <v>2114</v>
      </c>
      <c r="C724" t="s">
        <v>2113</v>
      </c>
      <c r="D724" s="1">
        <v>45904</v>
      </c>
      <c r="E724" t="s">
        <v>19</v>
      </c>
      <c r="F724" t="s">
        <v>18</v>
      </c>
      <c r="G724" t="s">
        <v>131</v>
      </c>
      <c r="H724" t="s">
        <v>16</v>
      </c>
      <c r="I724" t="s">
        <v>15</v>
      </c>
      <c r="J724" t="s">
        <v>14</v>
      </c>
      <c r="K724" t="s">
        <v>13</v>
      </c>
      <c r="L724" t="s">
        <v>64</v>
      </c>
      <c r="M724" t="s">
        <v>53</v>
      </c>
      <c r="N724" t="s">
        <v>52</v>
      </c>
      <c r="O724" t="s">
        <v>9</v>
      </c>
      <c r="P724" t="s">
        <v>39</v>
      </c>
      <c r="Q724" t="s">
        <v>50</v>
      </c>
      <c r="R724" t="s">
        <v>38</v>
      </c>
      <c r="S724">
        <v>7</v>
      </c>
      <c r="T724">
        <v>7</v>
      </c>
      <c r="U724">
        <v>215</v>
      </c>
      <c r="V724" t="s">
        <v>0</v>
      </c>
      <c r="W724" t="s">
        <v>5</v>
      </c>
      <c r="X724" t="s">
        <v>0</v>
      </c>
      <c r="Y724" t="s">
        <v>4</v>
      </c>
      <c r="Z724" t="s">
        <v>0</v>
      </c>
      <c r="AA724">
        <v>0</v>
      </c>
      <c r="AB724">
        <v>0</v>
      </c>
      <c r="AC724">
        <v>0</v>
      </c>
      <c r="AD724" t="s">
        <v>3</v>
      </c>
      <c r="AE724" t="s">
        <v>0</v>
      </c>
      <c r="AF724" t="s">
        <v>3</v>
      </c>
      <c r="AG724" t="s">
        <v>2</v>
      </c>
      <c r="AI724" t="s">
        <v>23</v>
      </c>
      <c r="AJ724">
        <v>4</v>
      </c>
      <c r="AK724">
        <v>26</v>
      </c>
      <c r="AL724">
        <v>27</v>
      </c>
      <c r="AM724" t="s">
        <v>5</v>
      </c>
      <c r="AN724">
        <v>1</v>
      </c>
      <c r="AO724">
        <v>0</v>
      </c>
      <c r="AP724">
        <v>0</v>
      </c>
      <c r="AQ724">
        <v>1</v>
      </c>
    </row>
    <row r="725" spans="1:43" x14ac:dyDescent="0.25">
      <c r="A725" t="s">
        <v>2112</v>
      </c>
      <c r="B725" t="s">
        <v>2111</v>
      </c>
      <c r="C725" t="s">
        <v>2110</v>
      </c>
      <c r="D725" s="1">
        <v>45926</v>
      </c>
      <c r="E725" t="s">
        <v>112</v>
      </c>
      <c r="F725" t="s">
        <v>111</v>
      </c>
      <c r="G725" t="s">
        <v>56</v>
      </c>
      <c r="H725" t="s">
        <v>16</v>
      </c>
      <c r="I725" t="s">
        <v>15</v>
      </c>
      <c r="J725" t="s">
        <v>14</v>
      </c>
      <c r="K725" t="s">
        <v>13</v>
      </c>
      <c r="L725" t="s">
        <v>42</v>
      </c>
      <c r="M725" t="s">
        <v>11</v>
      </c>
      <c r="N725" t="s">
        <v>116</v>
      </c>
      <c r="O725" t="s">
        <v>74</v>
      </c>
      <c r="P725" t="s">
        <v>63</v>
      </c>
      <c r="Q725" t="s">
        <v>198</v>
      </c>
      <c r="R725" t="s">
        <v>38</v>
      </c>
      <c r="S725">
        <v>6</v>
      </c>
      <c r="T725" t="s">
        <v>205</v>
      </c>
      <c r="U725">
        <v>191</v>
      </c>
      <c r="V725" t="s">
        <v>0</v>
      </c>
      <c r="W725" t="s">
        <v>5</v>
      </c>
      <c r="X725" t="s">
        <v>0</v>
      </c>
      <c r="Y725" t="s">
        <v>4</v>
      </c>
      <c r="Z725" t="s">
        <v>5</v>
      </c>
      <c r="AA725">
        <v>87.5</v>
      </c>
      <c r="AB725">
        <v>0</v>
      </c>
      <c r="AC725">
        <v>0</v>
      </c>
      <c r="AD725" t="s">
        <v>3</v>
      </c>
      <c r="AE725" t="s">
        <v>0</v>
      </c>
      <c r="AF725" t="s">
        <v>3</v>
      </c>
      <c r="AG725" t="s">
        <v>2</v>
      </c>
      <c r="AI725" t="s">
        <v>23</v>
      </c>
      <c r="AJ725">
        <v>5</v>
      </c>
      <c r="AK725">
        <v>34</v>
      </c>
      <c r="AL725">
        <v>0</v>
      </c>
      <c r="AM725" t="s">
        <v>0</v>
      </c>
      <c r="AN725">
        <v>1</v>
      </c>
      <c r="AO725">
        <v>1</v>
      </c>
      <c r="AP725">
        <v>0</v>
      </c>
      <c r="AQ725">
        <v>0</v>
      </c>
    </row>
    <row r="726" spans="1:43" x14ac:dyDescent="0.25">
      <c r="A726" t="s">
        <v>2109</v>
      </c>
      <c r="B726" t="s">
        <v>698</v>
      </c>
      <c r="C726" t="s">
        <v>2108</v>
      </c>
      <c r="D726" s="1">
        <v>45834</v>
      </c>
      <c r="E726" t="s">
        <v>112</v>
      </c>
      <c r="F726" t="s">
        <v>461</v>
      </c>
      <c r="G726" t="s">
        <v>123</v>
      </c>
      <c r="H726" t="s">
        <v>16</v>
      </c>
      <c r="I726" t="s">
        <v>15</v>
      </c>
      <c r="J726" t="s">
        <v>55</v>
      </c>
      <c r="K726" t="s">
        <v>54</v>
      </c>
      <c r="L726" t="s">
        <v>88</v>
      </c>
      <c r="M726" t="s">
        <v>53</v>
      </c>
      <c r="N726" t="s">
        <v>52</v>
      </c>
      <c r="O726" t="s">
        <v>26</v>
      </c>
      <c r="P726" t="s">
        <v>63</v>
      </c>
      <c r="Q726" t="s">
        <v>172</v>
      </c>
      <c r="R726" t="s">
        <v>38</v>
      </c>
      <c r="S726">
        <v>4</v>
      </c>
      <c r="T726">
        <v>4</v>
      </c>
      <c r="U726">
        <v>89</v>
      </c>
      <c r="V726" t="s">
        <v>0</v>
      </c>
      <c r="W726" t="s">
        <v>5</v>
      </c>
      <c r="X726" t="s">
        <v>0</v>
      </c>
      <c r="Y726" t="s">
        <v>4</v>
      </c>
      <c r="Z726" t="s">
        <v>5</v>
      </c>
      <c r="AA726">
        <v>129.07</v>
      </c>
      <c r="AB726">
        <v>0.21</v>
      </c>
      <c r="AC726">
        <v>0.17</v>
      </c>
      <c r="AD726" t="s">
        <v>3</v>
      </c>
      <c r="AE726" t="s">
        <v>0</v>
      </c>
      <c r="AF726" t="s">
        <v>3</v>
      </c>
      <c r="AG726" t="s">
        <v>2</v>
      </c>
      <c r="AI726" t="s">
        <v>23</v>
      </c>
      <c r="AJ726">
        <v>5</v>
      </c>
      <c r="AK726">
        <v>44</v>
      </c>
      <c r="AL726">
        <v>0</v>
      </c>
      <c r="AM726" t="s">
        <v>5</v>
      </c>
      <c r="AN726">
        <v>1</v>
      </c>
      <c r="AO726">
        <v>1</v>
      </c>
      <c r="AP726">
        <v>0</v>
      </c>
      <c r="AQ726">
        <v>1</v>
      </c>
    </row>
    <row r="727" spans="1:43" x14ac:dyDescent="0.25">
      <c r="A727" t="s">
        <v>2107</v>
      </c>
      <c r="B727" t="s">
        <v>1907</v>
      </c>
      <c r="C727" t="s">
        <v>2106</v>
      </c>
      <c r="D727" s="1">
        <v>46102</v>
      </c>
      <c r="E727" t="s">
        <v>112</v>
      </c>
      <c r="F727" t="s">
        <v>461</v>
      </c>
      <c r="G727" t="s">
        <v>83</v>
      </c>
      <c r="H727" t="s">
        <v>77</v>
      </c>
      <c r="I727" t="s">
        <v>15</v>
      </c>
      <c r="J727" t="s">
        <v>14</v>
      </c>
      <c r="K727" t="s">
        <v>13</v>
      </c>
      <c r="L727" t="s">
        <v>64</v>
      </c>
      <c r="M727" t="s">
        <v>11</v>
      </c>
      <c r="N727" t="s">
        <v>41</v>
      </c>
      <c r="O727" t="s">
        <v>101</v>
      </c>
      <c r="P727" t="s">
        <v>39</v>
      </c>
      <c r="Q727" t="s">
        <v>198</v>
      </c>
      <c r="R727" t="s">
        <v>38</v>
      </c>
      <c r="S727">
        <v>4</v>
      </c>
      <c r="T727">
        <v>4</v>
      </c>
      <c r="U727">
        <v>92</v>
      </c>
      <c r="V727" t="s">
        <v>0</v>
      </c>
      <c r="W727" t="s">
        <v>5</v>
      </c>
      <c r="X727" t="s">
        <v>0</v>
      </c>
      <c r="Y727" t="s">
        <v>4</v>
      </c>
      <c r="Z727" t="s">
        <v>5</v>
      </c>
      <c r="AA727">
        <v>65.23</v>
      </c>
      <c r="AB727">
        <v>0.55000000000000004</v>
      </c>
      <c r="AC727">
        <v>0</v>
      </c>
      <c r="AD727" t="s">
        <v>3</v>
      </c>
      <c r="AE727" t="s">
        <v>0</v>
      </c>
      <c r="AF727" t="s">
        <v>3</v>
      </c>
      <c r="AG727" t="s">
        <v>2</v>
      </c>
      <c r="AI727" t="s">
        <v>23</v>
      </c>
      <c r="AJ727">
        <v>4</v>
      </c>
      <c r="AK727">
        <v>0</v>
      </c>
      <c r="AL727">
        <v>40</v>
      </c>
      <c r="AM727" t="s">
        <v>0</v>
      </c>
      <c r="AN727">
        <v>1</v>
      </c>
      <c r="AO727">
        <v>1</v>
      </c>
      <c r="AP727">
        <v>0</v>
      </c>
      <c r="AQ727">
        <v>0</v>
      </c>
    </row>
    <row r="728" spans="1:43" x14ac:dyDescent="0.25">
      <c r="A728" t="s">
        <v>2105</v>
      </c>
      <c r="B728" t="s">
        <v>408</v>
      </c>
      <c r="C728" t="s">
        <v>2104</v>
      </c>
      <c r="D728" s="1">
        <v>45680</v>
      </c>
      <c r="E728" t="s">
        <v>149</v>
      </c>
      <c r="F728" t="s">
        <v>183</v>
      </c>
      <c r="G728" t="s">
        <v>83</v>
      </c>
      <c r="H728" t="s">
        <v>16</v>
      </c>
      <c r="I728" t="s">
        <v>15</v>
      </c>
      <c r="J728" t="s">
        <v>55</v>
      </c>
      <c r="K728" t="s">
        <v>54</v>
      </c>
      <c r="L728" t="s">
        <v>117</v>
      </c>
      <c r="M728" t="s">
        <v>27</v>
      </c>
      <c r="N728" t="s">
        <v>93</v>
      </c>
      <c r="O728" t="s">
        <v>199</v>
      </c>
      <c r="P728" t="s">
        <v>63</v>
      </c>
      <c r="Q728" t="s">
        <v>7</v>
      </c>
      <c r="R728" t="s">
        <v>6</v>
      </c>
      <c r="S728">
        <v>5</v>
      </c>
      <c r="T728">
        <v>5</v>
      </c>
      <c r="U728">
        <v>91</v>
      </c>
      <c r="V728" t="s">
        <v>0</v>
      </c>
      <c r="W728" t="s">
        <v>5</v>
      </c>
      <c r="X728" t="s">
        <v>0</v>
      </c>
      <c r="Y728" t="s">
        <v>4</v>
      </c>
      <c r="Z728" t="s">
        <v>5</v>
      </c>
      <c r="AA728">
        <v>20.25</v>
      </c>
      <c r="AB728">
        <v>0</v>
      </c>
      <c r="AC728">
        <v>0.37</v>
      </c>
      <c r="AD728" t="s">
        <v>3</v>
      </c>
      <c r="AE728" t="s">
        <v>0</v>
      </c>
      <c r="AF728" t="s">
        <v>3</v>
      </c>
      <c r="AG728" t="s">
        <v>2</v>
      </c>
      <c r="AI728" t="s">
        <v>23</v>
      </c>
      <c r="AJ728">
        <v>5</v>
      </c>
      <c r="AK728">
        <v>32</v>
      </c>
      <c r="AL728">
        <v>0</v>
      </c>
      <c r="AM728" t="s">
        <v>5</v>
      </c>
      <c r="AN728">
        <v>1</v>
      </c>
      <c r="AO728">
        <v>1</v>
      </c>
      <c r="AP728">
        <v>0</v>
      </c>
      <c r="AQ728">
        <v>1</v>
      </c>
    </row>
    <row r="729" spans="1:43" x14ac:dyDescent="0.25">
      <c r="A729" t="s">
        <v>2103</v>
      </c>
      <c r="B729" t="s">
        <v>481</v>
      </c>
      <c r="C729" t="s">
        <v>2102</v>
      </c>
      <c r="D729" s="1">
        <v>46140</v>
      </c>
      <c r="E729" t="s">
        <v>168</v>
      </c>
      <c r="F729" t="s">
        <v>233</v>
      </c>
      <c r="G729" t="s">
        <v>17</v>
      </c>
      <c r="H729" t="s">
        <v>16</v>
      </c>
      <c r="I729" t="s">
        <v>28</v>
      </c>
      <c r="J729" t="s">
        <v>146</v>
      </c>
      <c r="K729" t="s">
        <v>460</v>
      </c>
      <c r="L729" t="s">
        <v>64</v>
      </c>
      <c r="M729" t="s">
        <v>11</v>
      </c>
      <c r="N729" t="s">
        <v>154</v>
      </c>
      <c r="O729" t="s">
        <v>74</v>
      </c>
      <c r="P729" t="s">
        <v>39</v>
      </c>
      <c r="Q729" t="s">
        <v>24</v>
      </c>
      <c r="R729" t="s">
        <v>38</v>
      </c>
      <c r="S729">
        <v>6</v>
      </c>
      <c r="T729">
        <v>5</v>
      </c>
      <c r="U729">
        <v>261</v>
      </c>
      <c r="V729" t="s">
        <v>5</v>
      </c>
      <c r="W729" t="s">
        <v>0</v>
      </c>
      <c r="X729" t="s">
        <v>5</v>
      </c>
      <c r="Y729" t="s">
        <v>73</v>
      </c>
      <c r="Z729" t="s">
        <v>0</v>
      </c>
      <c r="AA729">
        <v>0</v>
      </c>
      <c r="AB729">
        <v>0</v>
      </c>
      <c r="AC729">
        <v>0</v>
      </c>
      <c r="AD729" t="s">
        <v>436</v>
      </c>
      <c r="AE729" t="s">
        <v>5</v>
      </c>
      <c r="AF729" t="s">
        <v>436</v>
      </c>
      <c r="AG729" t="s">
        <v>36</v>
      </c>
      <c r="AH729">
        <v>31</v>
      </c>
      <c r="AI729" t="s">
        <v>191</v>
      </c>
      <c r="AJ729">
        <v>2</v>
      </c>
      <c r="AK729">
        <v>-66</v>
      </c>
      <c r="AL729">
        <v>12</v>
      </c>
      <c r="AM729" t="s">
        <v>5</v>
      </c>
      <c r="AN729">
        <v>0</v>
      </c>
      <c r="AO729">
        <v>0</v>
      </c>
      <c r="AP729">
        <v>1</v>
      </c>
      <c r="AQ729">
        <v>1</v>
      </c>
    </row>
    <row r="730" spans="1:43" x14ac:dyDescent="0.25">
      <c r="A730" t="s">
        <v>2101</v>
      </c>
      <c r="B730" t="s">
        <v>1613</v>
      </c>
      <c r="C730" t="s">
        <v>2100</v>
      </c>
      <c r="D730" s="1">
        <v>46045</v>
      </c>
      <c r="E730" t="s">
        <v>68</v>
      </c>
      <c r="F730" t="s">
        <v>216</v>
      </c>
      <c r="G730" t="s">
        <v>17</v>
      </c>
      <c r="H730" t="s">
        <v>16</v>
      </c>
      <c r="I730" t="s">
        <v>15</v>
      </c>
      <c r="J730" t="s">
        <v>55</v>
      </c>
      <c r="K730" t="s">
        <v>54</v>
      </c>
      <c r="L730" t="s">
        <v>12</v>
      </c>
      <c r="M730" t="s">
        <v>11</v>
      </c>
      <c r="N730" t="s">
        <v>269</v>
      </c>
      <c r="O730" t="s">
        <v>199</v>
      </c>
      <c r="P730" t="s">
        <v>39</v>
      </c>
      <c r="Q730" t="s">
        <v>198</v>
      </c>
      <c r="R730" t="s">
        <v>38</v>
      </c>
      <c r="S730">
        <v>5</v>
      </c>
      <c r="T730">
        <v>5</v>
      </c>
      <c r="U730">
        <v>151</v>
      </c>
      <c r="V730" t="s">
        <v>0</v>
      </c>
      <c r="W730" t="s">
        <v>0</v>
      </c>
      <c r="X730" t="s">
        <v>0</v>
      </c>
      <c r="Y730" t="s">
        <v>4</v>
      </c>
      <c r="Z730" t="s">
        <v>0</v>
      </c>
      <c r="AA730">
        <v>0</v>
      </c>
      <c r="AB730">
        <v>0</v>
      </c>
      <c r="AC730">
        <v>0</v>
      </c>
      <c r="AD730" t="s">
        <v>3</v>
      </c>
      <c r="AE730" t="s">
        <v>0</v>
      </c>
      <c r="AF730" t="s">
        <v>3</v>
      </c>
      <c r="AG730" t="s">
        <v>2</v>
      </c>
      <c r="AI730" t="s">
        <v>122</v>
      </c>
      <c r="AJ730">
        <v>4</v>
      </c>
      <c r="AK730">
        <v>-3</v>
      </c>
      <c r="AL730">
        <v>42</v>
      </c>
      <c r="AM730" t="s">
        <v>5</v>
      </c>
      <c r="AN730">
        <v>0</v>
      </c>
      <c r="AO730">
        <v>0</v>
      </c>
      <c r="AP730">
        <v>0</v>
      </c>
      <c r="AQ730">
        <v>1</v>
      </c>
    </row>
    <row r="731" spans="1:43" x14ac:dyDescent="0.25">
      <c r="A731" t="s">
        <v>2099</v>
      </c>
      <c r="B731" t="s">
        <v>2098</v>
      </c>
      <c r="C731" t="s">
        <v>2097</v>
      </c>
      <c r="D731" s="1">
        <v>46119</v>
      </c>
      <c r="E731" t="s">
        <v>149</v>
      </c>
      <c r="F731" t="s">
        <v>589</v>
      </c>
      <c r="G731" t="s">
        <v>17</v>
      </c>
      <c r="H731" t="s">
        <v>29</v>
      </c>
      <c r="I731" t="s">
        <v>15</v>
      </c>
      <c r="J731" t="s">
        <v>14</v>
      </c>
      <c r="K731" t="s">
        <v>13</v>
      </c>
      <c r="L731" t="s">
        <v>42</v>
      </c>
      <c r="M731" t="s">
        <v>11</v>
      </c>
      <c r="N731" t="s">
        <v>75</v>
      </c>
      <c r="O731" t="s">
        <v>26</v>
      </c>
      <c r="P731" t="s">
        <v>63</v>
      </c>
      <c r="Q731" t="s">
        <v>7</v>
      </c>
      <c r="R731" t="s">
        <v>6</v>
      </c>
      <c r="S731">
        <v>4</v>
      </c>
      <c r="T731">
        <v>2</v>
      </c>
      <c r="U731">
        <v>157</v>
      </c>
      <c r="V731" t="s">
        <v>5</v>
      </c>
      <c r="W731" t="s">
        <v>5</v>
      </c>
      <c r="X731" t="s">
        <v>0</v>
      </c>
      <c r="Y731" t="s">
        <v>4</v>
      </c>
      <c r="Z731" t="s">
        <v>0</v>
      </c>
      <c r="AA731">
        <v>0</v>
      </c>
      <c r="AB731">
        <v>0</v>
      </c>
      <c r="AC731">
        <v>0</v>
      </c>
      <c r="AD731" t="s">
        <v>61</v>
      </c>
      <c r="AE731" t="s">
        <v>5</v>
      </c>
      <c r="AF731" t="s">
        <v>61</v>
      </c>
      <c r="AG731" t="s">
        <v>139</v>
      </c>
      <c r="AH731">
        <v>26</v>
      </c>
      <c r="AI731" t="s">
        <v>23</v>
      </c>
      <c r="AJ731">
        <v>3</v>
      </c>
      <c r="AK731">
        <v>3</v>
      </c>
      <c r="AL731">
        <v>0</v>
      </c>
      <c r="AM731" t="s">
        <v>0</v>
      </c>
      <c r="AN731">
        <v>1</v>
      </c>
      <c r="AO731">
        <v>0</v>
      </c>
      <c r="AP731">
        <v>0</v>
      </c>
      <c r="AQ731">
        <v>0</v>
      </c>
    </row>
    <row r="732" spans="1:43" x14ac:dyDescent="0.25">
      <c r="A732" t="s">
        <v>2096</v>
      </c>
      <c r="B732" t="s">
        <v>1666</v>
      </c>
      <c r="C732" t="s">
        <v>2095</v>
      </c>
      <c r="D732" s="1">
        <v>45945</v>
      </c>
      <c r="E732" t="s">
        <v>19</v>
      </c>
      <c r="F732" t="s">
        <v>18</v>
      </c>
      <c r="G732" t="s">
        <v>56</v>
      </c>
      <c r="H732" t="s">
        <v>16</v>
      </c>
      <c r="I732" t="s">
        <v>28</v>
      </c>
      <c r="J732" t="s">
        <v>14</v>
      </c>
      <c r="K732" t="s">
        <v>13</v>
      </c>
      <c r="L732" t="s">
        <v>42</v>
      </c>
      <c r="M732" t="s">
        <v>11</v>
      </c>
      <c r="N732" t="s">
        <v>10</v>
      </c>
      <c r="O732" t="s">
        <v>193</v>
      </c>
      <c r="P732" t="s">
        <v>63</v>
      </c>
      <c r="Q732" t="s">
        <v>7</v>
      </c>
      <c r="R732" t="s">
        <v>6</v>
      </c>
      <c r="S732">
        <v>9</v>
      </c>
      <c r="T732">
        <v>6</v>
      </c>
      <c r="U732">
        <v>269</v>
      </c>
      <c r="V732" t="s">
        <v>5</v>
      </c>
      <c r="W732" t="s">
        <v>0</v>
      </c>
      <c r="X732" t="s">
        <v>0</v>
      </c>
      <c r="Y732" t="s">
        <v>4</v>
      </c>
      <c r="Z732" t="s">
        <v>0</v>
      </c>
      <c r="AA732">
        <v>0</v>
      </c>
      <c r="AB732">
        <v>0</v>
      </c>
      <c r="AC732">
        <v>0</v>
      </c>
      <c r="AD732" t="s">
        <v>3</v>
      </c>
      <c r="AE732" t="s">
        <v>0</v>
      </c>
      <c r="AF732" t="s">
        <v>3</v>
      </c>
      <c r="AG732" t="s">
        <v>2</v>
      </c>
      <c r="AI732" t="s">
        <v>332</v>
      </c>
      <c r="AJ732">
        <v>3</v>
      </c>
      <c r="AK732">
        <v>-22</v>
      </c>
      <c r="AL732">
        <v>0</v>
      </c>
      <c r="AM732" t="s">
        <v>0</v>
      </c>
      <c r="AN732">
        <v>0</v>
      </c>
      <c r="AO732">
        <v>0</v>
      </c>
      <c r="AP732">
        <v>0</v>
      </c>
      <c r="AQ732">
        <v>0</v>
      </c>
    </row>
    <row r="733" spans="1:43" x14ac:dyDescent="0.25">
      <c r="A733" t="s">
        <v>2094</v>
      </c>
      <c r="B733" t="s">
        <v>2093</v>
      </c>
      <c r="C733" t="s">
        <v>2092</v>
      </c>
      <c r="D733" s="1">
        <v>46091</v>
      </c>
      <c r="E733" t="s">
        <v>168</v>
      </c>
      <c r="F733" t="s">
        <v>283</v>
      </c>
      <c r="G733" t="s">
        <v>17</v>
      </c>
      <c r="H733" t="s">
        <v>29</v>
      </c>
      <c r="I733" t="s">
        <v>28</v>
      </c>
      <c r="J733" t="s">
        <v>247</v>
      </c>
      <c r="K733" t="s">
        <v>13</v>
      </c>
      <c r="L733" t="s">
        <v>64</v>
      </c>
      <c r="M733" t="s">
        <v>11</v>
      </c>
      <c r="N733" t="s">
        <v>52</v>
      </c>
      <c r="O733" t="s">
        <v>26</v>
      </c>
      <c r="P733" t="s">
        <v>39</v>
      </c>
      <c r="Q733" t="s">
        <v>100</v>
      </c>
      <c r="R733" t="s">
        <v>38</v>
      </c>
      <c r="S733">
        <v>4</v>
      </c>
      <c r="T733">
        <v>4</v>
      </c>
      <c r="U733">
        <v>83</v>
      </c>
      <c r="V733" t="s">
        <v>0</v>
      </c>
      <c r="W733" t="s">
        <v>5</v>
      </c>
      <c r="X733" t="s">
        <v>0</v>
      </c>
      <c r="Y733" t="s">
        <v>4</v>
      </c>
      <c r="Z733" t="s">
        <v>5</v>
      </c>
      <c r="AA733">
        <v>139.78</v>
      </c>
      <c r="AB733">
        <v>0.21</v>
      </c>
      <c r="AC733">
        <v>0</v>
      </c>
      <c r="AD733" t="s">
        <v>3</v>
      </c>
      <c r="AE733" t="s">
        <v>0</v>
      </c>
      <c r="AF733" t="s">
        <v>3</v>
      </c>
      <c r="AG733" t="s">
        <v>2</v>
      </c>
      <c r="AI733" t="s">
        <v>23</v>
      </c>
      <c r="AJ733">
        <v>4</v>
      </c>
      <c r="AK733">
        <v>15</v>
      </c>
      <c r="AL733">
        <v>50</v>
      </c>
      <c r="AM733" t="s">
        <v>5</v>
      </c>
      <c r="AN733">
        <v>1</v>
      </c>
      <c r="AO733">
        <v>1</v>
      </c>
      <c r="AP733">
        <v>0</v>
      </c>
      <c r="AQ733">
        <v>1</v>
      </c>
    </row>
    <row r="734" spans="1:43" x14ac:dyDescent="0.25">
      <c r="A734" t="s">
        <v>2091</v>
      </c>
      <c r="B734" t="s">
        <v>915</v>
      </c>
      <c r="C734" t="s">
        <v>2090</v>
      </c>
      <c r="D734" s="1">
        <v>45893</v>
      </c>
      <c r="E734" t="s">
        <v>125</v>
      </c>
      <c r="F734" t="s">
        <v>124</v>
      </c>
      <c r="G734" t="s">
        <v>110</v>
      </c>
      <c r="H734" t="s">
        <v>16</v>
      </c>
      <c r="I734" t="s">
        <v>15</v>
      </c>
      <c r="J734" t="s">
        <v>14</v>
      </c>
      <c r="K734" t="s">
        <v>13</v>
      </c>
      <c r="L734" t="s">
        <v>64</v>
      </c>
      <c r="M734" t="s">
        <v>11</v>
      </c>
      <c r="N734" t="s">
        <v>41</v>
      </c>
      <c r="O734" t="s">
        <v>51</v>
      </c>
      <c r="P734" t="s">
        <v>39</v>
      </c>
      <c r="Q734" t="s">
        <v>50</v>
      </c>
      <c r="R734" t="s">
        <v>38</v>
      </c>
      <c r="S734">
        <v>6</v>
      </c>
      <c r="T734">
        <v>6</v>
      </c>
      <c r="U734">
        <v>158</v>
      </c>
      <c r="V734" t="s">
        <v>0</v>
      </c>
      <c r="W734" t="s">
        <v>5</v>
      </c>
      <c r="X734" t="s">
        <v>0</v>
      </c>
      <c r="Y734" t="s">
        <v>4</v>
      </c>
      <c r="Z734" t="s">
        <v>5</v>
      </c>
      <c r="AA734">
        <v>44.02</v>
      </c>
      <c r="AB734">
        <v>0.11</v>
      </c>
      <c r="AC734">
        <v>0</v>
      </c>
      <c r="AD734" t="s">
        <v>3</v>
      </c>
      <c r="AE734" t="s">
        <v>0</v>
      </c>
      <c r="AF734" t="s">
        <v>3</v>
      </c>
      <c r="AG734" t="s">
        <v>2</v>
      </c>
      <c r="AI734" t="s">
        <v>23</v>
      </c>
      <c r="AJ734">
        <v>4</v>
      </c>
      <c r="AK734">
        <v>14</v>
      </c>
      <c r="AL734">
        <v>31</v>
      </c>
      <c r="AM734" t="s">
        <v>5</v>
      </c>
      <c r="AN734">
        <v>1</v>
      </c>
      <c r="AO734">
        <v>1</v>
      </c>
      <c r="AP734">
        <v>0</v>
      </c>
      <c r="AQ734">
        <v>1</v>
      </c>
    </row>
    <row r="735" spans="1:43" x14ac:dyDescent="0.25">
      <c r="A735" t="s">
        <v>2089</v>
      </c>
      <c r="B735" t="s">
        <v>2088</v>
      </c>
      <c r="C735" t="s">
        <v>2087</v>
      </c>
      <c r="D735" s="1">
        <v>45810</v>
      </c>
      <c r="E735" t="s">
        <v>168</v>
      </c>
      <c r="F735" t="s">
        <v>233</v>
      </c>
      <c r="G735" t="s">
        <v>17</v>
      </c>
      <c r="H735" t="s">
        <v>43</v>
      </c>
      <c r="I735" t="s">
        <v>15</v>
      </c>
      <c r="J735" t="s">
        <v>14</v>
      </c>
      <c r="K735" t="s">
        <v>13</v>
      </c>
      <c r="L735" t="s">
        <v>117</v>
      </c>
      <c r="M735" t="s">
        <v>11</v>
      </c>
      <c r="N735" t="s">
        <v>41</v>
      </c>
      <c r="O735" t="s">
        <v>26</v>
      </c>
      <c r="P735" t="s">
        <v>63</v>
      </c>
      <c r="Q735" t="s">
        <v>198</v>
      </c>
      <c r="R735" t="s">
        <v>6</v>
      </c>
      <c r="S735">
        <v>4</v>
      </c>
      <c r="T735">
        <v>4</v>
      </c>
      <c r="U735">
        <v>85</v>
      </c>
      <c r="V735" t="s">
        <v>0</v>
      </c>
      <c r="W735" t="s">
        <v>5</v>
      </c>
      <c r="X735" t="s">
        <v>0</v>
      </c>
      <c r="Y735" t="s">
        <v>4</v>
      </c>
      <c r="Z735" t="s">
        <v>5</v>
      </c>
      <c r="AA735">
        <v>131.07</v>
      </c>
      <c r="AB735">
        <v>0.19</v>
      </c>
      <c r="AC735">
        <v>0</v>
      </c>
      <c r="AD735" t="s">
        <v>3</v>
      </c>
      <c r="AE735" t="s">
        <v>0</v>
      </c>
      <c r="AF735" t="s">
        <v>3</v>
      </c>
      <c r="AG735" t="s">
        <v>2</v>
      </c>
      <c r="AI735" t="s">
        <v>23</v>
      </c>
      <c r="AJ735">
        <v>5</v>
      </c>
      <c r="AK735">
        <v>43</v>
      </c>
      <c r="AL735">
        <v>0</v>
      </c>
      <c r="AM735" t="s">
        <v>5</v>
      </c>
      <c r="AN735">
        <v>1</v>
      </c>
      <c r="AO735">
        <v>1</v>
      </c>
      <c r="AP735">
        <v>0</v>
      </c>
      <c r="AQ735">
        <v>1</v>
      </c>
    </row>
    <row r="736" spans="1:43" x14ac:dyDescent="0.25">
      <c r="A736" t="s">
        <v>2086</v>
      </c>
      <c r="B736" t="s">
        <v>2085</v>
      </c>
      <c r="C736" t="s">
        <v>2084</v>
      </c>
      <c r="D736" s="1">
        <v>45926</v>
      </c>
      <c r="E736" t="s">
        <v>45</v>
      </c>
      <c r="F736" t="s">
        <v>670</v>
      </c>
      <c r="G736" t="s">
        <v>17</v>
      </c>
      <c r="H736" t="s">
        <v>66</v>
      </c>
      <c r="I736" t="s">
        <v>28</v>
      </c>
      <c r="J736" t="s">
        <v>55</v>
      </c>
      <c r="K736" t="s">
        <v>54</v>
      </c>
      <c r="L736" t="s">
        <v>88</v>
      </c>
      <c r="M736" t="s">
        <v>27</v>
      </c>
      <c r="N736" t="s">
        <v>52</v>
      </c>
      <c r="O736" t="s">
        <v>40</v>
      </c>
      <c r="P736" t="s">
        <v>39</v>
      </c>
      <c r="Q736" t="s">
        <v>100</v>
      </c>
      <c r="R736" t="s">
        <v>38</v>
      </c>
      <c r="S736">
        <v>8</v>
      </c>
      <c r="T736">
        <v>8</v>
      </c>
      <c r="U736">
        <v>163</v>
      </c>
      <c r="V736" t="s">
        <v>0</v>
      </c>
      <c r="W736" t="s">
        <v>0</v>
      </c>
      <c r="X736" t="s">
        <v>0</v>
      </c>
      <c r="Y736" t="s">
        <v>4</v>
      </c>
      <c r="Z736" t="s">
        <v>0</v>
      </c>
      <c r="AA736">
        <v>0</v>
      </c>
      <c r="AB736">
        <v>0</v>
      </c>
      <c r="AC736">
        <v>0</v>
      </c>
      <c r="AD736" t="s">
        <v>3</v>
      </c>
      <c r="AE736" t="s">
        <v>0</v>
      </c>
      <c r="AF736" t="s">
        <v>3</v>
      </c>
      <c r="AG736" t="s">
        <v>2</v>
      </c>
      <c r="AI736" t="s">
        <v>23</v>
      </c>
      <c r="AJ736">
        <v>4</v>
      </c>
      <c r="AK736">
        <v>-2</v>
      </c>
      <c r="AL736">
        <v>21</v>
      </c>
      <c r="AM736" t="s">
        <v>0</v>
      </c>
      <c r="AN736">
        <v>0</v>
      </c>
      <c r="AO736">
        <v>0</v>
      </c>
      <c r="AP736">
        <v>0</v>
      </c>
      <c r="AQ736">
        <v>0</v>
      </c>
    </row>
    <row r="737" spans="1:43" x14ac:dyDescent="0.25">
      <c r="A737" t="s">
        <v>2083</v>
      </c>
      <c r="B737" t="s">
        <v>2082</v>
      </c>
      <c r="C737" t="s">
        <v>2081</v>
      </c>
      <c r="D737" s="1">
        <v>46040</v>
      </c>
      <c r="E737" t="s">
        <v>162</v>
      </c>
      <c r="F737" t="s">
        <v>2080</v>
      </c>
      <c r="G737" t="s">
        <v>83</v>
      </c>
      <c r="H737" t="s">
        <v>77</v>
      </c>
      <c r="I737" t="s">
        <v>15</v>
      </c>
      <c r="J737" t="s">
        <v>14</v>
      </c>
      <c r="K737" t="s">
        <v>13</v>
      </c>
      <c r="L737" t="s">
        <v>64</v>
      </c>
      <c r="M737" t="s">
        <v>11</v>
      </c>
      <c r="N737" t="s">
        <v>10</v>
      </c>
      <c r="O737" t="s">
        <v>101</v>
      </c>
      <c r="P737" t="s">
        <v>39</v>
      </c>
      <c r="Q737" t="s">
        <v>7</v>
      </c>
      <c r="R737" t="s">
        <v>6</v>
      </c>
      <c r="S737">
        <v>4</v>
      </c>
      <c r="T737">
        <v>4</v>
      </c>
      <c r="U737">
        <v>95</v>
      </c>
      <c r="V737" t="s">
        <v>0</v>
      </c>
      <c r="W737" t="s">
        <v>5</v>
      </c>
      <c r="X737" t="s">
        <v>0</v>
      </c>
      <c r="Y737" t="s">
        <v>4</v>
      </c>
      <c r="Z737" t="s">
        <v>5</v>
      </c>
      <c r="AA737">
        <v>105.6</v>
      </c>
      <c r="AB737">
        <v>0.56000000000000005</v>
      </c>
      <c r="AC737">
        <v>0</v>
      </c>
      <c r="AD737" t="s">
        <v>3</v>
      </c>
      <c r="AE737" t="s">
        <v>0</v>
      </c>
      <c r="AF737" t="s">
        <v>3</v>
      </c>
      <c r="AG737" t="s">
        <v>2</v>
      </c>
      <c r="AI737" t="s">
        <v>23</v>
      </c>
      <c r="AJ737">
        <v>3</v>
      </c>
      <c r="AK737">
        <v>18</v>
      </c>
      <c r="AL737">
        <v>36</v>
      </c>
      <c r="AM737" t="s">
        <v>0</v>
      </c>
      <c r="AN737">
        <v>1</v>
      </c>
      <c r="AO737">
        <v>1</v>
      </c>
      <c r="AP737">
        <v>0</v>
      </c>
      <c r="AQ737">
        <v>0</v>
      </c>
    </row>
    <row r="738" spans="1:43" x14ac:dyDescent="0.25">
      <c r="A738" t="s">
        <v>2079</v>
      </c>
      <c r="B738" t="s">
        <v>1085</v>
      </c>
      <c r="C738" t="s">
        <v>2078</v>
      </c>
      <c r="D738" s="1">
        <v>45699</v>
      </c>
      <c r="E738" t="s">
        <v>45</v>
      </c>
      <c r="F738" t="s">
        <v>670</v>
      </c>
      <c r="G738" t="s">
        <v>56</v>
      </c>
      <c r="H738" t="s">
        <v>77</v>
      </c>
      <c r="I738" t="s">
        <v>28</v>
      </c>
      <c r="J738" t="s">
        <v>55</v>
      </c>
      <c r="K738" t="s">
        <v>54</v>
      </c>
      <c r="L738" t="s">
        <v>117</v>
      </c>
      <c r="M738" t="s">
        <v>11</v>
      </c>
      <c r="N738" t="s">
        <v>75</v>
      </c>
      <c r="O738" t="s">
        <v>130</v>
      </c>
      <c r="P738" t="s">
        <v>39</v>
      </c>
      <c r="Q738" t="s">
        <v>7</v>
      </c>
      <c r="R738" t="s">
        <v>6</v>
      </c>
      <c r="S738">
        <v>5</v>
      </c>
      <c r="T738">
        <v>5</v>
      </c>
      <c r="U738">
        <v>147</v>
      </c>
      <c r="V738" t="s">
        <v>0</v>
      </c>
      <c r="W738" t="s">
        <v>5</v>
      </c>
      <c r="X738" t="s">
        <v>0</v>
      </c>
      <c r="Y738" t="s">
        <v>4</v>
      </c>
      <c r="Z738" t="s">
        <v>5</v>
      </c>
      <c r="AA738">
        <v>55.91</v>
      </c>
      <c r="AB738">
        <v>0</v>
      </c>
      <c r="AC738">
        <v>0</v>
      </c>
      <c r="AD738" t="s">
        <v>3</v>
      </c>
      <c r="AE738" t="s">
        <v>0</v>
      </c>
      <c r="AF738" t="s">
        <v>3</v>
      </c>
      <c r="AG738" t="s">
        <v>2</v>
      </c>
      <c r="AI738" t="s">
        <v>23</v>
      </c>
      <c r="AJ738">
        <v>5</v>
      </c>
      <c r="AK738">
        <v>15</v>
      </c>
      <c r="AL738">
        <v>3</v>
      </c>
      <c r="AM738" t="s">
        <v>5</v>
      </c>
      <c r="AN738">
        <v>1</v>
      </c>
      <c r="AO738">
        <v>1</v>
      </c>
      <c r="AP738">
        <v>0</v>
      </c>
      <c r="AQ738">
        <v>1</v>
      </c>
    </row>
    <row r="739" spans="1:43" x14ac:dyDescent="0.25">
      <c r="A739" t="s">
        <v>2077</v>
      </c>
      <c r="B739" t="s">
        <v>2076</v>
      </c>
      <c r="C739" t="s">
        <v>2075</v>
      </c>
      <c r="D739" s="1">
        <v>46100</v>
      </c>
      <c r="E739" t="s">
        <v>19</v>
      </c>
      <c r="F739" t="s">
        <v>255</v>
      </c>
      <c r="G739" t="s">
        <v>110</v>
      </c>
      <c r="H739" t="s">
        <v>16</v>
      </c>
      <c r="I739" t="s">
        <v>28</v>
      </c>
      <c r="J739" t="s">
        <v>14</v>
      </c>
      <c r="K739" t="s">
        <v>13</v>
      </c>
      <c r="L739" t="s">
        <v>88</v>
      </c>
      <c r="M739" t="s">
        <v>11</v>
      </c>
      <c r="N739" t="s">
        <v>52</v>
      </c>
      <c r="O739" t="s">
        <v>199</v>
      </c>
      <c r="P739" t="s">
        <v>39</v>
      </c>
      <c r="Q739" t="s">
        <v>7</v>
      </c>
      <c r="R739" t="s">
        <v>6</v>
      </c>
      <c r="S739">
        <v>5</v>
      </c>
      <c r="T739">
        <v>5</v>
      </c>
      <c r="U739">
        <v>128</v>
      </c>
      <c r="V739" t="s">
        <v>0</v>
      </c>
      <c r="W739" t="s">
        <v>5</v>
      </c>
      <c r="X739" t="s">
        <v>0</v>
      </c>
      <c r="Y739" t="s">
        <v>4</v>
      </c>
      <c r="Z739" t="s">
        <v>5</v>
      </c>
      <c r="AA739">
        <v>182.61</v>
      </c>
      <c r="AB739">
        <v>0</v>
      </c>
      <c r="AC739">
        <v>0</v>
      </c>
      <c r="AD739" t="s">
        <v>227</v>
      </c>
      <c r="AE739" t="s">
        <v>5</v>
      </c>
      <c r="AF739" t="s">
        <v>227</v>
      </c>
      <c r="AG739" t="s">
        <v>36</v>
      </c>
      <c r="AH739">
        <v>12</v>
      </c>
      <c r="AI739" t="s">
        <v>23</v>
      </c>
      <c r="AJ739">
        <v>5</v>
      </c>
      <c r="AK739">
        <v>-4</v>
      </c>
      <c r="AL739">
        <v>61</v>
      </c>
      <c r="AM739" t="s">
        <v>5</v>
      </c>
      <c r="AN739">
        <v>1</v>
      </c>
      <c r="AO739">
        <v>1</v>
      </c>
      <c r="AP739">
        <v>0</v>
      </c>
      <c r="AQ739">
        <v>1</v>
      </c>
    </row>
    <row r="740" spans="1:43" x14ac:dyDescent="0.25">
      <c r="A740" t="s">
        <v>2074</v>
      </c>
      <c r="B740" t="s">
        <v>2073</v>
      </c>
      <c r="C740" t="s">
        <v>2072</v>
      </c>
      <c r="D740" s="1">
        <v>45731</v>
      </c>
      <c r="E740" t="s">
        <v>32</v>
      </c>
      <c r="F740" t="s">
        <v>356</v>
      </c>
      <c r="G740" t="s">
        <v>56</v>
      </c>
      <c r="H740" t="s">
        <v>43</v>
      </c>
      <c r="I740" t="s">
        <v>28</v>
      </c>
      <c r="J740" t="s">
        <v>55</v>
      </c>
      <c r="K740" t="s">
        <v>54</v>
      </c>
      <c r="L740" t="s">
        <v>117</v>
      </c>
      <c r="M740" t="s">
        <v>11</v>
      </c>
      <c r="N740" t="s">
        <v>269</v>
      </c>
      <c r="O740" t="s">
        <v>130</v>
      </c>
      <c r="P740" t="s">
        <v>39</v>
      </c>
      <c r="Q740" t="s">
        <v>100</v>
      </c>
      <c r="R740" t="s">
        <v>6</v>
      </c>
      <c r="S740" t="s">
        <v>277</v>
      </c>
      <c r="T740">
        <v>3</v>
      </c>
      <c r="U740">
        <v>151</v>
      </c>
      <c r="V740" t="s">
        <v>5</v>
      </c>
      <c r="W740" t="s">
        <v>5</v>
      </c>
      <c r="X740" t="s">
        <v>0</v>
      </c>
      <c r="Y740" t="s">
        <v>4</v>
      </c>
      <c r="Z740" t="s">
        <v>5</v>
      </c>
      <c r="AA740">
        <v>47.37</v>
      </c>
      <c r="AB740">
        <v>0</v>
      </c>
      <c r="AC740">
        <v>0</v>
      </c>
      <c r="AD740" t="s">
        <v>3</v>
      </c>
      <c r="AE740" t="s">
        <v>0</v>
      </c>
      <c r="AF740" t="s">
        <v>3</v>
      </c>
      <c r="AG740" t="s">
        <v>2</v>
      </c>
      <c r="AI740" t="s">
        <v>23</v>
      </c>
      <c r="AJ740">
        <v>3</v>
      </c>
      <c r="AK740">
        <v>12</v>
      </c>
      <c r="AL740">
        <v>22</v>
      </c>
      <c r="AM740" t="s">
        <v>5</v>
      </c>
      <c r="AN740">
        <v>1</v>
      </c>
      <c r="AO740">
        <v>1</v>
      </c>
      <c r="AP740">
        <v>0</v>
      </c>
      <c r="AQ740">
        <v>1</v>
      </c>
    </row>
    <row r="741" spans="1:43" x14ac:dyDescent="0.25">
      <c r="A741" t="s">
        <v>2071</v>
      </c>
      <c r="B741" t="s">
        <v>2070</v>
      </c>
      <c r="C741" t="s">
        <v>2069</v>
      </c>
      <c r="D741" s="1">
        <v>45757</v>
      </c>
      <c r="E741" t="s">
        <v>95</v>
      </c>
      <c r="F741" t="s">
        <v>321</v>
      </c>
      <c r="G741" t="s">
        <v>30</v>
      </c>
      <c r="H741" t="s">
        <v>77</v>
      </c>
      <c r="I741" t="s">
        <v>15</v>
      </c>
      <c r="J741" t="s">
        <v>55</v>
      </c>
      <c r="K741" t="s">
        <v>54</v>
      </c>
      <c r="L741" t="s">
        <v>42</v>
      </c>
      <c r="M741" t="s">
        <v>11</v>
      </c>
      <c r="N741" t="s">
        <v>10</v>
      </c>
      <c r="O741" t="s">
        <v>9</v>
      </c>
      <c r="P741" t="s">
        <v>8</v>
      </c>
      <c r="Q741" t="s">
        <v>198</v>
      </c>
      <c r="R741" t="s">
        <v>6</v>
      </c>
      <c r="S741">
        <v>7</v>
      </c>
      <c r="T741">
        <v>7</v>
      </c>
      <c r="U741">
        <v>219</v>
      </c>
      <c r="V741" t="s">
        <v>0</v>
      </c>
      <c r="W741" t="s">
        <v>0</v>
      </c>
      <c r="X741" t="s">
        <v>5</v>
      </c>
      <c r="Y741" t="s">
        <v>294</v>
      </c>
      <c r="Z741" t="s">
        <v>0</v>
      </c>
      <c r="AA741">
        <v>0</v>
      </c>
      <c r="AB741">
        <v>0</v>
      </c>
      <c r="AC741">
        <v>0</v>
      </c>
      <c r="AD741" t="s">
        <v>3</v>
      </c>
      <c r="AE741" t="s">
        <v>0</v>
      </c>
      <c r="AF741" t="s">
        <v>3</v>
      </c>
      <c r="AG741" t="s">
        <v>2</v>
      </c>
      <c r="AI741" t="s">
        <v>122</v>
      </c>
      <c r="AJ741">
        <v>3</v>
      </c>
      <c r="AK741">
        <v>-17</v>
      </c>
      <c r="AL741">
        <v>17</v>
      </c>
      <c r="AM741" t="s">
        <v>0</v>
      </c>
      <c r="AN741">
        <v>0</v>
      </c>
      <c r="AO741">
        <v>0</v>
      </c>
      <c r="AP741">
        <v>1</v>
      </c>
      <c r="AQ741">
        <v>0</v>
      </c>
    </row>
    <row r="742" spans="1:43" x14ac:dyDescent="0.25">
      <c r="A742" t="s">
        <v>2068</v>
      </c>
      <c r="B742" t="s">
        <v>1803</v>
      </c>
      <c r="C742" t="s">
        <v>2067</v>
      </c>
      <c r="D742" s="1">
        <v>45662</v>
      </c>
      <c r="E742" t="s">
        <v>32</v>
      </c>
      <c r="F742" t="s">
        <v>107</v>
      </c>
      <c r="G742" t="s">
        <v>131</v>
      </c>
      <c r="H742" t="s">
        <v>29</v>
      </c>
      <c r="I742" t="s">
        <v>28</v>
      </c>
      <c r="J742" t="s">
        <v>14</v>
      </c>
      <c r="K742" t="s">
        <v>13</v>
      </c>
      <c r="L742" t="s">
        <v>42</v>
      </c>
      <c r="M742" t="s">
        <v>27</v>
      </c>
      <c r="N742" t="s">
        <v>41</v>
      </c>
      <c r="O742" t="s">
        <v>130</v>
      </c>
      <c r="P742" t="s">
        <v>25</v>
      </c>
      <c r="Q742" t="s">
        <v>7</v>
      </c>
      <c r="R742" t="s">
        <v>6</v>
      </c>
      <c r="S742">
        <v>5</v>
      </c>
      <c r="T742">
        <v>5</v>
      </c>
      <c r="U742">
        <v>126</v>
      </c>
      <c r="V742" t="s">
        <v>0</v>
      </c>
      <c r="W742" t="s">
        <v>5</v>
      </c>
      <c r="X742" t="s">
        <v>0</v>
      </c>
      <c r="Y742" t="s">
        <v>4</v>
      </c>
      <c r="Z742" t="s">
        <v>5</v>
      </c>
      <c r="AA742">
        <v>169.49</v>
      </c>
      <c r="AB742">
        <v>0</v>
      </c>
      <c r="AC742">
        <v>0.37</v>
      </c>
      <c r="AD742" t="s">
        <v>227</v>
      </c>
      <c r="AE742" t="s">
        <v>5</v>
      </c>
      <c r="AF742" t="s">
        <v>227</v>
      </c>
      <c r="AG742" t="s">
        <v>139</v>
      </c>
      <c r="AH742">
        <v>25</v>
      </c>
      <c r="AI742" t="s">
        <v>23</v>
      </c>
      <c r="AJ742">
        <v>5</v>
      </c>
      <c r="AK742">
        <v>5</v>
      </c>
      <c r="AL742">
        <v>31</v>
      </c>
      <c r="AM742" t="s">
        <v>5</v>
      </c>
      <c r="AN742">
        <v>1</v>
      </c>
      <c r="AO742">
        <v>1</v>
      </c>
      <c r="AP742">
        <v>0</v>
      </c>
      <c r="AQ742">
        <v>1</v>
      </c>
    </row>
    <row r="743" spans="1:43" x14ac:dyDescent="0.25">
      <c r="A743" t="s">
        <v>2066</v>
      </c>
      <c r="B743" t="s">
        <v>2065</v>
      </c>
      <c r="C743" t="s">
        <v>2064</v>
      </c>
      <c r="D743" s="1">
        <v>46138</v>
      </c>
      <c r="E743" t="s">
        <v>149</v>
      </c>
      <c r="F743" t="s">
        <v>589</v>
      </c>
      <c r="G743" t="s">
        <v>123</v>
      </c>
      <c r="H743" t="s">
        <v>29</v>
      </c>
      <c r="I743" t="s">
        <v>28</v>
      </c>
      <c r="J743" t="s">
        <v>14</v>
      </c>
      <c r="K743" t="s">
        <v>13</v>
      </c>
      <c r="L743" t="s">
        <v>64</v>
      </c>
      <c r="M743" t="s">
        <v>11</v>
      </c>
      <c r="N743" t="s">
        <v>52</v>
      </c>
      <c r="O743" t="s">
        <v>74</v>
      </c>
      <c r="P743" t="s">
        <v>8</v>
      </c>
      <c r="Q743" t="s">
        <v>7</v>
      </c>
      <c r="R743" t="s">
        <v>6</v>
      </c>
      <c r="S743">
        <v>6</v>
      </c>
      <c r="T743">
        <v>4</v>
      </c>
      <c r="U743">
        <v>237</v>
      </c>
      <c r="V743" t="s">
        <v>5</v>
      </c>
      <c r="W743" t="s">
        <v>5</v>
      </c>
      <c r="X743" t="s">
        <v>0</v>
      </c>
      <c r="Y743" t="s">
        <v>4</v>
      </c>
      <c r="Z743" t="s">
        <v>5</v>
      </c>
      <c r="AA743">
        <v>0</v>
      </c>
      <c r="AB743">
        <v>0</v>
      </c>
      <c r="AC743">
        <v>0</v>
      </c>
      <c r="AD743" t="s">
        <v>3</v>
      </c>
      <c r="AE743" t="s">
        <v>0</v>
      </c>
      <c r="AF743" t="s">
        <v>3</v>
      </c>
      <c r="AG743" t="s">
        <v>2</v>
      </c>
      <c r="AI743" t="s">
        <v>23</v>
      </c>
      <c r="AJ743">
        <v>4</v>
      </c>
      <c r="AK743">
        <v>-9</v>
      </c>
      <c r="AL743">
        <v>28</v>
      </c>
      <c r="AM743" t="s">
        <v>0</v>
      </c>
      <c r="AN743">
        <v>1</v>
      </c>
      <c r="AO743">
        <v>1</v>
      </c>
      <c r="AP743">
        <v>0</v>
      </c>
      <c r="AQ743">
        <v>0</v>
      </c>
    </row>
    <row r="744" spans="1:43" x14ac:dyDescent="0.25">
      <c r="A744" t="s">
        <v>2063</v>
      </c>
      <c r="B744" t="s">
        <v>500</v>
      </c>
      <c r="C744" t="s">
        <v>2062</v>
      </c>
      <c r="D744" s="1">
        <v>45865</v>
      </c>
      <c r="E744" t="s">
        <v>156</v>
      </c>
      <c r="F744" t="s">
        <v>550</v>
      </c>
      <c r="G744" t="s">
        <v>56</v>
      </c>
      <c r="H744" t="s">
        <v>29</v>
      </c>
      <c r="I744" t="s">
        <v>28</v>
      </c>
      <c r="J744" t="s">
        <v>14</v>
      </c>
      <c r="K744" t="s">
        <v>13</v>
      </c>
      <c r="L744" t="s">
        <v>64</v>
      </c>
      <c r="M744" t="s">
        <v>11</v>
      </c>
      <c r="N744" t="s">
        <v>75</v>
      </c>
      <c r="O744" t="s">
        <v>193</v>
      </c>
      <c r="P744" t="s">
        <v>39</v>
      </c>
      <c r="Q744" t="s">
        <v>7</v>
      </c>
      <c r="R744" t="s">
        <v>6</v>
      </c>
      <c r="S744">
        <v>9</v>
      </c>
      <c r="T744">
        <v>9</v>
      </c>
      <c r="U744">
        <v>277</v>
      </c>
      <c r="V744" t="s">
        <v>0</v>
      </c>
      <c r="W744" t="s">
        <v>0</v>
      </c>
      <c r="X744" t="s">
        <v>0</v>
      </c>
      <c r="Y744" t="s">
        <v>4</v>
      </c>
      <c r="Z744" t="s">
        <v>0</v>
      </c>
      <c r="AA744">
        <v>0</v>
      </c>
      <c r="AB744">
        <v>0</v>
      </c>
      <c r="AC744">
        <v>0</v>
      </c>
      <c r="AD744" t="s">
        <v>3</v>
      </c>
      <c r="AE744" t="s">
        <v>0</v>
      </c>
      <c r="AF744" t="s">
        <v>3</v>
      </c>
      <c r="AG744" t="s">
        <v>2</v>
      </c>
      <c r="AI744" t="s">
        <v>23</v>
      </c>
      <c r="AJ744">
        <v>2</v>
      </c>
      <c r="AK744">
        <v>-16</v>
      </c>
      <c r="AL744" t="s">
        <v>2061</v>
      </c>
      <c r="AM744" t="s">
        <v>0</v>
      </c>
      <c r="AN744">
        <v>0</v>
      </c>
      <c r="AO744">
        <v>0</v>
      </c>
      <c r="AP744">
        <v>0</v>
      </c>
      <c r="AQ744">
        <v>0</v>
      </c>
    </row>
    <row r="745" spans="1:43" x14ac:dyDescent="0.25">
      <c r="A745" t="s">
        <v>2060</v>
      </c>
      <c r="B745" t="s">
        <v>2059</v>
      </c>
      <c r="C745" t="s">
        <v>2058</v>
      </c>
      <c r="D745" s="1">
        <v>45682</v>
      </c>
      <c r="E745" t="s">
        <v>68</v>
      </c>
      <c r="F745" t="s">
        <v>278</v>
      </c>
      <c r="G745" t="s">
        <v>110</v>
      </c>
      <c r="H745" t="s">
        <v>43</v>
      </c>
      <c r="I745" t="s">
        <v>28</v>
      </c>
      <c r="J745" t="s">
        <v>55</v>
      </c>
      <c r="K745" t="s">
        <v>54</v>
      </c>
      <c r="L745" t="s">
        <v>64</v>
      </c>
      <c r="M745" t="s">
        <v>11</v>
      </c>
      <c r="N745" t="s">
        <v>269</v>
      </c>
      <c r="O745" t="s">
        <v>199</v>
      </c>
      <c r="P745" t="s">
        <v>63</v>
      </c>
      <c r="Q745" t="s">
        <v>7</v>
      </c>
      <c r="R745" t="s">
        <v>6</v>
      </c>
      <c r="S745">
        <v>5</v>
      </c>
      <c r="T745">
        <v>5</v>
      </c>
      <c r="U745">
        <v>195</v>
      </c>
      <c r="V745" t="s">
        <v>0</v>
      </c>
      <c r="W745" t="s">
        <v>5</v>
      </c>
      <c r="X745" t="s">
        <v>5</v>
      </c>
      <c r="Y745" t="s">
        <v>282</v>
      </c>
      <c r="Z745" t="s">
        <v>5</v>
      </c>
      <c r="AA745">
        <v>90.67</v>
      </c>
      <c r="AB745">
        <v>0</v>
      </c>
      <c r="AC745">
        <v>0</v>
      </c>
      <c r="AD745" t="s">
        <v>61</v>
      </c>
      <c r="AE745" t="s">
        <v>5</v>
      </c>
      <c r="AF745" t="s">
        <v>61</v>
      </c>
      <c r="AG745" t="s">
        <v>139</v>
      </c>
      <c r="AH745">
        <v>14</v>
      </c>
      <c r="AI745" t="s">
        <v>23</v>
      </c>
      <c r="AJ745">
        <v>3</v>
      </c>
      <c r="AK745">
        <v>-18</v>
      </c>
      <c r="AL745">
        <v>0</v>
      </c>
      <c r="AM745" t="s">
        <v>5</v>
      </c>
      <c r="AN745">
        <v>1</v>
      </c>
      <c r="AO745">
        <v>1</v>
      </c>
      <c r="AP745">
        <v>1</v>
      </c>
      <c r="AQ745">
        <v>1</v>
      </c>
    </row>
    <row r="746" spans="1:43" x14ac:dyDescent="0.25">
      <c r="A746" t="s">
        <v>2057</v>
      </c>
      <c r="B746" t="s">
        <v>552</v>
      </c>
      <c r="C746" t="s">
        <v>2056</v>
      </c>
      <c r="D746" s="1">
        <v>45908</v>
      </c>
      <c r="E746" t="s">
        <v>19</v>
      </c>
      <c r="F746" t="s">
        <v>255</v>
      </c>
      <c r="G746" t="s">
        <v>17</v>
      </c>
      <c r="H746" t="s">
        <v>237</v>
      </c>
      <c r="I746" t="s">
        <v>28</v>
      </c>
      <c r="J746" t="s">
        <v>14</v>
      </c>
      <c r="K746" t="s">
        <v>13</v>
      </c>
      <c r="L746" t="s">
        <v>88</v>
      </c>
      <c r="M746" t="s">
        <v>11</v>
      </c>
      <c r="N746" t="s">
        <v>52</v>
      </c>
      <c r="O746" t="s">
        <v>193</v>
      </c>
      <c r="P746" t="s">
        <v>39</v>
      </c>
      <c r="Q746" t="s">
        <v>7</v>
      </c>
      <c r="R746" t="s">
        <v>6</v>
      </c>
      <c r="S746">
        <v>9</v>
      </c>
      <c r="T746">
        <v>7</v>
      </c>
      <c r="U746">
        <v>301</v>
      </c>
      <c r="V746" t="s">
        <v>5</v>
      </c>
      <c r="W746" t="s">
        <v>0</v>
      </c>
      <c r="X746" t="s">
        <v>0</v>
      </c>
      <c r="Y746" t="s">
        <v>4</v>
      </c>
      <c r="Z746" t="s">
        <v>0</v>
      </c>
      <c r="AA746">
        <v>0</v>
      </c>
      <c r="AB746">
        <v>0</v>
      </c>
      <c r="AC746">
        <v>0</v>
      </c>
      <c r="AD746" t="s">
        <v>3</v>
      </c>
      <c r="AE746" t="s">
        <v>0</v>
      </c>
      <c r="AF746" t="s">
        <v>3</v>
      </c>
      <c r="AG746" t="s">
        <v>2</v>
      </c>
      <c r="AI746" t="s">
        <v>1</v>
      </c>
      <c r="AJ746">
        <v>1</v>
      </c>
      <c r="AK746">
        <v>-25</v>
      </c>
      <c r="AL746">
        <v>45</v>
      </c>
      <c r="AM746" t="s">
        <v>5</v>
      </c>
      <c r="AN746">
        <v>0</v>
      </c>
      <c r="AO746">
        <v>0</v>
      </c>
      <c r="AP746">
        <v>0</v>
      </c>
      <c r="AQ746">
        <v>1</v>
      </c>
    </row>
    <row r="747" spans="1:43" x14ac:dyDescent="0.25">
      <c r="A747" t="s">
        <v>2055</v>
      </c>
      <c r="B747" t="s">
        <v>789</v>
      </c>
      <c r="C747" t="s">
        <v>2054</v>
      </c>
      <c r="D747" s="1">
        <v>46005</v>
      </c>
      <c r="E747" t="s">
        <v>112</v>
      </c>
      <c r="F747" t="s">
        <v>461</v>
      </c>
      <c r="G747" t="s">
        <v>30</v>
      </c>
      <c r="H747" t="s">
        <v>29</v>
      </c>
      <c r="I747" t="s">
        <v>28</v>
      </c>
      <c r="J747" t="s">
        <v>14</v>
      </c>
      <c r="K747" t="s">
        <v>13</v>
      </c>
      <c r="L747" t="s">
        <v>88</v>
      </c>
      <c r="M747" t="s">
        <v>299</v>
      </c>
      <c r="N747" t="s">
        <v>52</v>
      </c>
      <c r="O747" t="s">
        <v>51</v>
      </c>
      <c r="P747" t="s">
        <v>8</v>
      </c>
      <c r="Q747" t="s">
        <v>7</v>
      </c>
      <c r="R747" t="s">
        <v>6</v>
      </c>
      <c r="S747">
        <v>6</v>
      </c>
      <c r="T747">
        <v>6</v>
      </c>
      <c r="U747">
        <v>184</v>
      </c>
      <c r="V747" t="s">
        <v>0</v>
      </c>
      <c r="W747" t="s">
        <v>5</v>
      </c>
      <c r="X747" t="s">
        <v>0</v>
      </c>
      <c r="Y747" t="s">
        <v>4</v>
      </c>
      <c r="Z747" t="s">
        <v>5</v>
      </c>
      <c r="AA747">
        <v>0</v>
      </c>
      <c r="AB747">
        <v>0.11</v>
      </c>
      <c r="AC747">
        <v>0</v>
      </c>
      <c r="AD747" t="s">
        <v>3</v>
      </c>
      <c r="AE747" t="s">
        <v>0</v>
      </c>
      <c r="AF747" t="s">
        <v>3</v>
      </c>
      <c r="AG747" t="s">
        <v>2</v>
      </c>
      <c r="AI747" t="s">
        <v>23</v>
      </c>
      <c r="AJ747">
        <v>3</v>
      </c>
      <c r="AK747">
        <v>9</v>
      </c>
      <c r="AL747">
        <v>28</v>
      </c>
      <c r="AM747" t="s">
        <v>5</v>
      </c>
      <c r="AN747">
        <v>1</v>
      </c>
      <c r="AO747">
        <v>1</v>
      </c>
      <c r="AP747">
        <v>0</v>
      </c>
      <c r="AQ747">
        <v>1</v>
      </c>
    </row>
    <row r="748" spans="1:43" x14ac:dyDescent="0.25">
      <c r="A748" t="s">
        <v>2053</v>
      </c>
      <c r="B748" t="s">
        <v>114</v>
      </c>
      <c r="C748" t="s">
        <v>2052</v>
      </c>
      <c r="D748" s="1">
        <v>45713</v>
      </c>
      <c r="E748" t="s">
        <v>19</v>
      </c>
      <c r="F748" t="s">
        <v>295</v>
      </c>
      <c r="G748" t="s">
        <v>110</v>
      </c>
      <c r="H748" t="s">
        <v>66</v>
      </c>
      <c r="I748" t="s">
        <v>28</v>
      </c>
      <c r="J748" t="s">
        <v>14</v>
      </c>
      <c r="K748" t="s">
        <v>76</v>
      </c>
      <c r="L748" t="s">
        <v>88</v>
      </c>
      <c r="M748" t="s">
        <v>11</v>
      </c>
      <c r="N748" t="s">
        <v>41</v>
      </c>
      <c r="O748" t="s">
        <v>26</v>
      </c>
      <c r="P748" t="s">
        <v>8</v>
      </c>
      <c r="Q748" t="s">
        <v>50</v>
      </c>
      <c r="R748" t="s">
        <v>38</v>
      </c>
      <c r="S748">
        <v>4</v>
      </c>
      <c r="T748">
        <v>4</v>
      </c>
      <c r="U748">
        <v>96</v>
      </c>
      <c r="V748" t="s">
        <v>0</v>
      </c>
      <c r="W748" t="s">
        <v>5</v>
      </c>
      <c r="X748" t="s">
        <v>0</v>
      </c>
      <c r="Y748" t="s">
        <v>4</v>
      </c>
      <c r="Z748" t="s">
        <v>5</v>
      </c>
      <c r="AA748">
        <v>122.78</v>
      </c>
      <c r="AB748">
        <v>0.23</v>
      </c>
      <c r="AC748">
        <v>0</v>
      </c>
      <c r="AD748" t="s">
        <v>3</v>
      </c>
      <c r="AE748" t="s">
        <v>0</v>
      </c>
      <c r="AF748" t="s">
        <v>3</v>
      </c>
      <c r="AG748" t="s">
        <v>2</v>
      </c>
      <c r="AI748" t="s">
        <v>23</v>
      </c>
      <c r="AJ748">
        <v>4</v>
      </c>
      <c r="AK748">
        <v>40</v>
      </c>
      <c r="AL748">
        <v>31</v>
      </c>
      <c r="AM748" t="s">
        <v>0</v>
      </c>
      <c r="AN748">
        <v>1</v>
      </c>
      <c r="AO748">
        <v>1</v>
      </c>
      <c r="AP748">
        <v>0</v>
      </c>
      <c r="AQ748">
        <v>0</v>
      </c>
    </row>
    <row r="749" spans="1:43" x14ac:dyDescent="0.25">
      <c r="A749" t="s">
        <v>2051</v>
      </c>
      <c r="B749" t="s">
        <v>1884</v>
      </c>
      <c r="C749" t="s">
        <v>2050</v>
      </c>
      <c r="D749" s="1">
        <v>46125</v>
      </c>
      <c r="E749" t="s">
        <v>125</v>
      </c>
      <c r="F749" t="s">
        <v>140</v>
      </c>
      <c r="G749" t="s">
        <v>110</v>
      </c>
      <c r="H749" t="s">
        <v>16</v>
      </c>
      <c r="I749" t="s">
        <v>28</v>
      </c>
      <c r="J749" t="s">
        <v>14</v>
      </c>
      <c r="K749" t="s">
        <v>13</v>
      </c>
      <c r="L749" t="s">
        <v>88</v>
      </c>
      <c r="M749" t="s">
        <v>53</v>
      </c>
      <c r="N749" t="s">
        <v>41</v>
      </c>
      <c r="O749" t="s">
        <v>26</v>
      </c>
      <c r="P749" t="s">
        <v>39</v>
      </c>
      <c r="Q749" t="s">
        <v>198</v>
      </c>
      <c r="R749" t="s">
        <v>6</v>
      </c>
      <c r="S749">
        <v>99</v>
      </c>
      <c r="T749">
        <v>4</v>
      </c>
      <c r="U749">
        <v>96</v>
      </c>
      <c r="V749" t="s">
        <v>0</v>
      </c>
      <c r="W749" t="s">
        <v>0</v>
      </c>
      <c r="X749" t="s">
        <v>0</v>
      </c>
      <c r="Y749" t="s">
        <v>4</v>
      </c>
      <c r="Z749" t="s">
        <v>0</v>
      </c>
      <c r="AA749">
        <v>0</v>
      </c>
      <c r="AB749">
        <v>0</v>
      </c>
      <c r="AC749">
        <v>0</v>
      </c>
      <c r="AD749" t="s">
        <v>3</v>
      </c>
      <c r="AE749" t="s">
        <v>0</v>
      </c>
      <c r="AF749" t="s">
        <v>3</v>
      </c>
      <c r="AG749" t="s">
        <v>2</v>
      </c>
      <c r="AI749" t="s">
        <v>544</v>
      </c>
      <c r="AJ749">
        <v>3</v>
      </c>
      <c r="AK749">
        <v>13</v>
      </c>
      <c r="AL749">
        <v>23</v>
      </c>
      <c r="AM749" t="s">
        <v>5</v>
      </c>
      <c r="AN749">
        <v>0</v>
      </c>
      <c r="AO749">
        <v>0</v>
      </c>
      <c r="AP749">
        <v>0</v>
      </c>
      <c r="AQ749">
        <v>1</v>
      </c>
    </row>
    <row r="750" spans="1:43" x14ac:dyDescent="0.25">
      <c r="A750" t="s">
        <v>2049</v>
      </c>
      <c r="B750" t="s">
        <v>817</v>
      </c>
      <c r="C750" t="s">
        <v>2048</v>
      </c>
      <c r="D750" s="1">
        <v>45772</v>
      </c>
      <c r="E750" t="s">
        <v>162</v>
      </c>
      <c r="F750" t="s">
        <v>540</v>
      </c>
      <c r="G750" t="s">
        <v>56</v>
      </c>
      <c r="H750" t="s">
        <v>66</v>
      </c>
      <c r="I750" t="s">
        <v>15</v>
      </c>
      <c r="J750" t="s">
        <v>14</v>
      </c>
      <c r="K750" t="s">
        <v>13</v>
      </c>
      <c r="L750" t="s">
        <v>12</v>
      </c>
      <c r="M750" t="s">
        <v>11</v>
      </c>
      <c r="N750" t="s">
        <v>10</v>
      </c>
      <c r="O750" t="s">
        <v>87</v>
      </c>
      <c r="P750" t="s">
        <v>39</v>
      </c>
      <c r="Q750" t="s">
        <v>24</v>
      </c>
      <c r="R750" t="s">
        <v>6</v>
      </c>
      <c r="S750">
        <v>5</v>
      </c>
      <c r="T750">
        <v>5</v>
      </c>
      <c r="U750">
        <v>99</v>
      </c>
      <c r="V750" t="s">
        <v>0</v>
      </c>
      <c r="W750" t="s">
        <v>0</v>
      </c>
      <c r="X750" t="s">
        <v>0</v>
      </c>
      <c r="Y750" t="s">
        <v>4</v>
      </c>
      <c r="Z750" t="s">
        <v>5</v>
      </c>
      <c r="AA750">
        <v>107.23</v>
      </c>
      <c r="AB750">
        <v>0</v>
      </c>
      <c r="AC750">
        <v>0</v>
      </c>
      <c r="AD750" t="s">
        <v>3</v>
      </c>
      <c r="AE750" t="s">
        <v>0</v>
      </c>
      <c r="AF750" t="s">
        <v>3</v>
      </c>
      <c r="AG750" t="s">
        <v>2</v>
      </c>
      <c r="AI750" t="s">
        <v>1</v>
      </c>
      <c r="AJ750">
        <v>4</v>
      </c>
      <c r="AK750">
        <v>8</v>
      </c>
      <c r="AL750">
        <v>24</v>
      </c>
      <c r="AM750" t="s">
        <v>5</v>
      </c>
      <c r="AN750">
        <v>0</v>
      </c>
      <c r="AO750">
        <v>1</v>
      </c>
      <c r="AP750">
        <v>0</v>
      </c>
      <c r="AQ750">
        <v>1</v>
      </c>
    </row>
    <row r="751" spans="1:43" x14ac:dyDescent="0.25">
      <c r="A751" t="s">
        <v>2047</v>
      </c>
      <c r="B751" t="s">
        <v>2046</v>
      </c>
      <c r="C751" t="s">
        <v>2045</v>
      </c>
      <c r="D751" s="1">
        <v>46126</v>
      </c>
      <c r="E751" t="s">
        <v>112</v>
      </c>
      <c r="F751" t="s">
        <v>111</v>
      </c>
      <c r="G751" t="s">
        <v>110</v>
      </c>
      <c r="H751" t="s">
        <v>66</v>
      </c>
      <c r="I751" t="s">
        <v>15</v>
      </c>
      <c r="J751" t="s">
        <v>146</v>
      </c>
      <c r="K751" t="s">
        <v>176</v>
      </c>
      <c r="L751" t="s">
        <v>64</v>
      </c>
      <c r="M751" t="s">
        <v>11</v>
      </c>
      <c r="N751" t="s">
        <v>52</v>
      </c>
      <c r="O751" t="s">
        <v>74</v>
      </c>
      <c r="P751" t="s">
        <v>8</v>
      </c>
      <c r="Q751" t="s">
        <v>7</v>
      </c>
      <c r="R751" t="s">
        <v>6</v>
      </c>
      <c r="S751">
        <v>6</v>
      </c>
      <c r="T751">
        <v>3</v>
      </c>
      <c r="U751">
        <v>273</v>
      </c>
      <c r="V751" t="s">
        <v>5</v>
      </c>
      <c r="W751" t="s">
        <v>0</v>
      </c>
      <c r="X751" t="s">
        <v>0</v>
      </c>
      <c r="Y751" t="s">
        <v>4</v>
      </c>
      <c r="Z751" t="s">
        <v>5</v>
      </c>
      <c r="AA751">
        <v>3.22</v>
      </c>
      <c r="AB751">
        <v>0</v>
      </c>
      <c r="AC751">
        <v>0</v>
      </c>
      <c r="AD751" t="s">
        <v>3</v>
      </c>
      <c r="AE751" t="s">
        <v>0</v>
      </c>
      <c r="AF751" t="s">
        <v>3</v>
      </c>
      <c r="AG751" t="s">
        <v>2</v>
      </c>
      <c r="AI751" t="s">
        <v>332</v>
      </c>
      <c r="AJ751">
        <v>3</v>
      </c>
      <c r="AK751">
        <v>150</v>
      </c>
      <c r="AL751">
        <v>46</v>
      </c>
      <c r="AM751" t="s">
        <v>0</v>
      </c>
      <c r="AN751">
        <v>0</v>
      </c>
      <c r="AO751">
        <v>1</v>
      </c>
      <c r="AP751">
        <v>0</v>
      </c>
      <c r="AQ751">
        <v>0</v>
      </c>
    </row>
    <row r="752" spans="1:43" x14ac:dyDescent="0.25">
      <c r="A752" t="s">
        <v>2044</v>
      </c>
      <c r="B752" t="s">
        <v>2043</v>
      </c>
      <c r="C752" t="s">
        <v>2042</v>
      </c>
      <c r="D752" s="1">
        <v>45715</v>
      </c>
      <c r="E752" t="s">
        <v>79</v>
      </c>
      <c r="F752" t="s">
        <v>78</v>
      </c>
      <c r="G752" t="s">
        <v>110</v>
      </c>
      <c r="H752" t="s">
        <v>29</v>
      </c>
      <c r="I752" t="s">
        <v>28</v>
      </c>
      <c r="J752" t="s">
        <v>14</v>
      </c>
      <c r="K752" t="s">
        <v>13</v>
      </c>
      <c r="L752" t="s">
        <v>117</v>
      </c>
      <c r="M752" t="s">
        <v>11</v>
      </c>
      <c r="N752" t="s">
        <v>10</v>
      </c>
      <c r="O752" t="s">
        <v>26</v>
      </c>
      <c r="P752" t="s">
        <v>8</v>
      </c>
      <c r="Q752" t="s">
        <v>7</v>
      </c>
      <c r="R752" t="s">
        <v>6</v>
      </c>
      <c r="S752">
        <v>4</v>
      </c>
      <c r="T752">
        <v>2</v>
      </c>
      <c r="U752">
        <v>174</v>
      </c>
      <c r="V752" t="s">
        <v>5</v>
      </c>
      <c r="W752" t="s">
        <v>5</v>
      </c>
      <c r="X752" t="s">
        <v>0</v>
      </c>
      <c r="Y752" t="s">
        <v>4</v>
      </c>
      <c r="Z752" t="s">
        <v>5</v>
      </c>
      <c r="AA752">
        <v>80.790000000000006</v>
      </c>
      <c r="AB752">
        <v>0.22</v>
      </c>
      <c r="AC752">
        <v>0</v>
      </c>
      <c r="AD752" t="s">
        <v>3</v>
      </c>
      <c r="AE752" t="s">
        <v>0</v>
      </c>
      <c r="AF752" t="s">
        <v>3</v>
      </c>
      <c r="AG752" t="s">
        <v>2</v>
      </c>
      <c r="AI752" t="s">
        <v>23</v>
      </c>
      <c r="AJ752">
        <v>3</v>
      </c>
      <c r="AK752">
        <v>-3</v>
      </c>
      <c r="AL752">
        <v>12</v>
      </c>
      <c r="AM752" t="s">
        <v>5</v>
      </c>
      <c r="AN752">
        <v>1</v>
      </c>
      <c r="AO752">
        <v>1</v>
      </c>
      <c r="AP752">
        <v>0</v>
      </c>
      <c r="AQ752">
        <v>1</v>
      </c>
    </row>
    <row r="753" spans="1:43" x14ac:dyDescent="0.25">
      <c r="A753" t="s">
        <v>2041</v>
      </c>
      <c r="B753" t="s">
        <v>1825</v>
      </c>
      <c r="C753" t="s">
        <v>2040</v>
      </c>
      <c r="D753" s="1">
        <v>46145</v>
      </c>
      <c r="E753" t="s">
        <v>156</v>
      </c>
      <c r="F753" t="s">
        <v>325</v>
      </c>
      <c r="G753" t="s">
        <v>30</v>
      </c>
      <c r="H753" t="s">
        <v>43</v>
      </c>
      <c r="I753" t="s">
        <v>15</v>
      </c>
      <c r="J753" t="s">
        <v>14</v>
      </c>
      <c r="K753" t="s">
        <v>13</v>
      </c>
      <c r="L753" t="s">
        <v>64</v>
      </c>
      <c r="M753" t="s">
        <v>11</v>
      </c>
      <c r="N753" t="s">
        <v>154</v>
      </c>
      <c r="O753" t="s">
        <v>9</v>
      </c>
      <c r="P753" t="s">
        <v>8</v>
      </c>
      <c r="Q753" t="s">
        <v>100</v>
      </c>
      <c r="R753" t="s">
        <v>6</v>
      </c>
      <c r="S753">
        <v>7</v>
      </c>
      <c r="T753">
        <v>7</v>
      </c>
      <c r="U753">
        <v>278</v>
      </c>
      <c r="V753" t="s">
        <v>247</v>
      </c>
      <c r="W753" t="s">
        <v>5</v>
      </c>
      <c r="X753" t="s">
        <v>5</v>
      </c>
      <c r="Y753" t="s">
        <v>294</v>
      </c>
      <c r="Z753" t="s">
        <v>0</v>
      </c>
      <c r="AA753">
        <v>0</v>
      </c>
      <c r="AB753">
        <v>0</v>
      </c>
      <c r="AC753">
        <v>0</v>
      </c>
      <c r="AD753" t="s">
        <v>3</v>
      </c>
      <c r="AE753" t="s">
        <v>0</v>
      </c>
      <c r="AF753" t="s">
        <v>3</v>
      </c>
      <c r="AG753" t="s">
        <v>2</v>
      </c>
      <c r="AI753" t="s">
        <v>23</v>
      </c>
      <c r="AJ753">
        <v>3</v>
      </c>
      <c r="AK753">
        <v>-27</v>
      </c>
      <c r="AL753">
        <v>61</v>
      </c>
      <c r="AM753" t="s">
        <v>5</v>
      </c>
      <c r="AN753">
        <v>1</v>
      </c>
      <c r="AO753">
        <v>0</v>
      </c>
      <c r="AP753">
        <v>1</v>
      </c>
      <c r="AQ753">
        <v>1</v>
      </c>
    </row>
    <row r="754" spans="1:43" x14ac:dyDescent="0.25">
      <c r="A754" t="s">
        <v>2039</v>
      </c>
      <c r="B754" t="s">
        <v>1936</v>
      </c>
      <c r="C754" t="s">
        <v>2038</v>
      </c>
      <c r="D754" s="1">
        <v>45958</v>
      </c>
      <c r="E754" t="s">
        <v>79</v>
      </c>
      <c r="F754" t="s">
        <v>223</v>
      </c>
      <c r="G754" t="s">
        <v>30</v>
      </c>
      <c r="H754" t="s">
        <v>29</v>
      </c>
      <c r="I754" t="s">
        <v>28</v>
      </c>
      <c r="J754" t="s">
        <v>55</v>
      </c>
      <c r="K754" t="s">
        <v>54</v>
      </c>
      <c r="L754" t="s">
        <v>12</v>
      </c>
      <c r="M754" t="s">
        <v>11</v>
      </c>
      <c r="N754" t="s">
        <v>41</v>
      </c>
      <c r="O754" t="s">
        <v>87</v>
      </c>
      <c r="P754" t="s">
        <v>39</v>
      </c>
      <c r="Q754" t="s">
        <v>7</v>
      </c>
      <c r="R754" t="s">
        <v>6</v>
      </c>
      <c r="S754">
        <v>5</v>
      </c>
      <c r="T754">
        <v>5</v>
      </c>
      <c r="U754">
        <v>139</v>
      </c>
      <c r="V754" t="s">
        <v>0</v>
      </c>
      <c r="W754" t="s">
        <v>5</v>
      </c>
      <c r="X754" t="s">
        <v>0</v>
      </c>
      <c r="Y754" t="s">
        <v>4</v>
      </c>
      <c r="Z754" t="s">
        <v>5</v>
      </c>
      <c r="AA754">
        <v>56.67</v>
      </c>
      <c r="AB754">
        <v>0</v>
      </c>
      <c r="AC754">
        <v>0</v>
      </c>
      <c r="AD754" t="s">
        <v>3</v>
      </c>
      <c r="AE754" t="s">
        <v>0</v>
      </c>
      <c r="AF754" t="s">
        <v>3</v>
      </c>
      <c r="AG754" t="s">
        <v>2</v>
      </c>
      <c r="AI754" t="s">
        <v>23</v>
      </c>
      <c r="AJ754">
        <v>4</v>
      </c>
      <c r="AK754">
        <v>16</v>
      </c>
      <c r="AL754">
        <v>1</v>
      </c>
      <c r="AM754" t="s">
        <v>5</v>
      </c>
      <c r="AN754">
        <v>1</v>
      </c>
      <c r="AO754">
        <v>1</v>
      </c>
      <c r="AP754">
        <v>0</v>
      </c>
      <c r="AQ754">
        <v>1</v>
      </c>
    </row>
    <row r="755" spans="1:43" x14ac:dyDescent="0.25">
      <c r="A755" t="s">
        <v>2037</v>
      </c>
      <c r="B755" t="s">
        <v>1907</v>
      </c>
      <c r="C755" t="s">
        <v>2036</v>
      </c>
      <c r="D755" s="1">
        <v>45788</v>
      </c>
      <c r="E755" t="s">
        <v>95</v>
      </c>
      <c r="F755" t="s">
        <v>321</v>
      </c>
      <c r="G755" t="s">
        <v>30</v>
      </c>
      <c r="H755" t="s">
        <v>77</v>
      </c>
      <c r="I755" t="s">
        <v>15</v>
      </c>
      <c r="J755" t="s">
        <v>14</v>
      </c>
      <c r="K755" t="s">
        <v>13</v>
      </c>
      <c r="L755" t="s">
        <v>12</v>
      </c>
      <c r="M755" t="s">
        <v>53</v>
      </c>
      <c r="N755" t="s">
        <v>52</v>
      </c>
      <c r="O755" t="s">
        <v>101</v>
      </c>
      <c r="P755" t="s">
        <v>63</v>
      </c>
      <c r="Q755" t="s">
        <v>100</v>
      </c>
      <c r="R755" t="s">
        <v>6</v>
      </c>
      <c r="S755">
        <v>4</v>
      </c>
      <c r="T755">
        <v>4</v>
      </c>
      <c r="U755">
        <v>122</v>
      </c>
      <c r="V755" t="s">
        <v>0</v>
      </c>
      <c r="W755" t="s">
        <v>5</v>
      </c>
      <c r="X755" t="s">
        <v>182</v>
      </c>
      <c r="Y755" t="s">
        <v>696</v>
      </c>
      <c r="Z755" t="s">
        <v>5</v>
      </c>
      <c r="AA755">
        <v>6.29</v>
      </c>
      <c r="AB755">
        <v>0.55000000000000004</v>
      </c>
      <c r="AC755">
        <v>0.17</v>
      </c>
      <c r="AD755" t="s">
        <v>3</v>
      </c>
      <c r="AE755" t="s">
        <v>0</v>
      </c>
      <c r="AF755" t="s">
        <v>3</v>
      </c>
      <c r="AG755" t="s">
        <v>2</v>
      </c>
      <c r="AI755" t="s">
        <v>23</v>
      </c>
      <c r="AJ755">
        <v>3</v>
      </c>
      <c r="AK755">
        <v>58</v>
      </c>
      <c r="AL755">
        <v>0</v>
      </c>
      <c r="AM755" t="s">
        <v>5</v>
      </c>
      <c r="AN755">
        <v>1</v>
      </c>
      <c r="AO755">
        <v>1</v>
      </c>
      <c r="AP755">
        <v>1</v>
      </c>
      <c r="AQ755">
        <v>1</v>
      </c>
    </row>
    <row r="756" spans="1:43" x14ac:dyDescent="0.25">
      <c r="A756" t="s">
        <v>2035</v>
      </c>
      <c r="B756" t="s">
        <v>2034</v>
      </c>
      <c r="C756" t="s">
        <v>2033</v>
      </c>
      <c r="D756" s="1">
        <v>46123</v>
      </c>
      <c r="E756" t="s">
        <v>149</v>
      </c>
      <c r="F756" t="s">
        <v>183</v>
      </c>
      <c r="G756" t="s">
        <v>83</v>
      </c>
      <c r="H756" t="s">
        <v>43</v>
      </c>
      <c r="I756" t="s">
        <v>28</v>
      </c>
      <c r="J756" t="s">
        <v>55</v>
      </c>
      <c r="K756" t="s">
        <v>54</v>
      </c>
      <c r="L756" t="s">
        <v>117</v>
      </c>
      <c r="M756" t="s">
        <v>53</v>
      </c>
      <c r="N756" t="s">
        <v>269</v>
      </c>
      <c r="O756" t="s">
        <v>199</v>
      </c>
      <c r="P756" t="s">
        <v>63</v>
      </c>
      <c r="Q756" t="s">
        <v>24</v>
      </c>
      <c r="R756" t="s">
        <v>6</v>
      </c>
      <c r="S756">
        <v>5</v>
      </c>
      <c r="T756">
        <v>5</v>
      </c>
      <c r="U756">
        <v>168</v>
      </c>
      <c r="V756" t="s">
        <v>0</v>
      </c>
      <c r="W756" t="s">
        <v>5</v>
      </c>
      <c r="X756" t="s">
        <v>5</v>
      </c>
      <c r="Y756" t="s">
        <v>197</v>
      </c>
      <c r="Z756" t="s">
        <v>0</v>
      </c>
      <c r="AA756">
        <v>0</v>
      </c>
      <c r="AB756">
        <v>0</v>
      </c>
      <c r="AC756">
        <v>0</v>
      </c>
      <c r="AD756" t="s">
        <v>3</v>
      </c>
      <c r="AE756" t="s">
        <v>0</v>
      </c>
      <c r="AF756" t="s">
        <v>3</v>
      </c>
      <c r="AG756" t="s">
        <v>2</v>
      </c>
      <c r="AI756" t="s">
        <v>23</v>
      </c>
      <c r="AJ756">
        <v>4</v>
      </c>
      <c r="AK756">
        <v>-18</v>
      </c>
      <c r="AL756" t="s">
        <v>347</v>
      </c>
      <c r="AM756" t="s">
        <v>5</v>
      </c>
      <c r="AN756">
        <v>1</v>
      </c>
      <c r="AO756">
        <v>0</v>
      </c>
      <c r="AP756">
        <v>1</v>
      </c>
      <c r="AQ756">
        <v>1</v>
      </c>
    </row>
    <row r="757" spans="1:43" x14ac:dyDescent="0.25">
      <c r="A757" t="s">
        <v>2032</v>
      </c>
      <c r="B757" t="s">
        <v>1028</v>
      </c>
      <c r="C757" t="s">
        <v>2031</v>
      </c>
      <c r="D757" s="1">
        <v>45950</v>
      </c>
      <c r="E757" t="s">
        <v>125</v>
      </c>
      <c r="F757" t="s">
        <v>124</v>
      </c>
      <c r="G757" t="s">
        <v>83</v>
      </c>
      <c r="H757" t="s">
        <v>77</v>
      </c>
      <c r="I757" t="s">
        <v>15</v>
      </c>
      <c r="J757" t="s">
        <v>55</v>
      </c>
      <c r="K757" t="s">
        <v>54</v>
      </c>
      <c r="L757" t="s">
        <v>88</v>
      </c>
      <c r="M757" t="s">
        <v>53</v>
      </c>
      <c r="N757" t="s">
        <v>93</v>
      </c>
      <c r="O757" t="s">
        <v>51</v>
      </c>
      <c r="P757" t="s">
        <v>8</v>
      </c>
      <c r="Q757" t="s">
        <v>50</v>
      </c>
      <c r="R757" t="s">
        <v>6</v>
      </c>
      <c r="S757">
        <v>6</v>
      </c>
      <c r="T757" t="s">
        <v>1829</v>
      </c>
      <c r="U757">
        <v>256</v>
      </c>
      <c r="V757" t="s">
        <v>5</v>
      </c>
      <c r="W757" t="s">
        <v>0</v>
      </c>
      <c r="X757" t="s">
        <v>0</v>
      </c>
      <c r="Y757" t="s">
        <v>4</v>
      </c>
      <c r="Z757" t="s">
        <v>0</v>
      </c>
      <c r="AA757">
        <v>0</v>
      </c>
      <c r="AB757">
        <v>0</v>
      </c>
      <c r="AC757">
        <v>0</v>
      </c>
      <c r="AD757" t="s">
        <v>3</v>
      </c>
      <c r="AE757" t="s">
        <v>0</v>
      </c>
      <c r="AF757" t="s">
        <v>3</v>
      </c>
      <c r="AG757" t="s">
        <v>2</v>
      </c>
      <c r="AI757" t="s">
        <v>1</v>
      </c>
      <c r="AJ757">
        <v>2</v>
      </c>
      <c r="AK757">
        <v>-2</v>
      </c>
      <c r="AL757">
        <v>30</v>
      </c>
      <c r="AM757" t="s">
        <v>0</v>
      </c>
      <c r="AN757">
        <v>0</v>
      </c>
      <c r="AO757">
        <v>0</v>
      </c>
      <c r="AP757">
        <v>0</v>
      </c>
      <c r="AQ757">
        <v>0</v>
      </c>
    </row>
    <row r="758" spans="1:43" x14ac:dyDescent="0.25">
      <c r="A758" t="s">
        <v>2030</v>
      </c>
      <c r="B758" t="s">
        <v>2029</v>
      </c>
      <c r="C758" t="s">
        <v>2028</v>
      </c>
      <c r="D758" s="1">
        <v>45936</v>
      </c>
      <c r="E758" t="s">
        <v>19</v>
      </c>
      <c r="F758" t="s">
        <v>295</v>
      </c>
      <c r="G758" t="s">
        <v>17</v>
      </c>
      <c r="H758" t="s">
        <v>16</v>
      </c>
      <c r="I758" t="s">
        <v>28</v>
      </c>
      <c r="J758" t="s">
        <v>55</v>
      </c>
      <c r="K758" t="s">
        <v>54</v>
      </c>
      <c r="L758" t="s">
        <v>117</v>
      </c>
      <c r="M758" t="s">
        <v>11</v>
      </c>
      <c r="N758" t="s">
        <v>93</v>
      </c>
      <c r="O758" t="s">
        <v>74</v>
      </c>
      <c r="P758" t="s">
        <v>39</v>
      </c>
      <c r="Q758" t="s">
        <v>247</v>
      </c>
      <c r="R758" t="s">
        <v>6</v>
      </c>
      <c r="S758">
        <v>6</v>
      </c>
      <c r="T758">
        <v>4</v>
      </c>
      <c r="U758">
        <v>280</v>
      </c>
      <c r="V758" t="s">
        <v>182</v>
      </c>
      <c r="W758" t="s">
        <v>5</v>
      </c>
      <c r="X758" t="s">
        <v>0</v>
      </c>
      <c r="Y758" t="s">
        <v>4</v>
      </c>
      <c r="Z758" t="s">
        <v>0</v>
      </c>
      <c r="AA758">
        <v>0</v>
      </c>
      <c r="AB758">
        <v>0</v>
      </c>
      <c r="AC758">
        <v>0</v>
      </c>
      <c r="AD758" t="s">
        <v>3</v>
      </c>
      <c r="AE758" t="s">
        <v>0</v>
      </c>
      <c r="AF758" t="s">
        <v>3</v>
      </c>
      <c r="AG758" t="s">
        <v>2</v>
      </c>
      <c r="AI758" t="s">
        <v>23</v>
      </c>
      <c r="AJ758">
        <v>4</v>
      </c>
      <c r="AK758">
        <v>-15</v>
      </c>
      <c r="AL758">
        <v>12</v>
      </c>
      <c r="AM758" t="s">
        <v>5</v>
      </c>
      <c r="AN758">
        <v>1</v>
      </c>
      <c r="AO758">
        <v>0</v>
      </c>
      <c r="AP758">
        <v>0</v>
      </c>
      <c r="AQ758">
        <v>1</v>
      </c>
    </row>
    <row r="759" spans="1:43" x14ac:dyDescent="0.25">
      <c r="A759" t="s">
        <v>2027</v>
      </c>
      <c r="B759" t="s">
        <v>334</v>
      </c>
      <c r="C759" t="s">
        <v>2026</v>
      </c>
      <c r="D759" s="1">
        <v>45776</v>
      </c>
      <c r="E759" t="s">
        <v>19</v>
      </c>
      <c r="F759" t="s">
        <v>255</v>
      </c>
      <c r="G759" t="s">
        <v>110</v>
      </c>
      <c r="H759" t="s">
        <v>16</v>
      </c>
      <c r="I759" t="s">
        <v>28</v>
      </c>
      <c r="J759" t="s">
        <v>55</v>
      </c>
      <c r="K759" t="s">
        <v>54</v>
      </c>
      <c r="L759" t="s">
        <v>117</v>
      </c>
      <c r="M759" t="s">
        <v>11</v>
      </c>
      <c r="N759" t="s">
        <v>52</v>
      </c>
      <c r="O759" t="s">
        <v>51</v>
      </c>
      <c r="P759" t="s">
        <v>63</v>
      </c>
      <c r="Q759" t="s">
        <v>7</v>
      </c>
      <c r="R759" t="s">
        <v>6</v>
      </c>
      <c r="S759">
        <v>6</v>
      </c>
      <c r="T759">
        <v>4</v>
      </c>
      <c r="U759">
        <v>188</v>
      </c>
      <c r="V759" t="s">
        <v>182</v>
      </c>
      <c r="W759" t="s">
        <v>5</v>
      </c>
      <c r="X759" t="s">
        <v>0</v>
      </c>
      <c r="Y759" t="s">
        <v>4</v>
      </c>
      <c r="Z759" t="s">
        <v>5</v>
      </c>
      <c r="AA759">
        <v>22.51</v>
      </c>
      <c r="AB759">
        <v>0.11</v>
      </c>
      <c r="AC759">
        <v>0</v>
      </c>
      <c r="AD759" t="s">
        <v>3</v>
      </c>
      <c r="AE759" t="s">
        <v>0</v>
      </c>
      <c r="AF759" t="s">
        <v>3</v>
      </c>
      <c r="AG759" t="s">
        <v>2</v>
      </c>
      <c r="AI759" t="s">
        <v>23</v>
      </c>
      <c r="AJ759">
        <v>2</v>
      </c>
      <c r="AK759">
        <v>-14</v>
      </c>
      <c r="AL759">
        <v>0</v>
      </c>
      <c r="AM759" t="s">
        <v>5</v>
      </c>
      <c r="AN759">
        <v>1</v>
      </c>
      <c r="AO759">
        <v>1</v>
      </c>
      <c r="AP759">
        <v>0</v>
      </c>
      <c r="AQ759">
        <v>1</v>
      </c>
    </row>
    <row r="760" spans="1:43" x14ac:dyDescent="0.25">
      <c r="A760" t="s">
        <v>2025</v>
      </c>
      <c r="B760" t="s">
        <v>1292</v>
      </c>
      <c r="C760" t="s">
        <v>2024</v>
      </c>
      <c r="D760" s="1">
        <v>45787</v>
      </c>
      <c r="E760" t="s">
        <v>19</v>
      </c>
      <c r="F760" t="s">
        <v>255</v>
      </c>
      <c r="G760" t="s">
        <v>17</v>
      </c>
      <c r="H760" t="s">
        <v>16</v>
      </c>
      <c r="I760" t="s">
        <v>28</v>
      </c>
      <c r="J760" t="s">
        <v>146</v>
      </c>
      <c r="K760" t="s">
        <v>145</v>
      </c>
      <c r="L760" t="s">
        <v>42</v>
      </c>
      <c r="M760" t="s">
        <v>11</v>
      </c>
      <c r="N760" t="s">
        <v>41</v>
      </c>
      <c r="O760" t="s">
        <v>74</v>
      </c>
      <c r="P760" t="s">
        <v>8</v>
      </c>
      <c r="Q760" t="s">
        <v>7</v>
      </c>
      <c r="R760" t="s">
        <v>6</v>
      </c>
      <c r="S760">
        <v>6</v>
      </c>
      <c r="T760">
        <v>6</v>
      </c>
      <c r="U760">
        <v>118</v>
      </c>
      <c r="V760" t="s">
        <v>0</v>
      </c>
      <c r="W760" t="s">
        <v>0</v>
      </c>
      <c r="X760" t="s">
        <v>0</v>
      </c>
      <c r="Y760" t="s">
        <v>4</v>
      </c>
      <c r="Z760" t="s">
        <v>0</v>
      </c>
      <c r="AA760">
        <v>0</v>
      </c>
      <c r="AB760">
        <v>0</v>
      </c>
      <c r="AC760">
        <v>0</v>
      </c>
      <c r="AD760" t="s">
        <v>187</v>
      </c>
      <c r="AE760" t="s">
        <v>5</v>
      </c>
      <c r="AF760" t="s">
        <v>187</v>
      </c>
      <c r="AG760" t="s">
        <v>36</v>
      </c>
      <c r="AH760">
        <v>22</v>
      </c>
      <c r="AI760" t="s">
        <v>23</v>
      </c>
      <c r="AJ760">
        <v>3</v>
      </c>
      <c r="AK760">
        <v>-4</v>
      </c>
      <c r="AL760">
        <v>67</v>
      </c>
      <c r="AM760" t="s">
        <v>0</v>
      </c>
      <c r="AN760">
        <v>0</v>
      </c>
      <c r="AO760">
        <v>0</v>
      </c>
      <c r="AP760">
        <v>0</v>
      </c>
      <c r="AQ760">
        <v>0</v>
      </c>
    </row>
    <row r="761" spans="1:43" x14ac:dyDescent="0.25">
      <c r="A761" t="s">
        <v>2023</v>
      </c>
      <c r="B761" t="s">
        <v>2022</v>
      </c>
      <c r="C761" t="s">
        <v>2021</v>
      </c>
      <c r="D761" s="1">
        <v>45739</v>
      </c>
      <c r="E761" t="s">
        <v>112</v>
      </c>
      <c r="F761" t="s">
        <v>642</v>
      </c>
      <c r="G761" t="s">
        <v>83</v>
      </c>
      <c r="H761" t="s">
        <v>43</v>
      </c>
      <c r="I761" t="s">
        <v>28</v>
      </c>
      <c r="J761" t="s">
        <v>146</v>
      </c>
      <c r="K761" t="s">
        <v>145</v>
      </c>
      <c r="L761" t="s">
        <v>88</v>
      </c>
      <c r="M761" t="s">
        <v>299</v>
      </c>
      <c r="N761" t="s">
        <v>116</v>
      </c>
      <c r="O761" t="s">
        <v>26</v>
      </c>
      <c r="P761" t="s">
        <v>39</v>
      </c>
      <c r="Q761" t="s">
        <v>198</v>
      </c>
      <c r="R761" t="s">
        <v>38</v>
      </c>
      <c r="S761">
        <v>4</v>
      </c>
      <c r="T761">
        <v>4</v>
      </c>
      <c r="U761">
        <v>128</v>
      </c>
      <c r="V761" t="s">
        <v>0</v>
      </c>
      <c r="W761" t="s">
        <v>287</v>
      </c>
      <c r="X761" t="s">
        <v>182</v>
      </c>
      <c r="Y761" t="s">
        <v>355</v>
      </c>
      <c r="Z761" t="s">
        <v>0</v>
      </c>
      <c r="AA761">
        <v>0</v>
      </c>
      <c r="AB761">
        <v>0</v>
      </c>
      <c r="AC761">
        <v>0</v>
      </c>
      <c r="AD761" t="s">
        <v>3</v>
      </c>
      <c r="AE761" t="s">
        <v>0</v>
      </c>
      <c r="AF761" t="s">
        <v>3</v>
      </c>
      <c r="AG761" t="s">
        <v>2</v>
      </c>
      <c r="AI761" t="s">
        <v>23</v>
      </c>
      <c r="AJ761">
        <v>4</v>
      </c>
      <c r="AK761">
        <v>11</v>
      </c>
      <c r="AL761">
        <v>63</v>
      </c>
      <c r="AM761" t="s">
        <v>5</v>
      </c>
      <c r="AN761">
        <v>1</v>
      </c>
      <c r="AO761">
        <v>0</v>
      </c>
      <c r="AP761">
        <v>1</v>
      </c>
      <c r="AQ761">
        <v>1</v>
      </c>
    </row>
    <row r="762" spans="1:43" x14ac:dyDescent="0.25">
      <c r="A762" t="s">
        <v>2020</v>
      </c>
      <c r="B762" t="s">
        <v>2019</v>
      </c>
      <c r="C762" t="s">
        <v>2018</v>
      </c>
      <c r="D762" s="1">
        <v>45916</v>
      </c>
      <c r="E762" t="s">
        <v>125</v>
      </c>
      <c r="F762" t="s">
        <v>265</v>
      </c>
      <c r="G762" t="s">
        <v>83</v>
      </c>
      <c r="H762" t="s">
        <v>43</v>
      </c>
      <c r="I762" t="s">
        <v>28</v>
      </c>
      <c r="J762" t="s">
        <v>14</v>
      </c>
      <c r="K762" t="s">
        <v>13</v>
      </c>
      <c r="L762" t="s">
        <v>64</v>
      </c>
      <c r="M762" t="s">
        <v>11</v>
      </c>
      <c r="N762" t="s">
        <v>52</v>
      </c>
      <c r="O762" t="s">
        <v>74</v>
      </c>
      <c r="P762" t="s">
        <v>8</v>
      </c>
      <c r="Q762" t="s">
        <v>50</v>
      </c>
      <c r="R762" t="s">
        <v>38</v>
      </c>
      <c r="S762">
        <v>6</v>
      </c>
      <c r="T762">
        <v>4</v>
      </c>
      <c r="U762">
        <v>257</v>
      </c>
      <c r="V762" t="s">
        <v>5</v>
      </c>
      <c r="W762" t="s">
        <v>5</v>
      </c>
      <c r="X762" t="s">
        <v>0</v>
      </c>
      <c r="Y762" t="s">
        <v>4</v>
      </c>
      <c r="Z762" t="s">
        <v>5</v>
      </c>
      <c r="AA762">
        <v>32.78</v>
      </c>
      <c r="AB762">
        <v>0</v>
      </c>
      <c r="AC762">
        <v>0</v>
      </c>
      <c r="AD762" t="s">
        <v>227</v>
      </c>
      <c r="AE762" t="s">
        <v>5</v>
      </c>
      <c r="AF762" t="s">
        <v>227</v>
      </c>
      <c r="AG762" t="s">
        <v>36</v>
      </c>
      <c r="AH762">
        <v>34</v>
      </c>
      <c r="AI762" t="s">
        <v>23</v>
      </c>
      <c r="AJ762">
        <v>2</v>
      </c>
      <c r="AK762">
        <v>52</v>
      </c>
      <c r="AL762">
        <v>2</v>
      </c>
      <c r="AM762" t="s">
        <v>5</v>
      </c>
      <c r="AN762">
        <v>1</v>
      </c>
      <c r="AO762">
        <v>1</v>
      </c>
      <c r="AP762">
        <v>0</v>
      </c>
      <c r="AQ762">
        <v>1</v>
      </c>
    </row>
    <row r="763" spans="1:43" x14ac:dyDescent="0.25">
      <c r="A763" t="s">
        <v>2017</v>
      </c>
      <c r="B763" t="s">
        <v>2016</v>
      </c>
      <c r="C763" t="s">
        <v>2015</v>
      </c>
      <c r="D763" s="1">
        <v>46014</v>
      </c>
      <c r="E763" t="s">
        <v>168</v>
      </c>
      <c r="F763" t="s">
        <v>2014</v>
      </c>
      <c r="G763" t="s">
        <v>83</v>
      </c>
      <c r="H763" t="s">
        <v>77</v>
      </c>
      <c r="I763" t="s">
        <v>15</v>
      </c>
      <c r="J763" t="s">
        <v>14</v>
      </c>
      <c r="K763" t="s">
        <v>13</v>
      </c>
      <c r="L763" t="s">
        <v>88</v>
      </c>
      <c r="M763" t="s">
        <v>11</v>
      </c>
      <c r="N763" t="s">
        <v>75</v>
      </c>
      <c r="O763" t="s">
        <v>101</v>
      </c>
      <c r="P763" t="s">
        <v>63</v>
      </c>
      <c r="Q763" t="s">
        <v>198</v>
      </c>
      <c r="R763" t="s">
        <v>6</v>
      </c>
      <c r="S763">
        <v>4</v>
      </c>
      <c r="T763">
        <v>4</v>
      </c>
      <c r="U763">
        <v>121</v>
      </c>
      <c r="V763" t="s">
        <v>0</v>
      </c>
      <c r="W763" t="s">
        <v>5</v>
      </c>
      <c r="X763" t="s">
        <v>135</v>
      </c>
      <c r="Y763" t="s">
        <v>4</v>
      </c>
      <c r="Z763" t="s">
        <v>0</v>
      </c>
      <c r="AA763">
        <v>0</v>
      </c>
      <c r="AB763">
        <v>0</v>
      </c>
      <c r="AC763">
        <v>0</v>
      </c>
      <c r="AD763" t="s">
        <v>187</v>
      </c>
      <c r="AE763" t="s">
        <v>5</v>
      </c>
      <c r="AF763" t="s">
        <v>187</v>
      </c>
      <c r="AG763" t="s">
        <v>36</v>
      </c>
      <c r="AH763">
        <v>36</v>
      </c>
      <c r="AI763" t="s">
        <v>23</v>
      </c>
      <c r="AJ763">
        <v>4</v>
      </c>
      <c r="AK763">
        <v>29</v>
      </c>
      <c r="AL763">
        <v>0</v>
      </c>
      <c r="AM763" t="s">
        <v>5</v>
      </c>
      <c r="AN763">
        <v>1</v>
      </c>
      <c r="AO763">
        <v>0</v>
      </c>
      <c r="AP763">
        <v>0</v>
      </c>
      <c r="AQ763">
        <v>1</v>
      </c>
    </row>
    <row r="764" spans="1:43" x14ac:dyDescent="0.25">
      <c r="A764" t="s">
        <v>2013</v>
      </c>
      <c r="B764" t="s">
        <v>2012</v>
      </c>
      <c r="C764" t="s">
        <v>2011</v>
      </c>
      <c r="D764" s="1">
        <v>46122</v>
      </c>
      <c r="E764" t="s">
        <v>95</v>
      </c>
      <c r="F764" t="s">
        <v>94</v>
      </c>
      <c r="G764" t="s">
        <v>56</v>
      </c>
      <c r="H764" t="s">
        <v>43</v>
      </c>
      <c r="I764" t="s">
        <v>15</v>
      </c>
      <c r="J764" t="s">
        <v>55</v>
      </c>
      <c r="K764" t="s">
        <v>54</v>
      </c>
      <c r="L764" t="s">
        <v>88</v>
      </c>
      <c r="M764" t="s">
        <v>11</v>
      </c>
      <c r="N764" t="s">
        <v>75</v>
      </c>
      <c r="O764" t="s">
        <v>40</v>
      </c>
      <c r="P764" t="s">
        <v>39</v>
      </c>
      <c r="Q764" t="s">
        <v>50</v>
      </c>
      <c r="R764" t="s">
        <v>6</v>
      </c>
      <c r="S764">
        <v>8</v>
      </c>
      <c r="T764">
        <v>7</v>
      </c>
      <c r="U764">
        <v>370</v>
      </c>
      <c r="V764" t="s">
        <v>5</v>
      </c>
      <c r="W764" t="s">
        <v>0</v>
      </c>
      <c r="X764" t="s">
        <v>0</v>
      </c>
      <c r="Y764" t="s">
        <v>4</v>
      </c>
      <c r="Z764" t="s">
        <v>0</v>
      </c>
      <c r="AA764">
        <v>0</v>
      </c>
      <c r="AB764">
        <v>0</v>
      </c>
      <c r="AC764">
        <v>0</v>
      </c>
      <c r="AD764" t="s">
        <v>3</v>
      </c>
      <c r="AE764" t="s">
        <v>0</v>
      </c>
      <c r="AF764" t="s">
        <v>3</v>
      </c>
      <c r="AG764" t="s">
        <v>2</v>
      </c>
      <c r="AI764" t="s">
        <v>1</v>
      </c>
      <c r="AJ764">
        <v>3</v>
      </c>
      <c r="AK764">
        <v>-9</v>
      </c>
      <c r="AL764">
        <v>35</v>
      </c>
      <c r="AM764" t="s">
        <v>5</v>
      </c>
      <c r="AN764">
        <v>0</v>
      </c>
      <c r="AO764">
        <v>0</v>
      </c>
      <c r="AP764">
        <v>0</v>
      </c>
      <c r="AQ764">
        <v>1</v>
      </c>
    </row>
    <row r="765" spans="1:43" x14ac:dyDescent="0.25">
      <c r="A765" t="s">
        <v>2010</v>
      </c>
      <c r="B765" t="s">
        <v>1049</v>
      </c>
      <c r="C765" t="s">
        <v>2009</v>
      </c>
      <c r="D765" s="1">
        <v>45925</v>
      </c>
      <c r="E765" t="s">
        <v>162</v>
      </c>
      <c r="F765" t="s">
        <v>200</v>
      </c>
      <c r="G765" t="s">
        <v>110</v>
      </c>
      <c r="H765" t="s">
        <v>77</v>
      </c>
      <c r="I765" t="s">
        <v>28</v>
      </c>
      <c r="J765" t="s">
        <v>55</v>
      </c>
      <c r="K765" t="s">
        <v>54</v>
      </c>
      <c r="L765" t="s">
        <v>12</v>
      </c>
      <c r="M765" t="s">
        <v>11</v>
      </c>
      <c r="N765" t="s">
        <v>10</v>
      </c>
      <c r="O765" t="s">
        <v>193</v>
      </c>
      <c r="P765" t="s">
        <v>63</v>
      </c>
      <c r="Q765" t="s">
        <v>198</v>
      </c>
      <c r="R765" t="s">
        <v>6</v>
      </c>
      <c r="S765">
        <v>9</v>
      </c>
      <c r="T765">
        <v>8</v>
      </c>
      <c r="U765">
        <v>288</v>
      </c>
      <c r="V765" t="s">
        <v>5</v>
      </c>
      <c r="W765" t="s">
        <v>0</v>
      </c>
      <c r="X765" t="s">
        <v>0</v>
      </c>
      <c r="Y765" t="s">
        <v>4</v>
      </c>
      <c r="Z765" t="s">
        <v>5</v>
      </c>
      <c r="AA765">
        <v>82.23</v>
      </c>
      <c r="AB765">
        <v>3.02</v>
      </c>
      <c r="AC765">
        <v>0</v>
      </c>
      <c r="AD765" t="s">
        <v>3</v>
      </c>
      <c r="AE765" t="s">
        <v>0</v>
      </c>
      <c r="AF765" t="s">
        <v>3</v>
      </c>
      <c r="AG765" t="s">
        <v>2</v>
      </c>
      <c r="AI765" t="s">
        <v>1</v>
      </c>
      <c r="AJ765">
        <v>3</v>
      </c>
      <c r="AK765">
        <v>-48</v>
      </c>
      <c r="AL765" t="s">
        <v>347</v>
      </c>
      <c r="AM765" t="s">
        <v>0</v>
      </c>
      <c r="AN765">
        <v>0</v>
      </c>
      <c r="AO765">
        <v>1</v>
      </c>
      <c r="AP765">
        <v>0</v>
      </c>
      <c r="AQ765">
        <v>0</v>
      </c>
    </row>
    <row r="766" spans="1:43" x14ac:dyDescent="0.25">
      <c r="A766" t="s">
        <v>2008</v>
      </c>
      <c r="B766" t="s">
        <v>2007</v>
      </c>
      <c r="C766" t="s">
        <v>2006</v>
      </c>
      <c r="D766" s="1">
        <v>46003</v>
      </c>
      <c r="E766" t="s">
        <v>32</v>
      </c>
      <c r="F766" t="s">
        <v>382</v>
      </c>
      <c r="G766" t="s">
        <v>110</v>
      </c>
      <c r="H766" t="s">
        <v>77</v>
      </c>
      <c r="I766" t="s">
        <v>15</v>
      </c>
      <c r="J766" t="s">
        <v>14</v>
      </c>
      <c r="K766" t="s">
        <v>13</v>
      </c>
      <c r="L766" t="s">
        <v>117</v>
      </c>
      <c r="M766" t="s">
        <v>53</v>
      </c>
      <c r="N766" t="s">
        <v>75</v>
      </c>
      <c r="O766" t="s">
        <v>199</v>
      </c>
      <c r="P766" t="s">
        <v>39</v>
      </c>
      <c r="Q766" t="s">
        <v>7</v>
      </c>
      <c r="R766" t="s">
        <v>6</v>
      </c>
      <c r="S766">
        <v>5</v>
      </c>
      <c r="T766">
        <v>4</v>
      </c>
      <c r="U766">
        <v>146</v>
      </c>
      <c r="V766" t="s">
        <v>5</v>
      </c>
      <c r="W766" t="s">
        <v>0</v>
      </c>
      <c r="X766" t="s">
        <v>0</v>
      </c>
      <c r="Y766" t="s">
        <v>4</v>
      </c>
      <c r="Z766" t="s">
        <v>0</v>
      </c>
      <c r="AA766">
        <v>0</v>
      </c>
      <c r="AB766">
        <v>0</v>
      </c>
      <c r="AC766">
        <v>0</v>
      </c>
      <c r="AD766" t="s">
        <v>3</v>
      </c>
      <c r="AE766" t="s">
        <v>0</v>
      </c>
      <c r="AF766" t="s">
        <v>3</v>
      </c>
      <c r="AG766" t="s">
        <v>2</v>
      </c>
      <c r="AI766" t="s">
        <v>1</v>
      </c>
      <c r="AJ766">
        <v>3</v>
      </c>
      <c r="AK766">
        <v>-23</v>
      </c>
      <c r="AL766">
        <v>47</v>
      </c>
      <c r="AM766" t="s">
        <v>0</v>
      </c>
      <c r="AN766">
        <v>0</v>
      </c>
      <c r="AO766">
        <v>0</v>
      </c>
      <c r="AP766">
        <v>0</v>
      </c>
      <c r="AQ766">
        <v>0</v>
      </c>
    </row>
    <row r="767" spans="1:43" x14ac:dyDescent="0.25">
      <c r="A767" t="s">
        <v>2005</v>
      </c>
      <c r="B767" t="s">
        <v>1337</v>
      </c>
      <c r="C767" t="s">
        <v>2004</v>
      </c>
      <c r="D767" s="1">
        <v>46150</v>
      </c>
      <c r="E767" t="s">
        <v>168</v>
      </c>
      <c r="F767" t="s">
        <v>283</v>
      </c>
      <c r="G767" t="s">
        <v>83</v>
      </c>
      <c r="H767" t="s">
        <v>77</v>
      </c>
      <c r="I767" t="s">
        <v>28</v>
      </c>
      <c r="J767" t="s">
        <v>14</v>
      </c>
      <c r="K767" t="s">
        <v>13</v>
      </c>
      <c r="L767" t="s">
        <v>64</v>
      </c>
      <c r="M767" t="s">
        <v>27</v>
      </c>
      <c r="N767" t="s">
        <v>269</v>
      </c>
      <c r="O767" t="s">
        <v>40</v>
      </c>
      <c r="P767" t="s">
        <v>39</v>
      </c>
      <c r="Q767" t="s">
        <v>7</v>
      </c>
      <c r="R767" t="s">
        <v>6</v>
      </c>
      <c r="S767" t="s">
        <v>106</v>
      </c>
      <c r="T767">
        <v>6</v>
      </c>
      <c r="U767">
        <v>557</v>
      </c>
      <c r="V767" t="s">
        <v>5</v>
      </c>
      <c r="W767" t="s">
        <v>0</v>
      </c>
      <c r="X767" t="s">
        <v>5</v>
      </c>
      <c r="Y767" t="s">
        <v>160</v>
      </c>
      <c r="Z767" t="s">
        <v>0</v>
      </c>
      <c r="AA767">
        <v>0</v>
      </c>
      <c r="AB767">
        <v>0</v>
      </c>
      <c r="AC767">
        <v>0</v>
      </c>
      <c r="AD767" t="s">
        <v>3</v>
      </c>
      <c r="AE767" t="s">
        <v>0</v>
      </c>
      <c r="AF767" t="s">
        <v>3</v>
      </c>
      <c r="AG767" t="s">
        <v>2</v>
      </c>
      <c r="AI767" t="s">
        <v>122</v>
      </c>
      <c r="AJ767">
        <v>2</v>
      </c>
      <c r="AK767">
        <v>-47</v>
      </c>
      <c r="AL767">
        <v>38</v>
      </c>
      <c r="AM767" t="s">
        <v>0</v>
      </c>
      <c r="AN767">
        <v>0</v>
      </c>
      <c r="AO767">
        <v>0</v>
      </c>
      <c r="AP767">
        <v>1</v>
      </c>
      <c r="AQ767">
        <v>0</v>
      </c>
    </row>
    <row r="768" spans="1:43" x14ac:dyDescent="0.25">
      <c r="A768" t="s">
        <v>2003</v>
      </c>
      <c r="B768" t="s">
        <v>275</v>
      </c>
      <c r="C768" t="s">
        <v>2002</v>
      </c>
      <c r="D768" s="1">
        <v>45769</v>
      </c>
      <c r="E768" t="s">
        <v>79</v>
      </c>
      <c r="F768" t="s">
        <v>206</v>
      </c>
      <c r="G768" t="s">
        <v>30</v>
      </c>
      <c r="H768" t="s">
        <v>16</v>
      </c>
      <c r="I768" t="s">
        <v>15</v>
      </c>
      <c r="J768" t="s">
        <v>146</v>
      </c>
      <c r="K768" t="s">
        <v>176</v>
      </c>
      <c r="L768" t="s">
        <v>12</v>
      </c>
      <c r="M768" t="s">
        <v>11</v>
      </c>
      <c r="N768" t="s">
        <v>269</v>
      </c>
      <c r="O768" t="s">
        <v>40</v>
      </c>
      <c r="P768" t="s">
        <v>39</v>
      </c>
      <c r="Q768" t="s">
        <v>100</v>
      </c>
      <c r="R768" t="s">
        <v>6</v>
      </c>
      <c r="S768">
        <v>8</v>
      </c>
      <c r="T768">
        <v>8</v>
      </c>
      <c r="U768">
        <v>237</v>
      </c>
      <c r="V768" t="s">
        <v>0</v>
      </c>
      <c r="W768" t="s">
        <v>0</v>
      </c>
      <c r="X768" t="s">
        <v>0</v>
      </c>
      <c r="Y768" t="s">
        <v>4</v>
      </c>
      <c r="Z768" t="s">
        <v>5</v>
      </c>
      <c r="AA768">
        <v>404.01</v>
      </c>
      <c r="AB768">
        <v>2.6</v>
      </c>
      <c r="AC768">
        <v>0</v>
      </c>
      <c r="AD768" t="s">
        <v>3</v>
      </c>
      <c r="AE768" t="s">
        <v>0</v>
      </c>
      <c r="AF768" t="s">
        <v>3</v>
      </c>
      <c r="AG768" t="s">
        <v>2</v>
      </c>
      <c r="AI768" t="s">
        <v>23</v>
      </c>
      <c r="AJ768">
        <v>2</v>
      </c>
      <c r="AK768">
        <v>-32</v>
      </c>
      <c r="AL768">
        <v>4</v>
      </c>
      <c r="AM768" t="s">
        <v>0</v>
      </c>
      <c r="AN768">
        <v>0</v>
      </c>
      <c r="AO768">
        <v>1</v>
      </c>
      <c r="AP768">
        <v>0</v>
      </c>
      <c r="AQ768">
        <v>0</v>
      </c>
    </row>
    <row r="769" spans="1:43" x14ac:dyDescent="0.25">
      <c r="A769" t="s">
        <v>2001</v>
      </c>
      <c r="B769" t="s">
        <v>250</v>
      </c>
      <c r="C769" t="s">
        <v>2000</v>
      </c>
      <c r="D769" s="1">
        <v>46059</v>
      </c>
      <c r="E769" t="s">
        <v>125</v>
      </c>
      <c r="F769" t="s">
        <v>1999</v>
      </c>
      <c r="G769" t="s">
        <v>56</v>
      </c>
      <c r="H769" t="s">
        <v>29</v>
      </c>
      <c r="I769" t="s">
        <v>15</v>
      </c>
      <c r="J769" t="s">
        <v>14</v>
      </c>
      <c r="K769" t="s">
        <v>13</v>
      </c>
      <c r="L769" t="s">
        <v>88</v>
      </c>
      <c r="M769" t="s">
        <v>11</v>
      </c>
      <c r="N769" t="s">
        <v>75</v>
      </c>
      <c r="O769" t="s">
        <v>74</v>
      </c>
      <c r="P769" t="s">
        <v>25</v>
      </c>
      <c r="Q769" t="s">
        <v>7</v>
      </c>
      <c r="R769" t="s">
        <v>6</v>
      </c>
      <c r="S769">
        <v>6</v>
      </c>
      <c r="T769">
        <v>6</v>
      </c>
      <c r="U769">
        <v>193</v>
      </c>
      <c r="V769" t="s">
        <v>0</v>
      </c>
      <c r="W769" t="s">
        <v>0</v>
      </c>
      <c r="X769" t="s">
        <v>5</v>
      </c>
      <c r="Y769" t="s">
        <v>73</v>
      </c>
      <c r="Z769" t="s">
        <v>0</v>
      </c>
      <c r="AA769">
        <v>0</v>
      </c>
      <c r="AB769">
        <v>0</v>
      </c>
      <c r="AC769">
        <v>0</v>
      </c>
      <c r="AD769" t="s">
        <v>3</v>
      </c>
      <c r="AE769" t="s">
        <v>0</v>
      </c>
      <c r="AF769" t="s">
        <v>3</v>
      </c>
      <c r="AG769" t="s">
        <v>2</v>
      </c>
      <c r="AI769" t="s">
        <v>332</v>
      </c>
      <c r="AJ769">
        <v>2</v>
      </c>
      <c r="AK769">
        <v>-22</v>
      </c>
      <c r="AL769">
        <v>39</v>
      </c>
      <c r="AM769" t="s">
        <v>0</v>
      </c>
      <c r="AN769">
        <v>0</v>
      </c>
      <c r="AO769">
        <v>0</v>
      </c>
      <c r="AP769">
        <v>1</v>
      </c>
      <c r="AQ769">
        <v>0</v>
      </c>
    </row>
    <row r="770" spans="1:43" x14ac:dyDescent="0.25">
      <c r="A770" t="s">
        <v>1998</v>
      </c>
      <c r="B770" t="s">
        <v>368</v>
      </c>
      <c r="C770" t="s">
        <v>1997</v>
      </c>
      <c r="D770" s="1">
        <v>46047</v>
      </c>
      <c r="E770" t="s">
        <v>125</v>
      </c>
      <c r="F770" t="s">
        <v>124</v>
      </c>
      <c r="G770" t="s">
        <v>110</v>
      </c>
      <c r="H770" t="s">
        <v>16</v>
      </c>
      <c r="I770" t="s">
        <v>15</v>
      </c>
      <c r="J770" t="s">
        <v>14</v>
      </c>
      <c r="K770" t="s">
        <v>13</v>
      </c>
      <c r="L770" t="s">
        <v>64</v>
      </c>
      <c r="M770" t="s">
        <v>11</v>
      </c>
      <c r="N770" t="s">
        <v>269</v>
      </c>
      <c r="O770" t="s">
        <v>199</v>
      </c>
      <c r="P770" t="s">
        <v>39</v>
      </c>
      <c r="Q770" t="s">
        <v>7</v>
      </c>
      <c r="R770" t="s">
        <v>6</v>
      </c>
      <c r="S770">
        <v>5</v>
      </c>
      <c r="T770">
        <v>5</v>
      </c>
      <c r="U770">
        <v>152</v>
      </c>
      <c r="V770" t="s">
        <v>0</v>
      </c>
      <c r="W770" t="s">
        <v>5</v>
      </c>
      <c r="X770" t="s">
        <v>0</v>
      </c>
      <c r="Y770" t="s">
        <v>4</v>
      </c>
      <c r="Z770" t="s">
        <v>5</v>
      </c>
      <c r="AA770">
        <v>57.45</v>
      </c>
      <c r="AB770">
        <v>0</v>
      </c>
      <c r="AC770">
        <v>0</v>
      </c>
      <c r="AD770" t="s">
        <v>3</v>
      </c>
      <c r="AE770" t="s">
        <v>0</v>
      </c>
      <c r="AF770" t="s">
        <v>3</v>
      </c>
      <c r="AG770" t="s">
        <v>2</v>
      </c>
      <c r="AI770" t="s">
        <v>23</v>
      </c>
      <c r="AJ770">
        <v>4</v>
      </c>
      <c r="AK770">
        <v>38</v>
      </c>
      <c r="AL770">
        <v>35</v>
      </c>
      <c r="AM770" t="s">
        <v>0</v>
      </c>
      <c r="AN770">
        <v>1</v>
      </c>
      <c r="AO770">
        <v>1</v>
      </c>
      <c r="AP770">
        <v>0</v>
      </c>
      <c r="AQ770">
        <v>0</v>
      </c>
    </row>
    <row r="771" spans="1:43" x14ac:dyDescent="0.25">
      <c r="A771" t="s">
        <v>1395</v>
      </c>
      <c r="B771" t="s">
        <v>1394</v>
      </c>
      <c r="C771" t="s">
        <v>1393</v>
      </c>
      <c r="D771" s="1">
        <v>45988</v>
      </c>
      <c r="E771" t="s">
        <v>149</v>
      </c>
      <c r="F771" t="s">
        <v>1996</v>
      </c>
      <c r="G771" t="s">
        <v>56</v>
      </c>
      <c r="H771" t="s">
        <v>43</v>
      </c>
      <c r="I771" t="s">
        <v>15</v>
      </c>
      <c r="J771" t="s">
        <v>14</v>
      </c>
      <c r="K771" t="s">
        <v>13</v>
      </c>
      <c r="L771" t="s">
        <v>12</v>
      </c>
      <c r="M771" t="s">
        <v>27</v>
      </c>
      <c r="N771" t="s">
        <v>41</v>
      </c>
      <c r="O771" t="s">
        <v>130</v>
      </c>
      <c r="P771" t="s">
        <v>39</v>
      </c>
      <c r="Q771" t="s">
        <v>7</v>
      </c>
      <c r="R771" t="s">
        <v>6</v>
      </c>
      <c r="S771">
        <v>5</v>
      </c>
      <c r="T771">
        <v>3</v>
      </c>
      <c r="U771">
        <v>258</v>
      </c>
      <c r="V771" t="s">
        <v>5</v>
      </c>
      <c r="W771" t="s">
        <v>0</v>
      </c>
      <c r="X771" t="s">
        <v>5</v>
      </c>
      <c r="Y771" t="s">
        <v>1249</v>
      </c>
      <c r="Z771" t="s">
        <v>5</v>
      </c>
      <c r="AA771">
        <v>47.71</v>
      </c>
      <c r="AB771">
        <v>0</v>
      </c>
      <c r="AC771">
        <v>0.37</v>
      </c>
      <c r="AD771" t="s">
        <v>3</v>
      </c>
      <c r="AE771" t="s">
        <v>0</v>
      </c>
      <c r="AF771" t="s">
        <v>3</v>
      </c>
      <c r="AG771" t="s">
        <v>2</v>
      </c>
      <c r="AI771" t="s">
        <v>122</v>
      </c>
      <c r="AJ771">
        <v>1</v>
      </c>
      <c r="AK771">
        <v>-19</v>
      </c>
      <c r="AL771">
        <v>16</v>
      </c>
      <c r="AM771" t="s">
        <v>5</v>
      </c>
      <c r="AN771">
        <v>0</v>
      </c>
      <c r="AO771">
        <v>1</v>
      </c>
      <c r="AP771">
        <v>1</v>
      </c>
      <c r="AQ771">
        <v>1</v>
      </c>
    </row>
    <row r="772" spans="1:43" x14ac:dyDescent="0.25">
      <c r="A772" t="s">
        <v>1995</v>
      </c>
      <c r="B772" t="s">
        <v>1994</v>
      </c>
      <c r="C772" t="s">
        <v>1993</v>
      </c>
      <c r="D772" s="1">
        <v>45659</v>
      </c>
      <c r="E772" t="s">
        <v>45</v>
      </c>
      <c r="F772" t="s">
        <v>348</v>
      </c>
      <c r="G772" t="s">
        <v>131</v>
      </c>
      <c r="H772" t="s">
        <v>77</v>
      </c>
      <c r="I772" t="s">
        <v>15</v>
      </c>
      <c r="J772" t="s">
        <v>14</v>
      </c>
      <c r="K772" t="s">
        <v>13</v>
      </c>
      <c r="L772" t="s">
        <v>64</v>
      </c>
      <c r="M772" t="s">
        <v>53</v>
      </c>
      <c r="N772" t="s">
        <v>269</v>
      </c>
      <c r="O772" t="s">
        <v>130</v>
      </c>
      <c r="P772" t="s">
        <v>63</v>
      </c>
      <c r="Q772" t="s">
        <v>100</v>
      </c>
      <c r="R772" t="s">
        <v>6</v>
      </c>
      <c r="S772">
        <v>5</v>
      </c>
      <c r="T772">
        <v>5</v>
      </c>
      <c r="U772">
        <v>159</v>
      </c>
      <c r="V772" t="s">
        <v>0</v>
      </c>
      <c r="W772" t="s">
        <v>5</v>
      </c>
      <c r="X772" t="s">
        <v>0</v>
      </c>
      <c r="Y772" t="s">
        <v>4</v>
      </c>
      <c r="Z772" t="s">
        <v>5</v>
      </c>
      <c r="AA772">
        <v>63.15</v>
      </c>
      <c r="AB772">
        <v>0</v>
      </c>
      <c r="AC772">
        <v>0.17</v>
      </c>
      <c r="AD772" t="s">
        <v>3</v>
      </c>
      <c r="AE772" t="s">
        <v>0</v>
      </c>
      <c r="AF772" t="s">
        <v>3</v>
      </c>
      <c r="AG772" t="s">
        <v>2</v>
      </c>
      <c r="AI772" t="s">
        <v>23</v>
      </c>
      <c r="AJ772">
        <v>5</v>
      </c>
      <c r="AK772">
        <v>50</v>
      </c>
      <c r="AL772">
        <v>0</v>
      </c>
      <c r="AM772" t="s">
        <v>5</v>
      </c>
      <c r="AN772">
        <v>1</v>
      </c>
      <c r="AO772">
        <v>1</v>
      </c>
      <c r="AP772">
        <v>0</v>
      </c>
      <c r="AQ772">
        <v>1</v>
      </c>
    </row>
    <row r="773" spans="1:43" x14ac:dyDescent="0.25">
      <c r="A773" t="s">
        <v>1992</v>
      </c>
      <c r="B773" t="s">
        <v>418</v>
      </c>
      <c r="C773" t="s">
        <v>1991</v>
      </c>
      <c r="D773" s="1">
        <v>45693</v>
      </c>
      <c r="E773" t="s">
        <v>19</v>
      </c>
      <c r="F773" t="s">
        <v>295</v>
      </c>
      <c r="G773" t="s">
        <v>17</v>
      </c>
      <c r="H773" t="s">
        <v>29</v>
      </c>
      <c r="I773" t="s">
        <v>479</v>
      </c>
      <c r="J773" t="s">
        <v>55</v>
      </c>
      <c r="K773" t="s">
        <v>54</v>
      </c>
      <c r="L773" t="s">
        <v>64</v>
      </c>
      <c r="M773" t="s">
        <v>11</v>
      </c>
      <c r="N773" t="s">
        <v>41</v>
      </c>
      <c r="O773" t="s">
        <v>87</v>
      </c>
      <c r="P773" t="s">
        <v>39</v>
      </c>
      <c r="Q773" t="s">
        <v>100</v>
      </c>
      <c r="R773" t="s">
        <v>38</v>
      </c>
      <c r="S773">
        <v>5</v>
      </c>
      <c r="T773">
        <v>5</v>
      </c>
      <c r="U773">
        <v>102</v>
      </c>
      <c r="V773" t="s">
        <v>0</v>
      </c>
      <c r="W773" t="s">
        <v>5</v>
      </c>
      <c r="X773" t="s">
        <v>0</v>
      </c>
      <c r="Y773" t="s">
        <v>4</v>
      </c>
      <c r="Z773" t="s">
        <v>5</v>
      </c>
      <c r="AA773">
        <v>84.28</v>
      </c>
      <c r="AB773">
        <v>0</v>
      </c>
      <c r="AC773">
        <v>0</v>
      </c>
      <c r="AD773" t="s">
        <v>3</v>
      </c>
      <c r="AE773" t="s">
        <v>0</v>
      </c>
      <c r="AF773" t="s">
        <v>3</v>
      </c>
      <c r="AG773" t="s">
        <v>2</v>
      </c>
      <c r="AI773" t="s">
        <v>23</v>
      </c>
      <c r="AJ773">
        <v>4</v>
      </c>
      <c r="AK773">
        <v>44</v>
      </c>
      <c r="AL773">
        <v>55</v>
      </c>
      <c r="AM773" t="s">
        <v>5</v>
      </c>
      <c r="AN773">
        <v>1</v>
      </c>
      <c r="AO773">
        <v>1</v>
      </c>
      <c r="AP773">
        <v>0</v>
      </c>
      <c r="AQ773">
        <v>1</v>
      </c>
    </row>
    <row r="774" spans="1:43" x14ac:dyDescent="0.25">
      <c r="A774" t="s">
        <v>1990</v>
      </c>
      <c r="B774" t="s">
        <v>1989</v>
      </c>
      <c r="C774" t="s">
        <v>1988</v>
      </c>
      <c r="D774" s="1">
        <v>45886</v>
      </c>
      <c r="E774" t="s">
        <v>112</v>
      </c>
      <c r="F774" t="s">
        <v>642</v>
      </c>
      <c r="G774" t="s">
        <v>123</v>
      </c>
      <c r="H774" t="s">
        <v>77</v>
      </c>
      <c r="I774" t="s">
        <v>28</v>
      </c>
      <c r="J774" t="s">
        <v>14</v>
      </c>
      <c r="K774" t="s">
        <v>13</v>
      </c>
      <c r="L774" t="s">
        <v>64</v>
      </c>
      <c r="M774" t="s">
        <v>27</v>
      </c>
      <c r="N774" t="s">
        <v>75</v>
      </c>
      <c r="O774" t="s">
        <v>101</v>
      </c>
      <c r="P774" t="s">
        <v>39</v>
      </c>
      <c r="Q774" t="s">
        <v>7</v>
      </c>
      <c r="R774" t="s">
        <v>6</v>
      </c>
      <c r="S774">
        <v>4</v>
      </c>
      <c r="T774">
        <v>4</v>
      </c>
      <c r="U774">
        <v>116</v>
      </c>
      <c r="V774" t="s">
        <v>0</v>
      </c>
      <c r="W774" t="s">
        <v>5</v>
      </c>
      <c r="X774" t="s">
        <v>0</v>
      </c>
      <c r="Y774" t="s">
        <v>4</v>
      </c>
      <c r="Z774" t="s">
        <v>5</v>
      </c>
      <c r="AA774">
        <v>34.950000000000003</v>
      </c>
      <c r="AB774">
        <v>0.45</v>
      </c>
      <c r="AC774">
        <v>0.37</v>
      </c>
      <c r="AD774" t="s">
        <v>3</v>
      </c>
      <c r="AE774" t="s">
        <v>0</v>
      </c>
      <c r="AF774" t="s">
        <v>3</v>
      </c>
      <c r="AG774" t="s">
        <v>2</v>
      </c>
      <c r="AI774" t="s">
        <v>23</v>
      </c>
      <c r="AJ774">
        <v>3</v>
      </c>
      <c r="AK774">
        <v>36</v>
      </c>
      <c r="AL774">
        <v>6</v>
      </c>
      <c r="AM774" t="s">
        <v>5</v>
      </c>
      <c r="AN774">
        <v>1</v>
      </c>
      <c r="AO774">
        <v>1</v>
      </c>
      <c r="AP774">
        <v>0</v>
      </c>
      <c r="AQ774">
        <v>1</v>
      </c>
    </row>
    <row r="775" spans="1:43" x14ac:dyDescent="0.25">
      <c r="A775" t="s">
        <v>1987</v>
      </c>
      <c r="B775" t="s">
        <v>1182</v>
      </c>
      <c r="C775" t="s">
        <v>1986</v>
      </c>
      <c r="D775" s="1">
        <v>45777</v>
      </c>
      <c r="E775" t="s">
        <v>112</v>
      </c>
      <c r="F775" t="s">
        <v>461</v>
      </c>
      <c r="G775" t="s">
        <v>17</v>
      </c>
      <c r="H775" t="s">
        <v>16</v>
      </c>
      <c r="I775" t="s">
        <v>15</v>
      </c>
      <c r="J775" t="s">
        <v>55</v>
      </c>
      <c r="K775" t="s">
        <v>54</v>
      </c>
      <c r="L775" t="s">
        <v>12</v>
      </c>
      <c r="M775" t="s">
        <v>11</v>
      </c>
      <c r="N775" t="s">
        <v>93</v>
      </c>
      <c r="O775" t="s">
        <v>40</v>
      </c>
      <c r="P775" t="s">
        <v>39</v>
      </c>
      <c r="Q775" t="s">
        <v>50</v>
      </c>
      <c r="R775" t="s">
        <v>6</v>
      </c>
      <c r="S775">
        <v>8</v>
      </c>
      <c r="T775">
        <v>8</v>
      </c>
      <c r="U775">
        <v>159</v>
      </c>
      <c r="V775" t="s">
        <v>0</v>
      </c>
      <c r="W775" t="s">
        <v>0</v>
      </c>
      <c r="X775" t="s">
        <v>0</v>
      </c>
      <c r="Y775" t="s">
        <v>4</v>
      </c>
      <c r="Z775" t="s">
        <v>0</v>
      </c>
      <c r="AA775">
        <v>0</v>
      </c>
      <c r="AB775">
        <v>0</v>
      </c>
      <c r="AC775">
        <v>0</v>
      </c>
      <c r="AD775" t="s">
        <v>3</v>
      </c>
      <c r="AE775" t="s">
        <v>0</v>
      </c>
      <c r="AF775" t="s">
        <v>3</v>
      </c>
      <c r="AG775" t="s">
        <v>2</v>
      </c>
      <c r="AI775" t="s">
        <v>23</v>
      </c>
      <c r="AJ775">
        <v>2</v>
      </c>
      <c r="AK775">
        <v>2</v>
      </c>
      <c r="AL775">
        <v>16</v>
      </c>
      <c r="AM775" t="s">
        <v>0</v>
      </c>
      <c r="AN775">
        <v>0</v>
      </c>
      <c r="AO775">
        <v>0</v>
      </c>
      <c r="AP775">
        <v>0</v>
      </c>
      <c r="AQ775">
        <v>0</v>
      </c>
    </row>
    <row r="776" spans="1:43" x14ac:dyDescent="0.25">
      <c r="A776" t="s">
        <v>1985</v>
      </c>
      <c r="B776" t="s">
        <v>851</v>
      </c>
      <c r="C776" t="s">
        <v>1984</v>
      </c>
      <c r="D776" s="1">
        <v>45897</v>
      </c>
      <c r="E776" t="s">
        <v>32</v>
      </c>
      <c r="F776" t="s">
        <v>382</v>
      </c>
      <c r="G776" t="s">
        <v>110</v>
      </c>
      <c r="H776" t="s">
        <v>29</v>
      </c>
      <c r="I776" t="s">
        <v>147</v>
      </c>
      <c r="J776" t="s">
        <v>14</v>
      </c>
      <c r="K776" t="s">
        <v>13</v>
      </c>
      <c r="L776" t="s">
        <v>12</v>
      </c>
      <c r="M776" t="s">
        <v>11</v>
      </c>
      <c r="N776" t="s">
        <v>93</v>
      </c>
      <c r="O776" t="s">
        <v>51</v>
      </c>
      <c r="P776" t="s">
        <v>8</v>
      </c>
      <c r="Q776" t="s">
        <v>7</v>
      </c>
      <c r="R776" t="s">
        <v>6</v>
      </c>
      <c r="S776">
        <v>6</v>
      </c>
      <c r="T776">
        <v>3</v>
      </c>
      <c r="U776">
        <v>382</v>
      </c>
      <c r="V776" t="s">
        <v>5</v>
      </c>
      <c r="W776" t="s">
        <v>0</v>
      </c>
      <c r="X776" t="s">
        <v>5</v>
      </c>
      <c r="Y776" t="s">
        <v>634</v>
      </c>
      <c r="Z776" t="s">
        <v>0</v>
      </c>
      <c r="AA776">
        <v>0</v>
      </c>
      <c r="AB776">
        <v>0</v>
      </c>
      <c r="AC776">
        <v>0</v>
      </c>
      <c r="AD776" t="s">
        <v>436</v>
      </c>
      <c r="AE776" t="s">
        <v>5</v>
      </c>
      <c r="AF776" t="s">
        <v>436</v>
      </c>
      <c r="AG776" t="s">
        <v>36</v>
      </c>
      <c r="AH776">
        <v>3</v>
      </c>
      <c r="AI776" t="s">
        <v>1</v>
      </c>
      <c r="AJ776">
        <v>1</v>
      </c>
      <c r="AK776">
        <v>-32</v>
      </c>
      <c r="AL776">
        <v>32</v>
      </c>
      <c r="AM776" t="s">
        <v>0</v>
      </c>
      <c r="AN776">
        <v>0</v>
      </c>
      <c r="AO776">
        <v>0</v>
      </c>
      <c r="AP776">
        <v>1</v>
      </c>
      <c r="AQ776">
        <v>0</v>
      </c>
    </row>
    <row r="777" spans="1:43" x14ac:dyDescent="0.25">
      <c r="A777" t="s">
        <v>1983</v>
      </c>
      <c r="B777" t="s">
        <v>1884</v>
      </c>
      <c r="C777" t="s">
        <v>1982</v>
      </c>
      <c r="D777" s="1">
        <v>45951</v>
      </c>
      <c r="E777" t="s">
        <v>32</v>
      </c>
      <c r="F777" t="s">
        <v>356</v>
      </c>
      <c r="G777" t="s">
        <v>83</v>
      </c>
      <c r="H777" t="s">
        <v>29</v>
      </c>
      <c r="I777" t="s">
        <v>15</v>
      </c>
      <c r="J777" t="s">
        <v>14</v>
      </c>
      <c r="K777" t="s">
        <v>13</v>
      </c>
      <c r="L777" t="s">
        <v>12</v>
      </c>
      <c r="M777" t="s">
        <v>11</v>
      </c>
      <c r="N777" t="s">
        <v>93</v>
      </c>
      <c r="O777" t="s">
        <v>87</v>
      </c>
      <c r="P777" t="s">
        <v>63</v>
      </c>
      <c r="Q777" t="s">
        <v>7</v>
      </c>
      <c r="R777" t="s">
        <v>6</v>
      </c>
      <c r="S777">
        <v>5</v>
      </c>
      <c r="T777">
        <v>5</v>
      </c>
      <c r="U777">
        <v>111</v>
      </c>
      <c r="V777" t="s">
        <v>0</v>
      </c>
      <c r="W777" t="s">
        <v>5</v>
      </c>
      <c r="X777" t="s">
        <v>181</v>
      </c>
      <c r="Y777" t="s">
        <v>4</v>
      </c>
      <c r="Z777" t="s">
        <v>5</v>
      </c>
      <c r="AA777">
        <v>124.12</v>
      </c>
      <c r="AB777">
        <v>0</v>
      </c>
      <c r="AC777">
        <v>0</v>
      </c>
      <c r="AD777" t="s">
        <v>3</v>
      </c>
      <c r="AE777" t="s">
        <v>0</v>
      </c>
      <c r="AF777" t="s">
        <v>3</v>
      </c>
      <c r="AG777" t="s">
        <v>2</v>
      </c>
      <c r="AI777" t="s">
        <v>23</v>
      </c>
      <c r="AJ777">
        <v>5</v>
      </c>
      <c r="AK777">
        <v>12</v>
      </c>
      <c r="AL777">
        <v>0</v>
      </c>
      <c r="AM777" t="s">
        <v>5</v>
      </c>
      <c r="AN777">
        <v>1</v>
      </c>
      <c r="AO777">
        <v>1</v>
      </c>
      <c r="AP777">
        <v>0</v>
      </c>
      <c r="AQ777">
        <v>1</v>
      </c>
    </row>
    <row r="778" spans="1:43" x14ac:dyDescent="0.25">
      <c r="A778" t="s">
        <v>1981</v>
      </c>
      <c r="B778" t="s">
        <v>1980</v>
      </c>
      <c r="C778" t="s">
        <v>1979</v>
      </c>
      <c r="D778" s="1">
        <v>46072</v>
      </c>
      <c r="E778" t="s">
        <v>112</v>
      </c>
      <c r="F778" t="s">
        <v>307</v>
      </c>
      <c r="G778" t="s">
        <v>83</v>
      </c>
      <c r="H778" t="s">
        <v>16</v>
      </c>
      <c r="I778" t="s">
        <v>28</v>
      </c>
      <c r="J778" t="s">
        <v>55</v>
      </c>
      <c r="K778" t="s">
        <v>54</v>
      </c>
      <c r="L778" t="s">
        <v>64</v>
      </c>
      <c r="M778" t="s">
        <v>11</v>
      </c>
      <c r="N778" t="s">
        <v>41</v>
      </c>
      <c r="O778" t="s">
        <v>130</v>
      </c>
      <c r="P778" t="s">
        <v>63</v>
      </c>
      <c r="Q778" t="s">
        <v>7</v>
      </c>
      <c r="R778" t="s">
        <v>6</v>
      </c>
      <c r="S778">
        <v>5</v>
      </c>
      <c r="T778">
        <v>4</v>
      </c>
      <c r="U778">
        <v>130</v>
      </c>
      <c r="V778" t="s">
        <v>5</v>
      </c>
      <c r="W778" t="s">
        <v>5</v>
      </c>
      <c r="X778" t="s">
        <v>0</v>
      </c>
      <c r="Y778" t="s">
        <v>4</v>
      </c>
      <c r="Z778" t="s">
        <v>5</v>
      </c>
      <c r="AA778">
        <v>48.52</v>
      </c>
      <c r="AB778">
        <v>0</v>
      </c>
      <c r="AC778">
        <v>0</v>
      </c>
      <c r="AD778" t="s">
        <v>3</v>
      </c>
      <c r="AE778" t="s">
        <v>0</v>
      </c>
      <c r="AF778" t="s">
        <v>3</v>
      </c>
      <c r="AG778" t="s">
        <v>2</v>
      </c>
      <c r="AI778" t="s">
        <v>23</v>
      </c>
      <c r="AJ778">
        <v>4</v>
      </c>
      <c r="AK778">
        <v>-16</v>
      </c>
      <c r="AL778">
        <v>0</v>
      </c>
      <c r="AM778" t="s">
        <v>5</v>
      </c>
      <c r="AN778">
        <v>1</v>
      </c>
      <c r="AO778">
        <v>1</v>
      </c>
      <c r="AP778">
        <v>0</v>
      </c>
      <c r="AQ778">
        <v>1</v>
      </c>
    </row>
    <row r="779" spans="1:43" x14ac:dyDescent="0.25">
      <c r="A779" t="s">
        <v>1978</v>
      </c>
      <c r="B779" t="s">
        <v>991</v>
      </c>
      <c r="C779" t="s">
        <v>1977</v>
      </c>
      <c r="D779" s="1">
        <v>45918</v>
      </c>
      <c r="E779" t="s">
        <v>32</v>
      </c>
      <c r="F779" t="s">
        <v>107</v>
      </c>
      <c r="G779" t="s">
        <v>17</v>
      </c>
      <c r="H779" t="s">
        <v>77</v>
      </c>
      <c r="I779" t="s">
        <v>28</v>
      </c>
      <c r="J779" t="s">
        <v>14</v>
      </c>
      <c r="K779" t="s">
        <v>13</v>
      </c>
      <c r="L779" t="s">
        <v>88</v>
      </c>
      <c r="M779" t="s">
        <v>27</v>
      </c>
      <c r="N779" t="s">
        <v>75</v>
      </c>
      <c r="O779" t="s">
        <v>40</v>
      </c>
      <c r="P779" t="s">
        <v>39</v>
      </c>
      <c r="Q779" t="s">
        <v>24</v>
      </c>
      <c r="R779" t="s">
        <v>38</v>
      </c>
      <c r="S779">
        <v>8</v>
      </c>
      <c r="T779">
        <v>8</v>
      </c>
      <c r="U779">
        <v>146</v>
      </c>
      <c r="V779" t="s">
        <v>0</v>
      </c>
      <c r="W779" t="s">
        <v>5</v>
      </c>
      <c r="X779" t="s">
        <v>0</v>
      </c>
      <c r="Y779" t="s">
        <v>4</v>
      </c>
      <c r="Z779" t="s">
        <v>5</v>
      </c>
      <c r="AA779">
        <v>418.99</v>
      </c>
      <c r="AB779">
        <v>2.66</v>
      </c>
      <c r="AC779">
        <v>0.37</v>
      </c>
      <c r="AD779" t="s">
        <v>3</v>
      </c>
      <c r="AE779" t="s">
        <v>0</v>
      </c>
      <c r="AF779" t="s">
        <v>3</v>
      </c>
      <c r="AG779" t="s">
        <v>2</v>
      </c>
      <c r="AI779" t="s">
        <v>23</v>
      </c>
      <c r="AJ779">
        <v>5</v>
      </c>
      <c r="AK779">
        <v>45</v>
      </c>
      <c r="AL779">
        <v>65</v>
      </c>
      <c r="AM779" t="s">
        <v>5</v>
      </c>
      <c r="AN779">
        <v>1</v>
      </c>
      <c r="AO779">
        <v>1</v>
      </c>
      <c r="AP779">
        <v>0</v>
      </c>
      <c r="AQ779">
        <v>1</v>
      </c>
    </row>
    <row r="780" spans="1:43" x14ac:dyDescent="0.25">
      <c r="A780" t="s">
        <v>1976</v>
      </c>
      <c r="B780" t="s">
        <v>1975</v>
      </c>
      <c r="C780" t="s">
        <v>1974</v>
      </c>
      <c r="D780" s="1">
        <v>46027</v>
      </c>
      <c r="E780" t="s">
        <v>32</v>
      </c>
      <c r="F780" t="s">
        <v>382</v>
      </c>
      <c r="G780" t="s">
        <v>17</v>
      </c>
      <c r="H780" t="s">
        <v>16</v>
      </c>
      <c r="I780" t="s">
        <v>15</v>
      </c>
      <c r="J780" t="s">
        <v>55</v>
      </c>
      <c r="K780" t="s">
        <v>54</v>
      </c>
      <c r="L780" t="s">
        <v>12</v>
      </c>
      <c r="M780" t="s">
        <v>11</v>
      </c>
      <c r="N780" t="s">
        <v>75</v>
      </c>
      <c r="O780" t="s">
        <v>26</v>
      </c>
      <c r="P780" t="s">
        <v>39</v>
      </c>
      <c r="Q780" t="s">
        <v>7</v>
      </c>
      <c r="R780" t="s">
        <v>6</v>
      </c>
      <c r="S780">
        <v>4</v>
      </c>
      <c r="T780">
        <v>3</v>
      </c>
      <c r="U780">
        <v>139</v>
      </c>
      <c r="V780" t="s">
        <v>5</v>
      </c>
      <c r="W780" t="s">
        <v>5</v>
      </c>
      <c r="X780" t="s">
        <v>0</v>
      </c>
      <c r="Y780" t="s">
        <v>4</v>
      </c>
      <c r="Z780" t="s">
        <v>5</v>
      </c>
      <c r="AA780">
        <v>158.11000000000001</v>
      </c>
      <c r="AB780">
        <v>0.17</v>
      </c>
      <c r="AC780">
        <v>0</v>
      </c>
      <c r="AD780" t="s">
        <v>3</v>
      </c>
      <c r="AE780" t="s">
        <v>0</v>
      </c>
      <c r="AF780" t="s">
        <v>3</v>
      </c>
      <c r="AG780" t="s">
        <v>2</v>
      </c>
      <c r="AI780" t="s">
        <v>23</v>
      </c>
      <c r="AJ780">
        <v>4</v>
      </c>
      <c r="AK780">
        <v>29</v>
      </c>
      <c r="AL780">
        <v>50</v>
      </c>
      <c r="AM780" t="s">
        <v>5</v>
      </c>
      <c r="AN780">
        <v>1</v>
      </c>
      <c r="AO780">
        <v>1</v>
      </c>
      <c r="AP780">
        <v>0</v>
      </c>
      <c r="AQ780">
        <v>1</v>
      </c>
    </row>
    <row r="781" spans="1:43" x14ac:dyDescent="0.25">
      <c r="A781" t="s">
        <v>1270</v>
      </c>
      <c r="B781" t="s">
        <v>158</v>
      </c>
      <c r="C781" t="s">
        <v>1269</v>
      </c>
      <c r="D781" s="1">
        <v>45954</v>
      </c>
      <c r="E781" t="s">
        <v>19</v>
      </c>
      <c r="F781" t="s">
        <v>295</v>
      </c>
      <c r="G781" t="s">
        <v>110</v>
      </c>
      <c r="H781" t="s">
        <v>77</v>
      </c>
      <c r="I781" t="s">
        <v>28</v>
      </c>
      <c r="J781" t="s">
        <v>14</v>
      </c>
      <c r="K781" t="s">
        <v>13</v>
      </c>
      <c r="L781" t="s">
        <v>88</v>
      </c>
      <c r="M781" t="s">
        <v>11</v>
      </c>
      <c r="N781" t="s">
        <v>75</v>
      </c>
      <c r="O781" t="s">
        <v>51</v>
      </c>
      <c r="P781" t="s">
        <v>25</v>
      </c>
      <c r="Q781" t="s">
        <v>7</v>
      </c>
      <c r="R781" t="s">
        <v>6</v>
      </c>
      <c r="S781" t="s">
        <v>205</v>
      </c>
      <c r="T781">
        <v>3</v>
      </c>
      <c r="U781">
        <v>220</v>
      </c>
      <c r="V781" t="s">
        <v>5</v>
      </c>
      <c r="W781" t="s">
        <v>5</v>
      </c>
      <c r="X781" t="s">
        <v>0</v>
      </c>
      <c r="Y781" t="s">
        <v>4</v>
      </c>
      <c r="Z781" t="s">
        <v>5</v>
      </c>
      <c r="AA781">
        <v>0</v>
      </c>
      <c r="AB781">
        <v>0.1</v>
      </c>
      <c r="AC781">
        <v>0</v>
      </c>
      <c r="AD781" t="s">
        <v>3</v>
      </c>
      <c r="AE781" t="s">
        <v>0</v>
      </c>
      <c r="AF781" t="s">
        <v>3</v>
      </c>
      <c r="AG781" t="s">
        <v>2</v>
      </c>
      <c r="AI781" t="s">
        <v>23</v>
      </c>
      <c r="AJ781">
        <v>3</v>
      </c>
      <c r="AK781">
        <v>10</v>
      </c>
      <c r="AL781">
        <v>8</v>
      </c>
      <c r="AM781" t="s">
        <v>5</v>
      </c>
      <c r="AN781">
        <v>1</v>
      </c>
      <c r="AO781">
        <v>1</v>
      </c>
      <c r="AP781">
        <v>0</v>
      </c>
      <c r="AQ781">
        <v>1</v>
      </c>
    </row>
    <row r="782" spans="1:43" x14ac:dyDescent="0.25">
      <c r="A782" t="s">
        <v>1973</v>
      </c>
      <c r="B782" t="s">
        <v>428</v>
      </c>
      <c r="C782" t="s">
        <v>1972</v>
      </c>
      <c r="D782" s="1">
        <v>45916</v>
      </c>
      <c r="E782" t="s">
        <v>112</v>
      </c>
      <c r="F782" t="s">
        <v>111</v>
      </c>
      <c r="G782" t="s">
        <v>110</v>
      </c>
      <c r="H782" t="s">
        <v>77</v>
      </c>
      <c r="I782" t="s">
        <v>28</v>
      </c>
      <c r="J782" t="s">
        <v>55</v>
      </c>
      <c r="K782" t="s">
        <v>54</v>
      </c>
      <c r="L782" t="s">
        <v>117</v>
      </c>
      <c r="M782" t="s">
        <v>299</v>
      </c>
      <c r="N782" t="s">
        <v>41</v>
      </c>
      <c r="O782" t="s">
        <v>101</v>
      </c>
      <c r="P782" t="s">
        <v>63</v>
      </c>
      <c r="Q782" t="s">
        <v>7</v>
      </c>
      <c r="R782" t="s">
        <v>6</v>
      </c>
      <c r="S782">
        <v>4</v>
      </c>
      <c r="T782" t="s">
        <v>99</v>
      </c>
      <c r="U782">
        <v>127</v>
      </c>
      <c r="V782" t="s">
        <v>0</v>
      </c>
      <c r="W782" t="s">
        <v>0</v>
      </c>
      <c r="X782" t="s">
        <v>5</v>
      </c>
      <c r="Y782" t="s">
        <v>696</v>
      </c>
      <c r="Z782" t="s">
        <v>0</v>
      </c>
      <c r="AA782">
        <v>0</v>
      </c>
      <c r="AB782">
        <v>0</v>
      </c>
      <c r="AC782">
        <v>0</v>
      </c>
      <c r="AD782" t="s">
        <v>3</v>
      </c>
      <c r="AE782" t="s">
        <v>0</v>
      </c>
      <c r="AF782" t="s">
        <v>3</v>
      </c>
      <c r="AG782" t="s">
        <v>2</v>
      </c>
      <c r="AI782" t="s">
        <v>122</v>
      </c>
      <c r="AJ782">
        <v>4</v>
      </c>
      <c r="AK782">
        <v>13</v>
      </c>
      <c r="AL782">
        <v>0</v>
      </c>
      <c r="AM782" t="s">
        <v>0</v>
      </c>
      <c r="AN782">
        <v>0</v>
      </c>
      <c r="AO782">
        <v>0</v>
      </c>
      <c r="AP782">
        <v>1</v>
      </c>
      <c r="AQ782">
        <v>0</v>
      </c>
    </row>
    <row r="783" spans="1:43" x14ac:dyDescent="0.25">
      <c r="A783" t="s">
        <v>1971</v>
      </c>
      <c r="B783" t="s">
        <v>615</v>
      </c>
      <c r="C783" t="s">
        <v>1970</v>
      </c>
      <c r="D783" s="1">
        <v>45793</v>
      </c>
      <c r="E783" t="s">
        <v>162</v>
      </c>
      <c r="F783" t="s">
        <v>161</v>
      </c>
      <c r="G783" t="s">
        <v>17</v>
      </c>
      <c r="H783" t="s">
        <v>43</v>
      </c>
      <c r="I783" t="s">
        <v>28</v>
      </c>
      <c r="J783" t="s">
        <v>55</v>
      </c>
      <c r="K783" t="s">
        <v>54</v>
      </c>
      <c r="L783" t="s">
        <v>12</v>
      </c>
      <c r="M783" t="s">
        <v>11</v>
      </c>
      <c r="N783" t="s">
        <v>75</v>
      </c>
      <c r="O783" t="s">
        <v>101</v>
      </c>
      <c r="P783" t="s">
        <v>25</v>
      </c>
      <c r="Q783" t="s">
        <v>24</v>
      </c>
      <c r="R783" t="s">
        <v>6</v>
      </c>
      <c r="S783">
        <v>4</v>
      </c>
      <c r="T783">
        <v>4</v>
      </c>
      <c r="U783">
        <v>120</v>
      </c>
      <c r="V783" t="s">
        <v>0</v>
      </c>
      <c r="W783" t="s">
        <v>5</v>
      </c>
      <c r="X783" t="s">
        <v>0</v>
      </c>
      <c r="Y783" t="s">
        <v>4</v>
      </c>
      <c r="Z783" t="s">
        <v>5</v>
      </c>
      <c r="AA783">
        <v>63.26</v>
      </c>
      <c r="AB783">
        <v>0.54</v>
      </c>
      <c r="AC783">
        <v>0</v>
      </c>
      <c r="AD783" t="s">
        <v>3</v>
      </c>
      <c r="AE783" t="s">
        <v>0</v>
      </c>
      <c r="AF783" t="s">
        <v>3</v>
      </c>
      <c r="AG783" t="s">
        <v>2</v>
      </c>
      <c r="AI783" t="s">
        <v>23</v>
      </c>
      <c r="AJ783">
        <v>4</v>
      </c>
      <c r="AK783">
        <v>46</v>
      </c>
      <c r="AL783">
        <v>4</v>
      </c>
      <c r="AM783" t="s">
        <v>5</v>
      </c>
      <c r="AN783">
        <v>1</v>
      </c>
      <c r="AO783">
        <v>1</v>
      </c>
      <c r="AP783">
        <v>0</v>
      </c>
      <c r="AQ783">
        <v>1</v>
      </c>
    </row>
    <row r="784" spans="1:43" x14ac:dyDescent="0.25">
      <c r="A784" t="s">
        <v>1969</v>
      </c>
      <c r="B784" t="s">
        <v>1968</v>
      </c>
      <c r="C784" t="s">
        <v>1967</v>
      </c>
      <c r="D784" s="1">
        <v>45827</v>
      </c>
      <c r="E784" t="s">
        <v>95</v>
      </c>
      <c r="F784" t="s">
        <v>338</v>
      </c>
      <c r="G784" t="s">
        <v>17</v>
      </c>
      <c r="H784" t="s">
        <v>29</v>
      </c>
      <c r="I784" t="s">
        <v>15</v>
      </c>
      <c r="J784" t="s">
        <v>14</v>
      </c>
      <c r="K784" t="s">
        <v>13</v>
      </c>
      <c r="L784" t="s">
        <v>64</v>
      </c>
      <c r="M784" t="s">
        <v>11</v>
      </c>
      <c r="N784" t="s">
        <v>75</v>
      </c>
      <c r="O784" t="s">
        <v>130</v>
      </c>
      <c r="P784" t="s">
        <v>63</v>
      </c>
      <c r="Q784" t="s">
        <v>24</v>
      </c>
      <c r="R784" t="s">
        <v>38</v>
      </c>
      <c r="S784">
        <v>5</v>
      </c>
      <c r="T784">
        <v>5</v>
      </c>
      <c r="U784">
        <v>148</v>
      </c>
      <c r="V784" t="s">
        <v>0</v>
      </c>
      <c r="W784" t="s">
        <v>5</v>
      </c>
      <c r="X784" t="s">
        <v>0</v>
      </c>
      <c r="Y784" t="s">
        <v>479</v>
      </c>
      <c r="Z784" t="s">
        <v>5</v>
      </c>
      <c r="AA784">
        <v>76.91</v>
      </c>
      <c r="AB784">
        <v>0</v>
      </c>
      <c r="AC784">
        <v>0</v>
      </c>
      <c r="AD784" t="s">
        <v>37</v>
      </c>
      <c r="AE784" t="s">
        <v>5</v>
      </c>
      <c r="AF784" t="s">
        <v>37</v>
      </c>
      <c r="AG784" t="s">
        <v>36</v>
      </c>
      <c r="AH784">
        <v>24</v>
      </c>
      <c r="AI784" t="s">
        <v>23</v>
      </c>
      <c r="AJ784">
        <v>5</v>
      </c>
      <c r="AK784">
        <v>42</v>
      </c>
      <c r="AL784">
        <v>0</v>
      </c>
      <c r="AM784" t="s">
        <v>5</v>
      </c>
      <c r="AN784">
        <v>1</v>
      </c>
      <c r="AO784">
        <v>1</v>
      </c>
      <c r="AP784">
        <v>0</v>
      </c>
      <c r="AQ784">
        <v>1</v>
      </c>
    </row>
    <row r="785" spans="1:43" x14ac:dyDescent="0.25">
      <c r="A785" t="s">
        <v>1966</v>
      </c>
      <c r="B785" t="s">
        <v>532</v>
      </c>
      <c r="C785" t="s">
        <v>1965</v>
      </c>
      <c r="D785" s="1">
        <v>46166</v>
      </c>
      <c r="E785" t="s">
        <v>125</v>
      </c>
      <c r="F785" t="s">
        <v>132</v>
      </c>
      <c r="G785" t="s">
        <v>56</v>
      </c>
      <c r="H785" t="s">
        <v>29</v>
      </c>
      <c r="I785" t="s">
        <v>15</v>
      </c>
      <c r="J785" t="s">
        <v>55</v>
      </c>
      <c r="K785" t="s">
        <v>54</v>
      </c>
      <c r="L785" t="s">
        <v>117</v>
      </c>
      <c r="M785" t="s">
        <v>11</v>
      </c>
      <c r="N785" t="s">
        <v>93</v>
      </c>
      <c r="O785" t="s">
        <v>26</v>
      </c>
      <c r="P785" t="s">
        <v>39</v>
      </c>
      <c r="Q785" t="s">
        <v>7</v>
      </c>
      <c r="R785" t="s">
        <v>6</v>
      </c>
      <c r="S785">
        <v>-1</v>
      </c>
      <c r="T785" t="s">
        <v>1829</v>
      </c>
      <c r="U785">
        <v>134</v>
      </c>
      <c r="V785" t="s">
        <v>5</v>
      </c>
      <c r="W785" t="s">
        <v>5</v>
      </c>
      <c r="X785" t="s">
        <v>0</v>
      </c>
      <c r="Y785" t="s">
        <v>4</v>
      </c>
      <c r="Z785" t="s">
        <v>5</v>
      </c>
      <c r="AA785">
        <v>182.76</v>
      </c>
      <c r="AB785">
        <v>0.23</v>
      </c>
      <c r="AC785">
        <v>0</v>
      </c>
      <c r="AD785" t="s">
        <v>3</v>
      </c>
      <c r="AE785" t="s">
        <v>0</v>
      </c>
      <c r="AF785" t="s">
        <v>3</v>
      </c>
      <c r="AG785" t="s">
        <v>2</v>
      </c>
      <c r="AI785" t="s">
        <v>23</v>
      </c>
      <c r="AJ785">
        <v>2</v>
      </c>
      <c r="AK785">
        <v>150</v>
      </c>
      <c r="AL785" t="s">
        <v>872</v>
      </c>
      <c r="AM785" t="s">
        <v>5</v>
      </c>
      <c r="AN785">
        <v>1</v>
      </c>
      <c r="AO785">
        <v>1</v>
      </c>
      <c r="AP785">
        <v>0</v>
      </c>
      <c r="AQ785">
        <v>1</v>
      </c>
    </row>
    <row r="786" spans="1:43" x14ac:dyDescent="0.25">
      <c r="A786" t="s">
        <v>1964</v>
      </c>
      <c r="B786" t="s">
        <v>330</v>
      </c>
      <c r="C786" t="s">
        <v>1963</v>
      </c>
      <c r="D786" s="1">
        <v>46193</v>
      </c>
      <c r="E786" t="s">
        <v>125</v>
      </c>
      <c r="F786" t="s">
        <v>140</v>
      </c>
      <c r="G786" t="s">
        <v>17</v>
      </c>
      <c r="H786" t="s">
        <v>29</v>
      </c>
      <c r="I786" t="s">
        <v>28</v>
      </c>
      <c r="J786" t="s">
        <v>146</v>
      </c>
      <c r="K786" t="s">
        <v>145</v>
      </c>
      <c r="L786" t="s">
        <v>64</v>
      </c>
      <c r="M786" t="s">
        <v>53</v>
      </c>
      <c r="N786" t="s">
        <v>10</v>
      </c>
      <c r="O786" t="s">
        <v>51</v>
      </c>
      <c r="P786" t="s">
        <v>8</v>
      </c>
      <c r="Q786" t="s">
        <v>7</v>
      </c>
      <c r="R786" t="s">
        <v>6</v>
      </c>
      <c r="S786">
        <v>6</v>
      </c>
      <c r="T786">
        <v>3</v>
      </c>
      <c r="U786">
        <v>219</v>
      </c>
      <c r="V786" t="s">
        <v>5</v>
      </c>
      <c r="W786" t="s">
        <v>0</v>
      </c>
      <c r="X786" t="s">
        <v>5</v>
      </c>
      <c r="Y786" t="s">
        <v>153</v>
      </c>
      <c r="Z786" t="s">
        <v>0</v>
      </c>
      <c r="AA786">
        <v>0</v>
      </c>
      <c r="AB786">
        <v>0</v>
      </c>
      <c r="AC786">
        <v>0</v>
      </c>
      <c r="AD786" t="s">
        <v>3</v>
      </c>
      <c r="AE786" t="s">
        <v>0</v>
      </c>
      <c r="AF786" t="s">
        <v>3</v>
      </c>
      <c r="AG786" t="s">
        <v>2</v>
      </c>
      <c r="AI786" t="s">
        <v>122</v>
      </c>
      <c r="AJ786">
        <v>3</v>
      </c>
      <c r="AK786">
        <v>-22</v>
      </c>
      <c r="AL786" t="s">
        <v>1962</v>
      </c>
      <c r="AM786" t="s">
        <v>5</v>
      </c>
      <c r="AN786">
        <v>0</v>
      </c>
      <c r="AO786">
        <v>0</v>
      </c>
      <c r="AP786">
        <v>1</v>
      </c>
      <c r="AQ786">
        <v>1</v>
      </c>
    </row>
    <row r="787" spans="1:43" x14ac:dyDescent="0.25">
      <c r="A787" t="s">
        <v>1961</v>
      </c>
      <c r="B787" t="s">
        <v>1456</v>
      </c>
      <c r="C787" t="s">
        <v>1960</v>
      </c>
      <c r="D787" s="1">
        <v>46082</v>
      </c>
      <c r="E787" t="s">
        <v>149</v>
      </c>
      <c r="F787" t="s">
        <v>471</v>
      </c>
      <c r="G787" t="s">
        <v>17</v>
      </c>
      <c r="H787" t="s">
        <v>16</v>
      </c>
      <c r="I787" t="s">
        <v>28</v>
      </c>
      <c r="J787" t="s">
        <v>55</v>
      </c>
      <c r="K787" t="s">
        <v>65</v>
      </c>
      <c r="L787" t="s">
        <v>88</v>
      </c>
      <c r="M787" t="s">
        <v>11</v>
      </c>
      <c r="N787" t="s">
        <v>75</v>
      </c>
      <c r="O787" t="s">
        <v>193</v>
      </c>
      <c r="P787" t="s">
        <v>39</v>
      </c>
      <c r="Q787" t="s">
        <v>198</v>
      </c>
      <c r="R787" t="s">
        <v>38</v>
      </c>
      <c r="S787">
        <v>9</v>
      </c>
      <c r="T787">
        <v>8</v>
      </c>
      <c r="U787">
        <v>363</v>
      </c>
      <c r="V787" t="s">
        <v>5</v>
      </c>
      <c r="W787" t="s">
        <v>0</v>
      </c>
      <c r="X787" t="s">
        <v>0</v>
      </c>
      <c r="Y787" t="s">
        <v>4</v>
      </c>
      <c r="Z787" t="s">
        <v>0</v>
      </c>
      <c r="AA787">
        <v>0</v>
      </c>
      <c r="AB787">
        <v>0</v>
      </c>
      <c r="AC787">
        <v>0</v>
      </c>
      <c r="AD787" t="s">
        <v>3</v>
      </c>
      <c r="AE787" t="s">
        <v>0</v>
      </c>
      <c r="AF787" t="s">
        <v>3</v>
      </c>
      <c r="AG787" t="s">
        <v>2</v>
      </c>
      <c r="AI787" t="s">
        <v>1</v>
      </c>
      <c r="AJ787">
        <v>2</v>
      </c>
      <c r="AK787">
        <v>-33</v>
      </c>
      <c r="AL787">
        <v>22</v>
      </c>
      <c r="AM787" t="s">
        <v>0</v>
      </c>
      <c r="AN787">
        <v>0</v>
      </c>
      <c r="AO787">
        <v>0</v>
      </c>
      <c r="AP787">
        <v>0</v>
      </c>
      <c r="AQ787">
        <v>0</v>
      </c>
    </row>
    <row r="788" spans="1:43" x14ac:dyDescent="0.25">
      <c r="A788" t="s">
        <v>1959</v>
      </c>
      <c r="B788" t="s">
        <v>603</v>
      </c>
      <c r="C788" t="s">
        <v>1958</v>
      </c>
      <c r="D788" s="1">
        <v>45753</v>
      </c>
      <c r="E788" t="s">
        <v>162</v>
      </c>
      <c r="F788" t="s">
        <v>161</v>
      </c>
      <c r="G788" t="s">
        <v>83</v>
      </c>
      <c r="H788" t="s">
        <v>16</v>
      </c>
      <c r="I788" t="s">
        <v>28</v>
      </c>
      <c r="J788" t="s">
        <v>14</v>
      </c>
      <c r="K788" t="s">
        <v>13</v>
      </c>
      <c r="L788" t="s">
        <v>12</v>
      </c>
      <c r="M788" t="s">
        <v>11</v>
      </c>
      <c r="N788" t="s">
        <v>41</v>
      </c>
      <c r="O788" t="s">
        <v>74</v>
      </c>
      <c r="P788" t="s">
        <v>63</v>
      </c>
      <c r="Q788" t="s">
        <v>198</v>
      </c>
      <c r="R788" t="s">
        <v>6</v>
      </c>
      <c r="S788">
        <v>6</v>
      </c>
      <c r="T788">
        <v>3</v>
      </c>
      <c r="U788">
        <v>-30</v>
      </c>
      <c r="V788" t="s">
        <v>182</v>
      </c>
      <c r="W788" t="s">
        <v>5</v>
      </c>
      <c r="X788" t="s">
        <v>5</v>
      </c>
      <c r="Y788" t="s">
        <v>314</v>
      </c>
      <c r="Z788" t="s">
        <v>0</v>
      </c>
      <c r="AA788">
        <v>0</v>
      </c>
      <c r="AB788">
        <v>0</v>
      </c>
      <c r="AC788">
        <v>0</v>
      </c>
      <c r="AD788" t="s">
        <v>61</v>
      </c>
      <c r="AE788" t="s">
        <v>5</v>
      </c>
      <c r="AF788" t="s">
        <v>61</v>
      </c>
      <c r="AG788" t="s">
        <v>139</v>
      </c>
      <c r="AH788">
        <v>15</v>
      </c>
      <c r="AI788" t="s">
        <v>23</v>
      </c>
      <c r="AJ788">
        <v>3</v>
      </c>
      <c r="AK788">
        <v>-27</v>
      </c>
      <c r="AL788">
        <v>0</v>
      </c>
      <c r="AM788" t="s">
        <v>0</v>
      </c>
      <c r="AN788">
        <v>1</v>
      </c>
      <c r="AO788">
        <v>0</v>
      </c>
      <c r="AP788">
        <v>1</v>
      </c>
      <c r="AQ788">
        <v>0</v>
      </c>
    </row>
    <row r="789" spans="1:43" x14ac:dyDescent="0.25">
      <c r="A789" t="s">
        <v>1957</v>
      </c>
      <c r="B789" t="s">
        <v>1956</v>
      </c>
      <c r="C789" t="s">
        <v>1955</v>
      </c>
      <c r="D789" s="1">
        <v>45802</v>
      </c>
      <c r="E789" t="s">
        <v>95</v>
      </c>
      <c r="F789" t="s">
        <v>118</v>
      </c>
      <c r="G789" t="s">
        <v>123</v>
      </c>
      <c r="H789" t="s">
        <v>77</v>
      </c>
      <c r="I789" t="s">
        <v>15</v>
      </c>
      <c r="J789" t="s">
        <v>146</v>
      </c>
      <c r="K789" t="s">
        <v>145</v>
      </c>
      <c r="L789" t="s">
        <v>64</v>
      </c>
      <c r="M789" t="s">
        <v>11</v>
      </c>
      <c r="N789" t="s">
        <v>93</v>
      </c>
      <c r="O789" t="s">
        <v>87</v>
      </c>
      <c r="P789" t="s">
        <v>63</v>
      </c>
      <c r="Q789" t="s">
        <v>172</v>
      </c>
      <c r="R789" t="s">
        <v>38</v>
      </c>
      <c r="S789">
        <v>5</v>
      </c>
      <c r="T789">
        <v>5</v>
      </c>
      <c r="U789">
        <v>104</v>
      </c>
      <c r="V789" t="s">
        <v>0</v>
      </c>
      <c r="W789" t="s">
        <v>5</v>
      </c>
      <c r="X789" t="s">
        <v>0</v>
      </c>
      <c r="Y789" t="s">
        <v>4</v>
      </c>
      <c r="Z789" t="s">
        <v>5</v>
      </c>
      <c r="AA789">
        <v>42.27</v>
      </c>
      <c r="AB789">
        <v>0</v>
      </c>
      <c r="AC789">
        <v>0</v>
      </c>
      <c r="AD789" t="s">
        <v>61</v>
      </c>
      <c r="AE789" t="s">
        <v>5</v>
      </c>
      <c r="AF789" t="s">
        <v>61</v>
      </c>
      <c r="AG789" t="s">
        <v>139</v>
      </c>
      <c r="AH789">
        <v>36</v>
      </c>
      <c r="AI789" t="s">
        <v>23</v>
      </c>
      <c r="AJ789">
        <v>5</v>
      </c>
      <c r="AK789">
        <v>23</v>
      </c>
      <c r="AL789">
        <v>0</v>
      </c>
      <c r="AM789" t="s">
        <v>0</v>
      </c>
      <c r="AN789">
        <v>1</v>
      </c>
      <c r="AO789">
        <v>1</v>
      </c>
      <c r="AP789">
        <v>0</v>
      </c>
      <c r="AQ789">
        <v>0</v>
      </c>
    </row>
    <row r="790" spans="1:43" x14ac:dyDescent="0.25">
      <c r="A790" t="s">
        <v>1954</v>
      </c>
      <c r="B790" t="s">
        <v>921</v>
      </c>
      <c r="C790" t="s">
        <v>1953</v>
      </c>
      <c r="D790" s="1">
        <v>45737</v>
      </c>
      <c r="E790" t="s">
        <v>112</v>
      </c>
      <c r="F790" t="s">
        <v>461</v>
      </c>
      <c r="G790" t="s">
        <v>110</v>
      </c>
      <c r="H790" t="s">
        <v>77</v>
      </c>
      <c r="I790" t="s">
        <v>28</v>
      </c>
      <c r="J790" t="s">
        <v>146</v>
      </c>
      <c r="K790" t="s">
        <v>176</v>
      </c>
      <c r="L790" t="s">
        <v>42</v>
      </c>
      <c r="M790" t="s">
        <v>11</v>
      </c>
      <c r="N790" t="s">
        <v>52</v>
      </c>
      <c r="O790" t="s">
        <v>26</v>
      </c>
      <c r="P790" t="s">
        <v>39</v>
      </c>
      <c r="Q790" t="s">
        <v>7</v>
      </c>
      <c r="R790" t="s">
        <v>6</v>
      </c>
      <c r="S790">
        <v>4</v>
      </c>
      <c r="T790">
        <v>4</v>
      </c>
      <c r="U790">
        <v>124</v>
      </c>
      <c r="V790" t="s">
        <v>0</v>
      </c>
      <c r="W790" t="s">
        <v>5</v>
      </c>
      <c r="X790" t="s">
        <v>0</v>
      </c>
      <c r="Y790" t="s">
        <v>4</v>
      </c>
      <c r="Z790" t="s">
        <v>5</v>
      </c>
      <c r="AA790">
        <v>169.22</v>
      </c>
      <c r="AB790">
        <v>0.22</v>
      </c>
      <c r="AC790">
        <v>0</v>
      </c>
      <c r="AD790" t="s">
        <v>3</v>
      </c>
      <c r="AE790" t="s">
        <v>0</v>
      </c>
      <c r="AF790" t="s">
        <v>3</v>
      </c>
      <c r="AG790" t="s">
        <v>2</v>
      </c>
      <c r="AI790" t="s">
        <v>23</v>
      </c>
      <c r="AJ790">
        <v>5</v>
      </c>
      <c r="AK790">
        <v>10</v>
      </c>
      <c r="AL790">
        <v>43</v>
      </c>
      <c r="AM790" t="s">
        <v>5</v>
      </c>
      <c r="AN790">
        <v>1</v>
      </c>
      <c r="AO790">
        <v>1</v>
      </c>
      <c r="AP790">
        <v>0</v>
      </c>
      <c r="AQ790">
        <v>1</v>
      </c>
    </row>
    <row r="791" spans="1:43" x14ac:dyDescent="0.25">
      <c r="A791" t="s">
        <v>1952</v>
      </c>
      <c r="B791" t="s">
        <v>1602</v>
      </c>
      <c r="C791" t="s">
        <v>1951</v>
      </c>
      <c r="D791" s="1">
        <v>46026</v>
      </c>
      <c r="E791" t="s">
        <v>32</v>
      </c>
      <c r="F791" t="s">
        <v>107</v>
      </c>
      <c r="G791" t="s">
        <v>56</v>
      </c>
      <c r="H791" t="s">
        <v>29</v>
      </c>
      <c r="I791" t="s">
        <v>28</v>
      </c>
      <c r="J791" t="s">
        <v>14</v>
      </c>
      <c r="K791" t="s">
        <v>13</v>
      </c>
      <c r="L791" t="s">
        <v>12</v>
      </c>
      <c r="M791" t="s">
        <v>27</v>
      </c>
      <c r="N791" t="s">
        <v>93</v>
      </c>
      <c r="O791" t="s">
        <v>101</v>
      </c>
      <c r="P791" t="s">
        <v>39</v>
      </c>
      <c r="Q791" t="s">
        <v>24</v>
      </c>
      <c r="R791" t="s">
        <v>38</v>
      </c>
      <c r="S791">
        <v>4</v>
      </c>
      <c r="T791">
        <v>4</v>
      </c>
      <c r="U791">
        <v>74</v>
      </c>
      <c r="V791" t="s">
        <v>0</v>
      </c>
      <c r="W791" t="s">
        <v>0</v>
      </c>
      <c r="X791" t="s">
        <v>135</v>
      </c>
      <c r="Y791" t="s">
        <v>4</v>
      </c>
      <c r="Z791" t="s">
        <v>5</v>
      </c>
      <c r="AA791">
        <v>109.74</v>
      </c>
      <c r="AB791">
        <v>0.56000000000000005</v>
      </c>
      <c r="AC791">
        <v>0.37</v>
      </c>
      <c r="AD791" t="s">
        <v>3</v>
      </c>
      <c r="AE791" t="s">
        <v>0</v>
      </c>
      <c r="AF791" t="s">
        <v>3</v>
      </c>
      <c r="AG791" t="s">
        <v>2</v>
      </c>
      <c r="AI791" t="s">
        <v>1</v>
      </c>
      <c r="AJ791">
        <v>4</v>
      </c>
      <c r="AK791">
        <v>56</v>
      </c>
      <c r="AL791">
        <v>10</v>
      </c>
      <c r="AM791" t="s">
        <v>0</v>
      </c>
      <c r="AN791">
        <v>0</v>
      </c>
      <c r="AO791">
        <v>1</v>
      </c>
      <c r="AP791">
        <v>0</v>
      </c>
      <c r="AQ791">
        <v>0</v>
      </c>
    </row>
    <row r="792" spans="1:43" x14ac:dyDescent="0.25">
      <c r="A792" t="s">
        <v>1950</v>
      </c>
      <c r="B792" t="s">
        <v>1138</v>
      </c>
      <c r="C792" t="s">
        <v>1949</v>
      </c>
      <c r="D792" s="1">
        <v>46162</v>
      </c>
      <c r="E792" t="s">
        <v>95</v>
      </c>
      <c r="F792" t="s">
        <v>321</v>
      </c>
      <c r="G792" t="s">
        <v>56</v>
      </c>
      <c r="H792" t="s">
        <v>29</v>
      </c>
      <c r="I792" t="s">
        <v>15</v>
      </c>
      <c r="J792" t="s">
        <v>146</v>
      </c>
      <c r="K792" t="s">
        <v>460</v>
      </c>
      <c r="L792" t="s">
        <v>64</v>
      </c>
      <c r="M792" t="s">
        <v>27</v>
      </c>
      <c r="N792" t="s">
        <v>154</v>
      </c>
      <c r="O792" t="s">
        <v>199</v>
      </c>
      <c r="P792" t="s">
        <v>63</v>
      </c>
      <c r="Q792" t="s">
        <v>7</v>
      </c>
      <c r="R792" t="s">
        <v>6</v>
      </c>
      <c r="S792">
        <v>5</v>
      </c>
      <c r="T792">
        <v>5</v>
      </c>
      <c r="U792">
        <v>124</v>
      </c>
      <c r="V792" t="s">
        <v>0</v>
      </c>
      <c r="W792" t="s">
        <v>5</v>
      </c>
      <c r="X792" t="s">
        <v>0</v>
      </c>
      <c r="Y792" t="s">
        <v>4</v>
      </c>
      <c r="Z792" t="s">
        <v>5</v>
      </c>
      <c r="AA792">
        <v>39.58</v>
      </c>
      <c r="AB792">
        <v>0</v>
      </c>
      <c r="AC792">
        <v>0.37</v>
      </c>
      <c r="AD792" t="s">
        <v>3</v>
      </c>
      <c r="AE792" t="s">
        <v>0</v>
      </c>
      <c r="AF792" t="s">
        <v>3</v>
      </c>
      <c r="AG792" t="s">
        <v>2</v>
      </c>
      <c r="AI792" t="s">
        <v>23</v>
      </c>
      <c r="AJ792">
        <v>4</v>
      </c>
      <c r="AK792">
        <v>27</v>
      </c>
      <c r="AL792">
        <v>0</v>
      </c>
      <c r="AM792" t="s">
        <v>0</v>
      </c>
      <c r="AN792">
        <v>1</v>
      </c>
      <c r="AO792">
        <v>1</v>
      </c>
      <c r="AP792">
        <v>0</v>
      </c>
      <c r="AQ792">
        <v>0</v>
      </c>
    </row>
    <row r="793" spans="1:43" x14ac:dyDescent="0.25">
      <c r="A793" t="s">
        <v>1948</v>
      </c>
      <c r="B793" t="s">
        <v>1947</v>
      </c>
      <c r="C793" t="s">
        <v>1946</v>
      </c>
      <c r="D793" s="1">
        <v>45976</v>
      </c>
      <c r="E793" t="s">
        <v>19</v>
      </c>
      <c r="F793" t="s">
        <v>89</v>
      </c>
      <c r="G793" t="s">
        <v>17</v>
      </c>
      <c r="H793" t="s">
        <v>29</v>
      </c>
      <c r="I793" t="s">
        <v>28</v>
      </c>
      <c r="J793" t="s">
        <v>14</v>
      </c>
      <c r="K793" t="s">
        <v>13</v>
      </c>
      <c r="L793" t="s">
        <v>88</v>
      </c>
      <c r="M793" t="s">
        <v>11</v>
      </c>
      <c r="N793" t="s">
        <v>93</v>
      </c>
      <c r="O793" t="s">
        <v>199</v>
      </c>
      <c r="P793" t="s">
        <v>8</v>
      </c>
      <c r="Q793" t="s">
        <v>198</v>
      </c>
      <c r="R793" t="s">
        <v>38</v>
      </c>
      <c r="S793">
        <v>5</v>
      </c>
      <c r="T793">
        <v>5</v>
      </c>
      <c r="U793">
        <v>138</v>
      </c>
      <c r="V793" t="s">
        <v>0</v>
      </c>
      <c r="W793" t="s">
        <v>5</v>
      </c>
      <c r="X793" t="s">
        <v>0</v>
      </c>
      <c r="Y793" t="s">
        <v>4</v>
      </c>
      <c r="Z793" t="s">
        <v>5</v>
      </c>
      <c r="AA793">
        <v>42.56</v>
      </c>
      <c r="AB793">
        <v>0</v>
      </c>
      <c r="AC793">
        <v>0</v>
      </c>
      <c r="AD793" t="s">
        <v>37</v>
      </c>
      <c r="AE793" t="s">
        <v>5</v>
      </c>
      <c r="AF793" t="s">
        <v>37</v>
      </c>
      <c r="AG793" t="s">
        <v>36</v>
      </c>
      <c r="AH793">
        <v>28</v>
      </c>
      <c r="AI793" t="s">
        <v>23</v>
      </c>
      <c r="AJ793">
        <v>3</v>
      </c>
      <c r="AK793">
        <v>35</v>
      </c>
      <c r="AL793">
        <v>999</v>
      </c>
      <c r="AM793" t="s">
        <v>0</v>
      </c>
      <c r="AN793">
        <v>1</v>
      </c>
      <c r="AO793">
        <v>1</v>
      </c>
      <c r="AP793">
        <v>0</v>
      </c>
      <c r="AQ793">
        <v>0</v>
      </c>
    </row>
    <row r="794" spans="1:43" x14ac:dyDescent="0.25">
      <c r="A794" t="s">
        <v>1945</v>
      </c>
      <c r="B794" t="s">
        <v>1944</v>
      </c>
      <c r="C794" t="s">
        <v>1943</v>
      </c>
      <c r="D794" s="1">
        <v>45737</v>
      </c>
      <c r="E794" t="s">
        <v>19</v>
      </c>
      <c r="F794" t="s">
        <v>575</v>
      </c>
      <c r="G794" t="s">
        <v>56</v>
      </c>
      <c r="H794" t="s">
        <v>43</v>
      </c>
      <c r="I794" t="s">
        <v>28</v>
      </c>
      <c r="J794" t="s">
        <v>146</v>
      </c>
      <c r="K794" t="s">
        <v>176</v>
      </c>
      <c r="L794" t="s">
        <v>88</v>
      </c>
      <c r="M794" t="s">
        <v>53</v>
      </c>
      <c r="N794" t="s">
        <v>75</v>
      </c>
      <c r="O794" t="s">
        <v>26</v>
      </c>
      <c r="P794" t="s">
        <v>63</v>
      </c>
      <c r="Q794" t="s">
        <v>24</v>
      </c>
      <c r="R794" t="s">
        <v>6</v>
      </c>
      <c r="S794">
        <v>4</v>
      </c>
      <c r="T794">
        <v>4</v>
      </c>
      <c r="U794">
        <v>117</v>
      </c>
      <c r="V794" t="s">
        <v>0</v>
      </c>
      <c r="W794" t="s">
        <v>5</v>
      </c>
      <c r="X794" t="s">
        <v>0</v>
      </c>
      <c r="Y794" t="s">
        <v>4</v>
      </c>
      <c r="Z794" t="s">
        <v>0</v>
      </c>
      <c r="AA794">
        <v>0</v>
      </c>
      <c r="AB794">
        <v>0</v>
      </c>
      <c r="AC794">
        <v>0</v>
      </c>
      <c r="AD794" t="s">
        <v>3</v>
      </c>
      <c r="AE794" t="s">
        <v>0</v>
      </c>
      <c r="AF794" t="s">
        <v>3</v>
      </c>
      <c r="AG794" t="s">
        <v>2</v>
      </c>
      <c r="AI794" t="s">
        <v>23</v>
      </c>
      <c r="AJ794">
        <v>4</v>
      </c>
      <c r="AK794">
        <v>37</v>
      </c>
      <c r="AL794">
        <v>0</v>
      </c>
      <c r="AM794" t="s">
        <v>5</v>
      </c>
      <c r="AN794">
        <v>1</v>
      </c>
      <c r="AO794">
        <v>0</v>
      </c>
      <c r="AP794">
        <v>0</v>
      </c>
      <c r="AQ794">
        <v>1</v>
      </c>
    </row>
    <row r="795" spans="1:43" x14ac:dyDescent="0.25">
      <c r="A795" t="s">
        <v>1942</v>
      </c>
      <c r="B795" t="s">
        <v>1941</v>
      </c>
      <c r="C795" t="s">
        <v>1940</v>
      </c>
      <c r="D795" s="1">
        <v>45882</v>
      </c>
      <c r="E795" t="s">
        <v>168</v>
      </c>
      <c r="F795" t="s">
        <v>283</v>
      </c>
      <c r="G795" t="s">
        <v>83</v>
      </c>
      <c r="H795" t="s">
        <v>29</v>
      </c>
      <c r="I795" t="s">
        <v>15</v>
      </c>
      <c r="J795" t="s">
        <v>55</v>
      </c>
      <c r="K795" t="s">
        <v>54</v>
      </c>
      <c r="L795" t="s">
        <v>117</v>
      </c>
      <c r="M795" t="s">
        <v>27</v>
      </c>
      <c r="N795" t="s">
        <v>52</v>
      </c>
      <c r="O795" t="s">
        <v>87</v>
      </c>
      <c r="P795" t="s">
        <v>63</v>
      </c>
      <c r="Q795" t="s">
        <v>198</v>
      </c>
      <c r="R795" t="s">
        <v>38</v>
      </c>
      <c r="S795">
        <v>5</v>
      </c>
      <c r="T795">
        <v>5</v>
      </c>
      <c r="U795">
        <v>93</v>
      </c>
      <c r="V795" t="s">
        <v>0</v>
      </c>
      <c r="W795" t="s">
        <v>5</v>
      </c>
      <c r="X795" t="s">
        <v>0</v>
      </c>
      <c r="Y795" t="s">
        <v>4</v>
      </c>
      <c r="Z795" t="s">
        <v>5</v>
      </c>
      <c r="AA795">
        <v>50.55</v>
      </c>
      <c r="AB795">
        <v>0</v>
      </c>
      <c r="AC795">
        <v>0.37</v>
      </c>
      <c r="AD795" t="s">
        <v>3</v>
      </c>
      <c r="AE795" t="s">
        <v>0</v>
      </c>
      <c r="AF795" t="s">
        <v>3</v>
      </c>
      <c r="AG795" t="s">
        <v>2</v>
      </c>
      <c r="AI795" t="s">
        <v>23</v>
      </c>
      <c r="AJ795">
        <v>5</v>
      </c>
      <c r="AK795">
        <v>35</v>
      </c>
      <c r="AL795">
        <v>0</v>
      </c>
      <c r="AM795" t="s">
        <v>5</v>
      </c>
      <c r="AN795">
        <v>1</v>
      </c>
      <c r="AO795">
        <v>1</v>
      </c>
      <c r="AP795">
        <v>0</v>
      </c>
      <c r="AQ795">
        <v>1</v>
      </c>
    </row>
    <row r="796" spans="1:43" x14ac:dyDescent="0.25">
      <c r="A796" t="s">
        <v>1939</v>
      </c>
      <c r="B796" t="s">
        <v>1692</v>
      </c>
      <c r="C796" t="s">
        <v>1938</v>
      </c>
      <c r="D796" s="1">
        <v>45878</v>
      </c>
      <c r="E796" t="s">
        <v>95</v>
      </c>
      <c r="F796" t="s">
        <v>321</v>
      </c>
      <c r="G796" t="s">
        <v>30</v>
      </c>
      <c r="H796" t="s">
        <v>77</v>
      </c>
      <c r="I796" t="s">
        <v>28</v>
      </c>
      <c r="J796" t="s">
        <v>55</v>
      </c>
      <c r="K796" t="s">
        <v>54</v>
      </c>
      <c r="L796" t="s">
        <v>42</v>
      </c>
      <c r="M796" t="s">
        <v>11</v>
      </c>
      <c r="N796" t="s">
        <v>41</v>
      </c>
      <c r="O796" t="s">
        <v>74</v>
      </c>
      <c r="P796" t="s">
        <v>39</v>
      </c>
      <c r="Q796" t="s">
        <v>198</v>
      </c>
      <c r="R796" t="s">
        <v>38</v>
      </c>
      <c r="S796">
        <v>6</v>
      </c>
      <c r="T796">
        <v>6</v>
      </c>
      <c r="U796">
        <v>186</v>
      </c>
      <c r="V796" t="s">
        <v>0</v>
      </c>
      <c r="W796" t="s">
        <v>0</v>
      </c>
      <c r="X796" t="s">
        <v>0</v>
      </c>
      <c r="Y796" t="s">
        <v>4</v>
      </c>
      <c r="Z796" t="s">
        <v>5</v>
      </c>
      <c r="AA796">
        <v>53.25</v>
      </c>
      <c r="AB796">
        <v>0</v>
      </c>
      <c r="AC796">
        <v>0</v>
      </c>
      <c r="AD796" t="s">
        <v>3</v>
      </c>
      <c r="AE796" t="s">
        <v>0</v>
      </c>
      <c r="AF796" t="s">
        <v>3</v>
      </c>
      <c r="AG796" t="s">
        <v>2</v>
      </c>
      <c r="AI796" t="s">
        <v>23</v>
      </c>
      <c r="AJ796">
        <v>3</v>
      </c>
      <c r="AK796">
        <v>9</v>
      </c>
      <c r="AL796">
        <v>1</v>
      </c>
      <c r="AM796" t="s">
        <v>5</v>
      </c>
      <c r="AN796">
        <v>0</v>
      </c>
      <c r="AO796">
        <v>1</v>
      </c>
      <c r="AP796">
        <v>0</v>
      </c>
      <c r="AQ796">
        <v>1</v>
      </c>
    </row>
    <row r="797" spans="1:43" x14ac:dyDescent="0.25">
      <c r="A797" t="s">
        <v>1937</v>
      </c>
      <c r="B797" t="s">
        <v>1936</v>
      </c>
      <c r="C797" t="s">
        <v>1935</v>
      </c>
      <c r="D797" s="1">
        <v>46161</v>
      </c>
      <c r="E797" t="s">
        <v>162</v>
      </c>
      <c r="F797" t="s">
        <v>540</v>
      </c>
      <c r="G797" t="s">
        <v>17</v>
      </c>
      <c r="H797" t="s">
        <v>43</v>
      </c>
      <c r="I797" t="s">
        <v>15</v>
      </c>
      <c r="J797" t="s">
        <v>14</v>
      </c>
      <c r="K797" t="s">
        <v>13</v>
      </c>
      <c r="L797" t="s">
        <v>117</v>
      </c>
      <c r="M797" t="s">
        <v>27</v>
      </c>
      <c r="N797" t="s">
        <v>93</v>
      </c>
      <c r="O797" t="s">
        <v>51</v>
      </c>
      <c r="P797" t="s">
        <v>39</v>
      </c>
      <c r="Q797" t="s">
        <v>50</v>
      </c>
      <c r="R797" t="s">
        <v>38</v>
      </c>
      <c r="S797">
        <v>6</v>
      </c>
      <c r="T797" t="s">
        <v>205</v>
      </c>
      <c r="U797">
        <v>171</v>
      </c>
      <c r="V797" t="s">
        <v>0</v>
      </c>
      <c r="W797" t="s">
        <v>0</v>
      </c>
      <c r="X797" t="s">
        <v>0</v>
      </c>
      <c r="Y797" t="s">
        <v>4</v>
      </c>
      <c r="Z797" t="s">
        <v>0</v>
      </c>
      <c r="AA797">
        <v>0</v>
      </c>
      <c r="AB797">
        <v>0</v>
      </c>
      <c r="AC797">
        <v>0</v>
      </c>
      <c r="AD797" t="s">
        <v>3</v>
      </c>
      <c r="AE797" t="s">
        <v>0</v>
      </c>
      <c r="AF797" t="s">
        <v>3</v>
      </c>
      <c r="AG797" t="s">
        <v>2</v>
      </c>
      <c r="AI797" t="s">
        <v>23</v>
      </c>
      <c r="AJ797">
        <v>3</v>
      </c>
      <c r="AK797">
        <v>-5</v>
      </c>
      <c r="AL797">
        <v>25</v>
      </c>
      <c r="AM797" t="s">
        <v>5</v>
      </c>
      <c r="AN797">
        <v>0</v>
      </c>
      <c r="AO797">
        <v>0</v>
      </c>
      <c r="AP797">
        <v>0</v>
      </c>
      <c r="AQ797">
        <v>1</v>
      </c>
    </row>
    <row r="798" spans="1:43" x14ac:dyDescent="0.25">
      <c r="A798" t="s">
        <v>1934</v>
      </c>
      <c r="B798" t="s">
        <v>1933</v>
      </c>
      <c r="C798" t="s">
        <v>1932</v>
      </c>
      <c r="D798" s="1">
        <v>46016</v>
      </c>
      <c r="E798" t="s">
        <v>162</v>
      </c>
      <c r="F798" t="s">
        <v>161</v>
      </c>
      <c r="G798" t="s">
        <v>17</v>
      </c>
      <c r="H798" t="s">
        <v>77</v>
      </c>
      <c r="I798" t="s">
        <v>28</v>
      </c>
      <c r="J798" t="s">
        <v>146</v>
      </c>
      <c r="K798" t="s">
        <v>176</v>
      </c>
      <c r="L798" t="s">
        <v>88</v>
      </c>
      <c r="M798" t="s">
        <v>11</v>
      </c>
      <c r="N798" t="s">
        <v>41</v>
      </c>
      <c r="O798" t="s">
        <v>199</v>
      </c>
      <c r="P798" t="s">
        <v>25</v>
      </c>
      <c r="Q798" t="s">
        <v>7</v>
      </c>
      <c r="R798" t="s">
        <v>6</v>
      </c>
      <c r="S798">
        <v>5</v>
      </c>
      <c r="T798">
        <v>4</v>
      </c>
      <c r="U798">
        <v>178</v>
      </c>
      <c r="V798" t="s">
        <v>5</v>
      </c>
      <c r="W798" t="s">
        <v>5</v>
      </c>
      <c r="X798" t="s">
        <v>5</v>
      </c>
      <c r="Y798" t="s">
        <v>282</v>
      </c>
      <c r="Z798" t="s">
        <v>5</v>
      </c>
      <c r="AA798">
        <v>118.08</v>
      </c>
      <c r="AB798">
        <v>0</v>
      </c>
      <c r="AC798">
        <v>0</v>
      </c>
      <c r="AD798" t="s">
        <v>3</v>
      </c>
      <c r="AE798" t="s">
        <v>0</v>
      </c>
      <c r="AF798" t="s">
        <v>3</v>
      </c>
      <c r="AG798" t="s">
        <v>2</v>
      </c>
      <c r="AI798" t="s">
        <v>23</v>
      </c>
      <c r="AJ798">
        <v>2</v>
      </c>
      <c r="AK798">
        <v>13</v>
      </c>
      <c r="AL798">
        <v>27</v>
      </c>
      <c r="AM798" t="s">
        <v>0</v>
      </c>
      <c r="AN798">
        <v>1</v>
      </c>
      <c r="AO798">
        <v>1</v>
      </c>
      <c r="AP798">
        <v>1</v>
      </c>
      <c r="AQ798">
        <v>0</v>
      </c>
    </row>
    <row r="799" spans="1:43" x14ac:dyDescent="0.25">
      <c r="A799" t="s">
        <v>1931</v>
      </c>
      <c r="B799" t="s">
        <v>532</v>
      </c>
      <c r="C799" t="s">
        <v>1930</v>
      </c>
      <c r="D799" s="1">
        <v>46166</v>
      </c>
      <c r="E799" t="s">
        <v>168</v>
      </c>
      <c r="F799" t="s">
        <v>177</v>
      </c>
      <c r="G799" t="s">
        <v>110</v>
      </c>
      <c r="H799" t="s">
        <v>43</v>
      </c>
      <c r="I799" t="s">
        <v>28</v>
      </c>
      <c r="J799" t="s">
        <v>55</v>
      </c>
      <c r="K799" t="s">
        <v>54</v>
      </c>
      <c r="L799" t="s">
        <v>88</v>
      </c>
      <c r="M799" t="s">
        <v>11</v>
      </c>
      <c r="N799" t="s">
        <v>75</v>
      </c>
      <c r="O799" t="s">
        <v>74</v>
      </c>
      <c r="P799" t="s">
        <v>63</v>
      </c>
      <c r="Q799" t="s">
        <v>50</v>
      </c>
      <c r="R799" t="s">
        <v>38</v>
      </c>
      <c r="S799">
        <v>6</v>
      </c>
      <c r="T799">
        <v>6</v>
      </c>
      <c r="U799">
        <v>166</v>
      </c>
      <c r="V799" t="s">
        <v>0</v>
      </c>
      <c r="W799" t="s">
        <v>5</v>
      </c>
      <c r="X799" t="s">
        <v>5</v>
      </c>
      <c r="Y799" t="s">
        <v>73</v>
      </c>
      <c r="Z799" t="s">
        <v>5</v>
      </c>
      <c r="AA799">
        <v>0</v>
      </c>
      <c r="AB799">
        <v>0</v>
      </c>
      <c r="AC799">
        <v>0</v>
      </c>
      <c r="AD799" t="s">
        <v>3</v>
      </c>
      <c r="AE799" t="s">
        <v>0</v>
      </c>
      <c r="AF799" t="s">
        <v>3</v>
      </c>
      <c r="AG799" t="s">
        <v>2</v>
      </c>
      <c r="AI799" t="s">
        <v>23</v>
      </c>
      <c r="AJ799">
        <v>4</v>
      </c>
      <c r="AK799">
        <v>-42</v>
      </c>
      <c r="AL799">
        <v>0</v>
      </c>
      <c r="AM799" t="s">
        <v>5</v>
      </c>
      <c r="AN799">
        <v>1</v>
      </c>
      <c r="AO799">
        <v>1</v>
      </c>
      <c r="AP799">
        <v>1</v>
      </c>
      <c r="AQ799">
        <v>1</v>
      </c>
    </row>
    <row r="800" spans="1:43" x14ac:dyDescent="0.25">
      <c r="A800" t="s">
        <v>1929</v>
      </c>
      <c r="B800" t="s">
        <v>789</v>
      </c>
      <c r="C800" t="s">
        <v>1928</v>
      </c>
      <c r="D800" s="1">
        <v>46112</v>
      </c>
      <c r="E800" t="s">
        <v>79</v>
      </c>
      <c r="F800" t="s">
        <v>102</v>
      </c>
      <c r="G800" t="s">
        <v>56</v>
      </c>
      <c r="H800" t="s">
        <v>77</v>
      </c>
      <c r="I800" t="s">
        <v>28</v>
      </c>
      <c r="J800" t="s">
        <v>14</v>
      </c>
      <c r="K800" t="s">
        <v>13</v>
      </c>
      <c r="L800" t="s">
        <v>42</v>
      </c>
      <c r="M800" t="s">
        <v>27</v>
      </c>
      <c r="N800" t="s">
        <v>75</v>
      </c>
      <c r="O800" t="s">
        <v>101</v>
      </c>
      <c r="P800" t="s">
        <v>39</v>
      </c>
      <c r="Q800" t="s">
        <v>7</v>
      </c>
      <c r="R800" t="s">
        <v>6</v>
      </c>
      <c r="S800">
        <v>4</v>
      </c>
      <c r="T800">
        <v>4</v>
      </c>
      <c r="U800">
        <v>118</v>
      </c>
      <c r="V800" t="s">
        <v>0</v>
      </c>
      <c r="W800" t="s">
        <v>5</v>
      </c>
      <c r="X800" t="s">
        <v>5</v>
      </c>
      <c r="Y800" t="s">
        <v>1163</v>
      </c>
      <c r="Z800" t="s">
        <v>5</v>
      </c>
      <c r="AA800">
        <v>34.53</v>
      </c>
      <c r="AB800">
        <v>0.44</v>
      </c>
      <c r="AC800">
        <v>0.37</v>
      </c>
      <c r="AD800" t="s">
        <v>3</v>
      </c>
      <c r="AE800" t="s">
        <v>0</v>
      </c>
      <c r="AF800" t="s">
        <v>3</v>
      </c>
      <c r="AG800" t="s">
        <v>2</v>
      </c>
      <c r="AI800" t="s">
        <v>23</v>
      </c>
      <c r="AJ800">
        <v>3</v>
      </c>
      <c r="AK800">
        <v>-1</v>
      </c>
      <c r="AL800">
        <v>49</v>
      </c>
      <c r="AM800" t="s">
        <v>5</v>
      </c>
      <c r="AN800">
        <v>1</v>
      </c>
      <c r="AO800">
        <v>1</v>
      </c>
      <c r="AP800">
        <v>1</v>
      </c>
      <c r="AQ800">
        <v>1</v>
      </c>
    </row>
    <row r="801" spans="1:43" x14ac:dyDescent="0.25">
      <c r="A801" t="s">
        <v>1927</v>
      </c>
      <c r="B801" t="s">
        <v>1628</v>
      </c>
      <c r="C801" t="s">
        <v>1926</v>
      </c>
      <c r="D801" s="1">
        <v>45913</v>
      </c>
      <c r="E801" t="s">
        <v>95</v>
      </c>
      <c r="F801" t="s">
        <v>1925</v>
      </c>
      <c r="G801" t="s">
        <v>17</v>
      </c>
      <c r="H801" t="s">
        <v>77</v>
      </c>
      <c r="I801" t="s">
        <v>28</v>
      </c>
      <c r="J801" t="s">
        <v>14</v>
      </c>
      <c r="K801" t="s">
        <v>13</v>
      </c>
      <c r="L801" t="s">
        <v>88</v>
      </c>
      <c r="M801" t="s">
        <v>299</v>
      </c>
      <c r="N801" t="s">
        <v>10</v>
      </c>
      <c r="O801" t="s">
        <v>26</v>
      </c>
      <c r="P801" t="s">
        <v>63</v>
      </c>
      <c r="Q801" t="s">
        <v>7</v>
      </c>
      <c r="R801" t="s">
        <v>6</v>
      </c>
      <c r="S801">
        <v>4</v>
      </c>
      <c r="T801" t="s">
        <v>1829</v>
      </c>
      <c r="U801">
        <v>164</v>
      </c>
      <c r="V801" t="s">
        <v>5</v>
      </c>
      <c r="W801" t="s">
        <v>0</v>
      </c>
      <c r="X801" t="s">
        <v>0</v>
      </c>
      <c r="Y801" t="s">
        <v>4</v>
      </c>
      <c r="Z801" t="s">
        <v>5</v>
      </c>
      <c r="AA801">
        <v>167.95</v>
      </c>
      <c r="AB801">
        <v>0.22</v>
      </c>
      <c r="AC801">
        <v>0</v>
      </c>
      <c r="AD801" t="s">
        <v>61</v>
      </c>
      <c r="AE801" t="s">
        <v>5</v>
      </c>
      <c r="AF801" t="s">
        <v>61</v>
      </c>
      <c r="AG801" t="s">
        <v>36</v>
      </c>
      <c r="AH801">
        <v>47</v>
      </c>
      <c r="AI801" t="s">
        <v>1</v>
      </c>
      <c r="AJ801">
        <v>4</v>
      </c>
      <c r="AK801">
        <v>23</v>
      </c>
      <c r="AL801">
        <v>0</v>
      </c>
      <c r="AM801" t="s">
        <v>0</v>
      </c>
      <c r="AN801">
        <v>0</v>
      </c>
      <c r="AO801">
        <v>1</v>
      </c>
      <c r="AP801">
        <v>0</v>
      </c>
      <c r="AQ801">
        <v>0</v>
      </c>
    </row>
    <row r="802" spans="1:43" x14ac:dyDescent="0.25">
      <c r="A802" t="s">
        <v>1924</v>
      </c>
      <c r="B802" t="s">
        <v>506</v>
      </c>
      <c r="C802" t="s">
        <v>1923</v>
      </c>
      <c r="D802" s="1">
        <v>45681</v>
      </c>
      <c r="E802" t="s">
        <v>162</v>
      </c>
      <c r="F802" t="s">
        <v>310</v>
      </c>
      <c r="G802" t="s">
        <v>56</v>
      </c>
      <c r="H802" t="s">
        <v>237</v>
      </c>
      <c r="I802" t="s">
        <v>28</v>
      </c>
      <c r="J802" t="s">
        <v>146</v>
      </c>
      <c r="K802" t="s">
        <v>145</v>
      </c>
      <c r="L802" t="s">
        <v>12</v>
      </c>
      <c r="M802" t="s">
        <v>11</v>
      </c>
      <c r="N802" t="s">
        <v>93</v>
      </c>
      <c r="O802" t="s">
        <v>101</v>
      </c>
      <c r="P802" t="s">
        <v>63</v>
      </c>
      <c r="Q802" t="s">
        <v>7</v>
      </c>
      <c r="R802" t="s">
        <v>6</v>
      </c>
      <c r="S802">
        <v>4</v>
      </c>
      <c r="T802">
        <v>4</v>
      </c>
      <c r="U802">
        <v>100</v>
      </c>
      <c r="V802" t="s">
        <v>0</v>
      </c>
      <c r="W802" t="s">
        <v>5</v>
      </c>
      <c r="X802" t="s">
        <v>0</v>
      </c>
      <c r="Y802" t="s">
        <v>4</v>
      </c>
      <c r="Z802" t="s">
        <v>5</v>
      </c>
      <c r="AA802">
        <v>1.97</v>
      </c>
      <c r="AB802">
        <v>0.45</v>
      </c>
      <c r="AC802">
        <v>0</v>
      </c>
      <c r="AD802" t="s">
        <v>3</v>
      </c>
      <c r="AE802" t="s">
        <v>0</v>
      </c>
      <c r="AF802" t="s">
        <v>3</v>
      </c>
      <c r="AG802" t="s">
        <v>2</v>
      </c>
      <c r="AI802" t="s">
        <v>23</v>
      </c>
      <c r="AJ802">
        <v>4</v>
      </c>
      <c r="AK802">
        <v>58</v>
      </c>
      <c r="AL802">
        <v>0</v>
      </c>
      <c r="AM802" t="s">
        <v>5</v>
      </c>
      <c r="AN802">
        <v>1</v>
      </c>
      <c r="AO802">
        <v>1</v>
      </c>
      <c r="AP802">
        <v>0</v>
      </c>
      <c r="AQ802">
        <v>1</v>
      </c>
    </row>
    <row r="803" spans="1:43" x14ac:dyDescent="0.25">
      <c r="A803" t="s">
        <v>1922</v>
      </c>
      <c r="B803" t="s">
        <v>796</v>
      </c>
      <c r="C803" t="s">
        <v>1921</v>
      </c>
      <c r="D803" s="1">
        <v>46037</v>
      </c>
      <c r="E803" t="s">
        <v>32</v>
      </c>
      <c r="F803" t="s">
        <v>107</v>
      </c>
      <c r="G803" t="s">
        <v>56</v>
      </c>
      <c r="H803" t="s">
        <v>66</v>
      </c>
      <c r="I803" t="s">
        <v>28</v>
      </c>
      <c r="J803" t="s">
        <v>55</v>
      </c>
      <c r="K803" t="s">
        <v>54</v>
      </c>
      <c r="L803" t="s">
        <v>64</v>
      </c>
      <c r="M803" t="s">
        <v>53</v>
      </c>
      <c r="N803" t="s">
        <v>10</v>
      </c>
      <c r="O803" t="s">
        <v>74</v>
      </c>
      <c r="P803" t="s">
        <v>39</v>
      </c>
      <c r="Q803" t="s">
        <v>7</v>
      </c>
      <c r="R803" t="s">
        <v>6</v>
      </c>
      <c r="S803">
        <v>6</v>
      </c>
      <c r="T803">
        <v>5</v>
      </c>
      <c r="U803">
        <v>207</v>
      </c>
      <c r="V803" t="s">
        <v>5</v>
      </c>
      <c r="W803" t="s">
        <v>5</v>
      </c>
      <c r="X803" t="s">
        <v>0</v>
      </c>
      <c r="Y803" t="s">
        <v>4</v>
      </c>
      <c r="Z803" t="s">
        <v>5</v>
      </c>
      <c r="AA803">
        <v>59.42</v>
      </c>
      <c r="AB803">
        <v>0</v>
      </c>
      <c r="AC803">
        <v>0.17</v>
      </c>
      <c r="AD803" t="s">
        <v>3</v>
      </c>
      <c r="AE803" t="s">
        <v>0</v>
      </c>
      <c r="AF803" t="s">
        <v>3</v>
      </c>
      <c r="AG803" t="s">
        <v>2</v>
      </c>
      <c r="AI803" t="s">
        <v>23</v>
      </c>
      <c r="AJ803">
        <v>2</v>
      </c>
      <c r="AK803">
        <v>-30</v>
      </c>
      <c r="AL803">
        <v>71</v>
      </c>
      <c r="AM803" t="s">
        <v>0</v>
      </c>
      <c r="AN803">
        <v>1</v>
      </c>
      <c r="AO803">
        <v>1</v>
      </c>
      <c r="AP803">
        <v>0</v>
      </c>
      <c r="AQ803">
        <v>0</v>
      </c>
    </row>
    <row r="804" spans="1:43" x14ac:dyDescent="0.25">
      <c r="A804" t="s">
        <v>1920</v>
      </c>
      <c r="B804" t="s">
        <v>120</v>
      </c>
      <c r="C804" t="s">
        <v>1919</v>
      </c>
      <c r="D804" s="1">
        <v>46100</v>
      </c>
      <c r="E804" t="s">
        <v>149</v>
      </c>
      <c r="F804" t="s">
        <v>148</v>
      </c>
      <c r="G804" t="s">
        <v>56</v>
      </c>
      <c r="H804" t="s">
        <v>66</v>
      </c>
      <c r="I804" t="s">
        <v>15</v>
      </c>
      <c r="J804" t="s">
        <v>55</v>
      </c>
      <c r="K804" t="s">
        <v>54</v>
      </c>
      <c r="L804" t="s">
        <v>64</v>
      </c>
      <c r="M804" t="s">
        <v>11</v>
      </c>
      <c r="N804" t="s">
        <v>75</v>
      </c>
      <c r="O804" t="s">
        <v>199</v>
      </c>
      <c r="P804" t="s">
        <v>39</v>
      </c>
      <c r="Q804" t="s">
        <v>172</v>
      </c>
      <c r="R804" t="s">
        <v>38</v>
      </c>
      <c r="S804">
        <v>5</v>
      </c>
      <c r="T804">
        <v>5</v>
      </c>
      <c r="U804">
        <v>113</v>
      </c>
      <c r="V804" t="s">
        <v>0</v>
      </c>
      <c r="W804" t="s">
        <v>5</v>
      </c>
      <c r="X804" t="s">
        <v>0</v>
      </c>
      <c r="Y804" t="s">
        <v>4</v>
      </c>
      <c r="Z804" t="s">
        <v>5</v>
      </c>
      <c r="AA804">
        <v>141.27000000000001</v>
      </c>
      <c r="AB804">
        <v>0</v>
      </c>
      <c r="AC804">
        <v>0</v>
      </c>
      <c r="AD804" t="s">
        <v>3</v>
      </c>
      <c r="AE804" t="s">
        <v>0</v>
      </c>
      <c r="AF804" t="s">
        <v>3</v>
      </c>
      <c r="AG804" t="s">
        <v>2</v>
      </c>
      <c r="AI804" t="s">
        <v>23</v>
      </c>
      <c r="AJ804">
        <v>5</v>
      </c>
      <c r="AK804">
        <v>4</v>
      </c>
      <c r="AL804">
        <v>43</v>
      </c>
      <c r="AM804" t="s">
        <v>5</v>
      </c>
      <c r="AN804">
        <v>1</v>
      </c>
      <c r="AO804">
        <v>1</v>
      </c>
      <c r="AP804">
        <v>0</v>
      </c>
      <c r="AQ804">
        <v>1</v>
      </c>
    </row>
    <row r="805" spans="1:43" x14ac:dyDescent="0.25">
      <c r="A805" t="s">
        <v>1918</v>
      </c>
      <c r="B805" t="s">
        <v>1766</v>
      </c>
      <c r="C805" t="s">
        <v>1917</v>
      </c>
      <c r="D805" s="1">
        <v>45992</v>
      </c>
      <c r="E805" t="s">
        <v>156</v>
      </c>
      <c r="F805" t="s">
        <v>238</v>
      </c>
      <c r="G805" t="s">
        <v>17</v>
      </c>
      <c r="H805" t="s">
        <v>77</v>
      </c>
      <c r="I805" t="s">
        <v>28</v>
      </c>
      <c r="J805" t="s">
        <v>55</v>
      </c>
      <c r="K805" t="s">
        <v>54</v>
      </c>
      <c r="L805" t="s">
        <v>64</v>
      </c>
      <c r="M805" t="s">
        <v>11</v>
      </c>
      <c r="N805" t="s">
        <v>75</v>
      </c>
      <c r="O805" t="s">
        <v>26</v>
      </c>
      <c r="P805" t="s">
        <v>39</v>
      </c>
      <c r="Q805" t="s">
        <v>7</v>
      </c>
      <c r="R805" t="s">
        <v>6</v>
      </c>
      <c r="S805">
        <v>4</v>
      </c>
      <c r="T805">
        <v>3</v>
      </c>
      <c r="U805">
        <v>162</v>
      </c>
      <c r="V805" t="s">
        <v>5</v>
      </c>
      <c r="W805" t="s">
        <v>5</v>
      </c>
      <c r="X805" t="s">
        <v>0</v>
      </c>
      <c r="Y805" t="s">
        <v>4</v>
      </c>
      <c r="Z805" t="s">
        <v>5</v>
      </c>
      <c r="AA805">
        <v>54.42</v>
      </c>
      <c r="AB805">
        <v>0.18</v>
      </c>
      <c r="AC805">
        <v>0</v>
      </c>
      <c r="AD805" t="s">
        <v>3</v>
      </c>
      <c r="AE805" t="s">
        <v>0</v>
      </c>
      <c r="AF805" t="s">
        <v>3</v>
      </c>
      <c r="AG805" t="s">
        <v>2</v>
      </c>
      <c r="AI805" t="s">
        <v>23</v>
      </c>
      <c r="AJ805">
        <v>3</v>
      </c>
      <c r="AK805">
        <v>7</v>
      </c>
      <c r="AL805">
        <v>61</v>
      </c>
      <c r="AM805" t="s">
        <v>5</v>
      </c>
      <c r="AN805">
        <v>1</v>
      </c>
      <c r="AO805">
        <v>1</v>
      </c>
      <c r="AP805">
        <v>0</v>
      </c>
      <c r="AQ805">
        <v>1</v>
      </c>
    </row>
    <row r="806" spans="1:43" x14ac:dyDescent="0.25">
      <c r="A806" t="s">
        <v>1916</v>
      </c>
      <c r="B806" t="s">
        <v>780</v>
      </c>
      <c r="C806" t="s">
        <v>1915</v>
      </c>
      <c r="D806" s="1">
        <v>45685</v>
      </c>
      <c r="E806" t="s">
        <v>19</v>
      </c>
      <c r="F806" t="s">
        <v>295</v>
      </c>
      <c r="G806" t="s">
        <v>56</v>
      </c>
      <c r="H806" t="s">
        <v>29</v>
      </c>
      <c r="I806" t="s">
        <v>28</v>
      </c>
      <c r="J806" t="s">
        <v>146</v>
      </c>
      <c r="K806" t="s">
        <v>145</v>
      </c>
      <c r="L806" t="s">
        <v>88</v>
      </c>
      <c r="M806" t="s">
        <v>11</v>
      </c>
      <c r="N806" t="s">
        <v>93</v>
      </c>
      <c r="O806" t="s">
        <v>9</v>
      </c>
      <c r="P806" t="s">
        <v>8</v>
      </c>
      <c r="Q806" t="s">
        <v>24</v>
      </c>
      <c r="R806" t="s">
        <v>6</v>
      </c>
      <c r="S806">
        <v>7</v>
      </c>
      <c r="T806">
        <v>7</v>
      </c>
      <c r="U806">
        <v>128</v>
      </c>
      <c r="V806" t="s">
        <v>0</v>
      </c>
      <c r="W806" t="s">
        <v>5</v>
      </c>
      <c r="X806" t="s">
        <v>0</v>
      </c>
      <c r="Y806" t="s">
        <v>4</v>
      </c>
      <c r="Z806" t="s">
        <v>5</v>
      </c>
      <c r="AA806">
        <v>142.03</v>
      </c>
      <c r="AB806">
        <v>0</v>
      </c>
      <c r="AC806">
        <v>0</v>
      </c>
      <c r="AD806" t="s">
        <v>3</v>
      </c>
      <c r="AE806" t="s">
        <v>0</v>
      </c>
      <c r="AF806" t="s">
        <v>3</v>
      </c>
      <c r="AG806" t="s">
        <v>2</v>
      </c>
      <c r="AI806" t="s">
        <v>23</v>
      </c>
      <c r="AJ806">
        <v>3</v>
      </c>
      <c r="AK806">
        <v>19</v>
      </c>
      <c r="AL806">
        <v>24</v>
      </c>
      <c r="AM806" t="s">
        <v>5</v>
      </c>
      <c r="AN806">
        <v>1</v>
      </c>
      <c r="AO806">
        <v>1</v>
      </c>
      <c r="AP806">
        <v>0</v>
      </c>
      <c r="AQ806">
        <v>1</v>
      </c>
    </row>
    <row r="807" spans="1:43" x14ac:dyDescent="0.25">
      <c r="A807" t="s">
        <v>1914</v>
      </c>
      <c r="B807" t="s">
        <v>721</v>
      </c>
      <c r="C807" t="s">
        <v>1913</v>
      </c>
      <c r="D807" s="1">
        <v>45709</v>
      </c>
      <c r="E807" t="s">
        <v>156</v>
      </c>
      <c r="F807" t="s">
        <v>550</v>
      </c>
      <c r="G807" t="s">
        <v>56</v>
      </c>
      <c r="H807" t="s">
        <v>77</v>
      </c>
      <c r="I807" t="s">
        <v>15</v>
      </c>
      <c r="J807" t="s">
        <v>55</v>
      </c>
      <c r="K807" t="s">
        <v>54</v>
      </c>
      <c r="L807" t="s">
        <v>12</v>
      </c>
      <c r="M807" t="s">
        <v>11</v>
      </c>
      <c r="N807" t="s">
        <v>52</v>
      </c>
      <c r="O807" t="s">
        <v>87</v>
      </c>
      <c r="P807" t="s">
        <v>25</v>
      </c>
      <c r="Q807" t="s">
        <v>198</v>
      </c>
      <c r="R807" t="s">
        <v>6</v>
      </c>
      <c r="S807">
        <v>5</v>
      </c>
      <c r="T807" t="s">
        <v>277</v>
      </c>
      <c r="U807">
        <v>160</v>
      </c>
      <c r="V807" t="s">
        <v>0</v>
      </c>
      <c r="W807" t="s">
        <v>5</v>
      </c>
      <c r="X807" t="s">
        <v>5</v>
      </c>
      <c r="Y807" t="s">
        <v>1381</v>
      </c>
      <c r="Z807" t="s">
        <v>5</v>
      </c>
      <c r="AA807">
        <v>147.27000000000001</v>
      </c>
      <c r="AB807">
        <v>0</v>
      </c>
      <c r="AC807">
        <v>0</v>
      </c>
      <c r="AD807" t="s">
        <v>3</v>
      </c>
      <c r="AE807" t="s">
        <v>0</v>
      </c>
      <c r="AF807" t="s">
        <v>3</v>
      </c>
      <c r="AG807" t="s">
        <v>2</v>
      </c>
      <c r="AI807" t="s">
        <v>23</v>
      </c>
      <c r="AJ807">
        <v>4</v>
      </c>
      <c r="AK807">
        <v>4</v>
      </c>
      <c r="AL807">
        <v>7</v>
      </c>
      <c r="AM807" t="s">
        <v>5</v>
      </c>
      <c r="AN807">
        <v>1</v>
      </c>
      <c r="AO807">
        <v>1</v>
      </c>
      <c r="AP807">
        <v>1</v>
      </c>
      <c r="AQ807">
        <v>1</v>
      </c>
    </row>
    <row r="808" spans="1:43" x14ac:dyDescent="0.25">
      <c r="A808" t="s">
        <v>1912</v>
      </c>
      <c r="B808" t="s">
        <v>603</v>
      </c>
      <c r="C808" t="s">
        <v>1911</v>
      </c>
      <c r="D808" s="1">
        <v>46012</v>
      </c>
      <c r="E808" t="s">
        <v>125</v>
      </c>
      <c r="F808" t="s">
        <v>265</v>
      </c>
      <c r="G808" t="s">
        <v>131</v>
      </c>
      <c r="H808" t="s">
        <v>29</v>
      </c>
      <c r="I808" t="s">
        <v>15</v>
      </c>
      <c r="J808" t="s">
        <v>55</v>
      </c>
      <c r="K808" t="s">
        <v>54</v>
      </c>
      <c r="L808" t="s">
        <v>88</v>
      </c>
      <c r="M808" t="s">
        <v>53</v>
      </c>
      <c r="N808" t="s">
        <v>52</v>
      </c>
      <c r="O808" t="s">
        <v>9</v>
      </c>
      <c r="P808" t="s">
        <v>25</v>
      </c>
      <c r="Q808" t="s">
        <v>7</v>
      </c>
      <c r="R808" t="s">
        <v>6</v>
      </c>
      <c r="S808">
        <v>7</v>
      </c>
      <c r="T808">
        <v>6</v>
      </c>
      <c r="U808">
        <v>351</v>
      </c>
      <c r="V808" t="s">
        <v>5</v>
      </c>
      <c r="W808" t="s">
        <v>0</v>
      </c>
      <c r="X808" t="s">
        <v>0</v>
      </c>
      <c r="Y808" t="s">
        <v>4</v>
      </c>
      <c r="Z808" t="s">
        <v>0</v>
      </c>
      <c r="AA808">
        <v>0</v>
      </c>
      <c r="AB808">
        <v>0</v>
      </c>
      <c r="AC808">
        <v>0</v>
      </c>
      <c r="AD808" t="s">
        <v>3</v>
      </c>
      <c r="AE808" t="s">
        <v>0</v>
      </c>
      <c r="AF808" t="s">
        <v>3</v>
      </c>
      <c r="AG808" t="s">
        <v>2</v>
      </c>
      <c r="AI808" t="s">
        <v>1</v>
      </c>
      <c r="AJ808">
        <v>3</v>
      </c>
      <c r="AK808">
        <v>-30</v>
      </c>
      <c r="AL808">
        <v>31</v>
      </c>
      <c r="AM808" t="s">
        <v>5</v>
      </c>
      <c r="AN808">
        <v>0</v>
      </c>
      <c r="AO808">
        <v>0</v>
      </c>
      <c r="AP808">
        <v>0</v>
      </c>
      <c r="AQ808">
        <v>1</v>
      </c>
    </row>
    <row r="809" spans="1:43" x14ac:dyDescent="0.25">
      <c r="A809" t="s">
        <v>1910</v>
      </c>
      <c r="B809" t="s">
        <v>316</v>
      </c>
      <c r="C809" t="s">
        <v>1909</v>
      </c>
      <c r="D809" s="1">
        <v>45993</v>
      </c>
      <c r="E809" t="s">
        <v>45</v>
      </c>
      <c r="F809" t="s">
        <v>670</v>
      </c>
      <c r="G809" t="s">
        <v>83</v>
      </c>
      <c r="H809" t="s">
        <v>16</v>
      </c>
      <c r="I809" t="s">
        <v>28</v>
      </c>
      <c r="J809" t="s">
        <v>14</v>
      </c>
      <c r="K809" t="s">
        <v>13</v>
      </c>
      <c r="L809" t="s">
        <v>42</v>
      </c>
      <c r="M809" t="s">
        <v>53</v>
      </c>
      <c r="N809" t="s">
        <v>75</v>
      </c>
      <c r="O809" t="s">
        <v>26</v>
      </c>
      <c r="P809" t="s">
        <v>39</v>
      </c>
      <c r="Q809" t="s">
        <v>7</v>
      </c>
      <c r="R809" t="s">
        <v>6</v>
      </c>
      <c r="S809">
        <v>4</v>
      </c>
      <c r="T809" t="s">
        <v>479</v>
      </c>
      <c r="U809">
        <v>117</v>
      </c>
      <c r="V809" t="s">
        <v>0</v>
      </c>
      <c r="W809" t="s">
        <v>0</v>
      </c>
      <c r="X809" t="s">
        <v>0</v>
      </c>
      <c r="Y809" t="s">
        <v>4</v>
      </c>
      <c r="Z809" t="s">
        <v>0</v>
      </c>
      <c r="AA809">
        <v>0</v>
      </c>
      <c r="AB809">
        <v>0</v>
      </c>
      <c r="AC809">
        <v>0</v>
      </c>
      <c r="AD809" t="s">
        <v>3</v>
      </c>
      <c r="AE809" t="s">
        <v>0</v>
      </c>
      <c r="AF809" t="s">
        <v>3</v>
      </c>
      <c r="AG809" t="s">
        <v>2</v>
      </c>
      <c r="AI809" t="s">
        <v>23</v>
      </c>
      <c r="AJ809">
        <v>5</v>
      </c>
      <c r="AK809">
        <v>2</v>
      </c>
      <c r="AL809">
        <v>54</v>
      </c>
      <c r="AM809" t="s">
        <v>5</v>
      </c>
      <c r="AN809">
        <v>0</v>
      </c>
      <c r="AO809">
        <v>0</v>
      </c>
      <c r="AP809">
        <v>0</v>
      </c>
      <c r="AQ809">
        <v>1</v>
      </c>
    </row>
    <row r="810" spans="1:43" x14ac:dyDescent="0.25">
      <c r="A810" t="s">
        <v>1908</v>
      </c>
      <c r="B810" t="s">
        <v>1907</v>
      </c>
      <c r="C810" t="s">
        <v>1906</v>
      </c>
      <c r="D810" s="1">
        <v>45998</v>
      </c>
      <c r="E810" t="s">
        <v>168</v>
      </c>
      <c r="F810" t="s">
        <v>233</v>
      </c>
      <c r="G810" t="s">
        <v>30</v>
      </c>
      <c r="H810" t="s">
        <v>29</v>
      </c>
      <c r="I810" t="s">
        <v>28</v>
      </c>
      <c r="J810" t="s">
        <v>14</v>
      </c>
      <c r="K810" t="s">
        <v>13</v>
      </c>
      <c r="L810" t="s">
        <v>64</v>
      </c>
      <c r="M810" t="s">
        <v>27</v>
      </c>
      <c r="N810" t="s">
        <v>10</v>
      </c>
      <c r="O810" t="s">
        <v>130</v>
      </c>
      <c r="P810" t="s">
        <v>39</v>
      </c>
      <c r="Q810" t="s">
        <v>198</v>
      </c>
      <c r="R810" t="s">
        <v>38</v>
      </c>
      <c r="S810">
        <v>5</v>
      </c>
      <c r="T810">
        <v>5</v>
      </c>
      <c r="U810">
        <v>130</v>
      </c>
      <c r="V810" t="s">
        <v>0</v>
      </c>
      <c r="W810" t="s">
        <v>5</v>
      </c>
      <c r="X810" t="s">
        <v>0</v>
      </c>
      <c r="Y810" t="s">
        <v>4</v>
      </c>
      <c r="Z810" t="s">
        <v>5</v>
      </c>
      <c r="AA810">
        <v>44.83</v>
      </c>
      <c r="AB810">
        <v>0</v>
      </c>
      <c r="AC810">
        <v>0.37</v>
      </c>
      <c r="AD810" t="s">
        <v>3</v>
      </c>
      <c r="AE810" t="s">
        <v>0</v>
      </c>
      <c r="AF810" t="s">
        <v>3</v>
      </c>
      <c r="AG810" t="s">
        <v>2</v>
      </c>
      <c r="AI810" t="s">
        <v>23</v>
      </c>
      <c r="AJ810">
        <v>5</v>
      </c>
      <c r="AK810">
        <v>42</v>
      </c>
      <c r="AL810">
        <v>1</v>
      </c>
      <c r="AM810" t="s">
        <v>5</v>
      </c>
      <c r="AN810">
        <v>1</v>
      </c>
      <c r="AO810">
        <v>1</v>
      </c>
      <c r="AP810">
        <v>0</v>
      </c>
      <c r="AQ810">
        <v>1</v>
      </c>
    </row>
    <row r="811" spans="1:43" x14ac:dyDescent="0.25">
      <c r="A811" t="s">
        <v>1905</v>
      </c>
      <c r="B811" t="s">
        <v>1904</v>
      </c>
      <c r="C811" t="s">
        <v>1903</v>
      </c>
      <c r="D811" s="1">
        <v>45978</v>
      </c>
      <c r="E811" t="s">
        <v>168</v>
      </c>
      <c r="F811" t="s">
        <v>233</v>
      </c>
      <c r="G811" t="s">
        <v>30</v>
      </c>
      <c r="H811" t="s">
        <v>77</v>
      </c>
      <c r="I811" t="s">
        <v>28</v>
      </c>
      <c r="J811" t="s">
        <v>55</v>
      </c>
      <c r="K811" t="s">
        <v>54</v>
      </c>
      <c r="L811" t="s">
        <v>12</v>
      </c>
      <c r="M811" t="s">
        <v>53</v>
      </c>
      <c r="N811" t="s">
        <v>52</v>
      </c>
      <c r="O811" t="s">
        <v>9</v>
      </c>
      <c r="P811" t="s">
        <v>63</v>
      </c>
      <c r="Q811" t="s">
        <v>7</v>
      </c>
      <c r="R811" t="s">
        <v>6</v>
      </c>
      <c r="S811">
        <v>7</v>
      </c>
      <c r="T811">
        <v>5</v>
      </c>
      <c r="U811">
        <v>448</v>
      </c>
      <c r="V811" t="s">
        <v>5</v>
      </c>
      <c r="W811" t="s">
        <v>0</v>
      </c>
      <c r="X811" t="s">
        <v>5</v>
      </c>
      <c r="Y811" t="s">
        <v>450</v>
      </c>
      <c r="Z811" t="s">
        <v>0</v>
      </c>
      <c r="AA811">
        <v>0</v>
      </c>
      <c r="AB811">
        <v>0</v>
      </c>
      <c r="AC811">
        <v>0</v>
      </c>
      <c r="AD811" t="s">
        <v>37</v>
      </c>
      <c r="AE811" t="s">
        <v>5</v>
      </c>
      <c r="AF811" t="s">
        <v>37</v>
      </c>
      <c r="AG811" t="s">
        <v>139</v>
      </c>
      <c r="AH811">
        <v>8</v>
      </c>
      <c r="AI811" t="s">
        <v>1</v>
      </c>
      <c r="AJ811">
        <v>2</v>
      </c>
      <c r="AK811">
        <v>-35</v>
      </c>
      <c r="AL811">
        <v>0</v>
      </c>
      <c r="AM811" t="s">
        <v>0</v>
      </c>
      <c r="AN811">
        <v>0</v>
      </c>
      <c r="AO811">
        <v>0</v>
      </c>
      <c r="AP811">
        <v>1</v>
      </c>
      <c r="AQ811">
        <v>0</v>
      </c>
    </row>
    <row r="812" spans="1:43" x14ac:dyDescent="0.25">
      <c r="A812" t="s">
        <v>1902</v>
      </c>
      <c r="B812" t="s">
        <v>1119</v>
      </c>
      <c r="C812" t="s">
        <v>1901</v>
      </c>
      <c r="D812" s="1">
        <v>45862</v>
      </c>
      <c r="E812" t="s">
        <v>125</v>
      </c>
      <c r="F812" t="s">
        <v>140</v>
      </c>
      <c r="G812" t="s">
        <v>56</v>
      </c>
      <c r="H812" t="s">
        <v>16</v>
      </c>
      <c r="I812" t="s">
        <v>28</v>
      </c>
      <c r="J812" t="s">
        <v>14</v>
      </c>
      <c r="K812" t="s">
        <v>13</v>
      </c>
      <c r="L812" t="s">
        <v>12</v>
      </c>
      <c r="M812" t="s">
        <v>11</v>
      </c>
      <c r="N812" t="s">
        <v>75</v>
      </c>
      <c r="O812" t="s">
        <v>101</v>
      </c>
      <c r="P812" t="s">
        <v>39</v>
      </c>
      <c r="Q812" t="s">
        <v>7</v>
      </c>
      <c r="R812" t="s">
        <v>6</v>
      </c>
      <c r="S812" t="s">
        <v>479</v>
      </c>
      <c r="T812">
        <v>4</v>
      </c>
      <c r="U812">
        <v>116</v>
      </c>
      <c r="V812" t="s">
        <v>0</v>
      </c>
      <c r="W812" t="s">
        <v>5</v>
      </c>
      <c r="X812" t="s">
        <v>0</v>
      </c>
      <c r="Y812" t="s">
        <v>4</v>
      </c>
      <c r="Z812" t="s">
        <v>5</v>
      </c>
      <c r="AA812">
        <v>17.829999999999998</v>
      </c>
      <c r="AB812">
        <v>0.56999999999999995</v>
      </c>
      <c r="AC812">
        <v>0</v>
      </c>
      <c r="AD812" t="s">
        <v>37</v>
      </c>
      <c r="AE812" t="s">
        <v>5</v>
      </c>
      <c r="AF812" t="s">
        <v>37</v>
      </c>
      <c r="AG812" t="s">
        <v>36</v>
      </c>
      <c r="AH812">
        <v>33</v>
      </c>
      <c r="AI812" t="s">
        <v>23</v>
      </c>
      <c r="AJ812">
        <v>4</v>
      </c>
      <c r="AK812">
        <v>28</v>
      </c>
      <c r="AL812">
        <v>25</v>
      </c>
      <c r="AM812" t="s">
        <v>5</v>
      </c>
      <c r="AN812">
        <v>1</v>
      </c>
      <c r="AO812">
        <v>1</v>
      </c>
      <c r="AP812">
        <v>0</v>
      </c>
      <c r="AQ812">
        <v>1</v>
      </c>
    </row>
    <row r="813" spans="1:43" x14ac:dyDescent="0.25">
      <c r="A813" t="s">
        <v>1900</v>
      </c>
      <c r="B813" t="s">
        <v>1899</v>
      </c>
      <c r="C813" t="s">
        <v>1898</v>
      </c>
      <c r="D813" s="1">
        <v>45994</v>
      </c>
      <c r="E813" t="s">
        <v>162</v>
      </c>
      <c r="F813" t="s">
        <v>161</v>
      </c>
      <c r="G813" t="s">
        <v>17</v>
      </c>
      <c r="H813" t="s">
        <v>77</v>
      </c>
      <c r="I813" t="s">
        <v>28</v>
      </c>
      <c r="J813" t="s">
        <v>55</v>
      </c>
      <c r="K813" t="s">
        <v>54</v>
      </c>
      <c r="L813" t="s">
        <v>88</v>
      </c>
      <c r="M813" t="s">
        <v>11</v>
      </c>
      <c r="N813" t="s">
        <v>75</v>
      </c>
      <c r="O813" t="s">
        <v>26</v>
      </c>
      <c r="P813" t="s">
        <v>63</v>
      </c>
      <c r="Q813" t="s">
        <v>7</v>
      </c>
      <c r="R813" t="s">
        <v>6</v>
      </c>
      <c r="S813" t="s">
        <v>99</v>
      </c>
      <c r="T813">
        <v>3</v>
      </c>
      <c r="U813">
        <v>125</v>
      </c>
      <c r="V813" t="s">
        <v>5</v>
      </c>
      <c r="W813" t="s">
        <v>5</v>
      </c>
      <c r="X813" t="s">
        <v>0</v>
      </c>
      <c r="Y813" t="s">
        <v>4</v>
      </c>
      <c r="Z813" t="s">
        <v>247</v>
      </c>
      <c r="AA813">
        <v>78.23</v>
      </c>
      <c r="AB813">
        <v>0.22</v>
      </c>
      <c r="AC813">
        <v>0</v>
      </c>
      <c r="AD813" t="s">
        <v>3</v>
      </c>
      <c r="AE813" t="s">
        <v>0</v>
      </c>
      <c r="AF813" t="s">
        <v>3</v>
      </c>
      <c r="AG813" t="s">
        <v>2</v>
      </c>
      <c r="AI813" t="s">
        <v>23</v>
      </c>
      <c r="AJ813">
        <v>4</v>
      </c>
      <c r="AK813">
        <v>1</v>
      </c>
      <c r="AL813">
        <v>0</v>
      </c>
      <c r="AM813" t="s">
        <v>5</v>
      </c>
      <c r="AN813">
        <v>1</v>
      </c>
      <c r="AO813">
        <v>0</v>
      </c>
      <c r="AP813">
        <v>0</v>
      </c>
      <c r="AQ813">
        <v>1</v>
      </c>
    </row>
    <row r="814" spans="1:43" x14ac:dyDescent="0.25">
      <c r="A814" t="s">
        <v>1897</v>
      </c>
      <c r="B814" t="s">
        <v>137</v>
      </c>
      <c r="C814" t="s">
        <v>1896</v>
      </c>
      <c r="D814" s="1">
        <v>45848</v>
      </c>
      <c r="E814" t="s">
        <v>19</v>
      </c>
      <c r="F814" t="s">
        <v>89</v>
      </c>
      <c r="G814" t="s">
        <v>83</v>
      </c>
      <c r="H814" t="s">
        <v>43</v>
      </c>
      <c r="I814" t="s">
        <v>15</v>
      </c>
      <c r="J814" t="s">
        <v>14</v>
      </c>
      <c r="K814" t="s">
        <v>13</v>
      </c>
      <c r="L814" t="s">
        <v>42</v>
      </c>
      <c r="M814" t="s">
        <v>11</v>
      </c>
      <c r="N814" t="s">
        <v>93</v>
      </c>
      <c r="O814" t="s">
        <v>130</v>
      </c>
      <c r="P814" t="s">
        <v>39</v>
      </c>
      <c r="Q814" t="s">
        <v>7</v>
      </c>
      <c r="R814" t="s">
        <v>6</v>
      </c>
      <c r="S814">
        <v>5</v>
      </c>
      <c r="T814">
        <v>5</v>
      </c>
      <c r="U814">
        <v>116</v>
      </c>
      <c r="V814" t="s">
        <v>0</v>
      </c>
      <c r="W814" t="s">
        <v>0</v>
      </c>
      <c r="X814" t="s">
        <v>0</v>
      </c>
      <c r="Y814" t="s">
        <v>4</v>
      </c>
      <c r="Z814" t="s">
        <v>0</v>
      </c>
      <c r="AA814">
        <v>0</v>
      </c>
      <c r="AB814">
        <v>0</v>
      </c>
      <c r="AC814">
        <v>0</v>
      </c>
      <c r="AD814" t="s">
        <v>3</v>
      </c>
      <c r="AE814" t="s">
        <v>0</v>
      </c>
      <c r="AF814" t="s">
        <v>3</v>
      </c>
      <c r="AG814" t="s">
        <v>2</v>
      </c>
      <c r="AI814" t="s">
        <v>23</v>
      </c>
      <c r="AJ814">
        <v>4</v>
      </c>
      <c r="AK814">
        <v>32</v>
      </c>
      <c r="AL814">
        <v>33</v>
      </c>
      <c r="AM814" t="s">
        <v>5</v>
      </c>
      <c r="AN814">
        <v>0</v>
      </c>
      <c r="AO814">
        <v>0</v>
      </c>
      <c r="AP814">
        <v>0</v>
      </c>
      <c r="AQ814">
        <v>1</v>
      </c>
    </row>
    <row r="815" spans="1:43" x14ac:dyDescent="0.25">
      <c r="A815" t="s">
        <v>1895</v>
      </c>
      <c r="B815" t="s">
        <v>1472</v>
      </c>
      <c r="C815" t="s">
        <v>1894</v>
      </c>
      <c r="D815" s="1">
        <v>46036</v>
      </c>
      <c r="E815" t="s">
        <v>162</v>
      </c>
      <c r="F815" t="s">
        <v>540</v>
      </c>
      <c r="G815" t="s">
        <v>123</v>
      </c>
      <c r="H815" t="s">
        <v>43</v>
      </c>
      <c r="I815" t="s">
        <v>28</v>
      </c>
      <c r="J815" t="s">
        <v>14</v>
      </c>
      <c r="K815" t="s">
        <v>13</v>
      </c>
      <c r="L815" t="s">
        <v>42</v>
      </c>
      <c r="M815" t="s">
        <v>27</v>
      </c>
      <c r="N815" t="s">
        <v>93</v>
      </c>
      <c r="O815" t="s">
        <v>9</v>
      </c>
      <c r="P815" t="s">
        <v>39</v>
      </c>
      <c r="Q815" t="s">
        <v>24</v>
      </c>
      <c r="R815" t="s">
        <v>6</v>
      </c>
      <c r="S815">
        <v>7</v>
      </c>
      <c r="T815">
        <v>7</v>
      </c>
      <c r="U815">
        <v>199</v>
      </c>
      <c r="V815" t="s">
        <v>0</v>
      </c>
      <c r="W815" t="s">
        <v>0</v>
      </c>
      <c r="X815" t="s">
        <v>0</v>
      </c>
      <c r="Y815" t="s">
        <v>4</v>
      </c>
      <c r="Z815" t="s">
        <v>0</v>
      </c>
      <c r="AA815">
        <v>0</v>
      </c>
      <c r="AB815">
        <v>0</v>
      </c>
      <c r="AC815">
        <v>0</v>
      </c>
      <c r="AD815" t="s">
        <v>3</v>
      </c>
      <c r="AE815" t="s">
        <v>0</v>
      </c>
      <c r="AF815" t="s">
        <v>3</v>
      </c>
      <c r="AG815" t="s">
        <v>2</v>
      </c>
      <c r="AI815" t="s">
        <v>122</v>
      </c>
      <c r="AJ815">
        <v>4</v>
      </c>
      <c r="AK815">
        <v>20</v>
      </c>
      <c r="AL815">
        <v>55</v>
      </c>
      <c r="AM815" t="s">
        <v>5</v>
      </c>
      <c r="AN815">
        <v>0</v>
      </c>
      <c r="AO815">
        <v>0</v>
      </c>
      <c r="AP815">
        <v>0</v>
      </c>
      <c r="AQ815">
        <v>1</v>
      </c>
    </row>
    <row r="816" spans="1:43" x14ac:dyDescent="0.25">
      <c r="A816" t="s">
        <v>1893</v>
      </c>
      <c r="B816" t="s">
        <v>434</v>
      </c>
      <c r="C816" t="s">
        <v>1892</v>
      </c>
      <c r="D816" s="1">
        <v>45920</v>
      </c>
      <c r="E816" t="s">
        <v>112</v>
      </c>
      <c r="F816" t="s">
        <v>307</v>
      </c>
      <c r="G816" t="s">
        <v>17</v>
      </c>
      <c r="H816" t="s">
        <v>77</v>
      </c>
      <c r="I816" t="s">
        <v>147</v>
      </c>
      <c r="J816" t="s">
        <v>55</v>
      </c>
      <c r="K816" t="s">
        <v>54</v>
      </c>
      <c r="L816" t="s">
        <v>117</v>
      </c>
      <c r="M816" t="s">
        <v>11</v>
      </c>
      <c r="N816" t="s">
        <v>93</v>
      </c>
      <c r="O816" t="s">
        <v>130</v>
      </c>
      <c r="P816" t="s">
        <v>63</v>
      </c>
      <c r="Q816" t="s">
        <v>50</v>
      </c>
      <c r="R816" t="s">
        <v>38</v>
      </c>
      <c r="S816">
        <v>5</v>
      </c>
      <c r="T816">
        <v>5</v>
      </c>
      <c r="U816">
        <v>92</v>
      </c>
      <c r="V816" t="s">
        <v>0</v>
      </c>
      <c r="W816" t="s">
        <v>5</v>
      </c>
      <c r="X816" t="s">
        <v>0</v>
      </c>
      <c r="Y816" t="s">
        <v>4</v>
      </c>
      <c r="Z816" t="s">
        <v>5</v>
      </c>
      <c r="AA816">
        <v>146.94999999999999</v>
      </c>
      <c r="AB816">
        <v>0</v>
      </c>
      <c r="AC816">
        <v>0</v>
      </c>
      <c r="AD816" t="s">
        <v>3</v>
      </c>
      <c r="AE816" t="s">
        <v>0</v>
      </c>
      <c r="AF816" t="s">
        <v>3</v>
      </c>
      <c r="AG816" t="s">
        <v>2</v>
      </c>
      <c r="AI816" t="s">
        <v>23</v>
      </c>
      <c r="AJ816">
        <v>5</v>
      </c>
      <c r="AK816">
        <v>58</v>
      </c>
      <c r="AL816">
        <v>0</v>
      </c>
      <c r="AM816" t="s">
        <v>5</v>
      </c>
      <c r="AN816">
        <v>1</v>
      </c>
      <c r="AO816">
        <v>1</v>
      </c>
      <c r="AP816">
        <v>0</v>
      </c>
      <c r="AQ816">
        <v>1</v>
      </c>
    </row>
    <row r="817" spans="1:43" x14ac:dyDescent="0.25">
      <c r="A817" t="s">
        <v>1891</v>
      </c>
      <c r="B817" t="s">
        <v>1890</v>
      </c>
      <c r="C817" t="s">
        <v>1889</v>
      </c>
      <c r="D817" s="1">
        <v>45973</v>
      </c>
      <c r="E817" t="s">
        <v>162</v>
      </c>
      <c r="F817" t="s">
        <v>161</v>
      </c>
      <c r="G817" t="s">
        <v>30</v>
      </c>
      <c r="H817" t="s">
        <v>77</v>
      </c>
      <c r="I817" t="s">
        <v>15</v>
      </c>
      <c r="J817" t="s">
        <v>55</v>
      </c>
      <c r="K817" t="s">
        <v>54</v>
      </c>
      <c r="L817" t="s">
        <v>12</v>
      </c>
      <c r="M817" t="s">
        <v>11</v>
      </c>
      <c r="N817" t="s">
        <v>41</v>
      </c>
      <c r="O817" t="s">
        <v>40</v>
      </c>
      <c r="P817" t="s">
        <v>39</v>
      </c>
      <c r="Q817" t="s">
        <v>24</v>
      </c>
      <c r="R817" t="s">
        <v>6</v>
      </c>
      <c r="S817">
        <v>8</v>
      </c>
      <c r="T817">
        <v>7</v>
      </c>
      <c r="U817">
        <v>246</v>
      </c>
      <c r="V817" t="s">
        <v>5</v>
      </c>
      <c r="W817" t="s">
        <v>5</v>
      </c>
      <c r="X817" t="s">
        <v>0</v>
      </c>
      <c r="Y817" t="s">
        <v>4</v>
      </c>
      <c r="Z817" t="s">
        <v>5</v>
      </c>
      <c r="AA817">
        <v>410.71</v>
      </c>
      <c r="AB817">
        <v>2.67</v>
      </c>
      <c r="AC817">
        <v>0</v>
      </c>
      <c r="AD817" t="s">
        <v>37</v>
      </c>
      <c r="AE817" t="s">
        <v>5</v>
      </c>
      <c r="AF817" t="s">
        <v>37</v>
      </c>
      <c r="AG817" t="s">
        <v>36</v>
      </c>
      <c r="AH817">
        <v>41</v>
      </c>
      <c r="AI817" t="s">
        <v>23</v>
      </c>
      <c r="AJ817">
        <v>3</v>
      </c>
      <c r="AK817">
        <v>19</v>
      </c>
      <c r="AL817">
        <v>1</v>
      </c>
      <c r="AM817" t="s">
        <v>0</v>
      </c>
      <c r="AN817">
        <v>1</v>
      </c>
      <c r="AO817">
        <v>1</v>
      </c>
      <c r="AP817">
        <v>0</v>
      </c>
      <c r="AQ817">
        <v>0</v>
      </c>
    </row>
    <row r="818" spans="1:43" x14ac:dyDescent="0.25">
      <c r="A818" t="s">
        <v>1888</v>
      </c>
      <c r="B818" t="s">
        <v>1887</v>
      </c>
      <c r="C818" t="s">
        <v>1886</v>
      </c>
      <c r="D818" s="1">
        <v>46194</v>
      </c>
      <c r="E818" t="s">
        <v>156</v>
      </c>
      <c r="F818" t="s">
        <v>550</v>
      </c>
      <c r="G818" t="s">
        <v>56</v>
      </c>
      <c r="H818" t="s">
        <v>29</v>
      </c>
      <c r="I818" t="s">
        <v>28</v>
      </c>
      <c r="J818" t="s">
        <v>14</v>
      </c>
      <c r="K818" t="s">
        <v>13</v>
      </c>
      <c r="L818" t="s">
        <v>12</v>
      </c>
      <c r="M818" t="s">
        <v>11</v>
      </c>
      <c r="N818" t="s">
        <v>52</v>
      </c>
      <c r="O818" t="s">
        <v>87</v>
      </c>
      <c r="P818" t="s">
        <v>63</v>
      </c>
      <c r="Q818" t="s">
        <v>7</v>
      </c>
      <c r="R818" t="s">
        <v>6</v>
      </c>
      <c r="S818">
        <v>5</v>
      </c>
      <c r="T818" t="s">
        <v>277</v>
      </c>
      <c r="U818">
        <v>97</v>
      </c>
      <c r="V818" t="s">
        <v>0</v>
      </c>
      <c r="W818" t="s">
        <v>5</v>
      </c>
      <c r="X818" t="s">
        <v>0</v>
      </c>
      <c r="Y818" t="s">
        <v>4</v>
      </c>
      <c r="Z818" t="s">
        <v>5</v>
      </c>
      <c r="AA818">
        <v>66.069999999999993</v>
      </c>
      <c r="AB818">
        <v>0</v>
      </c>
      <c r="AC818">
        <v>0</v>
      </c>
      <c r="AD818" t="s">
        <v>3</v>
      </c>
      <c r="AE818" t="s">
        <v>0</v>
      </c>
      <c r="AF818" t="s">
        <v>3</v>
      </c>
      <c r="AG818" t="s">
        <v>2</v>
      </c>
      <c r="AI818" t="s">
        <v>23</v>
      </c>
      <c r="AJ818">
        <v>5</v>
      </c>
      <c r="AK818">
        <v>83</v>
      </c>
      <c r="AL818">
        <v>0</v>
      </c>
      <c r="AM818" t="s">
        <v>0</v>
      </c>
      <c r="AN818">
        <v>1</v>
      </c>
      <c r="AO818">
        <v>1</v>
      </c>
      <c r="AP818">
        <v>0</v>
      </c>
      <c r="AQ818">
        <v>0</v>
      </c>
    </row>
    <row r="819" spans="1:43" x14ac:dyDescent="0.25">
      <c r="A819" t="s">
        <v>1885</v>
      </c>
      <c r="B819" t="s">
        <v>1884</v>
      </c>
      <c r="C819" t="s">
        <v>1883</v>
      </c>
      <c r="D819" s="1">
        <v>45938</v>
      </c>
      <c r="E819" t="s">
        <v>168</v>
      </c>
      <c r="F819" t="s">
        <v>167</v>
      </c>
      <c r="G819" t="s">
        <v>123</v>
      </c>
      <c r="H819" t="s">
        <v>16</v>
      </c>
      <c r="I819" t="s">
        <v>15</v>
      </c>
      <c r="J819" t="s">
        <v>14</v>
      </c>
      <c r="K819" t="s">
        <v>13</v>
      </c>
      <c r="L819" t="s">
        <v>12</v>
      </c>
      <c r="M819" t="s">
        <v>11</v>
      </c>
      <c r="N819" t="s">
        <v>93</v>
      </c>
      <c r="O819" t="s">
        <v>26</v>
      </c>
      <c r="P819" t="s">
        <v>39</v>
      </c>
      <c r="Q819" t="s">
        <v>7</v>
      </c>
      <c r="R819" t="s">
        <v>6</v>
      </c>
      <c r="S819">
        <v>4</v>
      </c>
      <c r="T819">
        <v>2</v>
      </c>
      <c r="U819">
        <v>262</v>
      </c>
      <c r="V819" t="s">
        <v>5</v>
      </c>
      <c r="W819" t="s">
        <v>0</v>
      </c>
      <c r="X819" t="s">
        <v>5</v>
      </c>
      <c r="Y819" t="s">
        <v>62</v>
      </c>
      <c r="Z819" t="s">
        <v>5</v>
      </c>
      <c r="AA819">
        <v>116.54</v>
      </c>
      <c r="AB819">
        <v>0.19</v>
      </c>
      <c r="AC819">
        <v>0</v>
      </c>
      <c r="AD819" t="s">
        <v>3</v>
      </c>
      <c r="AE819" t="s">
        <v>0</v>
      </c>
      <c r="AF819" t="s">
        <v>3</v>
      </c>
      <c r="AG819" t="s">
        <v>2</v>
      </c>
      <c r="AI819" t="s">
        <v>1</v>
      </c>
      <c r="AJ819">
        <v>2</v>
      </c>
      <c r="AK819">
        <v>-62</v>
      </c>
      <c r="AL819">
        <v>36</v>
      </c>
      <c r="AM819" t="s">
        <v>5</v>
      </c>
      <c r="AN819">
        <v>0</v>
      </c>
      <c r="AO819">
        <v>1</v>
      </c>
      <c r="AP819">
        <v>1</v>
      </c>
      <c r="AQ819">
        <v>1</v>
      </c>
    </row>
    <row r="820" spans="1:43" x14ac:dyDescent="0.25">
      <c r="A820" t="s">
        <v>1882</v>
      </c>
      <c r="B820" t="s">
        <v>805</v>
      </c>
      <c r="C820" t="s">
        <v>1881</v>
      </c>
      <c r="D820" s="1">
        <v>45831</v>
      </c>
      <c r="E820" t="s">
        <v>112</v>
      </c>
      <c r="F820" t="s">
        <v>642</v>
      </c>
      <c r="G820" t="s">
        <v>56</v>
      </c>
      <c r="H820" t="s">
        <v>77</v>
      </c>
      <c r="I820" t="s">
        <v>15</v>
      </c>
      <c r="J820" t="s">
        <v>55</v>
      </c>
      <c r="K820" t="s">
        <v>54</v>
      </c>
      <c r="L820" t="s">
        <v>42</v>
      </c>
      <c r="M820" t="s">
        <v>53</v>
      </c>
      <c r="N820" t="s">
        <v>93</v>
      </c>
      <c r="O820" t="s">
        <v>26</v>
      </c>
      <c r="P820" t="s">
        <v>39</v>
      </c>
      <c r="Q820" t="s">
        <v>7</v>
      </c>
      <c r="R820" t="s">
        <v>6</v>
      </c>
      <c r="S820">
        <v>4</v>
      </c>
      <c r="T820">
        <v>4</v>
      </c>
      <c r="U820">
        <v>83</v>
      </c>
      <c r="V820" t="s">
        <v>0</v>
      </c>
      <c r="W820" t="s">
        <v>5</v>
      </c>
      <c r="X820" t="s">
        <v>0</v>
      </c>
      <c r="Y820" t="s">
        <v>4</v>
      </c>
      <c r="Z820" t="s">
        <v>5</v>
      </c>
      <c r="AA820">
        <v>184.94</v>
      </c>
      <c r="AB820">
        <v>0.22</v>
      </c>
      <c r="AC820">
        <v>0.17</v>
      </c>
      <c r="AD820" t="s">
        <v>3</v>
      </c>
      <c r="AE820" t="s">
        <v>0</v>
      </c>
      <c r="AF820" t="s">
        <v>3</v>
      </c>
      <c r="AG820" t="s">
        <v>2</v>
      </c>
      <c r="AI820" t="s">
        <v>23</v>
      </c>
      <c r="AJ820">
        <v>3</v>
      </c>
      <c r="AK820">
        <v>17</v>
      </c>
      <c r="AL820">
        <v>8</v>
      </c>
      <c r="AM820" t="s">
        <v>0</v>
      </c>
      <c r="AN820">
        <v>1</v>
      </c>
      <c r="AO820">
        <v>1</v>
      </c>
      <c r="AP820">
        <v>0</v>
      </c>
      <c r="AQ820">
        <v>0</v>
      </c>
    </row>
    <row r="821" spans="1:43" x14ac:dyDescent="0.25">
      <c r="A821" t="s">
        <v>1880</v>
      </c>
      <c r="B821" t="s">
        <v>1879</v>
      </c>
      <c r="C821" t="s">
        <v>1878</v>
      </c>
      <c r="D821" s="1">
        <v>45888</v>
      </c>
      <c r="E821" t="s">
        <v>125</v>
      </c>
      <c r="F821" t="s">
        <v>132</v>
      </c>
      <c r="G821" t="s">
        <v>56</v>
      </c>
      <c r="H821" t="s">
        <v>16</v>
      </c>
      <c r="I821" t="s">
        <v>15</v>
      </c>
      <c r="J821" t="s">
        <v>14</v>
      </c>
      <c r="K821" t="s">
        <v>13</v>
      </c>
      <c r="L821" t="s">
        <v>117</v>
      </c>
      <c r="M821" t="s">
        <v>11</v>
      </c>
      <c r="N821" t="s">
        <v>75</v>
      </c>
      <c r="O821" t="s">
        <v>9</v>
      </c>
      <c r="P821" t="s">
        <v>8</v>
      </c>
      <c r="Q821" t="s">
        <v>24</v>
      </c>
      <c r="R821" t="s">
        <v>6</v>
      </c>
      <c r="S821" t="s">
        <v>242</v>
      </c>
      <c r="T821">
        <v>7</v>
      </c>
      <c r="U821">
        <v>245</v>
      </c>
      <c r="V821" t="s">
        <v>0</v>
      </c>
      <c r="W821" t="s">
        <v>0</v>
      </c>
      <c r="X821" t="s">
        <v>5</v>
      </c>
      <c r="Y821" t="s">
        <v>228</v>
      </c>
      <c r="Z821" t="s">
        <v>0</v>
      </c>
      <c r="AA821">
        <v>0</v>
      </c>
      <c r="AB821">
        <v>0</v>
      </c>
      <c r="AC821">
        <v>0</v>
      </c>
      <c r="AD821" t="s">
        <v>61</v>
      </c>
      <c r="AE821" t="s">
        <v>5</v>
      </c>
      <c r="AF821" t="s">
        <v>61</v>
      </c>
      <c r="AG821" t="s">
        <v>139</v>
      </c>
      <c r="AH821">
        <v>11</v>
      </c>
      <c r="AI821" t="s">
        <v>544</v>
      </c>
      <c r="AJ821">
        <v>2</v>
      </c>
      <c r="AK821">
        <v>-21</v>
      </c>
      <c r="AL821">
        <v>23</v>
      </c>
      <c r="AM821" t="s">
        <v>0</v>
      </c>
      <c r="AN821">
        <v>0</v>
      </c>
      <c r="AO821">
        <v>0</v>
      </c>
      <c r="AP821">
        <v>1</v>
      </c>
      <c r="AQ821">
        <v>0</v>
      </c>
    </row>
    <row r="822" spans="1:43" x14ac:dyDescent="0.25">
      <c r="A822" t="s">
        <v>1877</v>
      </c>
      <c r="B822" t="s">
        <v>1876</v>
      </c>
      <c r="C822" t="s">
        <v>1875</v>
      </c>
      <c r="D822" s="1">
        <v>45869</v>
      </c>
      <c r="E822" t="s">
        <v>149</v>
      </c>
      <c r="F822" t="s">
        <v>471</v>
      </c>
      <c r="G822" t="s">
        <v>17</v>
      </c>
      <c r="H822" t="s">
        <v>77</v>
      </c>
      <c r="I822" t="s">
        <v>28</v>
      </c>
      <c r="J822" t="s">
        <v>14</v>
      </c>
      <c r="K822" t="s">
        <v>13</v>
      </c>
      <c r="L822" t="s">
        <v>64</v>
      </c>
      <c r="M822" t="s">
        <v>299</v>
      </c>
      <c r="N822" t="s">
        <v>75</v>
      </c>
      <c r="O822" t="s">
        <v>26</v>
      </c>
      <c r="P822" t="s">
        <v>39</v>
      </c>
      <c r="Q822" t="s">
        <v>7</v>
      </c>
      <c r="R822" t="s">
        <v>6</v>
      </c>
      <c r="S822">
        <v>4</v>
      </c>
      <c r="T822">
        <v>4</v>
      </c>
      <c r="U822">
        <v>106</v>
      </c>
      <c r="V822" t="s">
        <v>0</v>
      </c>
      <c r="W822" t="s">
        <v>5</v>
      </c>
      <c r="X822" t="s">
        <v>0</v>
      </c>
      <c r="Y822" t="s">
        <v>4</v>
      </c>
      <c r="Z822" t="s">
        <v>5</v>
      </c>
      <c r="AA822">
        <v>112.79</v>
      </c>
      <c r="AB822">
        <v>0.2</v>
      </c>
      <c r="AC822">
        <v>0</v>
      </c>
      <c r="AD822" t="s">
        <v>3</v>
      </c>
      <c r="AE822" t="s">
        <v>0</v>
      </c>
      <c r="AF822" t="s">
        <v>3</v>
      </c>
      <c r="AG822" t="s">
        <v>2</v>
      </c>
      <c r="AI822" t="s">
        <v>23</v>
      </c>
      <c r="AJ822">
        <v>4</v>
      </c>
      <c r="AK822">
        <v>23</v>
      </c>
      <c r="AL822">
        <v>2</v>
      </c>
      <c r="AM822" t="s">
        <v>0</v>
      </c>
      <c r="AN822">
        <v>1</v>
      </c>
      <c r="AO822">
        <v>1</v>
      </c>
      <c r="AP822">
        <v>0</v>
      </c>
      <c r="AQ822">
        <v>0</v>
      </c>
    </row>
    <row r="823" spans="1:43" x14ac:dyDescent="0.25">
      <c r="A823" t="s">
        <v>1874</v>
      </c>
      <c r="B823" t="s">
        <v>1873</v>
      </c>
      <c r="C823" t="s">
        <v>1872</v>
      </c>
      <c r="D823" s="1">
        <v>45823</v>
      </c>
      <c r="E823" t="s">
        <v>125</v>
      </c>
      <c r="F823" t="s">
        <v>124</v>
      </c>
      <c r="G823" t="s">
        <v>17</v>
      </c>
      <c r="H823" t="s">
        <v>77</v>
      </c>
      <c r="I823" t="s">
        <v>15</v>
      </c>
      <c r="J823" t="s">
        <v>14</v>
      </c>
      <c r="K823" t="s">
        <v>13</v>
      </c>
      <c r="L823" t="s">
        <v>88</v>
      </c>
      <c r="M823" t="s">
        <v>11</v>
      </c>
      <c r="N823" t="s">
        <v>116</v>
      </c>
      <c r="O823" t="s">
        <v>87</v>
      </c>
      <c r="P823" t="s">
        <v>63</v>
      </c>
      <c r="Q823" t="s">
        <v>7</v>
      </c>
      <c r="R823" t="s">
        <v>6</v>
      </c>
      <c r="S823">
        <v>5</v>
      </c>
      <c r="T823">
        <v>3</v>
      </c>
      <c r="U823">
        <v>235</v>
      </c>
      <c r="V823" t="s">
        <v>182</v>
      </c>
      <c r="W823" t="s">
        <v>0</v>
      </c>
      <c r="X823" t="s">
        <v>0</v>
      </c>
      <c r="Y823" t="s">
        <v>4</v>
      </c>
      <c r="Z823" t="s">
        <v>5</v>
      </c>
      <c r="AA823">
        <v>0</v>
      </c>
      <c r="AB823">
        <v>0</v>
      </c>
      <c r="AC823">
        <v>0</v>
      </c>
      <c r="AD823" t="s">
        <v>3</v>
      </c>
      <c r="AE823" t="s">
        <v>0</v>
      </c>
      <c r="AF823" t="s">
        <v>3</v>
      </c>
      <c r="AG823" t="s">
        <v>2</v>
      </c>
      <c r="AI823" t="s">
        <v>332</v>
      </c>
      <c r="AJ823">
        <v>2</v>
      </c>
      <c r="AK823">
        <v>-41</v>
      </c>
      <c r="AL823">
        <v>0</v>
      </c>
      <c r="AM823" t="s">
        <v>5</v>
      </c>
      <c r="AN823">
        <v>0</v>
      </c>
      <c r="AO823">
        <v>1</v>
      </c>
      <c r="AP823">
        <v>0</v>
      </c>
      <c r="AQ823">
        <v>1</v>
      </c>
    </row>
    <row r="824" spans="1:43" x14ac:dyDescent="0.25">
      <c r="A824" t="s">
        <v>1871</v>
      </c>
      <c r="B824" t="s">
        <v>1870</v>
      </c>
      <c r="C824" t="s">
        <v>1869</v>
      </c>
      <c r="D824" s="1">
        <v>46038</v>
      </c>
      <c r="E824" t="s">
        <v>19</v>
      </c>
      <c r="F824" t="s">
        <v>295</v>
      </c>
      <c r="G824" t="s">
        <v>30</v>
      </c>
      <c r="H824" t="s">
        <v>16</v>
      </c>
      <c r="I824" t="s">
        <v>28</v>
      </c>
      <c r="J824" t="s">
        <v>14</v>
      </c>
      <c r="K824" t="s">
        <v>13</v>
      </c>
      <c r="L824" t="s">
        <v>42</v>
      </c>
      <c r="M824" t="s">
        <v>11</v>
      </c>
      <c r="N824" t="s">
        <v>10</v>
      </c>
      <c r="O824" t="s">
        <v>199</v>
      </c>
      <c r="P824" t="s">
        <v>39</v>
      </c>
      <c r="Q824" t="s">
        <v>7</v>
      </c>
      <c r="R824" t="s">
        <v>6</v>
      </c>
      <c r="S824">
        <v>5</v>
      </c>
      <c r="T824">
        <v>5</v>
      </c>
      <c r="U824">
        <v>177</v>
      </c>
      <c r="V824" t="s">
        <v>0</v>
      </c>
      <c r="W824" t="s">
        <v>0</v>
      </c>
      <c r="X824" t="s">
        <v>182</v>
      </c>
      <c r="Y824" t="s">
        <v>410</v>
      </c>
      <c r="Z824" t="s">
        <v>0</v>
      </c>
      <c r="AA824">
        <v>0</v>
      </c>
      <c r="AB824">
        <v>0</v>
      </c>
      <c r="AC824">
        <v>0</v>
      </c>
      <c r="AD824" t="s">
        <v>37</v>
      </c>
      <c r="AE824" t="s">
        <v>5</v>
      </c>
      <c r="AF824" t="s">
        <v>37</v>
      </c>
      <c r="AG824" t="s">
        <v>36</v>
      </c>
      <c r="AH824">
        <v>50</v>
      </c>
      <c r="AI824" t="s">
        <v>23</v>
      </c>
      <c r="AJ824">
        <v>2</v>
      </c>
      <c r="AK824">
        <v>19</v>
      </c>
      <c r="AL824">
        <v>25</v>
      </c>
      <c r="AM824" t="s">
        <v>0</v>
      </c>
      <c r="AN824">
        <v>0</v>
      </c>
      <c r="AO824">
        <v>0</v>
      </c>
      <c r="AP824">
        <v>1</v>
      </c>
      <c r="AQ824">
        <v>0</v>
      </c>
    </row>
    <row r="825" spans="1:43" x14ac:dyDescent="0.25">
      <c r="A825" t="s">
        <v>1868</v>
      </c>
      <c r="B825" t="s">
        <v>1867</v>
      </c>
      <c r="C825" t="s">
        <v>1866</v>
      </c>
      <c r="D825" s="1">
        <v>45893</v>
      </c>
      <c r="E825" t="s">
        <v>156</v>
      </c>
      <c r="F825" t="s">
        <v>550</v>
      </c>
      <c r="G825" t="s">
        <v>56</v>
      </c>
      <c r="H825" t="s">
        <v>16</v>
      </c>
      <c r="I825" t="s">
        <v>28</v>
      </c>
      <c r="J825" t="s">
        <v>55</v>
      </c>
      <c r="K825" t="s">
        <v>54</v>
      </c>
      <c r="L825" t="s">
        <v>42</v>
      </c>
      <c r="M825" t="s">
        <v>53</v>
      </c>
      <c r="N825" t="s">
        <v>10</v>
      </c>
      <c r="O825" t="s">
        <v>193</v>
      </c>
      <c r="P825" t="s">
        <v>39</v>
      </c>
      <c r="Q825" t="s">
        <v>24</v>
      </c>
      <c r="R825" t="s">
        <v>38</v>
      </c>
      <c r="S825">
        <v>9</v>
      </c>
      <c r="T825">
        <v>6</v>
      </c>
      <c r="U825">
        <v>337</v>
      </c>
      <c r="V825" t="s">
        <v>5</v>
      </c>
      <c r="W825" t="s">
        <v>0</v>
      </c>
      <c r="X825" t="s">
        <v>0</v>
      </c>
      <c r="Y825" t="s">
        <v>4</v>
      </c>
      <c r="Z825" t="s">
        <v>0</v>
      </c>
      <c r="AA825">
        <v>0</v>
      </c>
      <c r="AB825">
        <v>0</v>
      </c>
      <c r="AC825">
        <v>0</v>
      </c>
      <c r="AD825" t="s">
        <v>37</v>
      </c>
      <c r="AE825" t="s">
        <v>5</v>
      </c>
      <c r="AF825" t="s">
        <v>37</v>
      </c>
      <c r="AG825" t="s">
        <v>36</v>
      </c>
      <c r="AH825">
        <v>14</v>
      </c>
      <c r="AI825" t="s">
        <v>332</v>
      </c>
      <c r="AJ825">
        <v>2</v>
      </c>
      <c r="AK825">
        <v>-46</v>
      </c>
      <c r="AL825">
        <v>21</v>
      </c>
      <c r="AM825" t="s">
        <v>0</v>
      </c>
      <c r="AN825">
        <v>0</v>
      </c>
      <c r="AO825">
        <v>0</v>
      </c>
      <c r="AP825">
        <v>0</v>
      </c>
      <c r="AQ825">
        <v>0</v>
      </c>
    </row>
    <row r="826" spans="1:43" x14ac:dyDescent="0.25">
      <c r="A826" t="s">
        <v>1865</v>
      </c>
      <c r="B826" t="s">
        <v>1149</v>
      </c>
      <c r="C826" t="s">
        <v>1864</v>
      </c>
      <c r="D826" s="1">
        <v>45664</v>
      </c>
      <c r="E826" t="s">
        <v>125</v>
      </c>
      <c r="F826" t="s">
        <v>265</v>
      </c>
      <c r="G826" t="s">
        <v>17</v>
      </c>
      <c r="H826" t="s">
        <v>237</v>
      </c>
      <c r="I826" t="s">
        <v>28</v>
      </c>
      <c r="J826" t="s">
        <v>14</v>
      </c>
      <c r="K826" t="s">
        <v>13</v>
      </c>
      <c r="L826" t="s">
        <v>64</v>
      </c>
      <c r="M826" t="s">
        <v>53</v>
      </c>
      <c r="N826" t="s">
        <v>10</v>
      </c>
      <c r="O826" t="s">
        <v>193</v>
      </c>
      <c r="P826" t="s">
        <v>63</v>
      </c>
      <c r="Q826" t="s">
        <v>172</v>
      </c>
      <c r="R826" t="s">
        <v>38</v>
      </c>
      <c r="S826" t="s">
        <v>232</v>
      </c>
      <c r="T826">
        <v>8</v>
      </c>
      <c r="U826">
        <v>475</v>
      </c>
      <c r="V826" t="s">
        <v>5</v>
      </c>
      <c r="W826" t="s">
        <v>0</v>
      </c>
      <c r="X826" t="s">
        <v>5</v>
      </c>
      <c r="Y826" t="s">
        <v>475</v>
      </c>
      <c r="Z826" t="s">
        <v>0</v>
      </c>
      <c r="AA826">
        <v>0</v>
      </c>
      <c r="AB826">
        <v>0</v>
      </c>
      <c r="AC826">
        <v>0</v>
      </c>
      <c r="AD826" t="s">
        <v>3</v>
      </c>
      <c r="AE826" t="s">
        <v>0</v>
      </c>
      <c r="AF826" t="s">
        <v>3</v>
      </c>
      <c r="AG826" t="s">
        <v>2</v>
      </c>
      <c r="AI826" t="s">
        <v>1</v>
      </c>
      <c r="AJ826">
        <v>1</v>
      </c>
      <c r="AK826">
        <v>-17</v>
      </c>
      <c r="AL826" t="s">
        <v>347</v>
      </c>
      <c r="AM826" t="s">
        <v>0</v>
      </c>
      <c r="AN826">
        <v>0</v>
      </c>
      <c r="AO826">
        <v>0</v>
      </c>
      <c r="AP826">
        <v>1</v>
      </c>
      <c r="AQ826">
        <v>0</v>
      </c>
    </row>
    <row r="827" spans="1:43" x14ac:dyDescent="0.25">
      <c r="A827" t="s">
        <v>1863</v>
      </c>
      <c r="B827" t="s">
        <v>1862</v>
      </c>
      <c r="C827" t="s">
        <v>1861</v>
      </c>
      <c r="D827" s="1">
        <v>45919</v>
      </c>
      <c r="E827" t="s">
        <v>45</v>
      </c>
      <c r="F827" t="s">
        <v>348</v>
      </c>
      <c r="G827" t="s">
        <v>17</v>
      </c>
      <c r="H827" t="s">
        <v>77</v>
      </c>
      <c r="I827" t="s">
        <v>15</v>
      </c>
      <c r="J827" t="s">
        <v>14</v>
      </c>
      <c r="K827" t="s">
        <v>13</v>
      </c>
      <c r="L827" t="s">
        <v>88</v>
      </c>
      <c r="M827" t="s">
        <v>53</v>
      </c>
      <c r="N827" t="s">
        <v>93</v>
      </c>
      <c r="O827" t="s">
        <v>26</v>
      </c>
      <c r="P827" t="s">
        <v>8</v>
      </c>
      <c r="Q827" t="s">
        <v>7</v>
      </c>
      <c r="R827" t="s">
        <v>6</v>
      </c>
      <c r="S827">
        <v>4</v>
      </c>
      <c r="T827">
        <v>4</v>
      </c>
      <c r="U827">
        <v>92</v>
      </c>
      <c r="V827" t="s">
        <v>0</v>
      </c>
      <c r="W827" t="s">
        <v>5</v>
      </c>
      <c r="X827" t="s">
        <v>0</v>
      </c>
      <c r="Y827" t="s">
        <v>4</v>
      </c>
      <c r="Z827" t="s">
        <v>5</v>
      </c>
      <c r="AA827">
        <v>42.9</v>
      </c>
      <c r="AB827">
        <v>0.21</v>
      </c>
      <c r="AC827">
        <v>0.17</v>
      </c>
      <c r="AD827" t="s">
        <v>3</v>
      </c>
      <c r="AE827" t="s">
        <v>0</v>
      </c>
      <c r="AF827" t="s">
        <v>3</v>
      </c>
      <c r="AG827" t="s">
        <v>2</v>
      </c>
      <c r="AI827" t="s">
        <v>23</v>
      </c>
      <c r="AJ827">
        <v>4</v>
      </c>
      <c r="AK827">
        <v>-18</v>
      </c>
      <c r="AL827">
        <v>48</v>
      </c>
      <c r="AM827" t="s">
        <v>5</v>
      </c>
      <c r="AN827">
        <v>1</v>
      </c>
      <c r="AO827">
        <v>1</v>
      </c>
      <c r="AP827">
        <v>0</v>
      </c>
      <c r="AQ827">
        <v>1</v>
      </c>
    </row>
    <row r="828" spans="1:43" x14ac:dyDescent="0.25">
      <c r="A828" t="s">
        <v>1860</v>
      </c>
      <c r="B828" t="s">
        <v>1135</v>
      </c>
      <c r="C828" t="s">
        <v>1859</v>
      </c>
      <c r="D828" s="1">
        <v>45960</v>
      </c>
      <c r="E828" t="s">
        <v>32</v>
      </c>
      <c r="F828" t="s">
        <v>31</v>
      </c>
      <c r="G828" t="s">
        <v>83</v>
      </c>
      <c r="H828" t="s">
        <v>66</v>
      </c>
      <c r="I828" t="s">
        <v>15</v>
      </c>
      <c r="J828" t="s">
        <v>55</v>
      </c>
      <c r="K828" t="s">
        <v>54</v>
      </c>
      <c r="L828" t="s">
        <v>88</v>
      </c>
      <c r="M828" t="s">
        <v>11</v>
      </c>
      <c r="N828" t="s">
        <v>10</v>
      </c>
      <c r="O828" t="s">
        <v>199</v>
      </c>
      <c r="P828" t="s">
        <v>8</v>
      </c>
      <c r="Q828" t="s">
        <v>198</v>
      </c>
      <c r="R828" t="s">
        <v>6</v>
      </c>
      <c r="S828">
        <v>5</v>
      </c>
      <c r="T828">
        <v>5</v>
      </c>
      <c r="U828">
        <v>112</v>
      </c>
      <c r="V828" t="s">
        <v>0</v>
      </c>
      <c r="W828" t="s">
        <v>5</v>
      </c>
      <c r="X828" t="s">
        <v>0</v>
      </c>
      <c r="Y828" t="s">
        <v>4</v>
      </c>
      <c r="Z828" t="s">
        <v>5</v>
      </c>
      <c r="AA828">
        <v>54.66</v>
      </c>
      <c r="AB828">
        <v>0</v>
      </c>
      <c r="AC828">
        <v>0</v>
      </c>
      <c r="AD828" t="s">
        <v>3</v>
      </c>
      <c r="AE828" t="s">
        <v>0</v>
      </c>
      <c r="AF828" t="s">
        <v>3</v>
      </c>
      <c r="AG828" t="s">
        <v>2</v>
      </c>
      <c r="AI828" t="s">
        <v>23</v>
      </c>
      <c r="AJ828">
        <v>5</v>
      </c>
      <c r="AK828">
        <v>0</v>
      </c>
      <c r="AL828">
        <v>15</v>
      </c>
      <c r="AM828" t="s">
        <v>5</v>
      </c>
      <c r="AN828">
        <v>1</v>
      </c>
      <c r="AO828">
        <v>1</v>
      </c>
      <c r="AP828">
        <v>0</v>
      </c>
      <c r="AQ828">
        <v>1</v>
      </c>
    </row>
    <row r="829" spans="1:43" x14ac:dyDescent="0.25">
      <c r="A829" t="s">
        <v>1858</v>
      </c>
      <c r="B829" t="s">
        <v>1857</v>
      </c>
      <c r="C829" t="s">
        <v>1856</v>
      </c>
      <c r="D829" s="1">
        <v>46072</v>
      </c>
      <c r="E829" t="s">
        <v>19</v>
      </c>
      <c r="F829" t="s">
        <v>89</v>
      </c>
      <c r="G829" t="s">
        <v>30</v>
      </c>
      <c r="H829" t="s">
        <v>77</v>
      </c>
      <c r="I829" t="s">
        <v>15</v>
      </c>
      <c r="J829" t="s">
        <v>55</v>
      </c>
      <c r="K829" t="s">
        <v>54</v>
      </c>
      <c r="L829" t="s">
        <v>64</v>
      </c>
      <c r="M829" t="s">
        <v>11</v>
      </c>
      <c r="N829" t="s">
        <v>52</v>
      </c>
      <c r="O829" t="s">
        <v>26</v>
      </c>
      <c r="P829" t="s">
        <v>25</v>
      </c>
      <c r="Q829" t="s">
        <v>7</v>
      </c>
      <c r="R829" t="s">
        <v>6</v>
      </c>
      <c r="S829">
        <v>4</v>
      </c>
      <c r="T829">
        <v>2</v>
      </c>
      <c r="U829">
        <v>127</v>
      </c>
      <c r="V829" t="s">
        <v>5</v>
      </c>
      <c r="W829" t="s">
        <v>5</v>
      </c>
      <c r="X829" t="s">
        <v>0</v>
      </c>
      <c r="Y829" t="s">
        <v>4</v>
      </c>
      <c r="Z829" t="s">
        <v>5</v>
      </c>
      <c r="AA829">
        <v>173.11</v>
      </c>
      <c r="AB829">
        <v>0.22</v>
      </c>
      <c r="AC829">
        <v>0</v>
      </c>
      <c r="AD829" t="s">
        <v>3</v>
      </c>
      <c r="AE829" t="s">
        <v>0</v>
      </c>
      <c r="AF829" t="s">
        <v>3</v>
      </c>
      <c r="AG829" t="s">
        <v>2</v>
      </c>
      <c r="AI829" t="s">
        <v>23</v>
      </c>
      <c r="AJ829">
        <v>4</v>
      </c>
      <c r="AK829">
        <v>25</v>
      </c>
      <c r="AL829">
        <v>32</v>
      </c>
      <c r="AM829" t="s">
        <v>5</v>
      </c>
      <c r="AN829">
        <v>1</v>
      </c>
      <c r="AO829">
        <v>1</v>
      </c>
      <c r="AP829">
        <v>0</v>
      </c>
      <c r="AQ829">
        <v>1</v>
      </c>
    </row>
    <row r="830" spans="1:43" x14ac:dyDescent="0.25">
      <c r="A830" t="s">
        <v>1855</v>
      </c>
      <c r="B830" t="s">
        <v>1035</v>
      </c>
      <c r="C830" t="s">
        <v>1854</v>
      </c>
      <c r="D830" s="1">
        <v>46086</v>
      </c>
      <c r="E830" t="s">
        <v>149</v>
      </c>
      <c r="F830" t="s">
        <v>471</v>
      </c>
      <c r="G830" t="s">
        <v>56</v>
      </c>
      <c r="H830" t="s">
        <v>29</v>
      </c>
      <c r="I830" t="s">
        <v>15</v>
      </c>
      <c r="J830" t="s">
        <v>55</v>
      </c>
      <c r="K830" t="s">
        <v>54</v>
      </c>
      <c r="L830" t="s">
        <v>42</v>
      </c>
      <c r="M830" t="s">
        <v>11</v>
      </c>
      <c r="N830" t="s">
        <v>75</v>
      </c>
      <c r="O830" t="s">
        <v>130</v>
      </c>
      <c r="P830" t="s">
        <v>39</v>
      </c>
      <c r="Q830" t="s">
        <v>100</v>
      </c>
      <c r="R830" t="s">
        <v>38</v>
      </c>
      <c r="S830">
        <v>5</v>
      </c>
      <c r="T830">
        <v>5</v>
      </c>
      <c r="U830">
        <v>109</v>
      </c>
      <c r="V830" t="s">
        <v>0</v>
      </c>
      <c r="W830" t="s">
        <v>5</v>
      </c>
      <c r="X830" t="s">
        <v>0</v>
      </c>
      <c r="Y830" t="s">
        <v>4</v>
      </c>
      <c r="Z830" t="s">
        <v>5</v>
      </c>
      <c r="AA830">
        <v>140.97999999999999</v>
      </c>
      <c r="AB830">
        <v>0</v>
      </c>
      <c r="AC830">
        <v>0</v>
      </c>
      <c r="AD830" t="s">
        <v>3</v>
      </c>
      <c r="AE830" t="s">
        <v>0</v>
      </c>
      <c r="AF830" t="s">
        <v>3</v>
      </c>
      <c r="AG830" t="s">
        <v>2</v>
      </c>
      <c r="AI830" t="s">
        <v>23</v>
      </c>
      <c r="AJ830">
        <v>4</v>
      </c>
      <c r="AK830">
        <v>64</v>
      </c>
      <c r="AL830">
        <v>77</v>
      </c>
      <c r="AM830" t="s">
        <v>5</v>
      </c>
      <c r="AN830">
        <v>1</v>
      </c>
      <c r="AO830">
        <v>1</v>
      </c>
      <c r="AP830">
        <v>0</v>
      </c>
      <c r="AQ830">
        <v>1</v>
      </c>
    </row>
    <row r="831" spans="1:43" x14ac:dyDescent="0.25">
      <c r="A831" t="s">
        <v>1853</v>
      </c>
      <c r="B831" t="s">
        <v>1852</v>
      </c>
      <c r="C831" t="s">
        <v>1851</v>
      </c>
      <c r="D831" s="1">
        <v>45824</v>
      </c>
      <c r="E831" t="s">
        <v>125</v>
      </c>
      <c r="F831" t="s">
        <v>140</v>
      </c>
      <c r="G831" t="s">
        <v>56</v>
      </c>
      <c r="H831" t="s">
        <v>66</v>
      </c>
      <c r="I831" t="s">
        <v>15</v>
      </c>
      <c r="J831" t="s">
        <v>146</v>
      </c>
      <c r="K831" t="s">
        <v>145</v>
      </c>
      <c r="L831" t="s">
        <v>64</v>
      </c>
      <c r="M831" t="s">
        <v>11</v>
      </c>
      <c r="N831" t="s">
        <v>10</v>
      </c>
      <c r="O831" t="s">
        <v>26</v>
      </c>
      <c r="P831" t="s">
        <v>25</v>
      </c>
      <c r="Q831" t="s">
        <v>7</v>
      </c>
      <c r="R831" t="s">
        <v>6</v>
      </c>
      <c r="S831" t="s">
        <v>99</v>
      </c>
      <c r="T831">
        <v>4</v>
      </c>
      <c r="U831">
        <v>92</v>
      </c>
      <c r="V831" t="s">
        <v>0</v>
      </c>
      <c r="W831" t="s">
        <v>5</v>
      </c>
      <c r="X831" t="s">
        <v>0</v>
      </c>
      <c r="Y831" t="s">
        <v>4</v>
      </c>
      <c r="Z831" t="s">
        <v>5</v>
      </c>
      <c r="AA831">
        <v>117.71</v>
      </c>
      <c r="AB831">
        <v>0.2</v>
      </c>
      <c r="AC831">
        <v>0</v>
      </c>
      <c r="AD831" t="s">
        <v>3</v>
      </c>
      <c r="AE831" t="s">
        <v>0</v>
      </c>
      <c r="AF831" t="s">
        <v>3</v>
      </c>
      <c r="AG831" t="s">
        <v>2</v>
      </c>
      <c r="AI831" t="s">
        <v>23</v>
      </c>
      <c r="AJ831">
        <v>4</v>
      </c>
      <c r="AK831">
        <v>20</v>
      </c>
      <c r="AL831">
        <v>24</v>
      </c>
      <c r="AM831" t="s">
        <v>5</v>
      </c>
      <c r="AN831">
        <v>1</v>
      </c>
      <c r="AO831">
        <v>1</v>
      </c>
      <c r="AP831">
        <v>0</v>
      </c>
      <c r="AQ831">
        <v>1</v>
      </c>
    </row>
    <row r="832" spans="1:43" x14ac:dyDescent="0.25">
      <c r="A832" t="s">
        <v>1850</v>
      </c>
      <c r="B832" t="s">
        <v>915</v>
      </c>
      <c r="C832" t="s">
        <v>1849</v>
      </c>
      <c r="D832" s="1">
        <v>46069</v>
      </c>
      <c r="E832" t="s">
        <v>156</v>
      </c>
      <c r="F832" t="s">
        <v>155</v>
      </c>
      <c r="G832" t="s">
        <v>56</v>
      </c>
      <c r="H832" t="s">
        <v>237</v>
      </c>
      <c r="I832" t="s">
        <v>28</v>
      </c>
      <c r="J832" t="s">
        <v>14</v>
      </c>
      <c r="K832" t="s">
        <v>13</v>
      </c>
      <c r="L832" t="s">
        <v>64</v>
      </c>
      <c r="M832" t="s">
        <v>299</v>
      </c>
      <c r="N832" t="s">
        <v>269</v>
      </c>
      <c r="O832" t="s">
        <v>40</v>
      </c>
      <c r="P832" t="s">
        <v>39</v>
      </c>
      <c r="Q832" t="s">
        <v>7</v>
      </c>
      <c r="R832" t="s">
        <v>6</v>
      </c>
      <c r="S832">
        <v>8</v>
      </c>
      <c r="T832">
        <v>8</v>
      </c>
      <c r="U832">
        <v>298</v>
      </c>
      <c r="V832" t="s">
        <v>0</v>
      </c>
      <c r="W832" t="s">
        <v>0</v>
      </c>
      <c r="X832" t="s">
        <v>5</v>
      </c>
      <c r="Y832" t="s">
        <v>489</v>
      </c>
      <c r="Z832" t="s">
        <v>0</v>
      </c>
      <c r="AA832">
        <v>0</v>
      </c>
      <c r="AB832">
        <v>0</v>
      </c>
      <c r="AC832">
        <v>0</v>
      </c>
      <c r="AD832" t="s">
        <v>3</v>
      </c>
      <c r="AE832" t="s">
        <v>0</v>
      </c>
      <c r="AF832" t="s">
        <v>3</v>
      </c>
      <c r="AG832" t="s">
        <v>2</v>
      </c>
      <c r="AI832" t="s">
        <v>23</v>
      </c>
      <c r="AJ832">
        <v>2</v>
      </c>
      <c r="AK832">
        <v>-65</v>
      </c>
      <c r="AL832">
        <v>18</v>
      </c>
      <c r="AM832" t="s">
        <v>0</v>
      </c>
      <c r="AN832">
        <v>0</v>
      </c>
      <c r="AO832">
        <v>0</v>
      </c>
      <c r="AP832">
        <v>1</v>
      </c>
      <c r="AQ832">
        <v>0</v>
      </c>
    </row>
    <row r="833" spans="1:43" x14ac:dyDescent="0.25">
      <c r="A833" t="s">
        <v>1848</v>
      </c>
      <c r="B833" t="s">
        <v>1847</v>
      </c>
      <c r="C833" t="s">
        <v>1846</v>
      </c>
      <c r="D833" s="1">
        <v>45883</v>
      </c>
      <c r="E833" t="s">
        <v>156</v>
      </c>
      <c r="F833" t="s">
        <v>155</v>
      </c>
      <c r="G833" t="s">
        <v>131</v>
      </c>
      <c r="H833" t="s">
        <v>77</v>
      </c>
      <c r="I833" t="s">
        <v>28</v>
      </c>
      <c r="J833" t="s">
        <v>14</v>
      </c>
      <c r="K833" t="s">
        <v>13</v>
      </c>
      <c r="L833" t="s">
        <v>64</v>
      </c>
      <c r="M833" t="s">
        <v>53</v>
      </c>
      <c r="N833" t="s">
        <v>75</v>
      </c>
      <c r="O833" t="s">
        <v>26</v>
      </c>
      <c r="P833" t="s">
        <v>63</v>
      </c>
      <c r="Q833" t="s">
        <v>100</v>
      </c>
      <c r="R833" t="s">
        <v>6</v>
      </c>
      <c r="S833">
        <v>4</v>
      </c>
      <c r="T833">
        <v>4</v>
      </c>
      <c r="U833">
        <v>113</v>
      </c>
      <c r="V833" t="s">
        <v>0</v>
      </c>
      <c r="W833" t="s">
        <v>5</v>
      </c>
      <c r="X833" t="s">
        <v>0</v>
      </c>
      <c r="Y833" t="s">
        <v>4</v>
      </c>
      <c r="Z833" t="s">
        <v>5</v>
      </c>
      <c r="AA833">
        <v>148.29</v>
      </c>
      <c r="AB833">
        <v>0.19</v>
      </c>
      <c r="AC833">
        <v>0.17</v>
      </c>
      <c r="AD833" t="s">
        <v>3</v>
      </c>
      <c r="AE833" t="s">
        <v>0</v>
      </c>
      <c r="AF833" t="s">
        <v>3</v>
      </c>
      <c r="AG833" t="s">
        <v>2</v>
      </c>
      <c r="AI833" t="s">
        <v>23</v>
      </c>
      <c r="AJ833">
        <v>4</v>
      </c>
      <c r="AK833">
        <v>0</v>
      </c>
      <c r="AL833">
        <v>0</v>
      </c>
      <c r="AM833" t="s">
        <v>5</v>
      </c>
      <c r="AN833">
        <v>1</v>
      </c>
      <c r="AO833">
        <v>1</v>
      </c>
      <c r="AP833">
        <v>0</v>
      </c>
      <c r="AQ833">
        <v>1</v>
      </c>
    </row>
    <row r="834" spans="1:43" x14ac:dyDescent="0.25">
      <c r="A834" t="s">
        <v>1845</v>
      </c>
      <c r="B834" t="s">
        <v>402</v>
      </c>
      <c r="C834" t="s">
        <v>1844</v>
      </c>
      <c r="D834" s="1">
        <v>45765</v>
      </c>
      <c r="E834" t="s">
        <v>79</v>
      </c>
      <c r="F834" t="s">
        <v>102</v>
      </c>
      <c r="G834" t="s">
        <v>17</v>
      </c>
      <c r="H834" t="s">
        <v>77</v>
      </c>
      <c r="I834" t="s">
        <v>15</v>
      </c>
      <c r="J834" t="s">
        <v>14</v>
      </c>
      <c r="K834" t="s">
        <v>13</v>
      </c>
      <c r="L834" t="s">
        <v>12</v>
      </c>
      <c r="M834" t="s">
        <v>53</v>
      </c>
      <c r="N834" t="s">
        <v>41</v>
      </c>
      <c r="O834" t="s">
        <v>9</v>
      </c>
      <c r="P834" t="s">
        <v>39</v>
      </c>
      <c r="Q834" t="s">
        <v>7</v>
      </c>
      <c r="R834" t="s">
        <v>6</v>
      </c>
      <c r="S834">
        <v>7</v>
      </c>
      <c r="T834">
        <v>7</v>
      </c>
      <c r="U834">
        <v>148</v>
      </c>
      <c r="V834" t="s">
        <v>0</v>
      </c>
      <c r="W834" t="s">
        <v>135</v>
      </c>
      <c r="X834" t="s">
        <v>0</v>
      </c>
      <c r="Y834" t="s">
        <v>4</v>
      </c>
      <c r="Z834" t="s">
        <v>5</v>
      </c>
      <c r="AA834">
        <v>6.24</v>
      </c>
      <c r="AB834">
        <v>0</v>
      </c>
      <c r="AC834">
        <v>0.17</v>
      </c>
      <c r="AD834" t="s">
        <v>3</v>
      </c>
      <c r="AE834" t="s">
        <v>0</v>
      </c>
      <c r="AF834" t="s">
        <v>3</v>
      </c>
      <c r="AG834" t="s">
        <v>2</v>
      </c>
      <c r="AI834" t="s">
        <v>1</v>
      </c>
      <c r="AJ834">
        <v>3</v>
      </c>
      <c r="AK834">
        <v>55</v>
      </c>
      <c r="AL834">
        <v>37</v>
      </c>
      <c r="AM834" t="s">
        <v>0</v>
      </c>
      <c r="AN834">
        <v>0</v>
      </c>
      <c r="AO834">
        <v>1</v>
      </c>
      <c r="AP834">
        <v>0</v>
      </c>
      <c r="AQ834">
        <v>0</v>
      </c>
    </row>
    <row r="835" spans="1:43" x14ac:dyDescent="0.25">
      <c r="A835" t="s">
        <v>1843</v>
      </c>
      <c r="B835" t="s">
        <v>624</v>
      </c>
      <c r="C835" t="s">
        <v>1842</v>
      </c>
      <c r="D835" s="1">
        <v>45857</v>
      </c>
      <c r="E835" t="s">
        <v>45</v>
      </c>
      <c r="F835" t="s">
        <v>670</v>
      </c>
      <c r="G835" t="s">
        <v>83</v>
      </c>
      <c r="H835" t="s">
        <v>77</v>
      </c>
      <c r="I835" t="s">
        <v>15</v>
      </c>
      <c r="J835" t="s">
        <v>14</v>
      </c>
      <c r="K835" t="s">
        <v>13</v>
      </c>
      <c r="L835" t="s">
        <v>64</v>
      </c>
      <c r="M835" t="s">
        <v>11</v>
      </c>
      <c r="N835" t="s">
        <v>75</v>
      </c>
      <c r="O835" t="s">
        <v>74</v>
      </c>
      <c r="P835" t="s">
        <v>247</v>
      </c>
      <c r="Q835" t="s">
        <v>100</v>
      </c>
      <c r="R835" t="s">
        <v>6</v>
      </c>
      <c r="S835">
        <v>6</v>
      </c>
      <c r="T835">
        <v>3</v>
      </c>
      <c r="U835">
        <v>214</v>
      </c>
      <c r="V835" t="s">
        <v>5</v>
      </c>
      <c r="W835" t="s">
        <v>5</v>
      </c>
      <c r="X835" t="s">
        <v>0</v>
      </c>
      <c r="Y835" t="s">
        <v>4</v>
      </c>
      <c r="Z835" t="s">
        <v>5</v>
      </c>
      <c r="AA835">
        <v>0</v>
      </c>
      <c r="AB835">
        <v>0</v>
      </c>
      <c r="AC835">
        <v>0</v>
      </c>
      <c r="AD835" t="s">
        <v>3</v>
      </c>
      <c r="AE835" t="s">
        <v>0</v>
      </c>
      <c r="AF835" t="s">
        <v>3</v>
      </c>
      <c r="AG835" t="s">
        <v>2</v>
      </c>
      <c r="AI835" t="s">
        <v>23</v>
      </c>
      <c r="AJ835">
        <v>3</v>
      </c>
      <c r="AK835">
        <v>-30</v>
      </c>
      <c r="AL835">
        <v>20</v>
      </c>
      <c r="AM835" t="s">
        <v>5</v>
      </c>
      <c r="AN835">
        <v>1</v>
      </c>
      <c r="AO835">
        <v>1</v>
      </c>
      <c r="AP835">
        <v>0</v>
      </c>
      <c r="AQ835">
        <v>1</v>
      </c>
    </row>
    <row r="836" spans="1:43" x14ac:dyDescent="0.25">
      <c r="A836" t="s">
        <v>1841</v>
      </c>
      <c r="B836" t="s">
        <v>771</v>
      </c>
      <c r="C836" t="s">
        <v>1840</v>
      </c>
      <c r="D836" s="1">
        <v>45905</v>
      </c>
      <c r="E836" t="s">
        <v>68</v>
      </c>
      <c r="F836" t="s">
        <v>67</v>
      </c>
      <c r="G836" t="s">
        <v>83</v>
      </c>
      <c r="H836" t="s">
        <v>77</v>
      </c>
      <c r="I836" t="s">
        <v>15</v>
      </c>
      <c r="J836" t="s">
        <v>14</v>
      </c>
      <c r="K836" t="s">
        <v>13</v>
      </c>
      <c r="L836" t="s">
        <v>12</v>
      </c>
      <c r="M836" t="s">
        <v>11</v>
      </c>
      <c r="N836" t="s">
        <v>269</v>
      </c>
      <c r="O836" t="s">
        <v>40</v>
      </c>
      <c r="P836" t="s">
        <v>39</v>
      </c>
      <c r="Q836" t="s">
        <v>7</v>
      </c>
      <c r="R836" t="s">
        <v>6</v>
      </c>
      <c r="S836">
        <v>8</v>
      </c>
      <c r="T836">
        <v>8</v>
      </c>
      <c r="U836">
        <v>235</v>
      </c>
      <c r="V836" t="s">
        <v>0</v>
      </c>
      <c r="W836" t="s">
        <v>5</v>
      </c>
      <c r="X836" t="s">
        <v>5</v>
      </c>
      <c r="Y836" t="s">
        <v>489</v>
      </c>
      <c r="Z836" t="s">
        <v>0</v>
      </c>
      <c r="AA836">
        <v>0</v>
      </c>
      <c r="AB836">
        <v>0</v>
      </c>
      <c r="AC836">
        <v>0</v>
      </c>
      <c r="AD836" t="s">
        <v>3</v>
      </c>
      <c r="AE836" t="s">
        <v>0</v>
      </c>
      <c r="AF836" t="s">
        <v>3</v>
      </c>
      <c r="AG836" t="s">
        <v>2</v>
      </c>
      <c r="AI836" t="s">
        <v>23</v>
      </c>
      <c r="AJ836">
        <v>4</v>
      </c>
      <c r="AK836">
        <v>-30</v>
      </c>
      <c r="AL836">
        <v>46</v>
      </c>
      <c r="AM836" t="s">
        <v>5</v>
      </c>
      <c r="AN836">
        <v>1</v>
      </c>
      <c r="AO836">
        <v>0</v>
      </c>
      <c r="AP836">
        <v>1</v>
      </c>
      <c r="AQ836">
        <v>1</v>
      </c>
    </row>
    <row r="837" spans="1:43" x14ac:dyDescent="0.25">
      <c r="A837" t="s">
        <v>1839</v>
      </c>
      <c r="B837" t="s">
        <v>487</v>
      </c>
      <c r="C837" t="s">
        <v>1838</v>
      </c>
      <c r="D837" s="1">
        <v>45937</v>
      </c>
      <c r="E837" t="s">
        <v>68</v>
      </c>
      <c r="F837" t="s">
        <v>243</v>
      </c>
      <c r="G837" t="s">
        <v>17</v>
      </c>
      <c r="H837" t="s">
        <v>43</v>
      </c>
      <c r="I837" t="s">
        <v>28</v>
      </c>
      <c r="J837" t="s">
        <v>14</v>
      </c>
      <c r="K837" t="s">
        <v>13</v>
      </c>
      <c r="L837" t="s">
        <v>12</v>
      </c>
      <c r="M837" t="s">
        <v>53</v>
      </c>
      <c r="N837" t="s">
        <v>154</v>
      </c>
      <c r="O837" t="s">
        <v>199</v>
      </c>
      <c r="P837" t="s">
        <v>39</v>
      </c>
      <c r="Q837" t="s">
        <v>198</v>
      </c>
      <c r="R837" t="s">
        <v>38</v>
      </c>
      <c r="S837">
        <v>5</v>
      </c>
      <c r="T837">
        <v>5</v>
      </c>
      <c r="U837">
        <v>124</v>
      </c>
      <c r="V837" t="s">
        <v>0</v>
      </c>
      <c r="W837" t="s">
        <v>5</v>
      </c>
      <c r="X837" t="s">
        <v>0</v>
      </c>
      <c r="Y837" t="s">
        <v>4</v>
      </c>
      <c r="Z837" t="s">
        <v>5</v>
      </c>
      <c r="AA837">
        <v>85.99</v>
      </c>
      <c r="AB837">
        <v>0</v>
      </c>
      <c r="AC837">
        <v>0.17</v>
      </c>
      <c r="AD837" t="s">
        <v>3</v>
      </c>
      <c r="AE837" t="s">
        <v>0</v>
      </c>
      <c r="AF837" t="s">
        <v>3</v>
      </c>
      <c r="AG837" t="s">
        <v>2</v>
      </c>
      <c r="AI837" t="s">
        <v>23</v>
      </c>
      <c r="AJ837">
        <v>4</v>
      </c>
      <c r="AK837">
        <v>94</v>
      </c>
      <c r="AL837">
        <v>41</v>
      </c>
      <c r="AM837" t="s">
        <v>5</v>
      </c>
      <c r="AN837">
        <v>1</v>
      </c>
      <c r="AO837">
        <v>1</v>
      </c>
      <c r="AP837">
        <v>0</v>
      </c>
      <c r="AQ837">
        <v>1</v>
      </c>
    </row>
    <row r="838" spans="1:43" x14ac:dyDescent="0.25">
      <c r="A838" t="s">
        <v>1837</v>
      </c>
      <c r="B838" t="s">
        <v>1836</v>
      </c>
      <c r="C838" t="s">
        <v>1835</v>
      </c>
      <c r="D838" s="1">
        <v>45966</v>
      </c>
      <c r="E838" t="s">
        <v>19</v>
      </c>
      <c r="F838" t="s">
        <v>255</v>
      </c>
      <c r="G838" t="s">
        <v>30</v>
      </c>
      <c r="H838" t="s">
        <v>29</v>
      </c>
      <c r="I838" t="s">
        <v>28</v>
      </c>
      <c r="J838" t="s">
        <v>146</v>
      </c>
      <c r="K838" t="s">
        <v>145</v>
      </c>
      <c r="L838" t="s">
        <v>88</v>
      </c>
      <c r="M838" t="s">
        <v>11</v>
      </c>
      <c r="N838" t="s">
        <v>116</v>
      </c>
      <c r="O838" t="s">
        <v>51</v>
      </c>
      <c r="P838" t="s">
        <v>39</v>
      </c>
      <c r="Q838" t="s">
        <v>50</v>
      </c>
      <c r="R838" t="s">
        <v>6</v>
      </c>
      <c r="S838">
        <v>6</v>
      </c>
      <c r="T838">
        <v>5</v>
      </c>
      <c r="U838">
        <v>204</v>
      </c>
      <c r="V838" t="s">
        <v>5</v>
      </c>
      <c r="W838" t="s">
        <v>5</v>
      </c>
      <c r="X838" t="s">
        <v>0</v>
      </c>
      <c r="Y838" t="s">
        <v>4</v>
      </c>
      <c r="Z838" t="s">
        <v>5</v>
      </c>
      <c r="AA838">
        <v>15.03</v>
      </c>
      <c r="AB838">
        <v>0.09</v>
      </c>
      <c r="AC838">
        <v>0</v>
      </c>
      <c r="AD838" t="s">
        <v>3</v>
      </c>
      <c r="AE838" t="s">
        <v>0</v>
      </c>
      <c r="AF838" t="s">
        <v>3</v>
      </c>
      <c r="AG838" t="s">
        <v>2</v>
      </c>
      <c r="AI838" t="s">
        <v>23</v>
      </c>
      <c r="AJ838">
        <v>3</v>
      </c>
      <c r="AK838">
        <v>13</v>
      </c>
      <c r="AL838">
        <v>30</v>
      </c>
      <c r="AM838" t="s">
        <v>0</v>
      </c>
      <c r="AN838">
        <v>1</v>
      </c>
      <c r="AO838">
        <v>1</v>
      </c>
      <c r="AP838">
        <v>0</v>
      </c>
      <c r="AQ838">
        <v>0</v>
      </c>
    </row>
    <row r="839" spans="1:43" x14ac:dyDescent="0.25">
      <c r="A839" t="s">
        <v>1834</v>
      </c>
      <c r="B839" t="s">
        <v>1833</v>
      </c>
      <c r="C839" t="s">
        <v>1832</v>
      </c>
      <c r="D839" s="1">
        <v>45928</v>
      </c>
      <c r="E839" t="s">
        <v>32</v>
      </c>
      <c r="F839" t="s">
        <v>356</v>
      </c>
      <c r="G839" t="s">
        <v>56</v>
      </c>
      <c r="H839" t="s">
        <v>16</v>
      </c>
      <c r="I839" t="s">
        <v>15</v>
      </c>
      <c r="J839" t="s">
        <v>146</v>
      </c>
      <c r="K839" t="s">
        <v>145</v>
      </c>
      <c r="L839" t="s">
        <v>88</v>
      </c>
      <c r="M839" t="s">
        <v>11</v>
      </c>
      <c r="N839" t="s">
        <v>269</v>
      </c>
      <c r="O839" t="s">
        <v>130</v>
      </c>
      <c r="P839" t="s">
        <v>63</v>
      </c>
      <c r="Q839" t="s">
        <v>24</v>
      </c>
      <c r="R839" t="s">
        <v>38</v>
      </c>
      <c r="S839">
        <v>5</v>
      </c>
      <c r="T839">
        <v>5</v>
      </c>
      <c r="U839">
        <v>111</v>
      </c>
      <c r="V839" t="s">
        <v>0</v>
      </c>
      <c r="W839" t="s">
        <v>0</v>
      </c>
      <c r="X839" t="s">
        <v>0</v>
      </c>
      <c r="Y839" t="s">
        <v>4</v>
      </c>
      <c r="Z839" t="s">
        <v>0</v>
      </c>
      <c r="AA839">
        <v>0</v>
      </c>
      <c r="AB839">
        <v>0</v>
      </c>
      <c r="AC839">
        <v>0</v>
      </c>
      <c r="AD839" t="s">
        <v>37</v>
      </c>
      <c r="AE839" t="s">
        <v>5</v>
      </c>
      <c r="AF839" t="s">
        <v>37</v>
      </c>
      <c r="AG839" t="s">
        <v>139</v>
      </c>
      <c r="AH839">
        <v>14</v>
      </c>
      <c r="AI839" t="s">
        <v>23</v>
      </c>
      <c r="AJ839">
        <v>4</v>
      </c>
      <c r="AK839">
        <v>52</v>
      </c>
      <c r="AL839">
        <v>0</v>
      </c>
      <c r="AM839" t="s">
        <v>5</v>
      </c>
      <c r="AN839">
        <v>0</v>
      </c>
      <c r="AO839">
        <v>0</v>
      </c>
      <c r="AP839">
        <v>0</v>
      </c>
      <c r="AQ839">
        <v>1</v>
      </c>
    </row>
    <row r="840" spans="1:43" x14ac:dyDescent="0.25">
      <c r="A840" t="s">
        <v>1831</v>
      </c>
      <c r="B840" t="s">
        <v>686</v>
      </c>
      <c r="C840" t="s">
        <v>1830</v>
      </c>
      <c r="D840" s="1">
        <v>45883</v>
      </c>
      <c r="E840" t="s">
        <v>149</v>
      </c>
      <c r="F840" t="s">
        <v>248</v>
      </c>
      <c r="G840" t="s">
        <v>123</v>
      </c>
      <c r="H840" t="s">
        <v>77</v>
      </c>
      <c r="I840" t="s">
        <v>15</v>
      </c>
      <c r="J840" t="s">
        <v>14</v>
      </c>
      <c r="K840" t="s">
        <v>13</v>
      </c>
      <c r="L840" t="s">
        <v>12</v>
      </c>
      <c r="M840" t="s">
        <v>53</v>
      </c>
      <c r="N840" t="s">
        <v>75</v>
      </c>
      <c r="O840" t="s">
        <v>74</v>
      </c>
      <c r="P840" t="s">
        <v>63</v>
      </c>
      <c r="Q840" t="s">
        <v>7</v>
      </c>
      <c r="R840" t="s">
        <v>6</v>
      </c>
      <c r="S840">
        <v>6</v>
      </c>
      <c r="T840" t="s">
        <v>1829</v>
      </c>
      <c r="U840">
        <v>248</v>
      </c>
      <c r="V840" t="s">
        <v>5</v>
      </c>
      <c r="W840" t="s">
        <v>287</v>
      </c>
      <c r="X840" t="s">
        <v>0</v>
      </c>
      <c r="Y840" t="s">
        <v>4</v>
      </c>
      <c r="Z840" t="s">
        <v>5</v>
      </c>
      <c r="AA840">
        <v>21.22</v>
      </c>
      <c r="AB840">
        <v>0</v>
      </c>
      <c r="AC840">
        <v>0.17</v>
      </c>
      <c r="AD840" t="s">
        <v>3</v>
      </c>
      <c r="AE840" t="s">
        <v>0</v>
      </c>
      <c r="AF840" t="s">
        <v>3</v>
      </c>
      <c r="AG840" t="s">
        <v>2</v>
      </c>
      <c r="AI840" t="s">
        <v>23</v>
      </c>
      <c r="AJ840">
        <v>3</v>
      </c>
      <c r="AK840">
        <v>-2</v>
      </c>
      <c r="AL840">
        <v>0</v>
      </c>
      <c r="AM840" t="s">
        <v>5</v>
      </c>
      <c r="AN840">
        <v>1</v>
      </c>
      <c r="AO840">
        <v>1</v>
      </c>
      <c r="AP840">
        <v>0</v>
      </c>
      <c r="AQ840">
        <v>1</v>
      </c>
    </row>
    <row r="841" spans="1:43" x14ac:dyDescent="0.25">
      <c r="A841" t="s">
        <v>1828</v>
      </c>
      <c r="B841" t="s">
        <v>1173</v>
      </c>
      <c r="C841" t="s">
        <v>1827</v>
      </c>
      <c r="D841" s="1">
        <v>45919</v>
      </c>
      <c r="E841" t="s">
        <v>68</v>
      </c>
      <c r="F841" t="s">
        <v>216</v>
      </c>
      <c r="G841" t="s">
        <v>110</v>
      </c>
      <c r="H841" t="s">
        <v>77</v>
      </c>
      <c r="I841" t="s">
        <v>15</v>
      </c>
      <c r="J841" t="s">
        <v>14</v>
      </c>
      <c r="K841" t="s">
        <v>13</v>
      </c>
      <c r="L841" t="s">
        <v>64</v>
      </c>
      <c r="M841" t="s">
        <v>27</v>
      </c>
      <c r="N841" t="s">
        <v>52</v>
      </c>
      <c r="O841" t="s">
        <v>193</v>
      </c>
      <c r="P841" t="s">
        <v>39</v>
      </c>
      <c r="Q841" t="s">
        <v>24</v>
      </c>
      <c r="R841" t="s">
        <v>38</v>
      </c>
      <c r="S841">
        <v>9</v>
      </c>
      <c r="T841">
        <v>6</v>
      </c>
      <c r="U841">
        <v>306</v>
      </c>
      <c r="V841" t="s">
        <v>5</v>
      </c>
      <c r="W841" t="s">
        <v>0</v>
      </c>
      <c r="X841" t="s">
        <v>0</v>
      </c>
      <c r="Y841" t="s">
        <v>4</v>
      </c>
      <c r="Z841" t="s">
        <v>5</v>
      </c>
      <c r="AA841">
        <v>212.25</v>
      </c>
      <c r="AB841">
        <v>3.02</v>
      </c>
      <c r="AC841">
        <v>0.37</v>
      </c>
      <c r="AD841" t="s">
        <v>61</v>
      </c>
      <c r="AE841" t="s">
        <v>5</v>
      </c>
      <c r="AF841" t="s">
        <v>61</v>
      </c>
      <c r="AG841" t="s">
        <v>36</v>
      </c>
      <c r="AH841">
        <v>2</v>
      </c>
      <c r="AI841" t="s">
        <v>1</v>
      </c>
      <c r="AJ841">
        <v>3</v>
      </c>
      <c r="AK841">
        <v>15</v>
      </c>
      <c r="AL841">
        <v>25</v>
      </c>
      <c r="AM841" t="s">
        <v>0</v>
      </c>
      <c r="AN841">
        <v>0</v>
      </c>
      <c r="AO841">
        <v>1</v>
      </c>
      <c r="AP841">
        <v>0</v>
      </c>
      <c r="AQ841">
        <v>0</v>
      </c>
    </row>
    <row r="842" spans="1:43" x14ac:dyDescent="0.25">
      <c r="A842" t="s">
        <v>1826</v>
      </c>
      <c r="B842" t="s">
        <v>1825</v>
      </c>
      <c r="C842" t="s">
        <v>1824</v>
      </c>
      <c r="D842" s="1">
        <v>46116</v>
      </c>
      <c r="E842" t="s">
        <v>125</v>
      </c>
      <c r="F842" t="s">
        <v>265</v>
      </c>
      <c r="G842" t="s">
        <v>17</v>
      </c>
      <c r="H842" t="s">
        <v>66</v>
      </c>
      <c r="I842" t="s">
        <v>15</v>
      </c>
      <c r="J842" t="s">
        <v>146</v>
      </c>
      <c r="K842" t="s">
        <v>145</v>
      </c>
      <c r="L842" t="s">
        <v>88</v>
      </c>
      <c r="M842" t="s">
        <v>53</v>
      </c>
      <c r="N842" t="s">
        <v>116</v>
      </c>
      <c r="O842" t="s">
        <v>193</v>
      </c>
      <c r="P842" t="s">
        <v>8</v>
      </c>
      <c r="Q842" t="s">
        <v>7</v>
      </c>
      <c r="R842" t="s">
        <v>6</v>
      </c>
      <c r="S842">
        <v>9</v>
      </c>
      <c r="T842">
        <v>9</v>
      </c>
      <c r="U842">
        <v>333</v>
      </c>
      <c r="V842" t="s">
        <v>0</v>
      </c>
      <c r="W842" t="s">
        <v>0</v>
      </c>
      <c r="X842" t="s">
        <v>5</v>
      </c>
      <c r="Y842" t="s">
        <v>475</v>
      </c>
      <c r="Z842" t="s">
        <v>0</v>
      </c>
      <c r="AA842">
        <v>0</v>
      </c>
      <c r="AB842">
        <v>0</v>
      </c>
      <c r="AC842">
        <v>0</v>
      </c>
      <c r="AD842" t="s">
        <v>3</v>
      </c>
      <c r="AE842" t="s">
        <v>0</v>
      </c>
      <c r="AF842" t="s">
        <v>3</v>
      </c>
      <c r="AG842" t="s">
        <v>2</v>
      </c>
      <c r="AI842" t="s">
        <v>332</v>
      </c>
      <c r="AJ842">
        <v>3</v>
      </c>
      <c r="AK842">
        <v>-37</v>
      </c>
      <c r="AL842">
        <v>36</v>
      </c>
      <c r="AM842" t="s">
        <v>0</v>
      </c>
      <c r="AN842">
        <v>0</v>
      </c>
      <c r="AO842">
        <v>0</v>
      </c>
      <c r="AP842">
        <v>1</v>
      </c>
      <c r="AQ842">
        <v>0</v>
      </c>
    </row>
    <row r="843" spans="1:43" x14ac:dyDescent="0.25">
      <c r="A843" t="s">
        <v>1823</v>
      </c>
      <c r="B843" t="s">
        <v>1822</v>
      </c>
      <c r="C843" t="s">
        <v>1821</v>
      </c>
      <c r="D843" s="1">
        <v>45908</v>
      </c>
      <c r="E843" t="s">
        <v>19</v>
      </c>
      <c r="F843" t="s">
        <v>18</v>
      </c>
      <c r="G843" t="s">
        <v>30</v>
      </c>
      <c r="H843" t="s">
        <v>29</v>
      </c>
      <c r="I843" t="s">
        <v>28</v>
      </c>
      <c r="J843" t="s">
        <v>55</v>
      </c>
      <c r="K843" t="s">
        <v>54</v>
      </c>
      <c r="L843" t="s">
        <v>117</v>
      </c>
      <c r="M843" t="s">
        <v>11</v>
      </c>
      <c r="N843" t="s">
        <v>52</v>
      </c>
      <c r="O843" t="s">
        <v>26</v>
      </c>
      <c r="P843" t="s">
        <v>39</v>
      </c>
      <c r="Q843" t="s">
        <v>100</v>
      </c>
      <c r="R843" t="s">
        <v>38</v>
      </c>
      <c r="S843">
        <v>4</v>
      </c>
      <c r="T843">
        <v>2</v>
      </c>
      <c r="U843">
        <v>215</v>
      </c>
      <c r="V843" t="s">
        <v>5</v>
      </c>
      <c r="W843" t="s">
        <v>5</v>
      </c>
      <c r="X843" t="s">
        <v>5</v>
      </c>
      <c r="Y843" t="s">
        <v>144</v>
      </c>
      <c r="Z843" t="s">
        <v>0</v>
      </c>
      <c r="AA843">
        <v>0</v>
      </c>
      <c r="AB843">
        <v>0</v>
      </c>
      <c r="AC843">
        <v>0</v>
      </c>
      <c r="AD843" t="s">
        <v>61</v>
      </c>
      <c r="AE843" t="s">
        <v>5</v>
      </c>
      <c r="AF843" t="s">
        <v>61</v>
      </c>
      <c r="AG843" t="s">
        <v>36</v>
      </c>
      <c r="AH843">
        <v>36</v>
      </c>
      <c r="AI843" t="s">
        <v>23</v>
      </c>
      <c r="AJ843">
        <v>2</v>
      </c>
      <c r="AK843">
        <v>23</v>
      </c>
      <c r="AL843">
        <v>8</v>
      </c>
      <c r="AM843" t="s">
        <v>0</v>
      </c>
      <c r="AN843">
        <v>1</v>
      </c>
      <c r="AO843">
        <v>0</v>
      </c>
      <c r="AP843">
        <v>1</v>
      </c>
      <c r="AQ843">
        <v>0</v>
      </c>
    </row>
    <row r="844" spans="1:43" x14ac:dyDescent="0.25">
      <c r="A844" t="s">
        <v>1820</v>
      </c>
      <c r="B844" t="s">
        <v>906</v>
      </c>
      <c r="C844" t="s">
        <v>1819</v>
      </c>
      <c r="D844" s="1">
        <v>46141</v>
      </c>
      <c r="E844" t="s">
        <v>45</v>
      </c>
      <c r="F844" t="s">
        <v>44</v>
      </c>
      <c r="G844" t="s">
        <v>17</v>
      </c>
      <c r="H844" t="s">
        <v>77</v>
      </c>
      <c r="I844" t="s">
        <v>15</v>
      </c>
      <c r="J844" t="s">
        <v>14</v>
      </c>
      <c r="K844" t="s">
        <v>13</v>
      </c>
      <c r="L844" t="s">
        <v>64</v>
      </c>
      <c r="M844" t="s">
        <v>27</v>
      </c>
      <c r="N844" t="s">
        <v>52</v>
      </c>
      <c r="O844" t="s">
        <v>193</v>
      </c>
      <c r="P844" t="s">
        <v>8</v>
      </c>
      <c r="Q844" t="s">
        <v>172</v>
      </c>
      <c r="R844" t="s">
        <v>38</v>
      </c>
      <c r="S844" t="s">
        <v>232</v>
      </c>
      <c r="T844">
        <v>9</v>
      </c>
      <c r="U844">
        <v>289</v>
      </c>
      <c r="V844" t="s">
        <v>0</v>
      </c>
      <c r="W844" t="s">
        <v>0</v>
      </c>
      <c r="X844" t="s">
        <v>5</v>
      </c>
      <c r="Y844" t="s">
        <v>192</v>
      </c>
      <c r="Z844" t="s">
        <v>0</v>
      </c>
      <c r="AA844">
        <v>0</v>
      </c>
      <c r="AB844">
        <v>0</v>
      </c>
      <c r="AC844">
        <v>0</v>
      </c>
      <c r="AD844" t="s">
        <v>3</v>
      </c>
      <c r="AE844" t="s">
        <v>0</v>
      </c>
      <c r="AF844" t="s">
        <v>3</v>
      </c>
      <c r="AG844" t="s">
        <v>2</v>
      </c>
      <c r="AI844" t="s">
        <v>122</v>
      </c>
      <c r="AJ844">
        <v>3</v>
      </c>
      <c r="AK844">
        <v>-47</v>
      </c>
      <c r="AL844">
        <v>48</v>
      </c>
      <c r="AM844" t="s">
        <v>0</v>
      </c>
      <c r="AN844">
        <v>0</v>
      </c>
      <c r="AO844">
        <v>0</v>
      </c>
      <c r="AP844">
        <v>1</v>
      </c>
      <c r="AQ844">
        <v>0</v>
      </c>
    </row>
    <row r="845" spans="1:43" x14ac:dyDescent="0.25">
      <c r="A845" t="s">
        <v>1818</v>
      </c>
      <c r="B845" t="s">
        <v>1723</v>
      </c>
      <c r="C845" t="s">
        <v>1817</v>
      </c>
      <c r="D845" s="1">
        <v>46098</v>
      </c>
      <c r="E845" t="s">
        <v>112</v>
      </c>
      <c r="F845" t="s">
        <v>111</v>
      </c>
      <c r="G845" t="s">
        <v>123</v>
      </c>
      <c r="H845" t="s">
        <v>77</v>
      </c>
      <c r="I845" t="s">
        <v>28</v>
      </c>
      <c r="J845" t="s">
        <v>55</v>
      </c>
      <c r="K845" t="s">
        <v>54</v>
      </c>
      <c r="L845" t="s">
        <v>88</v>
      </c>
      <c r="M845" t="s">
        <v>53</v>
      </c>
      <c r="N845" t="s">
        <v>41</v>
      </c>
      <c r="O845" t="s">
        <v>199</v>
      </c>
      <c r="P845" t="s">
        <v>39</v>
      </c>
      <c r="Q845" t="s">
        <v>7</v>
      </c>
      <c r="R845" t="s">
        <v>6</v>
      </c>
      <c r="S845" t="s">
        <v>277</v>
      </c>
      <c r="T845">
        <v>5</v>
      </c>
      <c r="U845">
        <v>176</v>
      </c>
      <c r="V845" t="s">
        <v>0</v>
      </c>
      <c r="W845" t="s">
        <v>5</v>
      </c>
      <c r="X845" t="s">
        <v>287</v>
      </c>
      <c r="Y845" t="s">
        <v>197</v>
      </c>
      <c r="Z845" t="s">
        <v>5</v>
      </c>
      <c r="AA845">
        <v>21.66</v>
      </c>
      <c r="AB845">
        <v>0</v>
      </c>
      <c r="AC845">
        <v>0.17</v>
      </c>
      <c r="AD845" t="s">
        <v>3</v>
      </c>
      <c r="AE845" t="s">
        <v>0</v>
      </c>
      <c r="AF845" t="s">
        <v>3</v>
      </c>
      <c r="AG845" t="s">
        <v>2</v>
      </c>
      <c r="AI845" t="s">
        <v>23</v>
      </c>
      <c r="AJ845">
        <v>2</v>
      </c>
      <c r="AK845">
        <v>-39</v>
      </c>
      <c r="AL845">
        <v>30</v>
      </c>
      <c r="AM845" t="s">
        <v>0</v>
      </c>
      <c r="AN845">
        <v>1</v>
      </c>
      <c r="AO845">
        <v>1</v>
      </c>
      <c r="AP845">
        <v>1</v>
      </c>
      <c r="AQ845">
        <v>0</v>
      </c>
    </row>
    <row r="846" spans="1:43" x14ac:dyDescent="0.25">
      <c r="A846" t="s">
        <v>1816</v>
      </c>
      <c r="B846" t="s">
        <v>365</v>
      </c>
      <c r="C846" t="s">
        <v>1815</v>
      </c>
      <c r="D846" s="1">
        <v>45753</v>
      </c>
      <c r="E846" t="s">
        <v>162</v>
      </c>
      <c r="F846" t="s">
        <v>200</v>
      </c>
      <c r="G846" t="s">
        <v>56</v>
      </c>
      <c r="H846" t="s">
        <v>77</v>
      </c>
      <c r="I846" t="s">
        <v>15</v>
      </c>
      <c r="J846" t="s">
        <v>55</v>
      </c>
      <c r="K846" t="s">
        <v>54</v>
      </c>
      <c r="L846" t="s">
        <v>88</v>
      </c>
      <c r="M846" t="s">
        <v>11</v>
      </c>
      <c r="N846" t="s">
        <v>93</v>
      </c>
      <c r="O846" t="s">
        <v>40</v>
      </c>
      <c r="P846" t="s">
        <v>39</v>
      </c>
      <c r="Q846" t="s">
        <v>7</v>
      </c>
      <c r="R846" t="s">
        <v>247</v>
      </c>
      <c r="S846">
        <v>8</v>
      </c>
      <c r="T846">
        <v>8</v>
      </c>
      <c r="U846">
        <v>261</v>
      </c>
      <c r="V846" t="s">
        <v>0</v>
      </c>
      <c r="W846" t="s">
        <v>0</v>
      </c>
      <c r="X846" t="s">
        <v>5</v>
      </c>
      <c r="Y846" t="s">
        <v>160</v>
      </c>
      <c r="Z846" t="s">
        <v>0</v>
      </c>
      <c r="AA846">
        <v>0</v>
      </c>
      <c r="AB846">
        <v>0</v>
      </c>
      <c r="AC846">
        <v>0</v>
      </c>
      <c r="AD846" t="s">
        <v>3</v>
      </c>
      <c r="AE846" t="s">
        <v>0</v>
      </c>
      <c r="AF846" t="s">
        <v>3</v>
      </c>
      <c r="AG846" t="s">
        <v>2</v>
      </c>
      <c r="AI846" t="s">
        <v>1</v>
      </c>
      <c r="AJ846">
        <v>2</v>
      </c>
      <c r="AK846">
        <v>-30</v>
      </c>
      <c r="AL846">
        <v>4</v>
      </c>
      <c r="AM846" t="s">
        <v>0</v>
      </c>
      <c r="AN846">
        <v>0</v>
      </c>
      <c r="AO846">
        <v>0</v>
      </c>
      <c r="AP846">
        <v>1</v>
      </c>
      <c r="AQ846">
        <v>0</v>
      </c>
    </row>
    <row r="847" spans="1:43" x14ac:dyDescent="0.25">
      <c r="A847" t="s">
        <v>1814</v>
      </c>
      <c r="B847" t="s">
        <v>1607</v>
      </c>
      <c r="C847" t="s">
        <v>1813</v>
      </c>
      <c r="D847" s="1">
        <v>45686</v>
      </c>
      <c r="E847" t="s">
        <v>68</v>
      </c>
      <c r="F847" t="s">
        <v>67</v>
      </c>
      <c r="G847" t="s">
        <v>30</v>
      </c>
      <c r="H847" t="s">
        <v>66</v>
      </c>
      <c r="I847" t="s">
        <v>15</v>
      </c>
      <c r="J847" t="s">
        <v>14</v>
      </c>
      <c r="K847" t="s">
        <v>13</v>
      </c>
      <c r="L847" t="s">
        <v>88</v>
      </c>
      <c r="M847" t="s">
        <v>11</v>
      </c>
      <c r="N847" t="s">
        <v>75</v>
      </c>
      <c r="O847" t="s">
        <v>51</v>
      </c>
      <c r="P847" t="s">
        <v>63</v>
      </c>
      <c r="Q847" t="s">
        <v>7</v>
      </c>
      <c r="R847" t="s">
        <v>6</v>
      </c>
      <c r="S847">
        <v>6</v>
      </c>
      <c r="T847">
        <v>6</v>
      </c>
      <c r="U847">
        <v>118</v>
      </c>
      <c r="V847" t="s">
        <v>0</v>
      </c>
      <c r="W847" t="s">
        <v>5</v>
      </c>
      <c r="X847" t="s">
        <v>181</v>
      </c>
      <c r="Y847" t="s">
        <v>4</v>
      </c>
      <c r="Z847" t="s">
        <v>5</v>
      </c>
      <c r="AA847">
        <v>42.71</v>
      </c>
      <c r="AB847">
        <v>0.09</v>
      </c>
      <c r="AC847">
        <v>0</v>
      </c>
      <c r="AD847" t="s">
        <v>3</v>
      </c>
      <c r="AE847" t="s">
        <v>0</v>
      </c>
      <c r="AF847" t="s">
        <v>3</v>
      </c>
      <c r="AG847" t="s">
        <v>2</v>
      </c>
      <c r="AI847" t="s">
        <v>23</v>
      </c>
      <c r="AJ847">
        <v>3</v>
      </c>
      <c r="AK847">
        <v>7</v>
      </c>
      <c r="AL847">
        <v>0</v>
      </c>
      <c r="AM847" t="s">
        <v>0</v>
      </c>
      <c r="AN847">
        <v>1</v>
      </c>
      <c r="AO847">
        <v>1</v>
      </c>
      <c r="AP847">
        <v>0</v>
      </c>
      <c r="AQ847">
        <v>0</v>
      </c>
    </row>
    <row r="848" spans="1:43" x14ac:dyDescent="0.25">
      <c r="A848" t="s">
        <v>1812</v>
      </c>
      <c r="B848" t="s">
        <v>678</v>
      </c>
      <c r="C848" t="s">
        <v>1811</v>
      </c>
      <c r="D848" s="1">
        <v>45764</v>
      </c>
      <c r="E848" t="s">
        <v>149</v>
      </c>
      <c r="F848" t="s">
        <v>589</v>
      </c>
      <c r="G848" t="s">
        <v>30</v>
      </c>
      <c r="H848" t="s">
        <v>16</v>
      </c>
      <c r="I848" t="s">
        <v>28</v>
      </c>
      <c r="J848" t="s">
        <v>55</v>
      </c>
      <c r="K848" t="s">
        <v>54</v>
      </c>
      <c r="L848" t="s">
        <v>117</v>
      </c>
      <c r="M848" t="s">
        <v>11</v>
      </c>
      <c r="N848" t="s">
        <v>116</v>
      </c>
      <c r="O848" t="s">
        <v>9</v>
      </c>
      <c r="P848" t="s">
        <v>39</v>
      </c>
      <c r="Q848" t="s">
        <v>172</v>
      </c>
      <c r="R848" t="s">
        <v>38</v>
      </c>
      <c r="S848">
        <v>7</v>
      </c>
      <c r="T848">
        <v>5</v>
      </c>
      <c r="U848">
        <v>252</v>
      </c>
      <c r="V848" t="s">
        <v>5</v>
      </c>
      <c r="W848" t="s">
        <v>0</v>
      </c>
      <c r="X848" t="s">
        <v>5</v>
      </c>
      <c r="Y848" t="s">
        <v>228</v>
      </c>
      <c r="Z848" t="s">
        <v>0</v>
      </c>
      <c r="AA848">
        <v>0</v>
      </c>
      <c r="AB848">
        <v>0</v>
      </c>
      <c r="AC848">
        <v>0</v>
      </c>
      <c r="AD848" t="s">
        <v>3</v>
      </c>
      <c r="AE848" t="s">
        <v>0</v>
      </c>
      <c r="AF848" t="s">
        <v>3</v>
      </c>
      <c r="AG848" t="s">
        <v>2</v>
      </c>
      <c r="AI848" t="s">
        <v>1</v>
      </c>
      <c r="AJ848">
        <v>1</v>
      </c>
      <c r="AK848">
        <v>-30</v>
      </c>
      <c r="AL848">
        <v>54</v>
      </c>
      <c r="AM848" t="s">
        <v>5</v>
      </c>
      <c r="AN848">
        <v>0</v>
      </c>
      <c r="AO848">
        <v>0</v>
      </c>
      <c r="AP848">
        <v>1</v>
      </c>
      <c r="AQ848">
        <v>1</v>
      </c>
    </row>
    <row r="849" spans="1:43" x14ac:dyDescent="0.25">
      <c r="A849" t="s">
        <v>1810</v>
      </c>
      <c r="B849" t="s">
        <v>1809</v>
      </c>
      <c r="C849" t="s">
        <v>1808</v>
      </c>
      <c r="D849" s="1">
        <v>45926</v>
      </c>
      <c r="E849" t="s">
        <v>32</v>
      </c>
      <c r="F849" t="s">
        <v>107</v>
      </c>
      <c r="G849" t="s">
        <v>123</v>
      </c>
      <c r="H849" t="s">
        <v>29</v>
      </c>
      <c r="I849" t="s">
        <v>28</v>
      </c>
      <c r="J849" t="s">
        <v>14</v>
      </c>
      <c r="K849" t="s">
        <v>13</v>
      </c>
      <c r="L849" t="s">
        <v>88</v>
      </c>
      <c r="M849" t="s">
        <v>11</v>
      </c>
      <c r="N849" t="s">
        <v>75</v>
      </c>
      <c r="O849" t="s">
        <v>9</v>
      </c>
      <c r="P849" t="s">
        <v>63</v>
      </c>
      <c r="Q849" t="s">
        <v>50</v>
      </c>
      <c r="R849" t="s">
        <v>6</v>
      </c>
      <c r="S849">
        <v>7</v>
      </c>
      <c r="T849">
        <v>7</v>
      </c>
      <c r="U849">
        <v>222</v>
      </c>
      <c r="V849" t="s">
        <v>0</v>
      </c>
      <c r="W849" t="s">
        <v>0</v>
      </c>
      <c r="X849" t="s">
        <v>5</v>
      </c>
      <c r="Y849" t="s">
        <v>294</v>
      </c>
      <c r="Z849" t="s">
        <v>0</v>
      </c>
      <c r="AA849">
        <v>0</v>
      </c>
      <c r="AB849">
        <v>0</v>
      </c>
      <c r="AC849">
        <v>0</v>
      </c>
      <c r="AD849" t="s">
        <v>3</v>
      </c>
      <c r="AE849" t="s">
        <v>0</v>
      </c>
      <c r="AF849" t="s">
        <v>3</v>
      </c>
      <c r="AG849" t="s">
        <v>2</v>
      </c>
      <c r="AI849" t="s">
        <v>122</v>
      </c>
      <c r="AJ849">
        <v>2</v>
      </c>
      <c r="AK849">
        <v>13</v>
      </c>
      <c r="AL849">
        <v>0</v>
      </c>
      <c r="AM849" t="s">
        <v>5</v>
      </c>
      <c r="AN849">
        <v>0</v>
      </c>
      <c r="AO849">
        <v>0</v>
      </c>
      <c r="AP849">
        <v>1</v>
      </c>
      <c r="AQ849">
        <v>1</v>
      </c>
    </row>
    <row r="850" spans="1:43" x14ac:dyDescent="0.25">
      <c r="A850" t="s">
        <v>1807</v>
      </c>
      <c r="B850" t="s">
        <v>1806</v>
      </c>
      <c r="C850" t="s">
        <v>1805</v>
      </c>
      <c r="D850" s="1">
        <v>45826</v>
      </c>
      <c r="E850" t="s">
        <v>68</v>
      </c>
      <c r="F850" t="s">
        <v>67</v>
      </c>
      <c r="G850" t="s">
        <v>17</v>
      </c>
      <c r="H850" t="s">
        <v>77</v>
      </c>
      <c r="I850" t="s">
        <v>15</v>
      </c>
      <c r="J850" t="s">
        <v>146</v>
      </c>
      <c r="K850" t="s">
        <v>145</v>
      </c>
      <c r="L850" t="s">
        <v>117</v>
      </c>
      <c r="M850" t="s">
        <v>11</v>
      </c>
      <c r="N850" t="s">
        <v>154</v>
      </c>
      <c r="O850" t="s">
        <v>199</v>
      </c>
      <c r="P850" t="s">
        <v>63</v>
      </c>
      <c r="Q850" t="s">
        <v>100</v>
      </c>
      <c r="R850" t="s">
        <v>6</v>
      </c>
      <c r="S850">
        <v>5</v>
      </c>
      <c r="T850">
        <v>3</v>
      </c>
      <c r="U850">
        <v>196</v>
      </c>
      <c r="V850" t="s">
        <v>5</v>
      </c>
      <c r="W850" t="s">
        <v>5</v>
      </c>
      <c r="X850" t="s">
        <v>0</v>
      </c>
      <c r="Y850" t="s">
        <v>4</v>
      </c>
      <c r="Z850" t="s">
        <v>5</v>
      </c>
      <c r="AA850">
        <v>0</v>
      </c>
      <c r="AB850">
        <v>0</v>
      </c>
      <c r="AC850">
        <v>0</v>
      </c>
      <c r="AD850" t="s">
        <v>3</v>
      </c>
      <c r="AE850" t="s">
        <v>0</v>
      </c>
      <c r="AF850" t="s">
        <v>3</v>
      </c>
      <c r="AG850" t="s">
        <v>2</v>
      </c>
      <c r="AI850" t="s">
        <v>23</v>
      </c>
      <c r="AJ850">
        <v>3</v>
      </c>
      <c r="AK850">
        <v>0</v>
      </c>
      <c r="AL850">
        <v>0</v>
      </c>
      <c r="AM850" t="s">
        <v>5</v>
      </c>
      <c r="AN850">
        <v>1</v>
      </c>
      <c r="AO850">
        <v>1</v>
      </c>
      <c r="AP850">
        <v>0</v>
      </c>
      <c r="AQ850">
        <v>1</v>
      </c>
    </row>
    <row r="851" spans="1:43" x14ac:dyDescent="0.25">
      <c r="A851" t="s">
        <v>1804</v>
      </c>
      <c r="B851" t="s">
        <v>1803</v>
      </c>
      <c r="C851" t="s">
        <v>1802</v>
      </c>
      <c r="D851" s="1">
        <v>46072</v>
      </c>
      <c r="E851" t="s">
        <v>112</v>
      </c>
      <c r="F851" t="s">
        <v>111</v>
      </c>
      <c r="G851" t="s">
        <v>30</v>
      </c>
      <c r="H851" t="s">
        <v>77</v>
      </c>
      <c r="I851" t="s">
        <v>28</v>
      </c>
      <c r="J851" t="s">
        <v>55</v>
      </c>
      <c r="K851" t="s">
        <v>54</v>
      </c>
      <c r="L851" t="s">
        <v>42</v>
      </c>
      <c r="M851" t="s">
        <v>11</v>
      </c>
      <c r="N851" t="s">
        <v>52</v>
      </c>
      <c r="O851" t="s">
        <v>199</v>
      </c>
      <c r="P851" t="s">
        <v>39</v>
      </c>
      <c r="Q851" t="s">
        <v>7</v>
      </c>
      <c r="R851" t="s">
        <v>6</v>
      </c>
      <c r="S851">
        <v>5</v>
      </c>
      <c r="T851">
        <v>5</v>
      </c>
      <c r="U851">
        <v>137</v>
      </c>
      <c r="V851" t="s">
        <v>0</v>
      </c>
      <c r="W851" t="s">
        <v>5</v>
      </c>
      <c r="X851" t="s">
        <v>0</v>
      </c>
      <c r="Y851" t="s">
        <v>4</v>
      </c>
      <c r="Z851" t="s">
        <v>0</v>
      </c>
      <c r="AA851">
        <v>0</v>
      </c>
      <c r="AB851">
        <v>0</v>
      </c>
      <c r="AC851">
        <v>0</v>
      </c>
      <c r="AD851" t="s">
        <v>3</v>
      </c>
      <c r="AE851" t="s">
        <v>0</v>
      </c>
      <c r="AF851" t="s">
        <v>3</v>
      </c>
      <c r="AG851" t="s">
        <v>2</v>
      </c>
      <c r="AI851" t="s">
        <v>23</v>
      </c>
      <c r="AJ851">
        <v>5</v>
      </c>
      <c r="AK851">
        <v>17</v>
      </c>
      <c r="AL851">
        <v>20</v>
      </c>
      <c r="AM851" t="s">
        <v>5</v>
      </c>
      <c r="AN851">
        <v>1</v>
      </c>
      <c r="AO851">
        <v>0</v>
      </c>
      <c r="AP851">
        <v>0</v>
      </c>
      <c r="AQ851">
        <v>1</v>
      </c>
    </row>
    <row r="852" spans="1:43" x14ac:dyDescent="0.25">
      <c r="A852" t="s">
        <v>1801</v>
      </c>
      <c r="B852" t="s">
        <v>1800</v>
      </c>
      <c r="C852" t="s">
        <v>1799</v>
      </c>
      <c r="D852" s="1">
        <v>45732</v>
      </c>
      <c r="E852" t="s">
        <v>68</v>
      </c>
      <c r="F852" t="s">
        <v>67</v>
      </c>
      <c r="G852" t="s">
        <v>110</v>
      </c>
      <c r="H852" t="s">
        <v>16</v>
      </c>
      <c r="I852" t="s">
        <v>28</v>
      </c>
      <c r="J852" t="s">
        <v>146</v>
      </c>
      <c r="K852" t="s">
        <v>176</v>
      </c>
      <c r="L852" t="s">
        <v>88</v>
      </c>
      <c r="M852" t="s">
        <v>53</v>
      </c>
      <c r="N852" t="s">
        <v>10</v>
      </c>
      <c r="O852" t="s">
        <v>101</v>
      </c>
      <c r="P852" t="s">
        <v>39</v>
      </c>
      <c r="Q852" t="s">
        <v>100</v>
      </c>
      <c r="R852" t="s">
        <v>38</v>
      </c>
      <c r="S852">
        <v>4</v>
      </c>
      <c r="T852">
        <v>4</v>
      </c>
      <c r="U852">
        <v>107</v>
      </c>
      <c r="V852" t="s">
        <v>0</v>
      </c>
      <c r="W852" t="s">
        <v>5</v>
      </c>
      <c r="X852" t="s">
        <v>0</v>
      </c>
      <c r="Y852" t="s">
        <v>4</v>
      </c>
      <c r="Z852" t="s">
        <v>5</v>
      </c>
      <c r="AA852">
        <v>96.69</v>
      </c>
      <c r="AB852">
        <v>0.46</v>
      </c>
      <c r="AC852">
        <v>0.17</v>
      </c>
      <c r="AD852" t="s">
        <v>3</v>
      </c>
      <c r="AE852" t="s">
        <v>0</v>
      </c>
      <c r="AF852" t="s">
        <v>3</v>
      </c>
      <c r="AG852" t="s">
        <v>2</v>
      </c>
      <c r="AI852" t="s">
        <v>23</v>
      </c>
      <c r="AJ852">
        <v>5</v>
      </c>
      <c r="AK852">
        <v>31</v>
      </c>
      <c r="AL852">
        <v>4</v>
      </c>
      <c r="AM852" t="s">
        <v>5</v>
      </c>
      <c r="AN852">
        <v>1</v>
      </c>
      <c r="AO852">
        <v>1</v>
      </c>
      <c r="AP852">
        <v>0</v>
      </c>
      <c r="AQ852">
        <v>1</v>
      </c>
    </row>
    <row r="853" spans="1:43" x14ac:dyDescent="0.25">
      <c r="A853" t="s">
        <v>1798</v>
      </c>
      <c r="B853" t="s">
        <v>497</v>
      </c>
      <c r="C853" t="s">
        <v>1797</v>
      </c>
      <c r="D853" s="1">
        <v>46102</v>
      </c>
      <c r="E853" t="s">
        <v>45</v>
      </c>
      <c r="F853" t="s">
        <v>44</v>
      </c>
      <c r="G853" t="s">
        <v>83</v>
      </c>
      <c r="H853" t="s">
        <v>43</v>
      </c>
      <c r="I853" t="s">
        <v>15</v>
      </c>
      <c r="J853" t="s">
        <v>14</v>
      </c>
      <c r="K853" t="s">
        <v>13</v>
      </c>
      <c r="L853" t="s">
        <v>117</v>
      </c>
      <c r="M853" t="s">
        <v>53</v>
      </c>
      <c r="N853" t="s">
        <v>41</v>
      </c>
      <c r="O853" t="s">
        <v>130</v>
      </c>
      <c r="P853" t="s">
        <v>39</v>
      </c>
      <c r="Q853" t="s">
        <v>7</v>
      </c>
      <c r="R853" t="s">
        <v>6</v>
      </c>
      <c r="S853">
        <v>5</v>
      </c>
      <c r="T853">
        <v>5</v>
      </c>
      <c r="U853">
        <v>136</v>
      </c>
      <c r="V853" t="s">
        <v>0</v>
      </c>
      <c r="W853" t="s">
        <v>5</v>
      </c>
      <c r="X853" t="s">
        <v>0</v>
      </c>
      <c r="Y853" t="s">
        <v>4</v>
      </c>
      <c r="Z853" t="s">
        <v>5</v>
      </c>
      <c r="AA853">
        <v>80.11</v>
      </c>
      <c r="AB853">
        <v>0</v>
      </c>
      <c r="AC853">
        <v>0.17</v>
      </c>
      <c r="AD853" t="s">
        <v>3</v>
      </c>
      <c r="AE853" t="s">
        <v>0</v>
      </c>
      <c r="AF853" t="s">
        <v>3</v>
      </c>
      <c r="AG853" t="s">
        <v>2</v>
      </c>
      <c r="AI853" t="s">
        <v>23</v>
      </c>
      <c r="AJ853">
        <v>5</v>
      </c>
      <c r="AK853">
        <v>12</v>
      </c>
      <c r="AL853">
        <v>11</v>
      </c>
      <c r="AM853" t="s">
        <v>0</v>
      </c>
      <c r="AN853">
        <v>1</v>
      </c>
      <c r="AO853">
        <v>1</v>
      </c>
      <c r="AP853">
        <v>0</v>
      </c>
      <c r="AQ853">
        <v>0</v>
      </c>
    </row>
    <row r="854" spans="1:43" x14ac:dyDescent="0.25">
      <c r="A854" t="s">
        <v>1796</v>
      </c>
      <c r="B854" t="s">
        <v>1795</v>
      </c>
      <c r="C854" t="s">
        <v>1794</v>
      </c>
      <c r="D854" s="1">
        <v>45799</v>
      </c>
      <c r="E854" t="s">
        <v>149</v>
      </c>
      <c r="F854" t="s">
        <v>589</v>
      </c>
      <c r="G854" t="s">
        <v>30</v>
      </c>
      <c r="H854" t="s">
        <v>29</v>
      </c>
      <c r="I854" t="s">
        <v>28</v>
      </c>
      <c r="J854" t="s">
        <v>55</v>
      </c>
      <c r="K854" t="s">
        <v>54</v>
      </c>
      <c r="L854" t="s">
        <v>64</v>
      </c>
      <c r="M854" t="s">
        <v>27</v>
      </c>
      <c r="N854" t="s">
        <v>269</v>
      </c>
      <c r="O854" t="s">
        <v>9</v>
      </c>
      <c r="P854" t="s">
        <v>39</v>
      </c>
      <c r="Q854" t="s">
        <v>50</v>
      </c>
      <c r="R854" t="s">
        <v>38</v>
      </c>
      <c r="S854">
        <v>7</v>
      </c>
      <c r="T854">
        <v>7</v>
      </c>
      <c r="U854">
        <v>198</v>
      </c>
      <c r="V854" t="s">
        <v>0</v>
      </c>
      <c r="W854" t="s">
        <v>5</v>
      </c>
      <c r="X854" t="s">
        <v>0</v>
      </c>
      <c r="Y854" t="s">
        <v>4</v>
      </c>
      <c r="Z854" t="s">
        <v>0</v>
      </c>
      <c r="AA854">
        <v>0</v>
      </c>
      <c r="AB854">
        <v>0</v>
      </c>
      <c r="AC854">
        <v>0</v>
      </c>
      <c r="AD854" t="s">
        <v>3</v>
      </c>
      <c r="AE854" t="s">
        <v>0</v>
      </c>
      <c r="AF854" t="s">
        <v>3</v>
      </c>
      <c r="AG854" t="s">
        <v>2</v>
      </c>
      <c r="AI854" t="s">
        <v>23</v>
      </c>
      <c r="AJ854">
        <v>3</v>
      </c>
      <c r="AK854">
        <v>32</v>
      </c>
      <c r="AL854">
        <v>18</v>
      </c>
      <c r="AM854" t="s">
        <v>5</v>
      </c>
      <c r="AN854">
        <v>1</v>
      </c>
      <c r="AO854">
        <v>0</v>
      </c>
      <c r="AP854">
        <v>0</v>
      </c>
      <c r="AQ854">
        <v>1</v>
      </c>
    </row>
    <row r="855" spans="1:43" x14ac:dyDescent="0.25">
      <c r="A855" t="s">
        <v>1793</v>
      </c>
      <c r="B855" t="s">
        <v>938</v>
      </c>
      <c r="C855" t="s">
        <v>1792</v>
      </c>
      <c r="D855" s="1">
        <v>45945</v>
      </c>
      <c r="E855" t="s">
        <v>68</v>
      </c>
      <c r="F855" t="s">
        <v>278</v>
      </c>
      <c r="G855" t="s">
        <v>17</v>
      </c>
      <c r="H855" t="s">
        <v>77</v>
      </c>
      <c r="I855" t="s">
        <v>28</v>
      </c>
      <c r="J855" t="s">
        <v>14</v>
      </c>
      <c r="K855" t="s">
        <v>13</v>
      </c>
      <c r="L855" t="s">
        <v>64</v>
      </c>
      <c r="M855" t="s">
        <v>11</v>
      </c>
      <c r="N855" t="s">
        <v>52</v>
      </c>
      <c r="O855" t="s">
        <v>101</v>
      </c>
      <c r="P855" t="s">
        <v>63</v>
      </c>
      <c r="Q855" t="s">
        <v>7</v>
      </c>
      <c r="R855" t="s">
        <v>6</v>
      </c>
      <c r="S855">
        <v>4</v>
      </c>
      <c r="T855">
        <v>3</v>
      </c>
      <c r="U855">
        <v>9999</v>
      </c>
      <c r="V855" t="s">
        <v>5</v>
      </c>
      <c r="W855" t="s">
        <v>5</v>
      </c>
      <c r="X855" t="s">
        <v>0</v>
      </c>
      <c r="Y855" t="s">
        <v>4</v>
      </c>
      <c r="Z855" t="s">
        <v>5</v>
      </c>
      <c r="AA855">
        <v>93.36</v>
      </c>
      <c r="AB855">
        <v>0.46</v>
      </c>
      <c r="AC855">
        <v>0</v>
      </c>
      <c r="AD855" t="s">
        <v>3</v>
      </c>
      <c r="AE855" t="s">
        <v>0</v>
      </c>
      <c r="AF855" t="s">
        <v>3</v>
      </c>
      <c r="AG855" t="s">
        <v>2</v>
      </c>
      <c r="AI855" t="s">
        <v>23</v>
      </c>
      <c r="AJ855">
        <v>4</v>
      </c>
      <c r="AK855">
        <v>29</v>
      </c>
      <c r="AL855">
        <v>0</v>
      </c>
      <c r="AM855" t="s">
        <v>5</v>
      </c>
      <c r="AN855">
        <v>1</v>
      </c>
      <c r="AO855">
        <v>1</v>
      </c>
      <c r="AP855">
        <v>0</v>
      </c>
      <c r="AQ855">
        <v>1</v>
      </c>
    </row>
    <row r="856" spans="1:43" x14ac:dyDescent="0.25">
      <c r="A856" t="s">
        <v>1791</v>
      </c>
      <c r="B856" t="s">
        <v>1790</v>
      </c>
      <c r="C856" t="s">
        <v>1789</v>
      </c>
      <c r="D856" s="1">
        <v>46012</v>
      </c>
      <c r="E856" t="s">
        <v>168</v>
      </c>
      <c r="F856" t="s">
        <v>233</v>
      </c>
      <c r="G856" t="s">
        <v>131</v>
      </c>
      <c r="H856" t="s">
        <v>77</v>
      </c>
      <c r="I856" t="s">
        <v>28</v>
      </c>
      <c r="J856" t="s">
        <v>55</v>
      </c>
      <c r="K856" t="s">
        <v>54</v>
      </c>
      <c r="L856" t="s">
        <v>42</v>
      </c>
      <c r="M856" t="s">
        <v>11</v>
      </c>
      <c r="N856" t="s">
        <v>75</v>
      </c>
      <c r="O856" t="s">
        <v>40</v>
      </c>
      <c r="P856" t="s">
        <v>39</v>
      </c>
      <c r="Q856" t="s">
        <v>7</v>
      </c>
      <c r="R856" t="s">
        <v>6</v>
      </c>
      <c r="S856">
        <v>8</v>
      </c>
      <c r="T856">
        <v>8</v>
      </c>
      <c r="U856">
        <v>249</v>
      </c>
      <c r="V856" t="s">
        <v>0</v>
      </c>
      <c r="W856" t="s">
        <v>5</v>
      </c>
      <c r="X856" t="s">
        <v>0</v>
      </c>
      <c r="Y856" t="s">
        <v>4</v>
      </c>
      <c r="Z856" t="s">
        <v>0</v>
      </c>
      <c r="AA856">
        <v>0</v>
      </c>
      <c r="AB856">
        <v>0</v>
      </c>
      <c r="AC856">
        <v>0</v>
      </c>
      <c r="AD856" t="s">
        <v>3</v>
      </c>
      <c r="AE856" t="s">
        <v>0</v>
      </c>
      <c r="AF856" t="s">
        <v>3</v>
      </c>
      <c r="AG856" t="s">
        <v>2</v>
      </c>
      <c r="AI856" t="s">
        <v>23</v>
      </c>
      <c r="AJ856">
        <v>4</v>
      </c>
      <c r="AK856">
        <v>26</v>
      </c>
      <c r="AL856">
        <v>35</v>
      </c>
      <c r="AM856" t="s">
        <v>0</v>
      </c>
      <c r="AN856">
        <v>1</v>
      </c>
      <c r="AO856">
        <v>0</v>
      </c>
      <c r="AP856">
        <v>0</v>
      </c>
      <c r="AQ856">
        <v>0</v>
      </c>
    </row>
    <row r="857" spans="1:43" x14ac:dyDescent="0.25">
      <c r="A857" t="s">
        <v>1788</v>
      </c>
      <c r="B857" t="s">
        <v>561</v>
      </c>
      <c r="C857" t="s">
        <v>1787</v>
      </c>
      <c r="D857" s="1">
        <v>45988</v>
      </c>
      <c r="E857" t="s">
        <v>32</v>
      </c>
      <c r="F857" t="s">
        <v>382</v>
      </c>
      <c r="G857" t="s">
        <v>110</v>
      </c>
      <c r="H857" t="s">
        <v>77</v>
      </c>
      <c r="I857" t="s">
        <v>15</v>
      </c>
      <c r="J857" t="s">
        <v>14</v>
      </c>
      <c r="K857" t="s">
        <v>13</v>
      </c>
      <c r="L857" t="s">
        <v>64</v>
      </c>
      <c r="M857" t="s">
        <v>11</v>
      </c>
      <c r="N857" t="s">
        <v>41</v>
      </c>
      <c r="O857" t="s">
        <v>9</v>
      </c>
      <c r="P857" t="s">
        <v>25</v>
      </c>
      <c r="Q857" t="s">
        <v>24</v>
      </c>
      <c r="R857" t="s">
        <v>38</v>
      </c>
      <c r="S857">
        <v>7</v>
      </c>
      <c r="T857">
        <v>7</v>
      </c>
      <c r="U857">
        <v>152</v>
      </c>
      <c r="V857" t="s">
        <v>0</v>
      </c>
      <c r="W857" t="s">
        <v>5</v>
      </c>
      <c r="X857" t="s">
        <v>0</v>
      </c>
      <c r="Y857" t="s">
        <v>4</v>
      </c>
      <c r="Z857" t="s">
        <v>5</v>
      </c>
      <c r="AA857">
        <v>0.53</v>
      </c>
      <c r="AB857">
        <v>0</v>
      </c>
      <c r="AC857">
        <v>0</v>
      </c>
      <c r="AD857" t="s">
        <v>3</v>
      </c>
      <c r="AE857" t="s">
        <v>0</v>
      </c>
      <c r="AF857" t="s">
        <v>3</v>
      </c>
      <c r="AG857" t="s">
        <v>2</v>
      </c>
      <c r="AI857" t="s">
        <v>23</v>
      </c>
      <c r="AJ857">
        <v>5</v>
      </c>
      <c r="AK857">
        <v>37</v>
      </c>
      <c r="AL857">
        <v>27</v>
      </c>
      <c r="AM857" t="s">
        <v>0</v>
      </c>
      <c r="AN857">
        <v>1</v>
      </c>
      <c r="AO857">
        <v>1</v>
      </c>
      <c r="AP857">
        <v>0</v>
      </c>
      <c r="AQ857">
        <v>0</v>
      </c>
    </row>
    <row r="858" spans="1:43" x14ac:dyDescent="0.25">
      <c r="A858" t="s">
        <v>1786</v>
      </c>
      <c r="B858" t="s">
        <v>289</v>
      </c>
      <c r="C858" t="s">
        <v>1785</v>
      </c>
      <c r="D858" s="1">
        <v>45672</v>
      </c>
      <c r="E858" t="s">
        <v>68</v>
      </c>
      <c r="F858" t="s">
        <v>243</v>
      </c>
      <c r="G858" t="s">
        <v>110</v>
      </c>
      <c r="H858" t="s">
        <v>66</v>
      </c>
      <c r="I858" t="s">
        <v>15</v>
      </c>
      <c r="J858" t="s">
        <v>55</v>
      </c>
      <c r="K858" t="s">
        <v>54</v>
      </c>
      <c r="L858" t="s">
        <v>42</v>
      </c>
      <c r="M858" t="s">
        <v>11</v>
      </c>
      <c r="N858" t="s">
        <v>269</v>
      </c>
      <c r="O858" t="s">
        <v>130</v>
      </c>
      <c r="P858" t="s">
        <v>63</v>
      </c>
      <c r="Q858" t="s">
        <v>7</v>
      </c>
      <c r="R858" t="s">
        <v>6</v>
      </c>
      <c r="S858">
        <v>5</v>
      </c>
      <c r="T858" t="s">
        <v>277</v>
      </c>
      <c r="U858">
        <v>120</v>
      </c>
      <c r="V858" t="s">
        <v>0</v>
      </c>
      <c r="W858" t="s">
        <v>5</v>
      </c>
      <c r="X858" t="s">
        <v>0</v>
      </c>
      <c r="Y858" t="s">
        <v>4</v>
      </c>
      <c r="Z858" t="s">
        <v>5</v>
      </c>
      <c r="AA858">
        <v>75.62</v>
      </c>
      <c r="AB858">
        <v>0</v>
      </c>
      <c r="AC858">
        <v>0</v>
      </c>
      <c r="AD858" t="s">
        <v>3</v>
      </c>
      <c r="AE858" t="s">
        <v>0</v>
      </c>
      <c r="AF858" t="s">
        <v>3</v>
      </c>
      <c r="AG858" t="s">
        <v>2</v>
      </c>
      <c r="AI858" t="s">
        <v>23</v>
      </c>
      <c r="AJ858">
        <v>4</v>
      </c>
      <c r="AK858">
        <v>40</v>
      </c>
      <c r="AL858">
        <v>0</v>
      </c>
      <c r="AM858" t="s">
        <v>5</v>
      </c>
      <c r="AN858">
        <v>1</v>
      </c>
      <c r="AO858">
        <v>1</v>
      </c>
      <c r="AP858">
        <v>0</v>
      </c>
      <c r="AQ858">
        <v>1</v>
      </c>
    </row>
    <row r="859" spans="1:43" x14ac:dyDescent="0.25">
      <c r="A859" t="s">
        <v>1784</v>
      </c>
      <c r="B859" t="s">
        <v>1783</v>
      </c>
      <c r="C859" t="s">
        <v>1782</v>
      </c>
      <c r="D859" s="1">
        <v>46014</v>
      </c>
      <c r="E859" t="s">
        <v>79</v>
      </c>
      <c r="F859" t="s">
        <v>78</v>
      </c>
      <c r="G859" t="s">
        <v>123</v>
      </c>
      <c r="H859" t="s">
        <v>16</v>
      </c>
      <c r="I859" t="s">
        <v>28</v>
      </c>
      <c r="J859" t="s">
        <v>146</v>
      </c>
      <c r="K859" t="s">
        <v>176</v>
      </c>
      <c r="L859" t="s">
        <v>64</v>
      </c>
      <c r="M859" t="s">
        <v>11</v>
      </c>
      <c r="N859" t="s">
        <v>154</v>
      </c>
      <c r="O859" t="s">
        <v>9</v>
      </c>
      <c r="P859" t="s">
        <v>25</v>
      </c>
      <c r="Q859" t="s">
        <v>7</v>
      </c>
      <c r="R859" t="s">
        <v>6</v>
      </c>
      <c r="S859">
        <v>7</v>
      </c>
      <c r="T859">
        <v>7</v>
      </c>
      <c r="U859">
        <v>244</v>
      </c>
      <c r="V859" t="s">
        <v>0</v>
      </c>
      <c r="W859" t="s">
        <v>5</v>
      </c>
      <c r="X859" t="s">
        <v>5</v>
      </c>
      <c r="Y859" t="s">
        <v>294</v>
      </c>
      <c r="Z859" t="s">
        <v>0</v>
      </c>
      <c r="AA859">
        <v>0</v>
      </c>
      <c r="AB859">
        <v>0</v>
      </c>
      <c r="AC859">
        <v>0</v>
      </c>
      <c r="AD859" t="s">
        <v>3</v>
      </c>
      <c r="AE859" t="s">
        <v>0</v>
      </c>
      <c r="AF859" t="s">
        <v>3</v>
      </c>
      <c r="AG859" t="s">
        <v>2</v>
      </c>
      <c r="AI859" t="s">
        <v>23</v>
      </c>
      <c r="AJ859">
        <v>2</v>
      </c>
      <c r="AK859">
        <v>-49</v>
      </c>
      <c r="AL859" t="s">
        <v>1781</v>
      </c>
      <c r="AM859" t="s">
        <v>5</v>
      </c>
      <c r="AN859">
        <v>1</v>
      </c>
      <c r="AO859">
        <v>0</v>
      </c>
      <c r="AP859">
        <v>1</v>
      </c>
      <c r="AQ859">
        <v>1</v>
      </c>
    </row>
    <row r="860" spans="1:43" x14ac:dyDescent="0.25">
      <c r="A860" t="s">
        <v>1780</v>
      </c>
      <c r="B860" t="s">
        <v>740</v>
      </c>
      <c r="C860" t="s">
        <v>1779</v>
      </c>
      <c r="D860" s="1">
        <v>46085</v>
      </c>
      <c r="E860" t="s">
        <v>95</v>
      </c>
      <c r="F860" t="s">
        <v>118</v>
      </c>
      <c r="G860" t="s">
        <v>17</v>
      </c>
      <c r="H860" t="s">
        <v>77</v>
      </c>
      <c r="I860" t="s">
        <v>28</v>
      </c>
      <c r="J860" t="s">
        <v>55</v>
      </c>
      <c r="K860" t="s">
        <v>54</v>
      </c>
      <c r="L860" t="s">
        <v>88</v>
      </c>
      <c r="M860" t="s">
        <v>11</v>
      </c>
      <c r="N860" t="s">
        <v>75</v>
      </c>
      <c r="O860" t="s">
        <v>9</v>
      </c>
      <c r="P860" t="s">
        <v>8</v>
      </c>
      <c r="Q860" t="s">
        <v>7</v>
      </c>
      <c r="R860" t="s">
        <v>6</v>
      </c>
      <c r="S860">
        <v>7</v>
      </c>
      <c r="T860">
        <v>6</v>
      </c>
      <c r="U860">
        <v>279</v>
      </c>
      <c r="V860" t="s">
        <v>5</v>
      </c>
      <c r="W860" t="s">
        <v>5</v>
      </c>
      <c r="X860" t="s">
        <v>135</v>
      </c>
      <c r="Y860" t="s">
        <v>4</v>
      </c>
      <c r="Z860" t="s">
        <v>0</v>
      </c>
      <c r="AA860">
        <v>0</v>
      </c>
      <c r="AB860">
        <v>0</v>
      </c>
      <c r="AC860">
        <v>0</v>
      </c>
      <c r="AD860" t="s">
        <v>3</v>
      </c>
      <c r="AE860" t="s">
        <v>0</v>
      </c>
      <c r="AF860" t="s">
        <v>3</v>
      </c>
      <c r="AG860" t="s">
        <v>2</v>
      </c>
      <c r="AI860" t="s">
        <v>23</v>
      </c>
      <c r="AJ860">
        <v>3</v>
      </c>
      <c r="AK860">
        <v>16</v>
      </c>
      <c r="AL860">
        <v>21</v>
      </c>
      <c r="AM860" t="s">
        <v>5</v>
      </c>
      <c r="AN860">
        <v>1</v>
      </c>
      <c r="AO860">
        <v>0</v>
      </c>
      <c r="AP860">
        <v>0</v>
      </c>
      <c r="AQ860">
        <v>1</v>
      </c>
    </row>
    <row r="861" spans="1:43" x14ac:dyDescent="0.25">
      <c r="A861" t="s">
        <v>1778</v>
      </c>
      <c r="B861" t="s">
        <v>1777</v>
      </c>
      <c r="C861" t="s">
        <v>1776</v>
      </c>
      <c r="D861" s="1">
        <v>45927</v>
      </c>
      <c r="E861" t="s">
        <v>156</v>
      </c>
      <c r="F861" t="s">
        <v>550</v>
      </c>
      <c r="G861" t="s">
        <v>30</v>
      </c>
      <c r="H861" t="s">
        <v>16</v>
      </c>
      <c r="I861" t="s">
        <v>15</v>
      </c>
      <c r="J861" t="s">
        <v>55</v>
      </c>
      <c r="K861" t="s">
        <v>54</v>
      </c>
      <c r="L861" t="s">
        <v>64</v>
      </c>
      <c r="M861" t="s">
        <v>299</v>
      </c>
      <c r="N861" t="s">
        <v>269</v>
      </c>
      <c r="O861" t="s">
        <v>40</v>
      </c>
      <c r="P861" t="s">
        <v>63</v>
      </c>
      <c r="Q861" t="s">
        <v>198</v>
      </c>
      <c r="R861" t="s">
        <v>38</v>
      </c>
      <c r="S861">
        <v>8</v>
      </c>
      <c r="T861" t="s">
        <v>106</v>
      </c>
      <c r="U861">
        <v>240</v>
      </c>
      <c r="V861" t="s">
        <v>0</v>
      </c>
      <c r="W861" t="s">
        <v>0</v>
      </c>
      <c r="X861" t="s">
        <v>5</v>
      </c>
      <c r="Y861" t="s">
        <v>489</v>
      </c>
      <c r="Z861" t="s">
        <v>0</v>
      </c>
      <c r="AA861">
        <v>0</v>
      </c>
      <c r="AB861">
        <v>0</v>
      </c>
      <c r="AC861">
        <v>0</v>
      </c>
      <c r="AD861" t="s">
        <v>3</v>
      </c>
      <c r="AE861" t="s">
        <v>0</v>
      </c>
      <c r="AF861" t="s">
        <v>3</v>
      </c>
      <c r="AG861" t="s">
        <v>2</v>
      </c>
      <c r="AI861" t="s">
        <v>122</v>
      </c>
      <c r="AJ861">
        <v>2</v>
      </c>
      <c r="AK861">
        <v>-25</v>
      </c>
      <c r="AL861">
        <v>0</v>
      </c>
      <c r="AM861" t="s">
        <v>0</v>
      </c>
      <c r="AN861">
        <v>0</v>
      </c>
      <c r="AO861">
        <v>0</v>
      </c>
      <c r="AP861">
        <v>1</v>
      </c>
      <c r="AQ861">
        <v>0</v>
      </c>
    </row>
    <row r="862" spans="1:43" x14ac:dyDescent="0.25">
      <c r="A862" t="s">
        <v>1775</v>
      </c>
      <c r="B862" t="s">
        <v>1774</v>
      </c>
      <c r="C862" t="s">
        <v>1773</v>
      </c>
      <c r="D862" s="1">
        <v>45801</v>
      </c>
      <c r="E862" t="s">
        <v>32</v>
      </c>
      <c r="F862" t="s">
        <v>356</v>
      </c>
      <c r="G862" t="s">
        <v>123</v>
      </c>
      <c r="H862" t="s">
        <v>43</v>
      </c>
      <c r="I862" t="s">
        <v>28</v>
      </c>
      <c r="J862" t="s">
        <v>146</v>
      </c>
      <c r="K862" t="s">
        <v>460</v>
      </c>
      <c r="L862" t="s">
        <v>88</v>
      </c>
      <c r="M862" t="s">
        <v>53</v>
      </c>
      <c r="N862" t="s">
        <v>75</v>
      </c>
      <c r="O862" t="s">
        <v>193</v>
      </c>
      <c r="P862" t="s">
        <v>63</v>
      </c>
      <c r="Q862" t="s">
        <v>24</v>
      </c>
      <c r="R862" t="s">
        <v>38</v>
      </c>
      <c r="S862">
        <v>9</v>
      </c>
      <c r="T862">
        <v>9</v>
      </c>
      <c r="U862">
        <v>324</v>
      </c>
      <c r="V862" t="s">
        <v>0</v>
      </c>
      <c r="W862" t="s">
        <v>5</v>
      </c>
      <c r="X862" t="s">
        <v>5</v>
      </c>
      <c r="Y862" t="s">
        <v>475</v>
      </c>
      <c r="Z862" t="s">
        <v>5</v>
      </c>
      <c r="AA862">
        <v>103.36</v>
      </c>
      <c r="AB862">
        <v>3.2</v>
      </c>
      <c r="AC862">
        <v>0.17</v>
      </c>
      <c r="AD862" t="s">
        <v>479</v>
      </c>
      <c r="AE862" t="s">
        <v>0</v>
      </c>
      <c r="AF862" t="s">
        <v>479</v>
      </c>
      <c r="AG862" t="s">
        <v>2</v>
      </c>
      <c r="AI862" t="s">
        <v>23</v>
      </c>
      <c r="AJ862">
        <v>3</v>
      </c>
      <c r="AK862">
        <v>20</v>
      </c>
      <c r="AL862">
        <v>0</v>
      </c>
      <c r="AM862" t="s">
        <v>5</v>
      </c>
      <c r="AN862">
        <v>1</v>
      </c>
      <c r="AO862">
        <v>1</v>
      </c>
      <c r="AP862">
        <v>1</v>
      </c>
      <c r="AQ862">
        <v>1</v>
      </c>
    </row>
    <row r="863" spans="1:43" x14ac:dyDescent="0.25">
      <c r="A863" t="s">
        <v>1772</v>
      </c>
      <c r="B863" t="s">
        <v>1771</v>
      </c>
      <c r="C863" t="s">
        <v>1770</v>
      </c>
      <c r="D863" s="1">
        <v>45789</v>
      </c>
      <c r="E863" t="s">
        <v>112</v>
      </c>
      <c r="F863" t="s">
        <v>307</v>
      </c>
      <c r="G863" t="s">
        <v>110</v>
      </c>
      <c r="H863" t="s">
        <v>43</v>
      </c>
      <c r="I863" t="s">
        <v>28</v>
      </c>
      <c r="J863" t="s">
        <v>55</v>
      </c>
      <c r="K863" t="s">
        <v>54</v>
      </c>
      <c r="L863" t="s">
        <v>42</v>
      </c>
      <c r="M863" t="s">
        <v>11</v>
      </c>
      <c r="N863" t="s">
        <v>75</v>
      </c>
      <c r="O863" t="s">
        <v>199</v>
      </c>
      <c r="P863" t="s">
        <v>63</v>
      </c>
      <c r="Q863" t="s">
        <v>100</v>
      </c>
      <c r="R863" t="s">
        <v>38</v>
      </c>
      <c r="S863">
        <v>5</v>
      </c>
      <c r="T863">
        <v>5</v>
      </c>
      <c r="U863">
        <v>131</v>
      </c>
      <c r="V863" t="s">
        <v>0</v>
      </c>
      <c r="W863" t="s">
        <v>5</v>
      </c>
      <c r="X863" t="s">
        <v>0</v>
      </c>
      <c r="Y863" t="s">
        <v>4</v>
      </c>
      <c r="Z863" t="s">
        <v>5</v>
      </c>
      <c r="AA863">
        <v>0</v>
      </c>
      <c r="AB863">
        <v>0</v>
      </c>
      <c r="AC863">
        <v>0</v>
      </c>
      <c r="AD863" t="s">
        <v>3</v>
      </c>
      <c r="AE863" t="s">
        <v>0</v>
      </c>
      <c r="AF863" t="s">
        <v>3</v>
      </c>
      <c r="AG863" t="s">
        <v>2</v>
      </c>
      <c r="AI863" t="s">
        <v>23</v>
      </c>
      <c r="AJ863">
        <v>4</v>
      </c>
      <c r="AK863">
        <v>53</v>
      </c>
      <c r="AL863">
        <v>0</v>
      </c>
      <c r="AM863" t="s">
        <v>5</v>
      </c>
      <c r="AN863">
        <v>1</v>
      </c>
      <c r="AO863">
        <v>1</v>
      </c>
      <c r="AP863">
        <v>0</v>
      </c>
      <c r="AQ863">
        <v>1</v>
      </c>
    </row>
    <row r="864" spans="1:43" x14ac:dyDescent="0.25">
      <c r="A864" t="s">
        <v>1769</v>
      </c>
      <c r="B864" t="s">
        <v>1157</v>
      </c>
      <c r="C864" t="s">
        <v>1768</v>
      </c>
      <c r="D864" s="1">
        <v>46165</v>
      </c>
      <c r="E864" t="s">
        <v>95</v>
      </c>
      <c r="F864" t="s">
        <v>270</v>
      </c>
      <c r="G864" t="s">
        <v>83</v>
      </c>
      <c r="H864" t="s">
        <v>29</v>
      </c>
      <c r="I864" t="s">
        <v>15</v>
      </c>
      <c r="J864" t="s">
        <v>55</v>
      </c>
      <c r="K864" t="s">
        <v>54</v>
      </c>
      <c r="L864" t="s">
        <v>64</v>
      </c>
      <c r="M864" t="s">
        <v>27</v>
      </c>
      <c r="N864" t="s">
        <v>269</v>
      </c>
      <c r="O864" t="s">
        <v>9</v>
      </c>
      <c r="P864" t="s">
        <v>63</v>
      </c>
      <c r="Q864" t="s">
        <v>198</v>
      </c>
      <c r="R864" t="s">
        <v>38</v>
      </c>
      <c r="S864">
        <v>7</v>
      </c>
      <c r="T864">
        <v>4</v>
      </c>
      <c r="U864">
        <v>324</v>
      </c>
      <c r="V864" t="s">
        <v>5</v>
      </c>
      <c r="W864" t="s">
        <v>0</v>
      </c>
      <c r="X864" t="s">
        <v>0</v>
      </c>
      <c r="Y864" t="s">
        <v>4</v>
      </c>
      <c r="Z864" t="s">
        <v>0</v>
      </c>
      <c r="AA864">
        <v>0</v>
      </c>
      <c r="AB864">
        <v>0</v>
      </c>
      <c r="AC864">
        <v>0</v>
      </c>
      <c r="AD864" t="s">
        <v>3</v>
      </c>
      <c r="AE864" t="s">
        <v>0</v>
      </c>
      <c r="AF864" t="s">
        <v>3</v>
      </c>
      <c r="AG864" t="s">
        <v>2</v>
      </c>
      <c r="AI864" t="s">
        <v>191</v>
      </c>
      <c r="AJ864">
        <v>2</v>
      </c>
      <c r="AK864">
        <v>-9</v>
      </c>
      <c r="AL864" t="s">
        <v>347</v>
      </c>
      <c r="AM864" t="s">
        <v>0</v>
      </c>
      <c r="AN864">
        <v>0</v>
      </c>
      <c r="AO864">
        <v>0</v>
      </c>
      <c r="AP864">
        <v>0</v>
      </c>
      <c r="AQ864">
        <v>0</v>
      </c>
    </row>
    <row r="865" spans="1:43" x14ac:dyDescent="0.25">
      <c r="A865" t="s">
        <v>1767</v>
      </c>
      <c r="B865" t="s">
        <v>1766</v>
      </c>
      <c r="C865" t="s">
        <v>1765</v>
      </c>
      <c r="D865" s="1">
        <v>46156</v>
      </c>
      <c r="E865" t="s">
        <v>156</v>
      </c>
      <c r="F865" t="s">
        <v>155</v>
      </c>
      <c r="G865" t="s">
        <v>30</v>
      </c>
      <c r="H865" t="s">
        <v>66</v>
      </c>
      <c r="I865" t="s">
        <v>15</v>
      </c>
      <c r="J865" t="s">
        <v>146</v>
      </c>
      <c r="K865" t="s">
        <v>145</v>
      </c>
      <c r="L865" t="s">
        <v>42</v>
      </c>
      <c r="M865" t="s">
        <v>11</v>
      </c>
      <c r="N865" t="s">
        <v>116</v>
      </c>
      <c r="O865" t="s">
        <v>101</v>
      </c>
      <c r="P865" t="s">
        <v>39</v>
      </c>
      <c r="Q865" t="s">
        <v>7</v>
      </c>
      <c r="R865" t="s">
        <v>6</v>
      </c>
      <c r="S865">
        <v>4</v>
      </c>
      <c r="T865">
        <v>4</v>
      </c>
      <c r="U865">
        <v>113</v>
      </c>
      <c r="V865" t="s">
        <v>0</v>
      </c>
      <c r="W865" t="s">
        <v>5</v>
      </c>
      <c r="X865" t="s">
        <v>0</v>
      </c>
      <c r="Y865" t="s">
        <v>4</v>
      </c>
      <c r="Z865" t="s">
        <v>5</v>
      </c>
      <c r="AA865">
        <v>70.599999999999994</v>
      </c>
      <c r="AB865">
        <v>0.46</v>
      </c>
      <c r="AC865">
        <v>0</v>
      </c>
      <c r="AD865" t="s">
        <v>3</v>
      </c>
      <c r="AE865" t="s">
        <v>0</v>
      </c>
      <c r="AF865" t="s">
        <v>3</v>
      </c>
      <c r="AG865" t="s">
        <v>2</v>
      </c>
      <c r="AI865" t="s">
        <v>23</v>
      </c>
      <c r="AJ865">
        <v>3</v>
      </c>
      <c r="AK865">
        <v>39</v>
      </c>
      <c r="AL865">
        <v>43</v>
      </c>
      <c r="AM865" t="s">
        <v>5</v>
      </c>
      <c r="AN865">
        <v>1</v>
      </c>
      <c r="AO865">
        <v>1</v>
      </c>
      <c r="AP865">
        <v>0</v>
      </c>
      <c r="AQ865">
        <v>1</v>
      </c>
    </row>
    <row r="866" spans="1:43" x14ac:dyDescent="0.25">
      <c r="A866" t="s">
        <v>1764</v>
      </c>
      <c r="B866" t="s">
        <v>1550</v>
      </c>
      <c r="C866" t="s">
        <v>1763</v>
      </c>
      <c r="D866" s="1">
        <v>45862</v>
      </c>
      <c r="E866" t="s">
        <v>168</v>
      </c>
      <c r="F866" t="s">
        <v>1762</v>
      </c>
      <c r="G866" t="s">
        <v>17</v>
      </c>
      <c r="H866" t="s">
        <v>29</v>
      </c>
      <c r="I866" t="s">
        <v>28</v>
      </c>
      <c r="J866" t="s">
        <v>55</v>
      </c>
      <c r="K866" t="s">
        <v>54</v>
      </c>
      <c r="L866" t="s">
        <v>88</v>
      </c>
      <c r="M866" t="s">
        <v>299</v>
      </c>
      <c r="N866" t="s">
        <v>116</v>
      </c>
      <c r="O866" t="s">
        <v>40</v>
      </c>
      <c r="P866" t="s">
        <v>63</v>
      </c>
      <c r="Q866" t="s">
        <v>7</v>
      </c>
      <c r="R866" t="s">
        <v>6</v>
      </c>
      <c r="S866">
        <v>8</v>
      </c>
      <c r="T866">
        <v>8</v>
      </c>
      <c r="U866">
        <v>164</v>
      </c>
      <c r="V866" t="s">
        <v>0</v>
      </c>
      <c r="W866" t="s">
        <v>0</v>
      </c>
      <c r="X866" t="s">
        <v>0</v>
      </c>
      <c r="Y866" t="s">
        <v>4</v>
      </c>
      <c r="Z866" t="s">
        <v>0</v>
      </c>
      <c r="AA866">
        <v>0</v>
      </c>
      <c r="AB866">
        <v>0</v>
      </c>
      <c r="AC866">
        <v>0</v>
      </c>
      <c r="AD866" t="s">
        <v>3</v>
      </c>
      <c r="AE866" t="s">
        <v>0</v>
      </c>
      <c r="AF866" t="s">
        <v>3</v>
      </c>
      <c r="AG866" t="s">
        <v>2</v>
      </c>
      <c r="AI866" t="s">
        <v>1001</v>
      </c>
      <c r="AJ866">
        <v>4</v>
      </c>
      <c r="AK866">
        <v>43</v>
      </c>
      <c r="AL866">
        <v>0</v>
      </c>
      <c r="AM866" t="s">
        <v>5</v>
      </c>
      <c r="AN866">
        <v>0</v>
      </c>
      <c r="AO866">
        <v>0</v>
      </c>
      <c r="AP866">
        <v>0</v>
      </c>
      <c r="AQ866">
        <v>1</v>
      </c>
    </row>
    <row r="867" spans="1:43" x14ac:dyDescent="0.25">
      <c r="A867" t="s">
        <v>1761</v>
      </c>
      <c r="B867" t="s">
        <v>1760</v>
      </c>
      <c r="C867" t="s">
        <v>1759</v>
      </c>
      <c r="D867" s="1">
        <v>45909</v>
      </c>
      <c r="E867" t="s">
        <v>95</v>
      </c>
      <c r="F867" t="s">
        <v>270</v>
      </c>
      <c r="G867" t="s">
        <v>83</v>
      </c>
      <c r="H867" t="s">
        <v>16</v>
      </c>
      <c r="I867" t="s">
        <v>15</v>
      </c>
      <c r="J867" t="s">
        <v>55</v>
      </c>
      <c r="K867" t="s">
        <v>54</v>
      </c>
      <c r="L867" t="s">
        <v>12</v>
      </c>
      <c r="M867" t="s">
        <v>11</v>
      </c>
      <c r="N867" t="s">
        <v>154</v>
      </c>
      <c r="O867" t="s">
        <v>193</v>
      </c>
      <c r="P867" t="s">
        <v>39</v>
      </c>
      <c r="Q867" t="s">
        <v>7</v>
      </c>
      <c r="R867" t="s">
        <v>6</v>
      </c>
      <c r="S867">
        <v>9</v>
      </c>
      <c r="T867">
        <v>6</v>
      </c>
      <c r="U867">
        <v>319</v>
      </c>
      <c r="V867" t="s">
        <v>5</v>
      </c>
      <c r="W867" t="s">
        <v>0</v>
      </c>
      <c r="X867" t="s">
        <v>0</v>
      </c>
      <c r="Y867" t="s">
        <v>4</v>
      </c>
      <c r="Z867" t="s">
        <v>0</v>
      </c>
      <c r="AA867">
        <v>0</v>
      </c>
      <c r="AB867">
        <v>0</v>
      </c>
      <c r="AC867">
        <v>0</v>
      </c>
      <c r="AD867" t="s">
        <v>187</v>
      </c>
      <c r="AE867" t="s">
        <v>5</v>
      </c>
      <c r="AF867" t="s">
        <v>187</v>
      </c>
      <c r="AG867" t="s">
        <v>36</v>
      </c>
      <c r="AH867">
        <v>53</v>
      </c>
      <c r="AI867" t="s">
        <v>332</v>
      </c>
      <c r="AJ867">
        <v>3</v>
      </c>
      <c r="AK867">
        <v>-44</v>
      </c>
      <c r="AL867">
        <v>17</v>
      </c>
      <c r="AM867" t="s">
        <v>0</v>
      </c>
      <c r="AN867">
        <v>0</v>
      </c>
      <c r="AO867">
        <v>0</v>
      </c>
      <c r="AP867">
        <v>0</v>
      </c>
      <c r="AQ867">
        <v>0</v>
      </c>
    </row>
    <row r="868" spans="1:43" x14ac:dyDescent="0.25">
      <c r="A868" t="s">
        <v>1758</v>
      </c>
      <c r="B868" t="s">
        <v>1757</v>
      </c>
      <c r="C868" t="s">
        <v>1756</v>
      </c>
      <c r="D868" s="1">
        <v>46052</v>
      </c>
      <c r="E868" t="s">
        <v>68</v>
      </c>
      <c r="F868" t="s">
        <v>243</v>
      </c>
      <c r="G868" t="s">
        <v>17</v>
      </c>
      <c r="H868" t="s">
        <v>16</v>
      </c>
      <c r="I868" t="s">
        <v>15</v>
      </c>
      <c r="J868" t="s">
        <v>55</v>
      </c>
      <c r="K868" t="s">
        <v>54</v>
      </c>
      <c r="L868" t="s">
        <v>117</v>
      </c>
      <c r="M868" t="s">
        <v>11</v>
      </c>
      <c r="N868" t="s">
        <v>75</v>
      </c>
      <c r="O868" t="s">
        <v>26</v>
      </c>
      <c r="P868" t="s">
        <v>39</v>
      </c>
      <c r="Q868" t="s">
        <v>50</v>
      </c>
      <c r="R868" t="s">
        <v>38</v>
      </c>
      <c r="S868">
        <v>4</v>
      </c>
      <c r="T868">
        <v>2</v>
      </c>
      <c r="U868">
        <v>154</v>
      </c>
      <c r="V868" t="s">
        <v>5</v>
      </c>
      <c r="W868" t="s">
        <v>5</v>
      </c>
      <c r="X868" t="s">
        <v>0</v>
      </c>
      <c r="Y868" t="s">
        <v>4</v>
      </c>
      <c r="Z868" t="s">
        <v>5</v>
      </c>
      <c r="AA868">
        <v>207.94</v>
      </c>
      <c r="AB868">
        <v>0.2</v>
      </c>
      <c r="AC868">
        <v>0</v>
      </c>
      <c r="AD868" t="s">
        <v>3</v>
      </c>
      <c r="AE868" t="s">
        <v>0</v>
      </c>
      <c r="AF868" t="s">
        <v>3</v>
      </c>
      <c r="AG868" t="s">
        <v>2</v>
      </c>
      <c r="AI868" t="s">
        <v>23</v>
      </c>
      <c r="AJ868">
        <v>5</v>
      </c>
      <c r="AK868">
        <v>14</v>
      </c>
      <c r="AL868">
        <v>17</v>
      </c>
      <c r="AM868" t="s">
        <v>5</v>
      </c>
      <c r="AN868">
        <v>1</v>
      </c>
      <c r="AO868">
        <v>1</v>
      </c>
      <c r="AP868">
        <v>0</v>
      </c>
      <c r="AQ868">
        <v>1</v>
      </c>
    </row>
    <row r="869" spans="1:43" x14ac:dyDescent="0.25">
      <c r="A869" t="s">
        <v>1755</v>
      </c>
      <c r="B869" t="s">
        <v>1754</v>
      </c>
      <c r="C869" t="s">
        <v>1753</v>
      </c>
      <c r="D869" s="1">
        <v>46055</v>
      </c>
      <c r="E869" t="s">
        <v>79</v>
      </c>
      <c r="F869" t="s">
        <v>206</v>
      </c>
      <c r="G869" t="s">
        <v>123</v>
      </c>
      <c r="H869" t="s">
        <v>29</v>
      </c>
      <c r="I869" t="s">
        <v>15</v>
      </c>
      <c r="J869" t="s">
        <v>14</v>
      </c>
      <c r="K869" t="s">
        <v>13</v>
      </c>
      <c r="L869" t="s">
        <v>12</v>
      </c>
      <c r="M869" t="s">
        <v>27</v>
      </c>
      <c r="N869" t="s">
        <v>116</v>
      </c>
      <c r="O869" t="s">
        <v>40</v>
      </c>
      <c r="P869" t="s">
        <v>39</v>
      </c>
      <c r="Q869" t="s">
        <v>24</v>
      </c>
      <c r="R869" t="s">
        <v>38</v>
      </c>
      <c r="S869">
        <v>8</v>
      </c>
      <c r="T869">
        <v>7</v>
      </c>
      <c r="U869">
        <v>201</v>
      </c>
      <c r="V869" t="s">
        <v>182</v>
      </c>
      <c r="W869" t="s">
        <v>5</v>
      </c>
      <c r="X869" t="s">
        <v>0</v>
      </c>
      <c r="Y869" t="s">
        <v>4</v>
      </c>
      <c r="Z869" t="s">
        <v>0</v>
      </c>
      <c r="AA869">
        <v>0</v>
      </c>
      <c r="AB869">
        <v>0</v>
      </c>
      <c r="AC869">
        <v>0</v>
      </c>
      <c r="AD869" t="s">
        <v>3</v>
      </c>
      <c r="AE869" t="s">
        <v>0</v>
      </c>
      <c r="AF869" t="s">
        <v>3</v>
      </c>
      <c r="AG869" t="s">
        <v>2</v>
      </c>
      <c r="AI869" t="s">
        <v>23</v>
      </c>
      <c r="AJ869">
        <v>3</v>
      </c>
      <c r="AK869">
        <v>-9</v>
      </c>
      <c r="AL869">
        <v>31</v>
      </c>
      <c r="AM869" t="s">
        <v>5</v>
      </c>
      <c r="AN869">
        <v>1</v>
      </c>
      <c r="AO869">
        <v>0</v>
      </c>
      <c r="AP869">
        <v>0</v>
      </c>
      <c r="AQ869">
        <v>1</v>
      </c>
    </row>
    <row r="870" spans="1:43" x14ac:dyDescent="0.25">
      <c r="A870" t="s">
        <v>1752</v>
      </c>
      <c r="B870" t="s">
        <v>1751</v>
      </c>
      <c r="C870" t="s">
        <v>1750</v>
      </c>
      <c r="D870" s="1">
        <v>45974</v>
      </c>
      <c r="E870" t="s">
        <v>19</v>
      </c>
      <c r="F870" t="s">
        <v>1749</v>
      </c>
      <c r="G870" t="s">
        <v>17</v>
      </c>
      <c r="H870" t="s">
        <v>16</v>
      </c>
      <c r="I870" t="s">
        <v>15</v>
      </c>
      <c r="J870" t="s">
        <v>146</v>
      </c>
      <c r="K870" t="s">
        <v>176</v>
      </c>
      <c r="L870" t="s">
        <v>88</v>
      </c>
      <c r="M870" t="s">
        <v>53</v>
      </c>
      <c r="N870" t="s">
        <v>41</v>
      </c>
      <c r="O870" t="s">
        <v>9</v>
      </c>
      <c r="P870" t="s">
        <v>25</v>
      </c>
      <c r="Q870" t="s">
        <v>24</v>
      </c>
      <c r="R870" t="s">
        <v>6</v>
      </c>
      <c r="S870">
        <v>7</v>
      </c>
      <c r="T870">
        <v>5</v>
      </c>
      <c r="U870">
        <v>250</v>
      </c>
      <c r="V870" t="s">
        <v>5</v>
      </c>
      <c r="W870" t="s">
        <v>5</v>
      </c>
      <c r="X870" t="s">
        <v>181</v>
      </c>
      <c r="Y870" t="s">
        <v>4</v>
      </c>
      <c r="Z870" t="s">
        <v>5</v>
      </c>
      <c r="AA870">
        <v>8.85</v>
      </c>
      <c r="AB870">
        <v>0</v>
      </c>
      <c r="AC870">
        <v>0.17</v>
      </c>
      <c r="AD870" t="s">
        <v>3</v>
      </c>
      <c r="AE870" t="s">
        <v>0</v>
      </c>
      <c r="AF870" t="s">
        <v>3</v>
      </c>
      <c r="AG870" t="s">
        <v>2</v>
      </c>
      <c r="AI870" t="s">
        <v>23</v>
      </c>
      <c r="AJ870">
        <v>5</v>
      </c>
      <c r="AK870">
        <v>-10</v>
      </c>
      <c r="AL870">
        <v>18</v>
      </c>
      <c r="AM870" t="s">
        <v>0</v>
      </c>
      <c r="AN870">
        <v>1</v>
      </c>
      <c r="AO870">
        <v>1</v>
      </c>
      <c r="AP870">
        <v>0</v>
      </c>
      <c r="AQ870">
        <v>0</v>
      </c>
    </row>
    <row r="871" spans="1:43" x14ac:dyDescent="0.25">
      <c r="A871" t="s">
        <v>1748</v>
      </c>
      <c r="B871" t="s">
        <v>1747</v>
      </c>
      <c r="C871" t="s">
        <v>1746</v>
      </c>
      <c r="D871" s="1">
        <v>46100</v>
      </c>
      <c r="E871" t="s">
        <v>112</v>
      </c>
      <c r="F871" t="s">
        <v>307</v>
      </c>
      <c r="G871" t="s">
        <v>123</v>
      </c>
      <c r="H871" t="s">
        <v>77</v>
      </c>
      <c r="I871" t="s">
        <v>15</v>
      </c>
      <c r="J871" t="s">
        <v>14</v>
      </c>
      <c r="K871" t="s">
        <v>13</v>
      </c>
      <c r="L871" t="s">
        <v>42</v>
      </c>
      <c r="M871" t="s">
        <v>11</v>
      </c>
      <c r="N871" t="s">
        <v>52</v>
      </c>
      <c r="O871" t="s">
        <v>193</v>
      </c>
      <c r="P871" t="s">
        <v>8</v>
      </c>
      <c r="Q871" t="s">
        <v>7</v>
      </c>
      <c r="R871" t="s">
        <v>6</v>
      </c>
      <c r="S871">
        <v>9</v>
      </c>
      <c r="T871">
        <v>5</v>
      </c>
      <c r="U871">
        <v>339</v>
      </c>
      <c r="V871" t="s">
        <v>5</v>
      </c>
      <c r="W871" t="s">
        <v>5</v>
      </c>
      <c r="X871" t="s">
        <v>0</v>
      </c>
      <c r="Y871" t="s">
        <v>4</v>
      </c>
      <c r="Z871" t="s">
        <v>0</v>
      </c>
      <c r="AA871">
        <v>0</v>
      </c>
      <c r="AB871">
        <v>0</v>
      </c>
      <c r="AC871">
        <v>0</v>
      </c>
      <c r="AD871" t="s">
        <v>3</v>
      </c>
      <c r="AE871" t="s">
        <v>0</v>
      </c>
      <c r="AF871" t="s">
        <v>3</v>
      </c>
      <c r="AG871" t="s">
        <v>2</v>
      </c>
      <c r="AI871" t="s">
        <v>23</v>
      </c>
      <c r="AJ871">
        <v>4</v>
      </c>
      <c r="AK871">
        <v>-42</v>
      </c>
      <c r="AL871">
        <v>39</v>
      </c>
      <c r="AM871" t="s">
        <v>5</v>
      </c>
      <c r="AN871">
        <v>1</v>
      </c>
      <c r="AO871">
        <v>0</v>
      </c>
      <c r="AP871">
        <v>0</v>
      </c>
      <c r="AQ871">
        <v>1</v>
      </c>
    </row>
    <row r="872" spans="1:43" x14ac:dyDescent="0.25">
      <c r="A872" t="s">
        <v>1745</v>
      </c>
      <c r="B872" t="s">
        <v>1744</v>
      </c>
      <c r="C872" t="s">
        <v>1743</v>
      </c>
      <c r="D872" s="1">
        <v>45979</v>
      </c>
      <c r="E872" t="s">
        <v>45</v>
      </c>
      <c r="F872" t="s">
        <v>670</v>
      </c>
      <c r="G872" t="s">
        <v>30</v>
      </c>
      <c r="H872" t="s">
        <v>29</v>
      </c>
      <c r="I872" t="s">
        <v>147</v>
      </c>
      <c r="J872" t="s">
        <v>14</v>
      </c>
      <c r="K872" t="s">
        <v>13</v>
      </c>
      <c r="L872" t="s">
        <v>64</v>
      </c>
      <c r="M872" t="s">
        <v>27</v>
      </c>
      <c r="N872" t="s">
        <v>52</v>
      </c>
      <c r="O872" t="s">
        <v>26</v>
      </c>
      <c r="P872" t="s">
        <v>8</v>
      </c>
      <c r="Q872" t="s">
        <v>7</v>
      </c>
      <c r="R872" t="s">
        <v>6</v>
      </c>
      <c r="S872">
        <v>4</v>
      </c>
      <c r="T872">
        <v>4</v>
      </c>
      <c r="U872">
        <v>103</v>
      </c>
      <c r="V872" t="s">
        <v>0</v>
      </c>
      <c r="W872" t="s">
        <v>5</v>
      </c>
      <c r="X872" t="s">
        <v>0</v>
      </c>
      <c r="Y872" t="s">
        <v>4</v>
      </c>
      <c r="Z872" t="s">
        <v>5</v>
      </c>
      <c r="AA872">
        <v>166.02</v>
      </c>
      <c r="AB872">
        <v>0.19</v>
      </c>
      <c r="AC872">
        <v>0.37</v>
      </c>
      <c r="AD872" t="s">
        <v>3</v>
      </c>
      <c r="AE872" t="s">
        <v>0</v>
      </c>
      <c r="AF872" t="s">
        <v>3</v>
      </c>
      <c r="AG872" t="s">
        <v>2</v>
      </c>
      <c r="AI872" t="s">
        <v>23</v>
      </c>
      <c r="AJ872">
        <v>4</v>
      </c>
      <c r="AK872">
        <v>48</v>
      </c>
      <c r="AL872">
        <v>25</v>
      </c>
      <c r="AM872" t="s">
        <v>5</v>
      </c>
      <c r="AN872">
        <v>1</v>
      </c>
      <c r="AO872">
        <v>1</v>
      </c>
      <c r="AP872">
        <v>0</v>
      </c>
      <c r="AQ872">
        <v>1</v>
      </c>
    </row>
    <row r="873" spans="1:43" x14ac:dyDescent="0.25">
      <c r="A873" t="s">
        <v>1742</v>
      </c>
      <c r="B873" t="s">
        <v>1666</v>
      </c>
      <c r="C873" t="s">
        <v>1741</v>
      </c>
      <c r="D873" s="1">
        <v>46166</v>
      </c>
      <c r="E873" t="s">
        <v>156</v>
      </c>
      <c r="F873" t="s">
        <v>325</v>
      </c>
      <c r="G873" t="s">
        <v>56</v>
      </c>
      <c r="H873" t="s">
        <v>29</v>
      </c>
      <c r="I873" t="s">
        <v>15</v>
      </c>
      <c r="J873" t="s">
        <v>55</v>
      </c>
      <c r="K873" t="s">
        <v>54</v>
      </c>
      <c r="L873" t="s">
        <v>117</v>
      </c>
      <c r="M873" t="s">
        <v>11</v>
      </c>
      <c r="N873" t="s">
        <v>10</v>
      </c>
      <c r="O873" t="s">
        <v>199</v>
      </c>
      <c r="P873" t="s">
        <v>39</v>
      </c>
      <c r="Q873" t="s">
        <v>24</v>
      </c>
      <c r="R873" t="s">
        <v>6</v>
      </c>
      <c r="S873">
        <v>5</v>
      </c>
      <c r="T873" t="s">
        <v>277</v>
      </c>
      <c r="U873">
        <v>132</v>
      </c>
      <c r="V873" t="s">
        <v>0</v>
      </c>
      <c r="W873" t="s">
        <v>5</v>
      </c>
      <c r="X873" t="s">
        <v>0</v>
      </c>
      <c r="Y873" t="s">
        <v>4</v>
      </c>
      <c r="Z873" t="s">
        <v>5</v>
      </c>
      <c r="AA873">
        <v>87.83</v>
      </c>
      <c r="AB873">
        <v>0</v>
      </c>
      <c r="AC873">
        <v>0</v>
      </c>
      <c r="AD873" t="s">
        <v>3</v>
      </c>
      <c r="AE873" t="s">
        <v>0</v>
      </c>
      <c r="AF873" t="s">
        <v>3</v>
      </c>
      <c r="AG873" t="s">
        <v>2</v>
      </c>
      <c r="AI873" t="s">
        <v>23</v>
      </c>
      <c r="AJ873">
        <v>3</v>
      </c>
      <c r="AK873">
        <v>-10</v>
      </c>
      <c r="AL873">
        <v>54</v>
      </c>
      <c r="AM873" t="s">
        <v>0</v>
      </c>
      <c r="AN873">
        <v>1</v>
      </c>
      <c r="AO873">
        <v>1</v>
      </c>
      <c r="AP873">
        <v>0</v>
      </c>
      <c r="AQ873">
        <v>0</v>
      </c>
    </row>
    <row r="874" spans="1:43" x14ac:dyDescent="0.25">
      <c r="A874" t="s">
        <v>1740</v>
      </c>
      <c r="B874" t="s">
        <v>1739</v>
      </c>
      <c r="C874" t="s">
        <v>1738</v>
      </c>
      <c r="D874" s="1">
        <v>45684</v>
      </c>
      <c r="E874" t="s">
        <v>149</v>
      </c>
      <c r="F874" t="s">
        <v>589</v>
      </c>
      <c r="G874" t="s">
        <v>30</v>
      </c>
      <c r="H874" t="s">
        <v>16</v>
      </c>
      <c r="I874" t="s">
        <v>15</v>
      </c>
      <c r="J874" t="s">
        <v>55</v>
      </c>
      <c r="K874" t="s">
        <v>54</v>
      </c>
      <c r="L874" t="s">
        <v>12</v>
      </c>
      <c r="M874" t="s">
        <v>11</v>
      </c>
      <c r="N874" t="s">
        <v>75</v>
      </c>
      <c r="O874" t="s">
        <v>87</v>
      </c>
      <c r="P874" t="s">
        <v>39</v>
      </c>
      <c r="Q874" t="s">
        <v>7</v>
      </c>
      <c r="R874" t="s">
        <v>6</v>
      </c>
      <c r="S874">
        <v>5</v>
      </c>
      <c r="T874">
        <v>5</v>
      </c>
      <c r="U874">
        <v>124</v>
      </c>
      <c r="V874" t="s">
        <v>0</v>
      </c>
      <c r="W874" t="s">
        <v>5</v>
      </c>
      <c r="X874" t="s">
        <v>0</v>
      </c>
      <c r="Y874" t="s">
        <v>4</v>
      </c>
      <c r="Z874" t="s">
        <v>5</v>
      </c>
      <c r="AA874">
        <v>155.72999999999999</v>
      </c>
      <c r="AB874">
        <v>0</v>
      </c>
      <c r="AC874">
        <v>0</v>
      </c>
      <c r="AD874" t="s">
        <v>3</v>
      </c>
      <c r="AE874" t="s">
        <v>0</v>
      </c>
      <c r="AF874" t="s">
        <v>3</v>
      </c>
      <c r="AG874" t="s">
        <v>2</v>
      </c>
      <c r="AI874" t="s">
        <v>23</v>
      </c>
      <c r="AJ874">
        <v>4</v>
      </c>
      <c r="AK874">
        <v>54</v>
      </c>
      <c r="AL874">
        <v>27</v>
      </c>
      <c r="AM874" t="s">
        <v>5</v>
      </c>
      <c r="AN874">
        <v>1</v>
      </c>
      <c r="AO874">
        <v>1</v>
      </c>
      <c r="AP874">
        <v>0</v>
      </c>
      <c r="AQ874">
        <v>1</v>
      </c>
    </row>
    <row r="875" spans="1:43" x14ac:dyDescent="0.25">
      <c r="A875" t="s">
        <v>1737</v>
      </c>
      <c r="B875" t="s">
        <v>1736</v>
      </c>
      <c r="C875" t="s">
        <v>1735</v>
      </c>
      <c r="D875" s="1">
        <v>45986</v>
      </c>
      <c r="E875" t="s">
        <v>125</v>
      </c>
      <c r="F875" t="s">
        <v>132</v>
      </c>
      <c r="G875" t="s">
        <v>56</v>
      </c>
      <c r="H875" t="s">
        <v>66</v>
      </c>
      <c r="I875" t="s">
        <v>28</v>
      </c>
      <c r="J875" t="s">
        <v>55</v>
      </c>
      <c r="K875" t="s">
        <v>54</v>
      </c>
      <c r="L875" t="s">
        <v>12</v>
      </c>
      <c r="M875" t="s">
        <v>11</v>
      </c>
      <c r="N875" t="s">
        <v>52</v>
      </c>
      <c r="O875" t="s">
        <v>87</v>
      </c>
      <c r="P875" t="s">
        <v>8</v>
      </c>
      <c r="Q875" t="s">
        <v>198</v>
      </c>
      <c r="R875" t="s">
        <v>6</v>
      </c>
      <c r="S875">
        <v>5</v>
      </c>
      <c r="T875" t="s">
        <v>277</v>
      </c>
      <c r="U875">
        <v>154</v>
      </c>
      <c r="V875" t="s">
        <v>0</v>
      </c>
      <c r="W875" t="s">
        <v>5</v>
      </c>
      <c r="X875" t="s">
        <v>0</v>
      </c>
      <c r="Y875" t="s">
        <v>4</v>
      </c>
      <c r="Z875" t="s">
        <v>5</v>
      </c>
      <c r="AA875">
        <v>136.06</v>
      </c>
      <c r="AB875">
        <v>0</v>
      </c>
      <c r="AC875">
        <v>0</v>
      </c>
      <c r="AD875" t="s">
        <v>37</v>
      </c>
      <c r="AE875" t="s">
        <v>5</v>
      </c>
      <c r="AF875" t="s">
        <v>37</v>
      </c>
      <c r="AG875" t="s">
        <v>139</v>
      </c>
      <c r="AH875">
        <v>2</v>
      </c>
      <c r="AI875" t="s">
        <v>23</v>
      </c>
      <c r="AJ875">
        <v>3</v>
      </c>
      <c r="AK875">
        <v>44</v>
      </c>
      <c r="AL875" t="s">
        <v>1734</v>
      </c>
      <c r="AM875" t="s">
        <v>0</v>
      </c>
      <c r="AN875">
        <v>1</v>
      </c>
      <c r="AO875">
        <v>1</v>
      </c>
      <c r="AP875">
        <v>0</v>
      </c>
      <c r="AQ875">
        <v>0</v>
      </c>
    </row>
    <row r="876" spans="1:43" x14ac:dyDescent="0.25">
      <c r="A876" t="s">
        <v>1733</v>
      </c>
      <c r="B876" t="s">
        <v>1292</v>
      </c>
      <c r="C876" t="s">
        <v>1732</v>
      </c>
      <c r="D876" s="1">
        <v>45979</v>
      </c>
      <c r="E876" t="s">
        <v>68</v>
      </c>
      <c r="F876" t="s">
        <v>216</v>
      </c>
      <c r="G876" t="s">
        <v>56</v>
      </c>
      <c r="H876" t="s">
        <v>77</v>
      </c>
      <c r="I876" t="s">
        <v>15</v>
      </c>
      <c r="J876" t="s">
        <v>55</v>
      </c>
      <c r="K876" t="s">
        <v>54</v>
      </c>
      <c r="L876" t="s">
        <v>88</v>
      </c>
      <c r="M876" t="s">
        <v>11</v>
      </c>
      <c r="N876" t="s">
        <v>52</v>
      </c>
      <c r="O876" t="s">
        <v>193</v>
      </c>
      <c r="P876" t="s">
        <v>8</v>
      </c>
      <c r="Q876" t="s">
        <v>7</v>
      </c>
      <c r="R876" t="s">
        <v>6</v>
      </c>
      <c r="S876">
        <v>9</v>
      </c>
      <c r="T876">
        <v>5</v>
      </c>
      <c r="U876">
        <v>269</v>
      </c>
      <c r="V876" t="s">
        <v>5</v>
      </c>
      <c r="W876" t="s">
        <v>135</v>
      </c>
      <c r="X876" t="s">
        <v>0</v>
      </c>
      <c r="Y876" t="s">
        <v>4</v>
      </c>
      <c r="Z876" t="s">
        <v>0</v>
      </c>
      <c r="AA876">
        <v>0</v>
      </c>
      <c r="AB876">
        <v>0</v>
      </c>
      <c r="AC876">
        <v>0</v>
      </c>
      <c r="AD876" t="s">
        <v>3</v>
      </c>
      <c r="AE876" t="s">
        <v>0</v>
      </c>
      <c r="AF876" t="s">
        <v>3</v>
      </c>
      <c r="AG876" t="s">
        <v>2</v>
      </c>
      <c r="AI876" t="s">
        <v>1</v>
      </c>
      <c r="AJ876">
        <v>2</v>
      </c>
      <c r="AK876">
        <v>-39</v>
      </c>
      <c r="AL876">
        <v>40</v>
      </c>
      <c r="AM876" t="s">
        <v>0</v>
      </c>
      <c r="AN876">
        <v>0</v>
      </c>
      <c r="AO876">
        <v>0</v>
      </c>
      <c r="AP876">
        <v>0</v>
      </c>
      <c r="AQ876">
        <v>0</v>
      </c>
    </row>
    <row r="877" spans="1:43" x14ac:dyDescent="0.25">
      <c r="A877" t="s">
        <v>1731</v>
      </c>
      <c r="B877" t="s">
        <v>368</v>
      </c>
      <c r="C877" t="s">
        <v>1730</v>
      </c>
      <c r="D877" s="1">
        <v>45800</v>
      </c>
      <c r="E877" t="s">
        <v>168</v>
      </c>
      <c r="F877" t="s">
        <v>177</v>
      </c>
      <c r="G877" t="s">
        <v>110</v>
      </c>
      <c r="H877" t="s">
        <v>77</v>
      </c>
      <c r="I877" t="s">
        <v>15</v>
      </c>
      <c r="J877" t="s">
        <v>14</v>
      </c>
      <c r="K877" t="s">
        <v>13</v>
      </c>
      <c r="L877" t="s">
        <v>64</v>
      </c>
      <c r="M877" t="s">
        <v>11</v>
      </c>
      <c r="N877" t="s">
        <v>269</v>
      </c>
      <c r="O877" t="s">
        <v>130</v>
      </c>
      <c r="P877" t="s">
        <v>39</v>
      </c>
      <c r="Q877" t="s">
        <v>7</v>
      </c>
      <c r="R877" t="s">
        <v>6</v>
      </c>
      <c r="S877">
        <v>5</v>
      </c>
      <c r="T877">
        <v>5</v>
      </c>
      <c r="U877">
        <v>132</v>
      </c>
      <c r="V877" t="s">
        <v>0</v>
      </c>
      <c r="W877" t="s">
        <v>5</v>
      </c>
      <c r="X877" t="s">
        <v>0</v>
      </c>
      <c r="Y877" t="s">
        <v>4</v>
      </c>
      <c r="Z877" t="s">
        <v>0</v>
      </c>
      <c r="AA877">
        <v>0</v>
      </c>
      <c r="AB877">
        <v>0</v>
      </c>
      <c r="AC877">
        <v>0</v>
      </c>
      <c r="AD877" t="s">
        <v>3</v>
      </c>
      <c r="AE877" t="s">
        <v>0</v>
      </c>
      <c r="AF877" t="s">
        <v>3</v>
      </c>
      <c r="AG877" t="s">
        <v>2</v>
      </c>
      <c r="AI877" t="s">
        <v>23</v>
      </c>
      <c r="AJ877">
        <v>4</v>
      </c>
      <c r="AK877">
        <v>34</v>
      </c>
      <c r="AL877">
        <v>43</v>
      </c>
      <c r="AM877" t="s">
        <v>5</v>
      </c>
      <c r="AN877">
        <v>1</v>
      </c>
      <c r="AO877">
        <v>0</v>
      </c>
      <c r="AP877">
        <v>0</v>
      </c>
      <c r="AQ877">
        <v>1</v>
      </c>
    </row>
    <row r="878" spans="1:43" x14ac:dyDescent="0.25">
      <c r="A878" t="s">
        <v>1729</v>
      </c>
      <c r="B878" t="s">
        <v>1728</v>
      </c>
      <c r="C878" t="s">
        <v>1727</v>
      </c>
      <c r="D878" s="1">
        <v>46114</v>
      </c>
      <c r="E878" t="s">
        <v>168</v>
      </c>
      <c r="F878" t="s">
        <v>167</v>
      </c>
      <c r="G878" t="s">
        <v>83</v>
      </c>
      <c r="H878" t="s">
        <v>29</v>
      </c>
      <c r="I878" t="s">
        <v>28</v>
      </c>
      <c r="J878" t="s">
        <v>146</v>
      </c>
      <c r="K878" t="s">
        <v>145</v>
      </c>
      <c r="L878" t="s">
        <v>42</v>
      </c>
      <c r="M878" t="s">
        <v>11</v>
      </c>
      <c r="N878" t="s">
        <v>269</v>
      </c>
      <c r="O878" t="s">
        <v>40</v>
      </c>
      <c r="P878" t="s">
        <v>8</v>
      </c>
      <c r="Q878" t="s">
        <v>7</v>
      </c>
      <c r="R878" t="s">
        <v>6</v>
      </c>
      <c r="S878">
        <v>8</v>
      </c>
      <c r="T878">
        <v>5</v>
      </c>
      <c r="U878">
        <v>250</v>
      </c>
      <c r="V878" t="s">
        <v>5</v>
      </c>
      <c r="W878" t="s">
        <v>0</v>
      </c>
      <c r="X878" t="s">
        <v>0</v>
      </c>
      <c r="Y878" t="s">
        <v>4</v>
      </c>
      <c r="Z878" t="s">
        <v>0</v>
      </c>
      <c r="AA878">
        <v>0</v>
      </c>
      <c r="AB878">
        <v>0</v>
      </c>
      <c r="AC878">
        <v>0</v>
      </c>
      <c r="AD878" t="s">
        <v>3</v>
      </c>
      <c r="AE878" t="s">
        <v>0</v>
      </c>
      <c r="AF878" t="s">
        <v>3</v>
      </c>
      <c r="AG878" t="s">
        <v>2</v>
      </c>
      <c r="AI878" t="s">
        <v>332</v>
      </c>
      <c r="AJ878">
        <v>2</v>
      </c>
      <c r="AK878">
        <v>-33</v>
      </c>
      <c r="AL878">
        <v>49</v>
      </c>
      <c r="AM878" t="s">
        <v>0</v>
      </c>
      <c r="AN878">
        <v>0</v>
      </c>
      <c r="AO878">
        <v>0</v>
      </c>
      <c r="AP878">
        <v>0</v>
      </c>
      <c r="AQ878">
        <v>0</v>
      </c>
    </row>
    <row r="879" spans="1:43" x14ac:dyDescent="0.25">
      <c r="A879" t="s">
        <v>1726</v>
      </c>
      <c r="B879" t="s">
        <v>1019</v>
      </c>
      <c r="C879" t="s">
        <v>1725</v>
      </c>
      <c r="D879" s="1">
        <v>45733</v>
      </c>
      <c r="E879" t="s">
        <v>95</v>
      </c>
      <c r="F879" t="s">
        <v>321</v>
      </c>
      <c r="G879" t="s">
        <v>110</v>
      </c>
      <c r="H879" t="s">
        <v>77</v>
      </c>
      <c r="I879" t="s">
        <v>28</v>
      </c>
      <c r="J879" t="s">
        <v>146</v>
      </c>
      <c r="K879" t="s">
        <v>176</v>
      </c>
      <c r="L879" t="s">
        <v>88</v>
      </c>
      <c r="M879" t="s">
        <v>27</v>
      </c>
      <c r="N879" t="s">
        <v>10</v>
      </c>
      <c r="O879" t="s">
        <v>51</v>
      </c>
      <c r="P879" t="s">
        <v>39</v>
      </c>
      <c r="Q879" t="s">
        <v>7</v>
      </c>
      <c r="R879" t="s">
        <v>6</v>
      </c>
      <c r="S879" t="s">
        <v>205</v>
      </c>
      <c r="T879" t="s">
        <v>205</v>
      </c>
      <c r="U879">
        <v>142</v>
      </c>
      <c r="V879" t="s">
        <v>0</v>
      </c>
      <c r="W879" t="s">
        <v>5</v>
      </c>
      <c r="X879" t="s">
        <v>5</v>
      </c>
      <c r="Y879" t="s">
        <v>634</v>
      </c>
      <c r="Z879" t="s">
        <v>0</v>
      </c>
      <c r="AA879">
        <v>0</v>
      </c>
      <c r="AB879">
        <v>0</v>
      </c>
      <c r="AC879">
        <v>0</v>
      </c>
      <c r="AD879" t="s">
        <v>37</v>
      </c>
      <c r="AE879" t="s">
        <v>5</v>
      </c>
      <c r="AF879" t="s">
        <v>37</v>
      </c>
      <c r="AG879" t="s">
        <v>36</v>
      </c>
      <c r="AH879">
        <v>15</v>
      </c>
      <c r="AI879" t="s">
        <v>23</v>
      </c>
      <c r="AJ879">
        <v>3</v>
      </c>
      <c r="AK879">
        <v>-9</v>
      </c>
      <c r="AL879">
        <v>31</v>
      </c>
      <c r="AM879" t="s">
        <v>0</v>
      </c>
      <c r="AN879">
        <v>1</v>
      </c>
      <c r="AO879">
        <v>0</v>
      </c>
      <c r="AP879">
        <v>1</v>
      </c>
      <c r="AQ879">
        <v>0</v>
      </c>
    </row>
    <row r="880" spans="1:43" x14ac:dyDescent="0.25">
      <c r="A880" t="s">
        <v>1724</v>
      </c>
      <c r="B880" t="s">
        <v>1723</v>
      </c>
      <c r="C880" t="s">
        <v>1722</v>
      </c>
      <c r="D880" s="1">
        <v>46074</v>
      </c>
      <c r="E880" t="s">
        <v>156</v>
      </c>
      <c r="F880" t="s">
        <v>155</v>
      </c>
      <c r="G880" t="s">
        <v>30</v>
      </c>
      <c r="H880" t="s">
        <v>43</v>
      </c>
      <c r="I880" t="s">
        <v>28</v>
      </c>
      <c r="J880" t="s">
        <v>14</v>
      </c>
      <c r="K880" t="s">
        <v>13</v>
      </c>
      <c r="L880" t="s">
        <v>12</v>
      </c>
      <c r="M880" t="s">
        <v>53</v>
      </c>
      <c r="N880" t="s">
        <v>269</v>
      </c>
      <c r="O880" t="s">
        <v>26</v>
      </c>
      <c r="P880" t="s">
        <v>39</v>
      </c>
      <c r="Q880" t="s">
        <v>50</v>
      </c>
      <c r="R880" t="s">
        <v>38</v>
      </c>
      <c r="S880">
        <v>4</v>
      </c>
      <c r="T880">
        <v>4</v>
      </c>
      <c r="U880">
        <v>103</v>
      </c>
      <c r="V880" t="s">
        <v>0</v>
      </c>
      <c r="W880" t="s">
        <v>5</v>
      </c>
      <c r="X880" t="s">
        <v>0</v>
      </c>
      <c r="Y880" t="s">
        <v>4</v>
      </c>
      <c r="Z880" t="s">
        <v>5</v>
      </c>
      <c r="AA880">
        <v>127.5</v>
      </c>
      <c r="AB880">
        <v>0.23</v>
      </c>
      <c r="AC880">
        <v>0.17</v>
      </c>
      <c r="AD880" t="s">
        <v>3</v>
      </c>
      <c r="AE880" t="s">
        <v>0</v>
      </c>
      <c r="AF880" t="s">
        <v>3</v>
      </c>
      <c r="AG880" t="s">
        <v>2</v>
      </c>
      <c r="AI880" t="s">
        <v>23</v>
      </c>
      <c r="AJ880">
        <v>4</v>
      </c>
      <c r="AK880">
        <v>23</v>
      </c>
      <c r="AL880">
        <v>40</v>
      </c>
      <c r="AM880" t="s">
        <v>5</v>
      </c>
      <c r="AN880">
        <v>1</v>
      </c>
      <c r="AO880">
        <v>1</v>
      </c>
      <c r="AP880">
        <v>0</v>
      </c>
      <c r="AQ880">
        <v>1</v>
      </c>
    </row>
    <row r="881" spans="1:43" x14ac:dyDescent="0.25">
      <c r="A881" t="s">
        <v>1721</v>
      </c>
      <c r="B881" t="s">
        <v>921</v>
      </c>
      <c r="C881" t="s">
        <v>1720</v>
      </c>
      <c r="D881" s="1">
        <v>45906</v>
      </c>
      <c r="E881" t="s">
        <v>162</v>
      </c>
      <c r="F881" t="s">
        <v>200</v>
      </c>
      <c r="G881" t="s">
        <v>131</v>
      </c>
      <c r="H881" t="s">
        <v>77</v>
      </c>
      <c r="I881" t="s">
        <v>28</v>
      </c>
      <c r="J881" t="s">
        <v>55</v>
      </c>
      <c r="K881" t="s">
        <v>54</v>
      </c>
      <c r="L881" t="s">
        <v>64</v>
      </c>
      <c r="M881" t="s">
        <v>11</v>
      </c>
      <c r="N881" t="s">
        <v>116</v>
      </c>
      <c r="O881" t="s">
        <v>51</v>
      </c>
      <c r="P881" t="s">
        <v>25</v>
      </c>
      <c r="Q881" t="s">
        <v>7</v>
      </c>
      <c r="R881" t="s">
        <v>6</v>
      </c>
      <c r="S881" t="s">
        <v>205</v>
      </c>
      <c r="T881">
        <v>3</v>
      </c>
      <c r="U881">
        <v>174</v>
      </c>
      <c r="V881" t="s">
        <v>5</v>
      </c>
      <c r="W881" t="s">
        <v>0</v>
      </c>
      <c r="X881" t="s">
        <v>0</v>
      </c>
      <c r="Y881" t="s">
        <v>4</v>
      </c>
      <c r="Z881" t="s">
        <v>0</v>
      </c>
      <c r="AA881">
        <v>0</v>
      </c>
      <c r="AB881">
        <v>0</v>
      </c>
      <c r="AC881">
        <v>0</v>
      </c>
      <c r="AD881" t="s">
        <v>436</v>
      </c>
      <c r="AE881" t="s">
        <v>5</v>
      </c>
      <c r="AF881" t="s">
        <v>436</v>
      </c>
      <c r="AG881" t="s">
        <v>36</v>
      </c>
      <c r="AH881">
        <v>33</v>
      </c>
      <c r="AI881" t="s">
        <v>1</v>
      </c>
      <c r="AJ881">
        <v>3</v>
      </c>
      <c r="AK881">
        <v>13</v>
      </c>
      <c r="AL881">
        <v>42</v>
      </c>
      <c r="AM881" t="s">
        <v>5</v>
      </c>
      <c r="AN881">
        <v>0</v>
      </c>
      <c r="AO881">
        <v>0</v>
      </c>
      <c r="AP881">
        <v>0</v>
      </c>
      <c r="AQ881">
        <v>1</v>
      </c>
    </row>
    <row r="882" spans="1:43" x14ac:dyDescent="0.25">
      <c r="A882" t="s">
        <v>1719</v>
      </c>
      <c r="B882" t="s">
        <v>1718</v>
      </c>
      <c r="C882" t="s">
        <v>1717</v>
      </c>
      <c r="D882" s="1">
        <v>46115</v>
      </c>
      <c r="E882" t="s">
        <v>79</v>
      </c>
      <c r="F882" t="s">
        <v>206</v>
      </c>
      <c r="G882" t="s">
        <v>30</v>
      </c>
      <c r="H882" t="s">
        <v>16</v>
      </c>
      <c r="I882" t="s">
        <v>15</v>
      </c>
      <c r="J882" t="s">
        <v>146</v>
      </c>
      <c r="K882" t="s">
        <v>176</v>
      </c>
      <c r="L882" t="s">
        <v>64</v>
      </c>
      <c r="M882" t="s">
        <v>11</v>
      </c>
      <c r="N882" t="s">
        <v>75</v>
      </c>
      <c r="O882" t="s">
        <v>101</v>
      </c>
      <c r="P882" t="s">
        <v>39</v>
      </c>
      <c r="Q882" t="s">
        <v>24</v>
      </c>
      <c r="R882" t="s">
        <v>38</v>
      </c>
      <c r="S882">
        <v>4</v>
      </c>
      <c r="T882">
        <v>4</v>
      </c>
      <c r="U882">
        <v>109</v>
      </c>
      <c r="V882" t="s">
        <v>0</v>
      </c>
      <c r="W882" t="s">
        <v>5</v>
      </c>
      <c r="X882" t="s">
        <v>0</v>
      </c>
      <c r="Y882" t="s">
        <v>4</v>
      </c>
      <c r="Z882" t="s">
        <v>5</v>
      </c>
      <c r="AA882">
        <v>73.33</v>
      </c>
      <c r="AB882">
        <v>0.54</v>
      </c>
      <c r="AC882">
        <v>0</v>
      </c>
      <c r="AD882" t="s">
        <v>3</v>
      </c>
      <c r="AE882" t="s">
        <v>0</v>
      </c>
      <c r="AF882" t="s">
        <v>3</v>
      </c>
      <c r="AG882" t="s">
        <v>2</v>
      </c>
      <c r="AI882" t="s">
        <v>23</v>
      </c>
      <c r="AJ882">
        <v>4</v>
      </c>
      <c r="AK882">
        <v>49</v>
      </c>
      <c r="AL882">
        <v>50</v>
      </c>
      <c r="AM882" t="s">
        <v>5</v>
      </c>
      <c r="AN882">
        <v>1</v>
      </c>
      <c r="AO882">
        <v>1</v>
      </c>
      <c r="AP882">
        <v>0</v>
      </c>
      <c r="AQ882">
        <v>1</v>
      </c>
    </row>
    <row r="883" spans="1:43" x14ac:dyDescent="0.25">
      <c r="A883" t="s">
        <v>1716</v>
      </c>
      <c r="B883" t="s">
        <v>1715</v>
      </c>
      <c r="C883" t="s">
        <v>1714</v>
      </c>
      <c r="D883" s="1">
        <v>45720</v>
      </c>
      <c r="E883" t="s">
        <v>149</v>
      </c>
      <c r="F883" t="s">
        <v>471</v>
      </c>
      <c r="G883" t="s">
        <v>83</v>
      </c>
      <c r="H883" t="s">
        <v>43</v>
      </c>
      <c r="I883" t="s">
        <v>15</v>
      </c>
      <c r="J883" t="s">
        <v>14</v>
      </c>
      <c r="K883" t="s">
        <v>13</v>
      </c>
      <c r="L883" t="s">
        <v>88</v>
      </c>
      <c r="M883" t="s">
        <v>53</v>
      </c>
      <c r="N883" t="s">
        <v>154</v>
      </c>
      <c r="O883" t="s">
        <v>9</v>
      </c>
      <c r="P883" t="s">
        <v>39</v>
      </c>
      <c r="Q883" t="s">
        <v>24</v>
      </c>
      <c r="R883" t="s">
        <v>6</v>
      </c>
      <c r="S883">
        <v>7</v>
      </c>
      <c r="T883">
        <v>6</v>
      </c>
      <c r="U883">
        <v>221</v>
      </c>
      <c r="V883" t="s">
        <v>5</v>
      </c>
      <c r="W883" t="s">
        <v>5</v>
      </c>
      <c r="X883" t="s">
        <v>0</v>
      </c>
      <c r="Y883" t="s">
        <v>4</v>
      </c>
      <c r="Z883" t="s">
        <v>5</v>
      </c>
      <c r="AA883">
        <v>69.650000000000006</v>
      </c>
      <c r="AB883">
        <v>0</v>
      </c>
      <c r="AC883">
        <v>0.17</v>
      </c>
      <c r="AD883" t="s">
        <v>3</v>
      </c>
      <c r="AE883" t="s">
        <v>0</v>
      </c>
      <c r="AF883" t="s">
        <v>3</v>
      </c>
      <c r="AG883" t="s">
        <v>2</v>
      </c>
      <c r="AI883" t="s">
        <v>23</v>
      </c>
      <c r="AJ883">
        <v>3</v>
      </c>
      <c r="AK883">
        <v>9</v>
      </c>
      <c r="AL883">
        <v>5</v>
      </c>
      <c r="AM883" t="s">
        <v>5</v>
      </c>
      <c r="AN883">
        <v>1</v>
      </c>
      <c r="AO883">
        <v>1</v>
      </c>
      <c r="AP883">
        <v>0</v>
      </c>
      <c r="AQ883">
        <v>1</v>
      </c>
    </row>
    <row r="884" spans="1:43" x14ac:dyDescent="0.25">
      <c r="A884" t="s">
        <v>1713</v>
      </c>
      <c r="B884" t="s">
        <v>538</v>
      </c>
      <c r="C884" t="s">
        <v>1712</v>
      </c>
      <c r="D884" s="1">
        <v>45688</v>
      </c>
      <c r="E884" t="s">
        <v>156</v>
      </c>
      <c r="F884" t="s">
        <v>325</v>
      </c>
      <c r="G884" t="s">
        <v>17</v>
      </c>
      <c r="H884" t="s">
        <v>43</v>
      </c>
      <c r="I884" t="s">
        <v>15</v>
      </c>
      <c r="J884" t="s">
        <v>146</v>
      </c>
      <c r="K884" t="s">
        <v>176</v>
      </c>
      <c r="L884" t="s">
        <v>12</v>
      </c>
      <c r="M884" t="s">
        <v>53</v>
      </c>
      <c r="N884" t="s">
        <v>52</v>
      </c>
      <c r="O884" t="s">
        <v>101</v>
      </c>
      <c r="P884" t="s">
        <v>39</v>
      </c>
      <c r="Q884" t="s">
        <v>7</v>
      </c>
      <c r="R884" t="s">
        <v>6</v>
      </c>
      <c r="S884">
        <v>4</v>
      </c>
      <c r="T884">
        <v>4</v>
      </c>
      <c r="U884">
        <v>89</v>
      </c>
      <c r="V884" t="s">
        <v>0</v>
      </c>
      <c r="W884" t="s">
        <v>0</v>
      </c>
      <c r="X884" t="s">
        <v>0</v>
      </c>
      <c r="Y884" t="s">
        <v>4</v>
      </c>
      <c r="Z884" t="s">
        <v>5</v>
      </c>
      <c r="AA884">
        <v>56.66</v>
      </c>
      <c r="AB884">
        <v>0.56999999999999995</v>
      </c>
      <c r="AC884">
        <v>0.17</v>
      </c>
      <c r="AD884" t="s">
        <v>3</v>
      </c>
      <c r="AE884" t="s">
        <v>0</v>
      </c>
      <c r="AF884" t="s">
        <v>3</v>
      </c>
      <c r="AG884" t="s">
        <v>2</v>
      </c>
      <c r="AI884" t="s">
        <v>23</v>
      </c>
      <c r="AJ884">
        <v>3</v>
      </c>
      <c r="AK884">
        <v>13</v>
      </c>
      <c r="AL884">
        <v>1</v>
      </c>
      <c r="AM884" t="s">
        <v>0</v>
      </c>
      <c r="AN884">
        <v>0</v>
      </c>
      <c r="AO884">
        <v>1</v>
      </c>
      <c r="AP884">
        <v>0</v>
      </c>
      <c r="AQ884">
        <v>0</v>
      </c>
    </row>
    <row r="885" spans="1:43" x14ac:dyDescent="0.25">
      <c r="A885" t="s">
        <v>1711</v>
      </c>
      <c r="B885" t="s">
        <v>1710</v>
      </c>
      <c r="C885" t="s">
        <v>1709</v>
      </c>
      <c r="D885" s="1">
        <v>45709</v>
      </c>
      <c r="E885" t="s">
        <v>125</v>
      </c>
      <c r="F885" t="s">
        <v>1432</v>
      </c>
      <c r="G885" t="s">
        <v>56</v>
      </c>
      <c r="H885" t="s">
        <v>43</v>
      </c>
      <c r="I885" t="s">
        <v>28</v>
      </c>
      <c r="J885" t="s">
        <v>14</v>
      </c>
      <c r="K885" t="s">
        <v>13</v>
      </c>
      <c r="L885" t="s">
        <v>64</v>
      </c>
      <c r="M885" t="s">
        <v>11</v>
      </c>
      <c r="N885" t="s">
        <v>10</v>
      </c>
      <c r="O885" t="s">
        <v>40</v>
      </c>
      <c r="P885" t="s">
        <v>25</v>
      </c>
      <c r="Q885" t="s">
        <v>50</v>
      </c>
      <c r="R885" t="s">
        <v>38</v>
      </c>
      <c r="S885">
        <v>8</v>
      </c>
      <c r="T885" t="s">
        <v>106</v>
      </c>
      <c r="U885">
        <v>150</v>
      </c>
      <c r="V885" t="s">
        <v>0</v>
      </c>
      <c r="W885" t="s">
        <v>5</v>
      </c>
      <c r="X885" t="s">
        <v>0</v>
      </c>
      <c r="Y885" t="s">
        <v>4</v>
      </c>
      <c r="Z885" t="s">
        <v>5</v>
      </c>
      <c r="AA885">
        <v>382.13</v>
      </c>
      <c r="AB885">
        <v>2.63</v>
      </c>
      <c r="AC885">
        <v>0</v>
      </c>
      <c r="AD885" t="s">
        <v>3</v>
      </c>
      <c r="AE885" t="s">
        <v>0</v>
      </c>
      <c r="AF885" t="s">
        <v>3</v>
      </c>
      <c r="AG885" t="s">
        <v>2</v>
      </c>
      <c r="AI885" t="s">
        <v>23</v>
      </c>
      <c r="AJ885">
        <v>4</v>
      </c>
      <c r="AK885">
        <v>12</v>
      </c>
      <c r="AL885">
        <v>44</v>
      </c>
      <c r="AM885" t="s">
        <v>5</v>
      </c>
      <c r="AN885">
        <v>1</v>
      </c>
      <c r="AO885">
        <v>1</v>
      </c>
      <c r="AP885">
        <v>0</v>
      </c>
      <c r="AQ885">
        <v>1</v>
      </c>
    </row>
    <row r="886" spans="1:43" x14ac:dyDescent="0.25">
      <c r="A886" t="s">
        <v>1708</v>
      </c>
      <c r="B886" t="s">
        <v>1617</v>
      </c>
      <c r="C886" t="s">
        <v>1707</v>
      </c>
      <c r="D886" s="1">
        <v>45853</v>
      </c>
      <c r="E886" t="s">
        <v>68</v>
      </c>
      <c r="F886" t="s">
        <v>67</v>
      </c>
      <c r="G886" t="s">
        <v>17</v>
      </c>
      <c r="H886" t="s">
        <v>16</v>
      </c>
      <c r="I886" t="s">
        <v>28</v>
      </c>
      <c r="J886" t="s">
        <v>55</v>
      </c>
      <c r="K886" t="s">
        <v>54</v>
      </c>
      <c r="L886" t="s">
        <v>12</v>
      </c>
      <c r="M886" t="s">
        <v>53</v>
      </c>
      <c r="N886" t="s">
        <v>93</v>
      </c>
      <c r="O886" t="s">
        <v>26</v>
      </c>
      <c r="P886" t="s">
        <v>39</v>
      </c>
      <c r="Q886" t="s">
        <v>7</v>
      </c>
      <c r="R886" t="s">
        <v>6</v>
      </c>
      <c r="S886">
        <v>4</v>
      </c>
      <c r="T886">
        <v>4</v>
      </c>
      <c r="U886">
        <v>108</v>
      </c>
      <c r="V886" t="s">
        <v>0</v>
      </c>
      <c r="W886" t="s">
        <v>5</v>
      </c>
      <c r="X886" t="s">
        <v>0</v>
      </c>
      <c r="Y886" t="s">
        <v>4</v>
      </c>
      <c r="Z886" t="s">
        <v>0</v>
      </c>
      <c r="AA886">
        <v>0</v>
      </c>
      <c r="AB886">
        <v>0</v>
      </c>
      <c r="AC886">
        <v>0</v>
      </c>
      <c r="AD886" t="s">
        <v>3</v>
      </c>
      <c r="AE886" t="s">
        <v>0</v>
      </c>
      <c r="AF886" t="s">
        <v>3</v>
      </c>
      <c r="AG886" t="s">
        <v>2</v>
      </c>
      <c r="AI886" t="s">
        <v>23</v>
      </c>
      <c r="AJ886">
        <v>4</v>
      </c>
      <c r="AK886">
        <v>39</v>
      </c>
      <c r="AL886">
        <v>17</v>
      </c>
      <c r="AM886" t="s">
        <v>5</v>
      </c>
      <c r="AN886">
        <v>1</v>
      </c>
      <c r="AO886">
        <v>0</v>
      </c>
      <c r="AP886">
        <v>0</v>
      </c>
      <c r="AQ886">
        <v>1</v>
      </c>
    </row>
    <row r="887" spans="1:43" x14ac:dyDescent="0.25">
      <c r="A887" t="s">
        <v>1706</v>
      </c>
      <c r="B887" t="s">
        <v>1705</v>
      </c>
      <c r="C887" t="s">
        <v>1704</v>
      </c>
      <c r="D887" s="1">
        <v>46011</v>
      </c>
      <c r="E887" t="s">
        <v>156</v>
      </c>
      <c r="F887" t="s">
        <v>155</v>
      </c>
      <c r="G887" t="s">
        <v>110</v>
      </c>
      <c r="H887" t="s">
        <v>16</v>
      </c>
      <c r="I887" t="s">
        <v>15</v>
      </c>
      <c r="J887" t="s">
        <v>55</v>
      </c>
      <c r="K887" t="s">
        <v>54</v>
      </c>
      <c r="L887" t="s">
        <v>117</v>
      </c>
      <c r="M887" t="s">
        <v>27</v>
      </c>
      <c r="N887" t="s">
        <v>41</v>
      </c>
      <c r="O887" t="s">
        <v>87</v>
      </c>
      <c r="P887" t="s">
        <v>63</v>
      </c>
      <c r="Q887" t="s">
        <v>7</v>
      </c>
      <c r="R887" t="s">
        <v>6</v>
      </c>
      <c r="S887">
        <v>5</v>
      </c>
      <c r="T887">
        <v>5</v>
      </c>
      <c r="U887">
        <v>139</v>
      </c>
      <c r="V887" t="s">
        <v>0</v>
      </c>
      <c r="W887" t="s">
        <v>135</v>
      </c>
      <c r="X887" t="s">
        <v>0</v>
      </c>
      <c r="Y887" t="s">
        <v>4</v>
      </c>
      <c r="Z887" t="s">
        <v>5</v>
      </c>
      <c r="AA887">
        <v>30.15</v>
      </c>
      <c r="AB887">
        <v>0</v>
      </c>
      <c r="AC887">
        <v>0.37</v>
      </c>
      <c r="AD887" t="s">
        <v>3</v>
      </c>
      <c r="AE887" t="s">
        <v>0</v>
      </c>
      <c r="AF887" t="s">
        <v>3</v>
      </c>
      <c r="AG887" t="s">
        <v>2</v>
      </c>
      <c r="AI887" t="s">
        <v>122</v>
      </c>
      <c r="AJ887">
        <v>3</v>
      </c>
      <c r="AK887">
        <v>-3</v>
      </c>
      <c r="AL887">
        <v>0</v>
      </c>
      <c r="AM887" t="s">
        <v>0</v>
      </c>
      <c r="AN887">
        <v>0</v>
      </c>
      <c r="AO887">
        <v>1</v>
      </c>
      <c r="AP887">
        <v>0</v>
      </c>
      <c r="AQ887">
        <v>0</v>
      </c>
    </row>
    <row r="888" spans="1:43" x14ac:dyDescent="0.25">
      <c r="A888" t="s">
        <v>1703</v>
      </c>
      <c r="B888" t="s">
        <v>1405</v>
      </c>
      <c r="C888" t="s">
        <v>1702</v>
      </c>
      <c r="D888" s="1">
        <v>45751</v>
      </c>
      <c r="E888" t="s">
        <v>19</v>
      </c>
      <c r="F888" t="s">
        <v>575</v>
      </c>
      <c r="G888" t="s">
        <v>17</v>
      </c>
      <c r="H888" t="s">
        <v>43</v>
      </c>
      <c r="I888" t="s">
        <v>15</v>
      </c>
      <c r="J888" t="s">
        <v>14</v>
      </c>
      <c r="K888" t="s">
        <v>13</v>
      </c>
      <c r="L888" t="s">
        <v>42</v>
      </c>
      <c r="M888" t="s">
        <v>11</v>
      </c>
      <c r="N888" t="s">
        <v>75</v>
      </c>
      <c r="O888" t="s">
        <v>51</v>
      </c>
      <c r="P888" t="s">
        <v>39</v>
      </c>
      <c r="Q888" t="s">
        <v>24</v>
      </c>
      <c r="R888" t="s">
        <v>6</v>
      </c>
      <c r="S888">
        <v>6</v>
      </c>
      <c r="T888">
        <v>6</v>
      </c>
      <c r="U888">
        <v>109</v>
      </c>
      <c r="V888" t="s">
        <v>0</v>
      </c>
      <c r="W888" t="s">
        <v>5</v>
      </c>
      <c r="X888" t="s">
        <v>0</v>
      </c>
      <c r="Y888" t="s">
        <v>4</v>
      </c>
      <c r="Z888" t="s">
        <v>5</v>
      </c>
      <c r="AA888">
        <v>0</v>
      </c>
      <c r="AB888">
        <v>0.11</v>
      </c>
      <c r="AC888">
        <v>0</v>
      </c>
      <c r="AD888" t="s">
        <v>3</v>
      </c>
      <c r="AE888" t="s">
        <v>0</v>
      </c>
      <c r="AF888" t="s">
        <v>3</v>
      </c>
      <c r="AG888" t="s">
        <v>2</v>
      </c>
      <c r="AI888" t="s">
        <v>23</v>
      </c>
      <c r="AJ888">
        <v>3</v>
      </c>
      <c r="AK888">
        <v>29</v>
      </c>
      <c r="AL888">
        <v>14</v>
      </c>
      <c r="AM888" t="s">
        <v>0</v>
      </c>
      <c r="AN888">
        <v>1</v>
      </c>
      <c r="AO888">
        <v>1</v>
      </c>
      <c r="AP888">
        <v>0</v>
      </c>
      <c r="AQ888">
        <v>0</v>
      </c>
    </row>
    <row r="889" spans="1:43" x14ac:dyDescent="0.25">
      <c r="A889" t="s">
        <v>1701</v>
      </c>
      <c r="B889" t="s">
        <v>1700</v>
      </c>
      <c r="C889" t="s">
        <v>1699</v>
      </c>
      <c r="D889" s="1">
        <v>45974</v>
      </c>
      <c r="E889" t="s">
        <v>45</v>
      </c>
      <c r="F889" t="s">
        <v>348</v>
      </c>
      <c r="G889" t="s">
        <v>17</v>
      </c>
      <c r="H889" t="s">
        <v>77</v>
      </c>
      <c r="I889" t="s">
        <v>28</v>
      </c>
      <c r="J889" t="s">
        <v>14</v>
      </c>
      <c r="K889" t="s">
        <v>13</v>
      </c>
      <c r="L889" t="s">
        <v>117</v>
      </c>
      <c r="M889" t="s">
        <v>53</v>
      </c>
      <c r="N889" t="s">
        <v>52</v>
      </c>
      <c r="O889" t="s">
        <v>101</v>
      </c>
      <c r="P889" t="s">
        <v>39</v>
      </c>
      <c r="Q889" t="s">
        <v>7</v>
      </c>
      <c r="R889" t="s">
        <v>6</v>
      </c>
      <c r="S889">
        <v>4</v>
      </c>
      <c r="T889">
        <v>4</v>
      </c>
      <c r="U889">
        <v>83</v>
      </c>
      <c r="V889" t="s">
        <v>0</v>
      </c>
      <c r="W889" t="s">
        <v>0</v>
      </c>
      <c r="X889" t="s">
        <v>0</v>
      </c>
      <c r="Y889" t="s">
        <v>4</v>
      </c>
      <c r="Z889" t="s">
        <v>5</v>
      </c>
      <c r="AA889">
        <v>47.73</v>
      </c>
      <c r="AB889">
        <v>0.49</v>
      </c>
      <c r="AC889">
        <v>0.17</v>
      </c>
      <c r="AD889" t="s">
        <v>3</v>
      </c>
      <c r="AE889" t="s">
        <v>0</v>
      </c>
      <c r="AF889" t="s">
        <v>3</v>
      </c>
      <c r="AG889" t="s">
        <v>2</v>
      </c>
      <c r="AI889" t="s">
        <v>23</v>
      </c>
      <c r="AJ889">
        <v>3</v>
      </c>
      <c r="AK889">
        <v>15</v>
      </c>
      <c r="AL889">
        <v>26</v>
      </c>
      <c r="AM889" t="s">
        <v>5</v>
      </c>
      <c r="AN889">
        <v>0</v>
      </c>
      <c r="AO889">
        <v>1</v>
      </c>
      <c r="AP889">
        <v>0</v>
      </c>
      <c r="AQ889">
        <v>1</v>
      </c>
    </row>
    <row r="890" spans="1:43" x14ac:dyDescent="0.25">
      <c r="A890" t="s">
        <v>1698</v>
      </c>
      <c r="B890" t="s">
        <v>418</v>
      </c>
      <c r="C890" t="s">
        <v>1697</v>
      </c>
      <c r="D890" s="1">
        <v>45836</v>
      </c>
      <c r="E890" t="s">
        <v>162</v>
      </c>
      <c r="F890" t="s">
        <v>540</v>
      </c>
      <c r="G890" t="s">
        <v>123</v>
      </c>
      <c r="H890" t="s">
        <v>16</v>
      </c>
      <c r="I890" t="s">
        <v>15</v>
      </c>
      <c r="J890" t="s">
        <v>14</v>
      </c>
      <c r="K890" t="s">
        <v>13</v>
      </c>
      <c r="L890" t="s">
        <v>42</v>
      </c>
      <c r="M890" t="s">
        <v>53</v>
      </c>
      <c r="N890" t="s">
        <v>75</v>
      </c>
      <c r="O890" t="s">
        <v>130</v>
      </c>
      <c r="P890" t="s">
        <v>39</v>
      </c>
      <c r="Q890" t="s">
        <v>172</v>
      </c>
      <c r="R890" t="s">
        <v>38</v>
      </c>
      <c r="S890" t="s">
        <v>277</v>
      </c>
      <c r="T890">
        <v>4</v>
      </c>
      <c r="U890">
        <v>191</v>
      </c>
      <c r="V890" t="s">
        <v>5</v>
      </c>
      <c r="W890" t="s">
        <v>5</v>
      </c>
      <c r="X890" t="s">
        <v>0</v>
      </c>
      <c r="Y890" t="s">
        <v>4</v>
      </c>
      <c r="Z890" t="s">
        <v>5</v>
      </c>
      <c r="AA890">
        <v>0</v>
      </c>
      <c r="AB890">
        <v>0</v>
      </c>
      <c r="AC890">
        <v>0.17</v>
      </c>
      <c r="AD890" t="s">
        <v>3</v>
      </c>
      <c r="AE890" t="s">
        <v>0</v>
      </c>
      <c r="AF890" t="s">
        <v>3</v>
      </c>
      <c r="AG890" t="s">
        <v>2</v>
      </c>
      <c r="AI890" t="s">
        <v>23</v>
      </c>
      <c r="AJ890">
        <v>3</v>
      </c>
      <c r="AK890">
        <v>53</v>
      </c>
      <c r="AL890">
        <v>40</v>
      </c>
      <c r="AM890" t="s">
        <v>5</v>
      </c>
      <c r="AN890">
        <v>1</v>
      </c>
      <c r="AO890">
        <v>1</v>
      </c>
      <c r="AP890">
        <v>0</v>
      </c>
      <c r="AQ890">
        <v>1</v>
      </c>
    </row>
    <row r="891" spans="1:43" x14ac:dyDescent="0.25">
      <c r="A891" t="s">
        <v>1696</v>
      </c>
      <c r="B891" t="s">
        <v>1695</v>
      </c>
      <c r="C891" t="s">
        <v>1694</v>
      </c>
      <c r="D891" s="1">
        <v>45661</v>
      </c>
      <c r="E891" t="s">
        <v>168</v>
      </c>
      <c r="F891" t="s">
        <v>283</v>
      </c>
      <c r="G891" t="s">
        <v>123</v>
      </c>
      <c r="H891" t="s">
        <v>66</v>
      </c>
      <c r="I891" t="s">
        <v>28</v>
      </c>
      <c r="J891" t="s">
        <v>146</v>
      </c>
      <c r="K891" t="s">
        <v>145</v>
      </c>
      <c r="L891" t="s">
        <v>64</v>
      </c>
      <c r="M891" t="s">
        <v>11</v>
      </c>
      <c r="N891" t="s">
        <v>93</v>
      </c>
      <c r="O891" t="s">
        <v>26</v>
      </c>
      <c r="P891" t="s">
        <v>63</v>
      </c>
      <c r="Q891" t="s">
        <v>100</v>
      </c>
      <c r="R891" t="s">
        <v>38</v>
      </c>
      <c r="S891">
        <v>4</v>
      </c>
      <c r="T891">
        <v>2</v>
      </c>
      <c r="U891">
        <v>158</v>
      </c>
      <c r="V891" t="s">
        <v>5</v>
      </c>
      <c r="W891" t="s">
        <v>5</v>
      </c>
      <c r="X891" t="s">
        <v>0</v>
      </c>
      <c r="Y891" t="s">
        <v>4</v>
      </c>
      <c r="Z891" t="s">
        <v>5</v>
      </c>
      <c r="AA891">
        <v>72.709999999999994</v>
      </c>
      <c r="AB891">
        <v>0.19</v>
      </c>
      <c r="AC891">
        <v>0</v>
      </c>
      <c r="AD891" t="s">
        <v>3</v>
      </c>
      <c r="AE891" t="s">
        <v>0</v>
      </c>
      <c r="AF891" t="s">
        <v>3</v>
      </c>
      <c r="AG891" t="s">
        <v>2</v>
      </c>
      <c r="AI891" t="s">
        <v>23</v>
      </c>
      <c r="AJ891">
        <v>4</v>
      </c>
      <c r="AK891">
        <v>50</v>
      </c>
      <c r="AL891">
        <v>0</v>
      </c>
      <c r="AM891" t="s">
        <v>5</v>
      </c>
      <c r="AN891">
        <v>1</v>
      </c>
      <c r="AO891">
        <v>1</v>
      </c>
      <c r="AP891">
        <v>0</v>
      </c>
      <c r="AQ891">
        <v>1</v>
      </c>
    </row>
    <row r="892" spans="1:43" x14ac:dyDescent="0.25">
      <c r="A892" t="s">
        <v>1693</v>
      </c>
      <c r="B892" t="s">
        <v>1692</v>
      </c>
      <c r="C892" t="s">
        <v>1691</v>
      </c>
      <c r="D892" s="1">
        <v>45749</v>
      </c>
      <c r="E892" t="s">
        <v>45</v>
      </c>
      <c r="F892" t="s">
        <v>670</v>
      </c>
      <c r="G892" t="s">
        <v>30</v>
      </c>
      <c r="H892" t="s">
        <v>29</v>
      </c>
      <c r="I892" t="s">
        <v>15</v>
      </c>
      <c r="J892" t="s">
        <v>55</v>
      </c>
      <c r="K892" t="s">
        <v>54</v>
      </c>
      <c r="L892" t="s">
        <v>117</v>
      </c>
      <c r="M892" t="s">
        <v>11</v>
      </c>
      <c r="N892" t="s">
        <v>116</v>
      </c>
      <c r="O892" t="s">
        <v>40</v>
      </c>
      <c r="P892" t="s">
        <v>63</v>
      </c>
      <c r="Q892" t="s">
        <v>100</v>
      </c>
      <c r="R892" t="s">
        <v>6</v>
      </c>
      <c r="S892">
        <v>8</v>
      </c>
      <c r="T892">
        <v>4</v>
      </c>
      <c r="U892">
        <v>246</v>
      </c>
      <c r="V892" t="s">
        <v>5</v>
      </c>
      <c r="W892" t="s">
        <v>5</v>
      </c>
      <c r="X892" t="s">
        <v>0</v>
      </c>
      <c r="Y892" t="s">
        <v>4</v>
      </c>
      <c r="Z892" t="s">
        <v>5</v>
      </c>
      <c r="AA892">
        <v>456.63</v>
      </c>
      <c r="AB892">
        <v>2.19</v>
      </c>
      <c r="AC892">
        <v>0</v>
      </c>
      <c r="AD892" t="s">
        <v>61</v>
      </c>
      <c r="AE892" t="s">
        <v>5</v>
      </c>
      <c r="AF892" t="s">
        <v>61</v>
      </c>
      <c r="AG892" t="s">
        <v>36</v>
      </c>
      <c r="AH892">
        <v>25</v>
      </c>
      <c r="AI892" t="s">
        <v>23</v>
      </c>
      <c r="AJ892">
        <v>3</v>
      </c>
      <c r="AK892">
        <v>41</v>
      </c>
      <c r="AL892">
        <v>0</v>
      </c>
      <c r="AM892" t="s">
        <v>0</v>
      </c>
      <c r="AN892">
        <v>1</v>
      </c>
      <c r="AO892">
        <v>1</v>
      </c>
      <c r="AP892">
        <v>0</v>
      </c>
      <c r="AQ892">
        <v>0</v>
      </c>
    </row>
    <row r="893" spans="1:43" x14ac:dyDescent="0.25">
      <c r="A893" t="s">
        <v>1690</v>
      </c>
      <c r="B893" t="s">
        <v>1650</v>
      </c>
      <c r="C893" t="s">
        <v>1689</v>
      </c>
      <c r="D893" s="1">
        <v>45994</v>
      </c>
      <c r="E893" t="s">
        <v>162</v>
      </c>
      <c r="F893" t="s">
        <v>310</v>
      </c>
      <c r="G893" t="s">
        <v>17</v>
      </c>
      <c r="H893" t="s">
        <v>77</v>
      </c>
      <c r="I893" t="s">
        <v>15</v>
      </c>
      <c r="J893" t="s">
        <v>55</v>
      </c>
      <c r="K893" t="s">
        <v>65</v>
      </c>
      <c r="L893" t="s">
        <v>117</v>
      </c>
      <c r="M893" t="s">
        <v>11</v>
      </c>
      <c r="N893" t="s">
        <v>75</v>
      </c>
      <c r="O893" t="s">
        <v>9</v>
      </c>
      <c r="P893" t="s">
        <v>39</v>
      </c>
      <c r="Q893" t="s">
        <v>100</v>
      </c>
      <c r="R893" t="s">
        <v>6</v>
      </c>
      <c r="S893">
        <v>7</v>
      </c>
      <c r="T893">
        <v>7</v>
      </c>
      <c r="U893">
        <v>245</v>
      </c>
      <c r="V893" t="s">
        <v>0</v>
      </c>
      <c r="W893" t="s">
        <v>5</v>
      </c>
      <c r="X893" t="s">
        <v>5</v>
      </c>
      <c r="Y893" t="s">
        <v>228</v>
      </c>
      <c r="Z893" t="s">
        <v>5</v>
      </c>
      <c r="AA893">
        <v>0</v>
      </c>
      <c r="AB893">
        <v>0</v>
      </c>
      <c r="AC893">
        <v>0</v>
      </c>
      <c r="AD893" t="s">
        <v>37</v>
      </c>
      <c r="AE893" t="s">
        <v>5</v>
      </c>
      <c r="AF893" t="s">
        <v>37</v>
      </c>
      <c r="AG893" t="s">
        <v>36</v>
      </c>
      <c r="AH893">
        <v>29</v>
      </c>
      <c r="AI893" t="s">
        <v>23</v>
      </c>
      <c r="AJ893">
        <v>4</v>
      </c>
      <c r="AK893">
        <v>-33</v>
      </c>
      <c r="AL893">
        <v>11</v>
      </c>
      <c r="AM893" t="s">
        <v>0</v>
      </c>
      <c r="AN893">
        <v>1</v>
      </c>
      <c r="AO893">
        <v>1</v>
      </c>
      <c r="AP893">
        <v>1</v>
      </c>
      <c r="AQ893">
        <v>0</v>
      </c>
    </row>
    <row r="894" spans="1:43" x14ac:dyDescent="0.25">
      <c r="A894" t="s">
        <v>1688</v>
      </c>
      <c r="B894" t="s">
        <v>1687</v>
      </c>
      <c r="C894" t="s">
        <v>1686</v>
      </c>
      <c r="D894" s="1">
        <v>46049</v>
      </c>
      <c r="E894" t="s">
        <v>168</v>
      </c>
      <c r="F894" t="s">
        <v>283</v>
      </c>
      <c r="G894" t="s">
        <v>56</v>
      </c>
      <c r="H894" t="s">
        <v>66</v>
      </c>
      <c r="I894" t="s">
        <v>15</v>
      </c>
      <c r="J894" t="s">
        <v>14</v>
      </c>
      <c r="K894" t="s">
        <v>13</v>
      </c>
      <c r="L894" t="s">
        <v>12</v>
      </c>
      <c r="M894" t="s">
        <v>27</v>
      </c>
      <c r="N894" t="s">
        <v>116</v>
      </c>
      <c r="O894" t="s">
        <v>26</v>
      </c>
      <c r="P894" t="s">
        <v>63</v>
      </c>
      <c r="Q894" t="s">
        <v>24</v>
      </c>
      <c r="R894" t="s">
        <v>38</v>
      </c>
      <c r="S894">
        <v>4</v>
      </c>
      <c r="T894">
        <v>4</v>
      </c>
      <c r="U894">
        <v>101</v>
      </c>
      <c r="V894" t="s">
        <v>0</v>
      </c>
      <c r="W894" t="s">
        <v>5</v>
      </c>
      <c r="X894" t="s">
        <v>0</v>
      </c>
      <c r="Y894" t="s">
        <v>4</v>
      </c>
      <c r="Z894" t="s">
        <v>5</v>
      </c>
      <c r="AA894">
        <v>122.72</v>
      </c>
      <c r="AB894">
        <v>0.22</v>
      </c>
      <c r="AC894">
        <v>0.37</v>
      </c>
      <c r="AD894" t="s">
        <v>3</v>
      </c>
      <c r="AE894" t="s">
        <v>0</v>
      </c>
      <c r="AF894" t="s">
        <v>3</v>
      </c>
      <c r="AG894" t="s">
        <v>2</v>
      </c>
      <c r="AI894" t="s">
        <v>23</v>
      </c>
      <c r="AJ894">
        <v>5</v>
      </c>
      <c r="AK894">
        <v>61</v>
      </c>
      <c r="AL894" t="s">
        <v>347</v>
      </c>
      <c r="AM894" t="s">
        <v>5</v>
      </c>
      <c r="AN894">
        <v>1</v>
      </c>
      <c r="AO894">
        <v>1</v>
      </c>
      <c r="AP894">
        <v>0</v>
      </c>
      <c r="AQ894">
        <v>1</v>
      </c>
    </row>
    <row r="895" spans="1:43" x14ac:dyDescent="0.25">
      <c r="A895" t="s">
        <v>1685</v>
      </c>
      <c r="B895" t="s">
        <v>289</v>
      </c>
      <c r="C895" t="s">
        <v>1684</v>
      </c>
      <c r="D895" s="1">
        <v>45724</v>
      </c>
      <c r="E895" t="s">
        <v>149</v>
      </c>
      <c r="F895" t="s">
        <v>471</v>
      </c>
      <c r="G895" t="s">
        <v>17</v>
      </c>
      <c r="H895" t="s">
        <v>29</v>
      </c>
      <c r="I895" t="s">
        <v>15</v>
      </c>
      <c r="J895" t="s">
        <v>55</v>
      </c>
      <c r="K895" t="s">
        <v>54</v>
      </c>
      <c r="L895" t="s">
        <v>42</v>
      </c>
      <c r="M895" t="s">
        <v>11</v>
      </c>
      <c r="N895" t="s">
        <v>93</v>
      </c>
      <c r="O895" t="s">
        <v>40</v>
      </c>
      <c r="P895" t="s">
        <v>39</v>
      </c>
      <c r="Q895" t="s">
        <v>7</v>
      </c>
      <c r="R895" t="s">
        <v>6</v>
      </c>
      <c r="S895">
        <v>8</v>
      </c>
      <c r="T895">
        <v>8</v>
      </c>
      <c r="U895">
        <v>167</v>
      </c>
      <c r="V895" t="s">
        <v>0</v>
      </c>
      <c r="W895" t="s">
        <v>0</v>
      </c>
      <c r="X895" t="s">
        <v>0</v>
      </c>
      <c r="Y895" t="s">
        <v>4</v>
      </c>
      <c r="Z895" t="s">
        <v>0</v>
      </c>
      <c r="AA895">
        <v>0</v>
      </c>
      <c r="AB895">
        <v>0</v>
      </c>
      <c r="AC895">
        <v>0</v>
      </c>
      <c r="AD895" t="s">
        <v>3</v>
      </c>
      <c r="AE895" t="s">
        <v>0</v>
      </c>
      <c r="AF895" t="s">
        <v>3</v>
      </c>
      <c r="AG895" t="s">
        <v>2</v>
      </c>
      <c r="AI895" t="s">
        <v>544</v>
      </c>
      <c r="AJ895">
        <v>4</v>
      </c>
      <c r="AK895">
        <v>-3</v>
      </c>
      <c r="AL895">
        <v>15</v>
      </c>
      <c r="AM895" t="s">
        <v>0</v>
      </c>
      <c r="AN895">
        <v>0</v>
      </c>
      <c r="AO895">
        <v>0</v>
      </c>
      <c r="AP895">
        <v>0</v>
      </c>
      <c r="AQ895">
        <v>0</v>
      </c>
    </row>
    <row r="896" spans="1:43" x14ac:dyDescent="0.25">
      <c r="A896" t="s">
        <v>1683</v>
      </c>
      <c r="B896" t="s">
        <v>1524</v>
      </c>
      <c r="C896" t="s">
        <v>1682</v>
      </c>
      <c r="D896" s="1">
        <v>45745</v>
      </c>
      <c r="E896" t="s">
        <v>162</v>
      </c>
      <c r="F896" t="s">
        <v>161</v>
      </c>
      <c r="G896" t="s">
        <v>17</v>
      </c>
      <c r="H896" t="s">
        <v>43</v>
      </c>
      <c r="I896" t="s">
        <v>15</v>
      </c>
      <c r="J896" t="s">
        <v>55</v>
      </c>
      <c r="K896" t="s">
        <v>54</v>
      </c>
      <c r="L896" t="s">
        <v>12</v>
      </c>
      <c r="M896" t="s">
        <v>53</v>
      </c>
      <c r="N896" t="s">
        <v>75</v>
      </c>
      <c r="O896" t="s">
        <v>130</v>
      </c>
      <c r="P896" t="s">
        <v>63</v>
      </c>
      <c r="Q896" t="s">
        <v>100</v>
      </c>
      <c r="R896" t="s">
        <v>6</v>
      </c>
      <c r="S896">
        <v>5</v>
      </c>
      <c r="T896">
        <v>4</v>
      </c>
      <c r="U896">
        <v>243</v>
      </c>
      <c r="V896" t="s">
        <v>5</v>
      </c>
      <c r="W896" t="s">
        <v>0</v>
      </c>
      <c r="X896" t="s">
        <v>5</v>
      </c>
      <c r="Y896" t="s">
        <v>166</v>
      </c>
      <c r="Z896" t="s">
        <v>5</v>
      </c>
      <c r="AA896">
        <v>159.37</v>
      </c>
      <c r="AB896">
        <v>0</v>
      </c>
      <c r="AC896">
        <v>0.17</v>
      </c>
      <c r="AD896" t="s">
        <v>3</v>
      </c>
      <c r="AE896" t="s">
        <v>0</v>
      </c>
      <c r="AF896" t="s">
        <v>3</v>
      </c>
      <c r="AG896" t="s">
        <v>2</v>
      </c>
      <c r="AI896" t="s">
        <v>332</v>
      </c>
      <c r="AJ896">
        <v>1</v>
      </c>
      <c r="AK896">
        <v>-9</v>
      </c>
      <c r="AL896">
        <v>0</v>
      </c>
      <c r="AM896" t="s">
        <v>5</v>
      </c>
      <c r="AN896">
        <v>0</v>
      </c>
      <c r="AO896">
        <v>1</v>
      </c>
      <c r="AP896">
        <v>1</v>
      </c>
      <c r="AQ896">
        <v>1</v>
      </c>
    </row>
    <row r="897" spans="1:43" x14ac:dyDescent="0.25">
      <c r="A897" t="s">
        <v>1681</v>
      </c>
      <c r="B897" t="s">
        <v>1680</v>
      </c>
      <c r="C897" t="s">
        <v>1679</v>
      </c>
      <c r="D897" s="1">
        <v>45989</v>
      </c>
      <c r="E897" t="s">
        <v>19</v>
      </c>
      <c r="F897" t="s">
        <v>295</v>
      </c>
      <c r="G897" t="s">
        <v>17</v>
      </c>
      <c r="H897" t="s">
        <v>29</v>
      </c>
      <c r="I897" t="s">
        <v>15</v>
      </c>
      <c r="J897" t="s">
        <v>55</v>
      </c>
      <c r="K897" t="s">
        <v>54</v>
      </c>
      <c r="L897" t="s">
        <v>64</v>
      </c>
      <c r="M897" t="s">
        <v>11</v>
      </c>
      <c r="N897" t="s">
        <v>116</v>
      </c>
      <c r="O897" t="s">
        <v>40</v>
      </c>
      <c r="P897" t="s">
        <v>39</v>
      </c>
      <c r="Q897" t="s">
        <v>24</v>
      </c>
      <c r="R897" t="s">
        <v>38</v>
      </c>
      <c r="S897">
        <v>8</v>
      </c>
      <c r="T897">
        <v>8</v>
      </c>
      <c r="U897">
        <v>274</v>
      </c>
      <c r="V897" t="s">
        <v>0</v>
      </c>
      <c r="W897" t="s">
        <v>0</v>
      </c>
      <c r="X897" t="s">
        <v>5</v>
      </c>
      <c r="Y897" t="s">
        <v>913</v>
      </c>
      <c r="Z897" t="s">
        <v>247</v>
      </c>
      <c r="AA897">
        <v>0</v>
      </c>
      <c r="AB897">
        <v>0</v>
      </c>
      <c r="AC897">
        <v>0</v>
      </c>
      <c r="AD897" t="s">
        <v>61</v>
      </c>
      <c r="AE897" t="s">
        <v>5</v>
      </c>
      <c r="AF897" t="s">
        <v>61</v>
      </c>
      <c r="AG897" t="s">
        <v>36</v>
      </c>
      <c r="AH897">
        <v>68</v>
      </c>
      <c r="AI897" t="s">
        <v>122</v>
      </c>
      <c r="AJ897">
        <v>3</v>
      </c>
      <c r="AK897">
        <v>-13</v>
      </c>
      <c r="AL897">
        <v>39</v>
      </c>
      <c r="AM897" t="s">
        <v>0</v>
      </c>
      <c r="AN897">
        <v>0</v>
      </c>
      <c r="AO897">
        <v>0</v>
      </c>
      <c r="AP897">
        <v>1</v>
      </c>
      <c r="AQ897">
        <v>0</v>
      </c>
    </row>
    <row r="898" spans="1:43" x14ac:dyDescent="0.25">
      <c r="A898" t="s">
        <v>1678</v>
      </c>
      <c r="B898" t="s">
        <v>552</v>
      </c>
      <c r="C898" t="s">
        <v>1677</v>
      </c>
      <c r="D898" s="1">
        <v>45720</v>
      </c>
      <c r="E898" t="s">
        <v>19</v>
      </c>
      <c r="F898" t="s">
        <v>89</v>
      </c>
      <c r="G898" t="s">
        <v>56</v>
      </c>
      <c r="H898" t="s">
        <v>16</v>
      </c>
      <c r="I898" t="s">
        <v>28</v>
      </c>
      <c r="J898" t="s">
        <v>55</v>
      </c>
      <c r="K898" t="s">
        <v>54</v>
      </c>
      <c r="L898" t="s">
        <v>64</v>
      </c>
      <c r="M898" t="s">
        <v>11</v>
      </c>
      <c r="N898" t="s">
        <v>75</v>
      </c>
      <c r="O898" t="s">
        <v>199</v>
      </c>
      <c r="P898" t="s">
        <v>63</v>
      </c>
      <c r="Q898" t="s">
        <v>7</v>
      </c>
      <c r="R898" t="s">
        <v>6</v>
      </c>
      <c r="S898">
        <v>5</v>
      </c>
      <c r="T898">
        <v>5</v>
      </c>
      <c r="U898">
        <v>184</v>
      </c>
      <c r="V898" t="s">
        <v>0</v>
      </c>
      <c r="W898" t="s">
        <v>5</v>
      </c>
      <c r="X898" t="s">
        <v>5</v>
      </c>
      <c r="Y898" t="s">
        <v>197</v>
      </c>
      <c r="Z898" t="s">
        <v>5</v>
      </c>
      <c r="AA898">
        <v>48.62</v>
      </c>
      <c r="AB898">
        <v>0</v>
      </c>
      <c r="AC898">
        <v>0</v>
      </c>
      <c r="AD898" t="s">
        <v>436</v>
      </c>
      <c r="AE898" t="s">
        <v>5</v>
      </c>
      <c r="AF898" t="s">
        <v>436</v>
      </c>
      <c r="AG898" t="s">
        <v>36</v>
      </c>
      <c r="AH898">
        <v>25</v>
      </c>
      <c r="AI898" t="s">
        <v>23</v>
      </c>
      <c r="AJ898">
        <v>4</v>
      </c>
      <c r="AK898">
        <v>-12</v>
      </c>
      <c r="AL898">
        <v>0</v>
      </c>
      <c r="AM898" t="s">
        <v>5</v>
      </c>
      <c r="AN898">
        <v>1</v>
      </c>
      <c r="AO898">
        <v>1</v>
      </c>
      <c r="AP898">
        <v>1</v>
      </c>
      <c r="AQ898">
        <v>1</v>
      </c>
    </row>
    <row r="899" spans="1:43" x14ac:dyDescent="0.25">
      <c r="A899" t="s">
        <v>1676</v>
      </c>
      <c r="B899" t="s">
        <v>1675</v>
      </c>
      <c r="C899" t="s">
        <v>1674</v>
      </c>
      <c r="D899" s="1">
        <v>46120</v>
      </c>
      <c r="E899" t="s">
        <v>45</v>
      </c>
      <c r="F899" t="s">
        <v>856</v>
      </c>
      <c r="G899" t="s">
        <v>123</v>
      </c>
      <c r="H899" t="s">
        <v>237</v>
      </c>
      <c r="I899" t="s">
        <v>28</v>
      </c>
      <c r="J899" t="s">
        <v>14</v>
      </c>
      <c r="K899" t="s">
        <v>13</v>
      </c>
      <c r="L899" t="s">
        <v>88</v>
      </c>
      <c r="M899" t="s">
        <v>53</v>
      </c>
      <c r="N899" t="s">
        <v>93</v>
      </c>
      <c r="O899" t="s">
        <v>193</v>
      </c>
      <c r="P899" t="s">
        <v>8</v>
      </c>
      <c r="Q899" t="s">
        <v>50</v>
      </c>
      <c r="R899" t="s">
        <v>38</v>
      </c>
      <c r="S899">
        <v>9</v>
      </c>
      <c r="T899">
        <v>9</v>
      </c>
      <c r="U899">
        <v>347</v>
      </c>
      <c r="V899" t="s">
        <v>0</v>
      </c>
      <c r="W899" t="s">
        <v>5</v>
      </c>
      <c r="X899" t="s">
        <v>5</v>
      </c>
      <c r="Y899" t="s">
        <v>475</v>
      </c>
      <c r="Z899" t="s">
        <v>0</v>
      </c>
      <c r="AA899">
        <v>0</v>
      </c>
      <c r="AB899">
        <v>0</v>
      </c>
      <c r="AC899">
        <v>0</v>
      </c>
      <c r="AD899" t="s">
        <v>3</v>
      </c>
      <c r="AE899" t="s">
        <v>0</v>
      </c>
      <c r="AF899" t="s">
        <v>3</v>
      </c>
      <c r="AG899" t="s">
        <v>2</v>
      </c>
      <c r="AI899" t="s">
        <v>23</v>
      </c>
      <c r="AJ899">
        <v>4</v>
      </c>
      <c r="AK899">
        <v>-29</v>
      </c>
      <c r="AL899">
        <v>39</v>
      </c>
      <c r="AM899" t="s">
        <v>5</v>
      </c>
      <c r="AN899">
        <v>1</v>
      </c>
      <c r="AO899">
        <v>0</v>
      </c>
      <c r="AP899">
        <v>1</v>
      </c>
      <c r="AQ899">
        <v>1</v>
      </c>
    </row>
    <row r="900" spans="1:43" x14ac:dyDescent="0.25">
      <c r="A900" t="s">
        <v>1673</v>
      </c>
      <c r="B900" t="s">
        <v>330</v>
      </c>
      <c r="C900" t="s">
        <v>1672</v>
      </c>
      <c r="D900" s="1">
        <v>45829</v>
      </c>
      <c r="E900" t="s">
        <v>156</v>
      </c>
      <c r="F900" t="s">
        <v>1671</v>
      </c>
      <c r="G900" t="s">
        <v>83</v>
      </c>
      <c r="H900" t="s">
        <v>29</v>
      </c>
      <c r="I900" t="s">
        <v>15</v>
      </c>
      <c r="J900" t="s">
        <v>14</v>
      </c>
      <c r="K900" t="s">
        <v>13</v>
      </c>
      <c r="L900" t="s">
        <v>42</v>
      </c>
      <c r="M900" t="s">
        <v>11</v>
      </c>
      <c r="N900" t="s">
        <v>41</v>
      </c>
      <c r="O900" t="s">
        <v>101</v>
      </c>
      <c r="P900" t="s">
        <v>63</v>
      </c>
      <c r="Q900" t="s">
        <v>7</v>
      </c>
      <c r="R900" t="s">
        <v>6</v>
      </c>
      <c r="S900">
        <v>4</v>
      </c>
      <c r="T900" t="s">
        <v>99</v>
      </c>
      <c r="U900">
        <v>100</v>
      </c>
      <c r="V900" t="s">
        <v>0</v>
      </c>
      <c r="W900" t="s">
        <v>5</v>
      </c>
      <c r="X900" t="s">
        <v>0</v>
      </c>
      <c r="Y900" t="s">
        <v>4</v>
      </c>
      <c r="Z900" t="s">
        <v>5</v>
      </c>
      <c r="AA900">
        <v>56.31</v>
      </c>
      <c r="AB900">
        <v>0.54</v>
      </c>
      <c r="AC900">
        <v>0</v>
      </c>
      <c r="AD900" t="s">
        <v>3</v>
      </c>
      <c r="AE900" t="s">
        <v>0</v>
      </c>
      <c r="AF900" t="s">
        <v>3</v>
      </c>
      <c r="AG900" t="s">
        <v>2</v>
      </c>
      <c r="AI900" t="s">
        <v>23</v>
      </c>
      <c r="AJ900">
        <v>3</v>
      </c>
      <c r="AK900">
        <v>10</v>
      </c>
      <c r="AL900" t="s">
        <v>347</v>
      </c>
      <c r="AM900" t="s">
        <v>5</v>
      </c>
      <c r="AN900">
        <v>1</v>
      </c>
      <c r="AO900">
        <v>1</v>
      </c>
      <c r="AP900">
        <v>0</v>
      </c>
      <c r="AQ900">
        <v>1</v>
      </c>
    </row>
    <row r="901" spans="1:43" x14ac:dyDescent="0.25">
      <c r="A901" t="s">
        <v>1670</v>
      </c>
      <c r="B901" t="s">
        <v>1669</v>
      </c>
      <c r="C901" t="s">
        <v>1668</v>
      </c>
      <c r="D901" s="1">
        <v>45854</v>
      </c>
      <c r="E901" t="s">
        <v>156</v>
      </c>
      <c r="F901" t="s">
        <v>155</v>
      </c>
      <c r="G901" t="s">
        <v>56</v>
      </c>
      <c r="H901" t="s">
        <v>29</v>
      </c>
      <c r="I901" t="s">
        <v>28</v>
      </c>
      <c r="J901" t="s">
        <v>14</v>
      </c>
      <c r="K901" t="s">
        <v>13</v>
      </c>
      <c r="L901" t="s">
        <v>117</v>
      </c>
      <c r="M901" t="s">
        <v>11</v>
      </c>
      <c r="N901" t="s">
        <v>75</v>
      </c>
      <c r="O901" t="s">
        <v>9</v>
      </c>
      <c r="P901" t="s">
        <v>39</v>
      </c>
      <c r="Q901" t="s">
        <v>24</v>
      </c>
      <c r="R901" t="s">
        <v>6</v>
      </c>
      <c r="S901">
        <v>7</v>
      </c>
      <c r="T901">
        <v>7</v>
      </c>
      <c r="U901">
        <v>147</v>
      </c>
      <c r="V901" t="s">
        <v>0</v>
      </c>
      <c r="W901" t="s">
        <v>0</v>
      </c>
      <c r="X901" t="s">
        <v>0</v>
      </c>
      <c r="Y901" t="s">
        <v>4</v>
      </c>
      <c r="Z901" t="s">
        <v>5</v>
      </c>
      <c r="AA901">
        <v>67.27</v>
      </c>
      <c r="AB901">
        <v>0</v>
      </c>
      <c r="AC901">
        <v>0</v>
      </c>
      <c r="AD901" t="s">
        <v>3</v>
      </c>
      <c r="AE901" t="s">
        <v>0</v>
      </c>
      <c r="AF901" t="s">
        <v>3</v>
      </c>
      <c r="AG901" t="s">
        <v>2</v>
      </c>
      <c r="AI901" t="s">
        <v>122</v>
      </c>
      <c r="AJ901">
        <v>3</v>
      </c>
      <c r="AK901">
        <v>19</v>
      </c>
      <c r="AL901">
        <v>19</v>
      </c>
      <c r="AM901" t="s">
        <v>0</v>
      </c>
      <c r="AN901">
        <v>0</v>
      </c>
      <c r="AO901">
        <v>1</v>
      </c>
      <c r="AP901">
        <v>0</v>
      </c>
      <c r="AQ901">
        <v>0</v>
      </c>
    </row>
    <row r="902" spans="1:43" x14ac:dyDescent="0.25">
      <c r="A902" t="s">
        <v>1667</v>
      </c>
      <c r="B902" t="s">
        <v>1666</v>
      </c>
      <c r="C902" t="s">
        <v>1665</v>
      </c>
      <c r="D902" s="1">
        <v>45721</v>
      </c>
      <c r="E902" t="s">
        <v>112</v>
      </c>
      <c r="F902" t="s">
        <v>111</v>
      </c>
      <c r="G902" t="s">
        <v>83</v>
      </c>
      <c r="H902" t="s">
        <v>77</v>
      </c>
      <c r="I902" t="s">
        <v>28</v>
      </c>
      <c r="J902" t="s">
        <v>146</v>
      </c>
      <c r="K902" t="s">
        <v>176</v>
      </c>
      <c r="L902" t="s">
        <v>64</v>
      </c>
      <c r="M902" t="s">
        <v>53</v>
      </c>
      <c r="N902" t="s">
        <v>93</v>
      </c>
      <c r="O902" t="s">
        <v>101</v>
      </c>
      <c r="P902" t="s">
        <v>25</v>
      </c>
      <c r="Q902" t="s">
        <v>24</v>
      </c>
      <c r="R902" t="s">
        <v>6</v>
      </c>
      <c r="S902">
        <v>4</v>
      </c>
      <c r="T902">
        <v>4</v>
      </c>
      <c r="U902">
        <v>127</v>
      </c>
      <c r="V902" t="s">
        <v>0</v>
      </c>
      <c r="W902" t="s">
        <v>0</v>
      </c>
      <c r="X902" t="s">
        <v>5</v>
      </c>
      <c r="Y902" t="s">
        <v>696</v>
      </c>
      <c r="Z902" t="s">
        <v>0</v>
      </c>
      <c r="AA902">
        <v>0</v>
      </c>
      <c r="AB902">
        <v>0</v>
      </c>
      <c r="AC902">
        <v>0</v>
      </c>
      <c r="AD902" t="s">
        <v>3</v>
      </c>
      <c r="AE902" t="s">
        <v>0</v>
      </c>
      <c r="AF902" t="s">
        <v>3</v>
      </c>
      <c r="AG902" t="s">
        <v>2</v>
      </c>
      <c r="AI902" t="s">
        <v>122</v>
      </c>
      <c r="AJ902">
        <v>3</v>
      </c>
      <c r="AK902">
        <v>-8</v>
      </c>
      <c r="AL902" t="s">
        <v>440</v>
      </c>
      <c r="AM902" t="s">
        <v>0</v>
      </c>
      <c r="AN902">
        <v>0</v>
      </c>
      <c r="AO902">
        <v>0</v>
      </c>
      <c r="AP902">
        <v>1</v>
      </c>
      <c r="AQ902">
        <v>0</v>
      </c>
    </row>
    <row r="903" spans="1:43" x14ac:dyDescent="0.25">
      <c r="A903" t="s">
        <v>1664</v>
      </c>
      <c r="B903" t="s">
        <v>1663</v>
      </c>
      <c r="C903" t="s">
        <v>1662</v>
      </c>
      <c r="D903" s="1">
        <v>45844</v>
      </c>
      <c r="E903" t="s">
        <v>79</v>
      </c>
      <c r="F903" t="s">
        <v>206</v>
      </c>
      <c r="G903" t="s">
        <v>56</v>
      </c>
      <c r="H903" t="s">
        <v>77</v>
      </c>
      <c r="I903" t="s">
        <v>15</v>
      </c>
      <c r="J903" t="s">
        <v>146</v>
      </c>
      <c r="K903" t="s">
        <v>176</v>
      </c>
      <c r="L903" t="s">
        <v>12</v>
      </c>
      <c r="M903" t="s">
        <v>11</v>
      </c>
      <c r="N903" t="s">
        <v>269</v>
      </c>
      <c r="O903" t="s">
        <v>26</v>
      </c>
      <c r="P903" t="s">
        <v>8</v>
      </c>
      <c r="Q903" t="s">
        <v>7</v>
      </c>
      <c r="R903" t="s">
        <v>6</v>
      </c>
      <c r="S903">
        <v>4</v>
      </c>
      <c r="T903">
        <v>4</v>
      </c>
      <c r="U903">
        <v>123</v>
      </c>
      <c r="V903" t="s">
        <v>0</v>
      </c>
      <c r="W903" t="s">
        <v>0</v>
      </c>
      <c r="X903" t="s">
        <v>0</v>
      </c>
      <c r="Y903" t="s">
        <v>4</v>
      </c>
      <c r="Z903" t="s">
        <v>5</v>
      </c>
      <c r="AA903">
        <v>137.63</v>
      </c>
      <c r="AB903">
        <v>0.21</v>
      </c>
      <c r="AC903">
        <v>0</v>
      </c>
      <c r="AD903" t="s">
        <v>3</v>
      </c>
      <c r="AE903" t="s">
        <v>0</v>
      </c>
      <c r="AF903" t="s">
        <v>3</v>
      </c>
      <c r="AG903" t="s">
        <v>2</v>
      </c>
      <c r="AI903" t="s">
        <v>129</v>
      </c>
      <c r="AJ903">
        <v>4</v>
      </c>
      <c r="AK903">
        <v>27</v>
      </c>
      <c r="AL903">
        <v>25</v>
      </c>
      <c r="AM903" t="s">
        <v>5</v>
      </c>
      <c r="AN903">
        <v>0</v>
      </c>
      <c r="AO903">
        <v>1</v>
      </c>
      <c r="AP903">
        <v>0</v>
      </c>
      <c r="AQ903">
        <v>1</v>
      </c>
    </row>
    <row r="904" spans="1:43" x14ac:dyDescent="0.25">
      <c r="A904" t="s">
        <v>1661</v>
      </c>
      <c r="B904" t="s">
        <v>1660</v>
      </c>
      <c r="C904" t="s">
        <v>1659</v>
      </c>
      <c r="D904" s="1">
        <v>46009</v>
      </c>
      <c r="E904" t="s">
        <v>95</v>
      </c>
      <c r="F904" t="s">
        <v>270</v>
      </c>
      <c r="G904" t="s">
        <v>56</v>
      </c>
      <c r="H904" t="s">
        <v>43</v>
      </c>
      <c r="I904" t="s">
        <v>28</v>
      </c>
      <c r="J904" t="s">
        <v>55</v>
      </c>
      <c r="K904" t="s">
        <v>54</v>
      </c>
      <c r="L904" t="s">
        <v>42</v>
      </c>
      <c r="M904" t="s">
        <v>11</v>
      </c>
      <c r="N904" t="s">
        <v>93</v>
      </c>
      <c r="O904" t="s">
        <v>199</v>
      </c>
      <c r="P904" t="s">
        <v>39</v>
      </c>
      <c r="Q904" t="s">
        <v>7</v>
      </c>
      <c r="R904" t="s">
        <v>6</v>
      </c>
      <c r="S904">
        <v>5</v>
      </c>
      <c r="T904" t="s">
        <v>277</v>
      </c>
      <c r="U904">
        <v>110</v>
      </c>
      <c r="V904" t="s">
        <v>0</v>
      </c>
      <c r="W904" t="s">
        <v>5</v>
      </c>
      <c r="X904" t="s">
        <v>0</v>
      </c>
      <c r="Y904" t="s">
        <v>4</v>
      </c>
      <c r="Z904" t="s">
        <v>5</v>
      </c>
      <c r="AA904">
        <v>108.47</v>
      </c>
      <c r="AB904">
        <v>0</v>
      </c>
      <c r="AC904">
        <v>0</v>
      </c>
      <c r="AD904" t="s">
        <v>3</v>
      </c>
      <c r="AE904" t="s">
        <v>0</v>
      </c>
      <c r="AF904" t="s">
        <v>3</v>
      </c>
      <c r="AG904" t="s">
        <v>2</v>
      </c>
      <c r="AI904" t="s">
        <v>23</v>
      </c>
      <c r="AJ904">
        <v>4</v>
      </c>
      <c r="AK904">
        <v>1</v>
      </c>
      <c r="AL904">
        <v>22</v>
      </c>
      <c r="AM904" t="s">
        <v>5</v>
      </c>
      <c r="AN904">
        <v>1</v>
      </c>
      <c r="AO904">
        <v>1</v>
      </c>
      <c r="AP904">
        <v>0</v>
      </c>
      <c r="AQ904">
        <v>1</v>
      </c>
    </row>
    <row r="905" spans="1:43" x14ac:dyDescent="0.25">
      <c r="A905" t="s">
        <v>1658</v>
      </c>
      <c r="B905" t="s">
        <v>615</v>
      </c>
      <c r="C905" t="s">
        <v>1657</v>
      </c>
      <c r="D905" s="1">
        <v>45658</v>
      </c>
      <c r="E905" t="s">
        <v>156</v>
      </c>
      <c r="F905" t="s">
        <v>155</v>
      </c>
      <c r="G905" t="s">
        <v>30</v>
      </c>
      <c r="H905" t="s">
        <v>43</v>
      </c>
      <c r="I905" t="s">
        <v>28</v>
      </c>
      <c r="J905" t="s">
        <v>55</v>
      </c>
      <c r="K905" t="s">
        <v>54</v>
      </c>
      <c r="L905" t="s">
        <v>88</v>
      </c>
      <c r="M905" t="s">
        <v>53</v>
      </c>
      <c r="N905" t="s">
        <v>154</v>
      </c>
      <c r="O905" t="s">
        <v>26</v>
      </c>
      <c r="P905" t="s">
        <v>39</v>
      </c>
      <c r="Q905" t="s">
        <v>24</v>
      </c>
      <c r="R905" t="s">
        <v>6</v>
      </c>
      <c r="S905">
        <v>4</v>
      </c>
      <c r="T905">
        <v>4</v>
      </c>
      <c r="U905">
        <v>125</v>
      </c>
      <c r="V905" t="s">
        <v>0</v>
      </c>
      <c r="W905" t="s">
        <v>5</v>
      </c>
      <c r="X905" t="s">
        <v>181</v>
      </c>
      <c r="Y905" t="s">
        <v>4</v>
      </c>
      <c r="Z905" t="s">
        <v>5</v>
      </c>
      <c r="AA905">
        <v>110.33</v>
      </c>
      <c r="AB905">
        <v>0.2</v>
      </c>
      <c r="AC905">
        <v>0.17</v>
      </c>
      <c r="AD905" t="s">
        <v>3</v>
      </c>
      <c r="AE905" t="s">
        <v>0</v>
      </c>
      <c r="AF905" t="s">
        <v>3</v>
      </c>
      <c r="AG905" t="s">
        <v>2</v>
      </c>
      <c r="AI905" t="s">
        <v>23</v>
      </c>
      <c r="AJ905">
        <v>3</v>
      </c>
      <c r="AK905">
        <v>33</v>
      </c>
      <c r="AL905">
        <v>10</v>
      </c>
      <c r="AM905" t="s">
        <v>5</v>
      </c>
      <c r="AN905">
        <v>1</v>
      </c>
      <c r="AO905">
        <v>1</v>
      </c>
      <c r="AP905">
        <v>0</v>
      </c>
      <c r="AQ905">
        <v>1</v>
      </c>
    </row>
    <row r="906" spans="1:43" x14ac:dyDescent="0.25">
      <c r="A906" t="s">
        <v>1656</v>
      </c>
      <c r="B906" t="s">
        <v>1237</v>
      </c>
      <c r="C906" t="s">
        <v>1655</v>
      </c>
      <c r="D906" s="1">
        <v>46096</v>
      </c>
      <c r="E906" t="s">
        <v>79</v>
      </c>
      <c r="F906" t="s">
        <v>78</v>
      </c>
      <c r="G906" t="s">
        <v>56</v>
      </c>
      <c r="H906" t="s">
        <v>29</v>
      </c>
      <c r="I906" t="s">
        <v>28</v>
      </c>
      <c r="J906" t="s">
        <v>14</v>
      </c>
      <c r="K906" t="s">
        <v>13</v>
      </c>
      <c r="L906" t="s">
        <v>42</v>
      </c>
      <c r="M906" t="s">
        <v>53</v>
      </c>
      <c r="N906" t="s">
        <v>52</v>
      </c>
      <c r="O906" t="s">
        <v>9</v>
      </c>
      <c r="P906" t="s">
        <v>39</v>
      </c>
      <c r="Q906" t="s">
        <v>7</v>
      </c>
      <c r="R906" t="s">
        <v>6</v>
      </c>
      <c r="S906">
        <v>7</v>
      </c>
      <c r="T906">
        <v>7</v>
      </c>
      <c r="U906">
        <v>278</v>
      </c>
      <c r="V906" t="s">
        <v>0</v>
      </c>
      <c r="W906" t="s">
        <v>0</v>
      </c>
      <c r="X906" t="s">
        <v>5</v>
      </c>
      <c r="Y906" t="s">
        <v>228</v>
      </c>
      <c r="Z906" t="s">
        <v>0</v>
      </c>
      <c r="AA906">
        <v>0</v>
      </c>
      <c r="AB906">
        <v>0</v>
      </c>
      <c r="AC906">
        <v>0</v>
      </c>
      <c r="AD906" t="s">
        <v>3</v>
      </c>
      <c r="AE906" t="s">
        <v>0</v>
      </c>
      <c r="AF906" t="s">
        <v>3</v>
      </c>
      <c r="AG906" t="s">
        <v>2</v>
      </c>
      <c r="AI906" t="s">
        <v>122</v>
      </c>
      <c r="AJ906">
        <v>3</v>
      </c>
      <c r="AK906">
        <v>25</v>
      </c>
      <c r="AL906">
        <v>5</v>
      </c>
      <c r="AM906" t="s">
        <v>5</v>
      </c>
      <c r="AN906">
        <v>0</v>
      </c>
      <c r="AO906">
        <v>0</v>
      </c>
      <c r="AP906">
        <v>1</v>
      </c>
      <c r="AQ906">
        <v>1</v>
      </c>
    </row>
    <row r="907" spans="1:43" x14ac:dyDescent="0.25">
      <c r="A907" t="s">
        <v>1654</v>
      </c>
      <c r="B907" t="s">
        <v>1653</v>
      </c>
      <c r="C907" t="s">
        <v>1652</v>
      </c>
      <c r="D907" s="1">
        <v>45705</v>
      </c>
      <c r="E907" t="s">
        <v>95</v>
      </c>
      <c r="F907" t="s">
        <v>338</v>
      </c>
      <c r="G907" t="s">
        <v>30</v>
      </c>
      <c r="H907" t="s">
        <v>43</v>
      </c>
      <c r="I907" t="s">
        <v>15</v>
      </c>
      <c r="J907" t="s">
        <v>55</v>
      </c>
      <c r="K907" t="s">
        <v>54</v>
      </c>
      <c r="L907" t="s">
        <v>64</v>
      </c>
      <c r="M907" t="s">
        <v>11</v>
      </c>
      <c r="N907" t="s">
        <v>41</v>
      </c>
      <c r="O907" t="s">
        <v>9</v>
      </c>
      <c r="P907" t="s">
        <v>8</v>
      </c>
      <c r="Q907" t="s">
        <v>7</v>
      </c>
      <c r="R907" t="s">
        <v>6</v>
      </c>
      <c r="S907">
        <v>7</v>
      </c>
      <c r="T907" t="s">
        <v>277</v>
      </c>
      <c r="U907">
        <v>359</v>
      </c>
      <c r="V907" t="s">
        <v>5</v>
      </c>
      <c r="W907" t="s">
        <v>5</v>
      </c>
      <c r="X907" t="s">
        <v>0</v>
      </c>
      <c r="Y907" t="s">
        <v>4</v>
      </c>
      <c r="Z907" t="s">
        <v>5</v>
      </c>
      <c r="AA907">
        <v>82.64</v>
      </c>
      <c r="AB907">
        <v>0</v>
      </c>
      <c r="AC907">
        <v>0</v>
      </c>
      <c r="AD907" t="s">
        <v>3</v>
      </c>
      <c r="AE907" t="s">
        <v>0</v>
      </c>
      <c r="AF907" t="s">
        <v>3</v>
      </c>
      <c r="AG907" t="s">
        <v>2</v>
      </c>
      <c r="AI907" t="s">
        <v>23</v>
      </c>
      <c r="AJ907">
        <v>3</v>
      </c>
      <c r="AK907">
        <v>14</v>
      </c>
      <c r="AL907">
        <v>38</v>
      </c>
      <c r="AM907" t="s">
        <v>5</v>
      </c>
      <c r="AN907">
        <v>1</v>
      </c>
      <c r="AO907">
        <v>1</v>
      </c>
      <c r="AP907">
        <v>0</v>
      </c>
      <c r="AQ907">
        <v>1</v>
      </c>
    </row>
    <row r="908" spans="1:43" x14ac:dyDescent="0.25">
      <c r="A908" t="s">
        <v>1651</v>
      </c>
      <c r="B908" t="s">
        <v>1650</v>
      </c>
      <c r="C908" t="s">
        <v>1649</v>
      </c>
      <c r="D908" s="1">
        <v>46173</v>
      </c>
      <c r="E908" t="s">
        <v>149</v>
      </c>
      <c r="F908" t="s">
        <v>471</v>
      </c>
      <c r="G908" t="s">
        <v>83</v>
      </c>
      <c r="H908" t="s">
        <v>237</v>
      </c>
      <c r="I908" t="s">
        <v>28</v>
      </c>
      <c r="J908" t="s">
        <v>14</v>
      </c>
      <c r="K908" t="s">
        <v>13</v>
      </c>
      <c r="L908" t="s">
        <v>88</v>
      </c>
      <c r="M908" t="s">
        <v>11</v>
      </c>
      <c r="N908" t="s">
        <v>116</v>
      </c>
      <c r="O908" t="s">
        <v>26</v>
      </c>
      <c r="P908" t="s">
        <v>63</v>
      </c>
      <c r="Q908" t="s">
        <v>7</v>
      </c>
      <c r="R908" t="s">
        <v>6</v>
      </c>
      <c r="S908">
        <v>4</v>
      </c>
      <c r="T908">
        <v>4</v>
      </c>
      <c r="U908">
        <v>154</v>
      </c>
      <c r="V908" t="s">
        <v>0</v>
      </c>
      <c r="W908" t="s">
        <v>5</v>
      </c>
      <c r="X908" t="s">
        <v>5</v>
      </c>
      <c r="Y908" t="s">
        <v>355</v>
      </c>
      <c r="Z908" t="s">
        <v>5</v>
      </c>
      <c r="AA908">
        <v>220.29</v>
      </c>
      <c r="AB908">
        <v>0.23</v>
      </c>
      <c r="AC908">
        <v>0</v>
      </c>
      <c r="AD908" t="s">
        <v>37</v>
      </c>
      <c r="AE908" t="s">
        <v>5</v>
      </c>
      <c r="AF908" t="s">
        <v>37</v>
      </c>
      <c r="AG908" t="s">
        <v>139</v>
      </c>
      <c r="AH908">
        <v>33</v>
      </c>
      <c r="AI908" t="s">
        <v>23</v>
      </c>
      <c r="AJ908">
        <v>5</v>
      </c>
      <c r="AK908">
        <v>15</v>
      </c>
      <c r="AL908" t="s">
        <v>347</v>
      </c>
      <c r="AM908" t="s">
        <v>5</v>
      </c>
      <c r="AN908">
        <v>1</v>
      </c>
      <c r="AO908">
        <v>1</v>
      </c>
      <c r="AP908">
        <v>1</v>
      </c>
      <c r="AQ908">
        <v>1</v>
      </c>
    </row>
    <row r="909" spans="1:43" x14ac:dyDescent="0.25">
      <c r="A909" t="s">
        <v>1648</v>
      </c>
      <c r="B909" t="s">
        <v>864</v>
      </c>
      <c r="C909" t="s">
        <v>1647</v>
      </c>
      <c r="D909" s="1">
        <v>45955</v>
      </c>
      <c r="E909" t="s">
        <v>149</v>
      </c>
      <c r="F909" t="s">
        <v>183</v>
      </c>
      <c r="G909" t="s">
        <v>110</v>
      </c>
      <c r="H909" t="s">
        <v>77</v>
      </c>
      <c r="I909" t="s">
        <v>15</v>
      </c>
      <c r="J909" t="s">
        <v>14</v>
      </c>
      <c r="K909" t="s">
        <v>13</v>
      </c>
      <c r="L909" t="s">
        <v>88</v>
      </c>
      <c r="M909" t="s">
        <v>11</v>
      </c>
      <c r="N909" t="s">
        <v>52</v>
      </c>
      <c r="O909" t="s">
        <v>40</v>
      </c>
      <c r="P909" t="s">
        <v>63</v>
      </c>
      <c r="Q909" t="s">
        <v>50</v>
      </c>
      <c r="R909" t="s">
        <v>38</v>
      </c>
      <c r="S909">
        <v>8</v>
      </c>
      <c r="T909" t="s">
        <v>106</v>
      </c>
      <c r="U909">
        <v>232</v>
      </c>
      <c r="V909" t="s">
        <v>0</v>
      </c>
      <c r="W909" t="s">
        <v>5</v>
      </c>
      <c r="X909" t="s">
        <v>0</v>
      </c>
      <c r="Y909" t="s">
        <v>4</v>
      </c>
      <c r="Z909" t="s">
        <v>0</v>
      </c>
      <c r="AA909">
        <v>0</v>
      </c>
      <c r="AB909">
        <v>0</v>
      </c>
      <c r="AC909">
        <v>0</v>
      </c>
      <c r="AD909" t="s">
        <v>3</v>
      </c>
      <c r="AE909" t="s">
        <v>0</v>
      </c>
      <c r="AF909" t="s">
        <v>3</v>
      </c>
      <c r="AG909" t="s">
        <v>2</v>
      </c>
      <c r="AI909" t="s">
        <v>23</v>
      </c>
      <c r="AJ909">
        <v>4</v>
      </c>
      <c r="AK909">
        <v>4</v>
      </c>
      <c r="AL909">
        <v>0</v>
      </c>
      <c r="AM909" t="s">
        <v>5</v>
      </c>
      <c r="AN909">
        <v>1</v>
      </c>
      <c r="AO909">
        <v>0</v>
      </c>
      <c r="AP909">
        <v>0</v>
      </c>
      <c r="AQ909">
        <v>1</v>
      </c>
    </row>
    <row r="910" spans="1:43" x14ac:dyDescent="0.25">
      <c r="A910" t="s">
        <v>1646</v>
      </c>
      <c r="B910" t="s">
        <v>683</v>
      </c>
      <c r="C910" t="s">
        <v>1645</v>
      </c>
      <c r="D910" s="1">
        <v>45682</v>
      </c>
      <c r="E910" t="s">
        <v>95</v>
      </c>
      <c r="F910" t="s">
        <v>321</v>
      </c>
      <c r="G910" t="s">
        <v>30</v>
      </c>
      <c r="H910" t="s">
        <v>29</v>
      </c>
      <c r="I910" t="s">
        <v>15</v>
      </c>
      <c r="J910" t="s">
        <v>14</v>
      </c>
      <c r="K910" t="s">
        <v>13</v>
      </c>
      <c r="L910" t="s">
        <v>88</v>
      </c>
      <c r="M910" t="s">
        <v>11</v>
      </c>
      <c r="N910" t="s">
        <v>41</v>
      </c>
      <c r="O910" t="s">
        <v>199</v>
      </c>
      <c r="P910" t="s">
        <v>39</v>
      </c>
      <c r="Q910" t="s">
        <v>24</v>
      </c>
      <c r="R910" t="s">
        <v>38</v>
      </c>
      <c r="S910">
        <v>5</v>
      </c>
      <c r="T910">
        <v>5</v>
      </c>
      <c r="U910">
        <v>159</v>
      </c>
      <c r="V910" t="s">
        <v>0</v>
      </c>
      <c r="W910" t="s">
        <v>5</v>
      </c>
      <c r="X910" t="s">
        <v>0</v>
      </c>
      <c r="Y910" t="s">
        <v>4</v>
      </c>
      <c r="Z910" t="s">
        <v>5</v>
      </c>
      <c r="AA910">
        <v>0</v>
      </c>
      <c r="AB910">
        <v>0</v>
      </c>
      <c r="AC910">
        <v>0</v>
      </c>
      <c r="AD910" t="s">
        <v>3</v>
      </c>
      <c r="AE910" t="s">
        <v>0</v>
      </c>
      <c r="AF910" t="s">
        <v>3</v>
      </c>
      <c r="AG910" t="s">
        <v>2</v>
      </c>
      <c r="AI910" t="s">
        <v>23</v>
      </c>
      <c r="AJ910">
        <v>4</v>
      </c>
      <c r="AK910">
        <v>67</v>
      </c>
      <c r="AL910">
        <v>51</v>
      </c>
      <c r="AM910" t="s">
        <v>5</v>
      </c>
      <c r="AN910">
        <v>1</v>
      </c>
      <c r="AO910">
        <v>1</v>
      </c>
      <c r="AP910">
        <v>0</v>
      </c>
      <c r="AQ910">
        <v>1</v>
      </c>
    </row>
    <row r="911" spans="1:43" x14ac:dyDescent="0.25">
      <c r="A911" t="s">
        <v>1644</v>
      </c>
      <c r="B911" t="s">
        <v>1643</v>
      </c>
      <c r="C911" t="s">
        <v>1642</v>
      </c>
      <c r="D911" s="1">
        <v>45854</v>
      </c>
      <c r="E911" t="s">
        <v>125</v>
      </c>
      <c r="F911" t="s">
        <v>265</v>
      </c>
      <c r="G911" t="s">
        <v>56</v>
      </c>
      <c r="H911" t="s">
        <v>29</v>
      </c>
      <c r="I911" t="s">
        <v>28</v>
      </c>
      <c r="J911" t="s">
        <v>14</v>
      </c>
      <c r="K911" t="s">
        <v>13</v>
      </c>
      <c r="L911" t="s">
        <v>117</v>
      </c>
      <c r="M911" t="s">
        <v>11</v>
      </c>
      <c r="N911" t="s">
        <v>10</v>
      </c>
      <c r="O911" t="s">
        <v>199</v>
      </c>
      <c r="P911" t="s">
        <v>8</v>
      </c>
      <c r="Q911" t="s">
        <v>7</v>
      </c>
      <c r="R911" t="s">
        <v>6</v>
      </c>
      <c r="S911">
        <v>5</v>
      </c>
      <c r="T911">
        <v>3</v>
      </c>
      <c r="U911">
        <v>286</v>
      </c>
      <c r="V911" t="s">
        <v>5</v>
      </c>
      <c r="W911" t="s">
        <v>0</v>
      </c>
      <c r="X911" t="s">
        <v>5</v>
      </c>
      <c r="Y911" t="s">
        <v>282</v>
      </c>
      <c r="Z911" t="s">
        <v>5</v>
      </c>
      <c r="AA911">
        <v>81.14</v>
      </c>
      <c r="AB911">
        <v>0</v>
      </c>
      <c r="AC911">
        <v>0</v>
      </c>
      <c r="AD911" t="s">
        <v>3</v>
      </c>
      <c r="AE911" t="s">
        <v>0</v>
      </c>
      <c r="AF911" t="s">
        <v>3</v>
      </c>
      <c r="AG911" t="s">
        <v>2</v>
      </c>
      <c r="AI911" t="s">
        <v>122</v>
      </c>
      <c r="AJ911">
        <v>2</v>
      </c>
      <c r="AK911">
        <v>-8</v>
      </c>
      <c r="AL911">
        <v>29</v>
      </c>
      <c r="AM911" t="s">
        <v>5</v>
      </c>
      <c r="AN911">
        <v>0</v>
      </c>
      <c r="AO911">
        <v>1</v>
      </c>
      <c r="AP911">
        <v>1</v>
      </c>
      <c r="AQ911">
        <v>1</v>
      </c>
    </row>
    <row r="912" spans="1:43" x14ac:dyDescent="0.25">
      <c r="A912" t="s">
        <v>1641</v>
      </c>
      <c r="B912" t="s">
        <v>650</v>
      </c>
      <c r="C912" t="s">
        <v>1640</v>
      </c>
      <c r="D912" s="1">
        <v>45845</v>
      </c>
      <c r="E912" t="s">
        <v>162</v>
      </c>
      <c r="F912" t="s">
        <v>540</v>
      </c>
      <c r="G912" t="s">
        <v>110</v>
      </c>
      <c r="H912" t="s">
        <v>16</v>
      </c>
      <c r="I912" t="s">
        <v>28</v>
      </c>
      <c r="J912" t="s">
        <v>55</v>
      </c>
      <c r="K912" t="s">
        <v>54</v>
      </c>
      <c r="L912" t="s">
        <v>64</v>
      </c>
      <c r="M912" t="s">
        <v>27</v>
      </c>
      <c r="N912" t="s">
        <v>10</v>
      </c>
      <c r="O912" t="s">
        <v>87</v>
      </c>
      <c r="P912" t="s">
        <v>39</v>
      </c>
      <c r="Q912" t="s">
        <v>24</v>
      </c>
      <c r="R912" t="s">
        <v>38</v>
      </c>
      <c r="S912">
        <v>5</v>
      </c>
      <c r="T912">
        <v>5</v>
      </c>
      <c r="U912">
        <v>95</v>
      </c>
      <c r="V912" t="s">
        <v>0</v>
      </c>
      <c r="W912" t="s">
        <v>5</v>
      </c>
      <c r="X912" t="s">
        <v>0</v>
      </c>
      <c r="Y912" t="s">
        <v>4</v>
      </c>
      <c r="Z912" t="s">
        <v>5</v>
      </c>
      <c r="AA912">
        <v>70.709999999999994</v>
      </c>
      <c r="AB912">
        <v>0</v>
      </c>
      <c r="AC912">
        <v>0.37</v>
      </c>
      <c r="AD912" t="s">
        <v>37</v>
      </c>
      <c r="AE912" t="s">
        <v>247</v>
      </c>
      <c r="AF912" t="s">
        <v>37</v>
      </c>
      <c r="AG912" t="s">
        <v>36</v>
      </c>
      <c r="AH912">
        <v>18</v>
      </c>
      <c r="AI912" t="s">
        <v>23</v>
      </c>
      <c r="AJ912">
        <v>4</v>
      </c>
      <c r="AK912">
        <v>36</v>
      </c>
      <c r="AL912">
        <v>21</v>
      </c>
      <c r="AM912" t="s">
        <v>5</v>
      </c>
      <c r="AN912">
        <v>1</v>
      </c>
      <c r="AO912">
        <v>1</v>
      </c>
      <c r="AP912">
        <v>0</v>
      </c>
      <c r="AQ912">
        <v>1</v>
      </c>
    </row>
    <row r="913" spans="1:43" x14ac:dyDescent="0.25">
      <c r="A913" t="s">
        <v>1639</v>
      </c>
      <c r="B913" t="s">
        <v>1638</v>
      </c>
      <c r="C913" t="s">
        <v>1637</v>
      </c>
      <c r="D913" s="1">
        <v>46052</v>
      </c>
      <c r="E913" t="s">
        <v>112</v>
      </c>
      <c r="F913" t="s">
        <v>307</v>
      </c>
      <c r="G913" t="s">
        <v>123</v>
      </c>
      <c r="H913" t="s">
        <v>16</v>
      </c>
      <c r="I913" t="s">
        <v>28</v>
      </c>
      <c r="J913" t="s">
        <v>14</v>
      </c>
      <c r="K913" t="s">
        <v>13</v>
      </c>
      <c r="L913" t="s">
        <v>42</v>
      </c>
      <c r="M913" t="s">
        <v>11</v>
      </c>
      <c r="N913" t="s">
        <v>269</v>
      </c>
      <c r="O913" t="s">
        <v>74</v>
      </c>
      <c r="P913" t="s">
        <v>39</v>
      </c>
      <c r="Q913" t="s">
        <v>50</v>
      </c>
      <c r="R913" t="s">
        <v>6</v>
      </c>
      <c r="S913">
        <v>6</v>
      </c>
      <c r="T913">
        <v>3</v>
      </c>
      <c r="U913">
        <v>171</v>
      </c>
      <c r="V913" t="s">
        <v>5</v>
      </c>
      <c r="W913" t="s">
        <v>0</v>
      </c>
      <c r="X913" t="s">
        <v>0</v>
      </c>
      <c r="Y913" t="s">
        <v>4</v>
      </c>
      <c r="Z913" t="s">
        <v>0</v>
      </c>
      <c r="AA913">
        <v>0</v>
      </c>
      <c r="AB913">
        <v>0</v>
      </c>
      <c r="AC913">
        <v>0</v>
      </c>
      <c r="AD913" t="s">
        <v>3</v>
      </c>
      <c r="AE913" t="s">
        <v>0</v>
      </c>
      <c r="AF913" t="s">
        <v>3</v>
      </c>
      <c r="AG913" t="s">
        <v>2</v>
      </c>
      <c r="AI913" t="s">
        <v>1</v>
      </c>
      <c r="AJ913">
        <v>2</v>
      </c>
      <c r="AK913">
        <v>5</v>
      </c>
      <c r="AL913">
        <v>56</v>
      </c>
      <c r="AM913" t="s">
        <v>5</v>
      </c>
      <c r="AN913">
        <v>0</v>
      </c>
      <c r="AO913">
        <v>0</v>
      </c>
      <c r="AP913">
        <v>0</v>
      </c>
      <c r="AQ913">
        <v>1</v>
      </c>
    </row>
    <row r="914" spans="1:43" x14ac:dyDescent="0.25">
      <c r="A914" t="s">
        <v>1636</v>
      </c>
      <c r="B914" t="s">
        <v>1351</v>
      </c>
      <c r="C914" t="s">
        <v>1635</v>
      </c>
      <c r="D914" s="1">
        <v>46048</v>
      </c>
      <c r="E914" t="s">
        <v>79</v>
      </c>
      <c r="F914" t="s">
        <v>223</v>
      </c>
      <c r="G914" t="s">
        <v>17</v>
      </c>
      <c r="H914" t="s">
        <v>77</v>
      </c>
      <c r="I914" t="s">
        <v>28</v>
      </c>
      <c r="J914" t="s">
        <v>55</v>
      </c>
      <c r="K914" t="s">
        <v>54</v>
      </c>
      <c r="L914" t="s">
        <v>12</v>
      </c>
      <c r="M914" t="s">
        <v>299</v>
      </c>
      <c r="N914" t="s">
        <v>75</v>
      </c>
      <c r="O914" t="s">
        <v>26</v>
      </c>
      <c r="P914" t="s">
        <v>39</v>
      </c>
      <c r="Q914" t="s">
        <v>100</v>
      </c>
      <c r="R914" t="s">
        <v>6</v>
      </c>
      <c r="S914">
        <v>4</v>
      </c>
      <c r="T914">
        <v>2</v>
      </c>
      <c r="U914">
        <v>160</v>
      </c>
      <c r="V914" t="s">
        <v>5</v>
      </c>
      <c r="W914" t="s">
        <v>5</v>
      </c>
      <c r="X914" t="s">
        <v>0</v>
      </c>
      <c r="Y914" t="s">
        <v>4</v>
      </c>
      <c r="Z914" t="s">
        <v>5</v>
      </c>
      <c r="AA914">
        <v>131.9</v>
      </c>
      <c r="AB914">
        <v>0.17</v>
      </c>
      <c r="AC914">
        <v>0</v>
      </c>
      <c r="AD914" t="s">
        <v>3</v>
      </c>
      <c r="AE914" t="s">
        <v>0</v>
      </c>
      <c r="AF914" t="s">
        <v>3</v>
      </c>
      <c r="AG914" t="s">
        <v>2</v>
      </c>
      <c r="AI914" t="s">
        <v>23</v>
      </c>
      <c r="AJ914">
        <v>4</v>
      </c>
      <c r="AK914">
        <v>-11</v>
      </c>
      <c r="AL914" t="s">
        <v>638</v>
      </c>
      <c r="AM914" t="s">
        <v>5</v>
      </c>
      <c r="AN914">
        <v>1</v>
      </c>
      <c r="AO914">
        <v>1</v>
      </c>
      <c r="AP914">
        <v>0</v>
      </c>
      <c r="AQ914">
        <v>1</v>
      </c>
    </row>
    <row r="915" spans="1:43" x14ac:dyDescent="0.25">
      <c r="A915" t="s">
        <v>1634</v>
      </c>
      <c r="B915" t="s">
        <v>1633</v>
      </c>
      <c r="C915" t="s">
        <v>1632</v>
      </c>
      <c r="D915" s="1">
        <v>46122</v>
      </c>
      <c r="E915" t="s">
        <v>19</v>
      </c>
      <c r="F915" t="s">
        <v>575</v>
      </c>
      <c r="G915" t="s">
        <v>30</v>
      </c>
      <c r="H915" t="s">
        <v>29</v>
      </c>
      <c r="I915" t="s">
        <v>147</v>
      </c>
      <c r="J915" t="s">
        <v>146</v>
      </c>
      <c r="K915" t="s">
        <v>145</v>
      </c>
      <c r="L915" t="s">
        <v>64</v>
      </c>
      <c r="M915" t="s">
        <v>27</v>
      </c>
      <c r="N915" t="s">
        <v>10</v>
      </c>
      <c r="O915" t="s">
        <v>26</v>
      </c>
      <c r="P915" t="s">
        <v>39</v>
      </c>
      <c r="Q915" t="s">
        <v>24</v>
      </c>
      <c r="R915" t="s">
        <v>6</v>
      </c>
      <c r="S915">
        <v>4</v>
      </c>
      <c r="T915">
        <v>3</v>
      </c>
      <c r="U915">
        <v>189</v>
      </c>
      <c r="V915" t="s">
        <v>5</v>
      </c>
      <c r="W915" t="s">
        <v>5</v>
      </c>
      <c r="X915" t="s">
        <v>0</v>
      </c>
      <c r="Y915" t="s">
        <v>4</v>
      </c>
      <c r="Z915" t="s">
        <v>5</v>
      </c>
      <c r="AA915">
        <v>102.98</v>
      </c>
      <c r="AB915">
        <v>0.21</v>
      </c>
      <c r="AC915">
        <v>0.37</v>
      </c>
      <c r="AD915" t="s">
        <v>3</v>
      </c>
      <c r="AE915" t="s">
        <v>0</v>
      </c>
      <c r="AF915" t="s">
        <v>3</v>
      </c>
      <c r="AG915" t="s">
        <v>2</v>
      </c>
      <c r="AI915" t="s">
        <v>23</v>
      </c>
      <c r="AJ915">
        <v>2</v>
      </c>
      <c r="AK915">
        <v>-7</v>
      </c>
      <c r="AL915">
        <v>33</v>
      </c>
      <c r="AM915" t="s">
        <v>5</v>
      </c>
      <c r="AN915">
        <v>1</v>
      </c>
      <c r="AO915">
        <v>1</v>
      </c>
      <c r="AP915">
        <v>0</v>
      </c>
      <c r="AQ915">
        <v>1</v>
      </c>
    </row>
    <row r="916" spans="1:43" x14ac:dyDescent="0.25">
      <c r="A916" t="s">
        <v>1631</v>
      </c>
      <c r="B916" t="s">
        <v>469</v>
      </c>
      <c r="C916" t="s">
        <v>1630</v>
      </c>
      <c r="D916" s="1">
        <v>46078</v>
      </c>
      <c r="E916" t="s">
        <v>156</v>
      </c>
      <c r="F916" t="s">
        <v>238</v>
      </c>
      <c r="G916" t="s">
        <v>110</v>
      </c>
      <c r="H916" t="s">
        <v>77</v>
      </c>
      <c r="I916" t="s">
        <v>479</v>
      </c>
      <c r="J916" t="s">
        <v>14</v>
      </c>
      <c r="K916" t="s">
        <v>13</v>
      </c>
      <c r="L916" t="s">
        <v>64</v>
      </c>
      <c r="M916" t="s">
        <v>11</v>
      </c>
      <c r="N916" t="s">
        <v>10</v>
      </c>
      <c r="O916" t="s">
        <v>26</v>
      </c>
      <c r="P916" t="s">
        <v>39</v>
      </c>
      <c r="Q916" t="s">
        <v>7</v>
      </c>
      <c r="R916" t="s">
        <v>6</v>
      </c>
      <c r="S916" t="s">
        <v>99</v>
      </c>
      <c r="T916">
        <v>4</v>
      </c>
      <c r="U916">
        <v>106</v>
      </c>
      <c r="V916" t="s">
        <v>0</v>
      </c>
      <c r="W916" t="s">
        <v>5</v>
      </c>
      <c r="X916" t="s">
        <v>0</v>
      </c>
      <c r="Y916" t="s">
        <v>4</v>
      </c>
      <c r="Z916" t="s">
        <v>0</v>
      </c>
      <c r="AA916">
        <v>0</v>
      </c>
      <c r="AB916">
        <v>0</v>
      </c>
      <c r="AC916">
        <v>0</v>
      </c>
      <c r="AD916" t="s">
        <v>37</v>
      </c>
      <c r="AE916" t="s">
        <v>5</v>
      </c>
      <c r="AF916" t="s">
        <v>37</v>
      </c>
      <c r="AG916" t="s">
        <v>36</v>
      </c>
      <c r="AH916">
        <v>20</v>
      </c>
      <c r="AI916" t="s">
        <v>23</v>
      </c>
      <c r="AJ916">
        <v>4</v>
      </c>
      <c r="AK916">
        <v>64</v>
      </c>
      <c r="AL916" t="s">
        <v>1615</v>
      </c>
      <c r="AM916" t="s">
        <v>5</v>
      </c>
      <c r="AN916">
        <v>1</v>
      </c>
      <c r="AO916">
        <v>0</v>
      </c>
      <c r="AP916">
        <v>0</v>
      </c>
      <c r="AQ916">
        <v>1</v>
      </c>
    </row>
    <row r="917" spans="1:43" x14ac:dyDescent="0.25">
      <c r="A917" t="s">
        <v>1629</v>
      </c>
      <c r="B917" t="s">
        <v>1628</v>
      </c>
      <c r="C917" t="s">
        <v>1627</v>
      </c>
      <c r="D917" s="1">
        <v>45707</v>
      </c>
      <c r="E917" t="s">
        <v>156</v>
      </c>
      <c r="F917" t="s">
        <v>155</v>
      </c>
      <c r="G917" t="s">
        <v>17</v>
      </c>
      <c r="H917" t="s">
        <v>43</v>
      </c>
      <c r="I917" t="s">
        <v>28</v>
      </c>
      <c r="J917" t="s">
        <v>55</v>
      </c>
      <c r="K917" t="s">
        <v>54</v>
      </c>
      <c r="L917" t="s">
        <v>117</v>
      </c>
      <c r="M917" t="s">
        <v>27</v>
      </c>
      <c r="N917" t="s">
        <v>52</v>
      </c>
      <c r="O917" t="s">
        <v>9</v>
      </c>
      <c r="P917" t="s">
        <v>39</v>
      </c>
      <c r="Q917" t="s">
        <v>7</v>
      </c>
      <c r="R917" t="s">
        <v>6</v>
      </c>
      <c r="S917">
        <v>7</v>
      </c>
      <c r="T917">
        <v>4</v>
      </c>
      <c r="U917">
        <v>285</v>
      </c>
      <c r="V917" t="s">
        <v>5</v>
      </c>
      <c r="W917" t="s">
        <v>181</v>
      </c>
      <c r="X917" t="s">
        <v>0</v>
      </c>
      <c r="Y917" t="s">
        <v>4</v>
      </c>
      <c r="Z917" t="s">
        <v>0</v>
      </c>
      <c r="AA917">
        <v>0</v>
      </c>
      <c r="AB917">
        <v>0</v>
      </c>
      <c r="AC917">
        <v>0</v>
      </c>
      <c r="AD917" t="s">
        <v>3</v>
      </c>
      <c r="AE917" t="s">
        <v>0</v>
      </c>
      <c r="AF917" t="s">
        <v>3</v>
      </c>
      <c r="AG917" t="s">
        <v>2</v>
      </c>
      <c r="AI917" t="s">
        <v>1</v>
      </c>
      <c r="AJ917">
        <v>1</v>
      </c>
      <c r="AK917">
        <v>4</v>
      </c>
      <c r="AL917">
        <v>2</v>
      </c>
      <c r="AM917" t="s">
        <v>5</v>
      </c>
      <c r="AN917">
        <v>0</v>
      </c>
      <c r="AO917">
        <v>0</v>
      </c>
      <c r="AP917">
        <v>0</v>
      </c>
      <c r="AQ917">
        <v>1</v>
      </c>
    </row>
    <row r="918" spans="1:43" x14ac:dyDescent="0.25">
      <c r="A918" t="s">
        <v>1626</v>
      </c>
      <c r="B918" t="s">
        <v>1625</v>
      </c>
      <c r="C918" t="s">
        <v>1624</v>
      </c>
      <c r="D918" s="1">
        <v>45758</v>
      </c>
      <c r="E918" t="s">
        <v>32</v>
      </c>
      <c r="F918" t="s">
        <v>107</v>
      </c>
      <c r="G918" t="s">
        <v>30</v>
      </c>
      <c r="H918" t="s">
        <v>29</v>
      </c>
      <c r="I918" t="s">
        <v>15</v>
      </c>
      <c r="J918" t="s">
        <v>55</v>
      </c>
      <c r="K918" t="s">
        <v>65</v>
      </c>
      <c r="L918" t="s">
        <v>88</v>
      </c>
      <c r="M918" t="s">
        <v>299</v>
      </c>
      <c r="N918" t="s">
        <v>269</v>
      </c>
      <c r="O918" t="s">
        <v>74</v>
      </c>
      <c r="P918" t="s">
        <v>39</v>
      </c>
      <c r="Q918" t="s">
        <v>7</v>
      </c>
      <c r="R918" t="s">
        <v>6</v>
      </c>
      <c r="S918">
        <v>6</v>
      </c>
      <c r="T918">
        <v>6</v>
      </c>
      <c r="U918">
        <v>114</v>
      </c>
      <c r="V918" t="s">
        <v>0</v>
      </c>
      <c r="W918" t="s">
        <v>5</v>
      </c>
      <c r="X918" t="s">
        <v>0</v>
      </c>
      <c r="Y918" t="s">
        <v>4</v>
      </c>
      <c r="Z918" t="s">
        <v>5</v>
      </c>
      <c r="AA918">
        <v>0</v>
      </c>
      <c r="AB918">
        <v>0</v>
      </c>
      <c r="AC918">
        <v>0</v>
      </c>
      <c r="AD918" t="s">
        <v>436</v>
      </c>
      <c r="AE918" t="s">
        <v>5</v>
      </c>
      <c r="AF918" t="s">
        <v>436</v>
      </c>
      <c r="AG918" t="s">
        <v>36</v>
      </c>
      <c r="AH918">
        <v>31</v>
      </c>
      <c r="AI918" t="s">
        <v>23</v>
      </c>
      <c r="AJ918">
        <v>3</v>
      </c>
      <c r="AK918">
        <v>14</v>
      </c>
      <c r="AL918">
        <v>1</v>
      </c>
      <c r="AM918" t="s">
        <v>5</v>
      </c>
      <c r="AN918">
        <v>1</v>
      </c>
      <c r="AO918">
        <v>1</v>
      </c>
      <c r="AP918">
        <v>0</v>
      </c>
      <c r="AQ918">
        <v>1</v>
      </c>
    </row>
    <row r="919" spans="1:43" x14ac:dyDescent="0.25">
      <c r="A919" t="s">
        <v>1623</v>
      </c>
      <c r="B919" t="s">
        <v>1622</v>
      </c>
      <c r="C919" t="s">
        <v>1621</v>
      </c>
      <c r="D919" s="1">
        <v>46081</v>
      </c>
      <c r="E919" t="s">
        <v>79</v>
      </c>
      <c r="F919" t="s">
        <v>78</v>
      </c>
      <c r="G919" t="s">
        <v>56</v>
      </c>
      <c r="H919" t="s">
        <v>77</v>
      </c>
      <c r="I919" t="s">
        <v>28</v>
      </c>
      <c r="J919" t="s">
        <v>55</v>
      </c>
      <c r="K919" t="s">
        <v>54</v>
      </c>
      <c r="L919" t="s">
        <v>42</v>
      </c>
      <c r="M919" t="s">
        <v>53</v>
      </c>
      <c r="N919" t="s">
        <v>52</v>
      </c>
      <c r="O919" t="s">
        <v>74</v>
      </c>
      <c r="P919" t="s">
        <v>39</v>
      </c>
      <c r="Q919" t="s">
        <v>7</v>
      </c>
      <c r="R919" t="s">
        <v>6</v>
      </c>
      <c r="S919">
        <v>6</v>
      </c>
      <c r="T919">
        <v>6</v>
      </c>
      <c r="U919">
        <v>167</v>
      </c>
      <c r="V919" t="s">
        <v>0</v>
      </c>
      <c r="W919" t="s">
        <v>5</v>
      </c>
      <c r="X919" t="s">
        <v>0</v>
      </c>
      <c r="Y919" t="s">
        <v>4</v>
      </c>
      <c r="Z919" t="s">
        <v>5</v>
      </c>
      <c r="AA919">
        <v>21.43</v>
      </c>
      <c r="AB919">
        <v>0</v>
      </c>
      <c r="AC919">
        <v>0.17</v>
      </c>
      <c r="AD919" t="s">
        <v>3</v>
      </c>
      <c r="AE919" t="s">
        <v>0</v>
      </c>
      <c r="AF919" t="s">
        <v>3</v>
      </c>
      <c r="AG919" t="s">
        <v>2</v>
      </c>
      <c r="AI919" t="s">
        <v>23</v>
      </c>
      <c r="AJ919">
        <v>5</v>
      </c>
      <c r="AK919">
        <v>42</v>
      </c>
      <c r="AL919">
        <v>12</v>
      </c>
      <c r="AM919" t="s">
        <v>5</v>
      </c>
      <c r="AN919">
        <v>1</v>
      </c>
      <c r="AO919">
        <v>1</v>
      </c>
      <c r="AP919">
        <v>0</v>
      </c>
      <c r="AQ919">
        <v>1</v>
      </c>
    </row>
    <row r="920" spans="1:43" x14ac:dyDescent="0.25">
      <c r="A920" t="s">
        <v>1620</v>
      </c>
      <c r="B920" t="s">
        <v>732</v>
      </c>
      <c r="C920" t="s">
        <v>1619</v>
      </c>
      <c r="D920" s="1">
        <v>45660</v>
      </c>
      <c r="E920" t="s">
        <v>79</v>
      </c>
      <c r="F920" t="s">
        <v>78</v>
      </c>
      <c r="G920" t="s">
        <v>123</v>
      </c>
      <c r="H920" t="s">
        <v>16</v>
      </c>
      <c r="I920" t="s">
        <v>147</v>
      </c>
      <c r="J920" t="s">
        <v>146</v>
      </c>
      <c r="K920" t="s">
        <v>145</v>
      </c>
      <c r="L920" t="s">
        <v>88</v>
      </c>
      <c r="M920" t="s">
        <v>53</v>
      </c>
      <c r="N920" t="s">
        <v>52</v>
      </c>
      <c r="O920" t="s">
        <v>193</v>
      </c>
      <c r="P920" t="s">
        <v>63</v>
      </c>
      <c r="Q920" t="s">
        <v>50</v>
      </c>
      <c r="R920" t="s">
        <v>38</v>
      </c>
      <c r="S920">
        <v>9</v>
      </c>
      <c r="T920">
        <v>9</v>
      </c>
      <c r="U920">
        <v>215</v>
      </c>
      <c r="V920" t="s">
        <v>0</v>
      </c>
      <c r="W920" t="s">
        <v>0</v>
      </c>
      <c r="X920" t="s">
        <v>181</v>
      </c>
      <c r="Y920" t="s">
        <v>4</v>
      </c>
      <c r="Z920" t="s">
        <v>0</v>
      </c>
      <c r="AA920">
        <v>0</v>
      </c>
      <c r="AB920">
        <v>0</v>
      </c>
      <c r="AC920">
        <v>0</v>
      </c>
      <c r="AD920" t="s">
        <v>3</v>
      </c>
      <c r="AE920" t="s">
        <v>0</v>
      </c>
      <c r="AF920" t="s">
        <v>3</v>
      </c>
      <c r="AG920" t="s">
        <v>2</v>
      </c>
      <c r="AI920" t="s">
        <v>23</v>
      </c>
      <c r="AJ920">
        <v>4</v>
      </c>
      <c r="AK920">
        <v>31</v>
      </c>
      <c r="AL920">
        <v>0</v>
      </c>
      <c r="AM920" t="s">
        <v>5</v>
      </c>
      <c r="AN920">
        <v>0</v>
      </c>
      <c r="AO920">
        <v>0</v>
      </c>
      <c r="AP920">
        <v>0</v>
      </c>
      <c r="AQ920">
        <v>1</v>
      </c>
    </row>
    <row r="921" spans="1:43" x14ac:dyDescent="0.25">
      <c r="A921" t="s">
        <v>1618</v>
      </c>
      <c r="B921" t="s">
        <v>1617</v>
      </c>
      <c r="C921" t="s">
        <v>1616</v>
      </c>
      <c r="D921" s="1">
        <v>45696</v>
      </c>
      <c r="E921" t="s">
        <v>125</v>
      </c>
      <c r="F921" t="s">
        <v>124</v>
      </c>
      <c r="G921" t="s">
        <v>56</v>
      </c>
      <c r="H921" t="s">
        <v>29</v>
      </c>
      <c r="I921" t="s">
        <v>28</v>
      </c>
      <c r="J921" t="s">
        <v>146</v>
      </c>
      <c r="K921" t="s">
        <v>145</v>
      </c>
      <c r="L921" t="s">
        <v>64</v>
      </c>
      <c r="M921" t="s">
        <v>11</v>
      </c>
      <c r="N921" t="s">
        <v>52</v>
      </c>
      <c r="O921" t="s">
        <v>26</v>
      </c>
      <c r="P921" t="s">
        <v>8</v>
      </c>
      <c r="Q921" t="s">
        <v>50</v>
      </c>
      <c r="R921" t="s">
        <v>38</v>
      </c>
      <c r="S921">
        <v>4</v>
      </c>
      <c r="T921">
        <v>4</v>
      </c>
      <c r="U921">
        <v>97</v>
      </c>
      <c r="V921" t="s">
        <v>0</v>
      </c>
      <c r="W921" t="s">
        <v>5</v>
      </c>
      <c r="X921" t="s">
        <v>0</v>
      </c>
      <c r="Y921" t="s">
        <v>4</v>
      </c>
      <c r="Z921" t="s">
        <v>5</v>
      </c>
      <c r="AA921">
        <v>145.34</v>
      </c>
      <c r="AB921">
        <v>0.21</v>
      </c>
      <c r="AC921">
        <v>0</v>
      </c>
      <c r="AD921" t="s">
        <v>3</v>
      </c>
      <c r="AE921" t="s">
        <v>0</v>
      </c>
      <c r="AF921" t="s">
        <v>3</v>
      </c>
      <c r="AG921" t="s">
        <v>2</v>
      </c>
      <c r="AI921" t="s">
        <v>23</v>
      </c>
      <c r="AJ921">
        <v>4</v>
      </c>
      <c r="AK921">
        <v>64</v>
      </c>
      <c r="AL921" t="s">
        <v>1615</v>
      </c>
      <c r="AM921" t="s">
        <v>0</v>
      </c>
      <c r="AN921">
        <v>1</v>
      </c>
      <c r="AO921">
        <v>1</v>
      </c>
      <c r="AP921">
        <v>0</v>
      </c>
      <c r="AQ921">
        <v>0</v>
      </c>
    </row>
    <row r="922" spans="1:43" x14ac:dyDescent="0.25">
      <c r="A922" t="s">
        <v>1614</v>
      </c>
      <c r="B922" t="s">
        <v>1613</v>
      </c>
      <c r="C922" t="s">
        <v>1612</v>
      </c>
      <c r="D922" s="1">
        <v>45742</v>
      </c>
      <c r="E922" t="s">
        <v>19</v>
      </c>
      <c r="F922" t="s">
        <v>255</v>
      </c>
      <c r="G922" t="s">
        <v>17</v>
      </c>
      <c r="H922" t="s">
        <v>29</v>
      </c>
      <c r="I922" t="s">
        <v>28</v>
      </c>
      <c r="J922" t="s">
        <v>14</v>
      </c>
      <c r="K922" t="s">
        <v>13</v>
      </c>
      <c r="L922" t="s">
        <v>64</v>
      </c>
      <c r="M922" t="s">
        <v>567</v>
      </c>
      <c r="N922" t="s">
        <v>10</v>
      </c>
      <c r="O922" t="s">
        <v>130</v>
      </c>
      <c r="P922" t="s">
        <v>8</v>
      </c>
      <c r="Q922" t="s">
        <v>100</v>
      </c>
      <c r="R922" t="s">
        <v>38</v>
      </c>
      <c r="S922">
        <v>5</v>
      </c>
      <c r="T922">
        <v>5</v>
      </c>
      <c r="U922">
        <v>149</v>
      </c>
      <c r="V922" t="s">
        <v>0</v>
      </c>
      <c r="W922" t="s">
        <v>5</v>
      </c>
      <c r="X922" t="s">
        <v>0</v>
      </c>
      <c r="Y922" t="s">
        <v>4</v>
      </c>
      <c r="Z922" t="s">
        <v>5</v>
      </c>
      <c r="AA922">
        <v>75.13</v>
      </c>
      <c r="AB922">
        <v>0</v>
      </c>
      <c r="AC922">
        <v>0.37</v>
      </c>
      <c r="AD922" t="s">
        <v>3</v>
      </c>
      <c r="AE922" t="s">
        <v>0</v>
      </c>
      <c r="AF922" t="s">
        <v>3</v>
      </c>
      <c r="AG922" t="s">
        <v>2</v>
      </c>
      <c r="AI922" t="s">
        <v>23</v>
      </c>
      <c r="AJ922">
        <v>5</v>
      </c>
      <c r="AK922">
        <v>55</v>
      </c>
      <c r="AL922" t="s">
        <v>440</v>
      </c>
      <c r="AM922" t="s">
        <v>5</v>
      </c>
      <c r="AN922">
        <v>1</v>
      </c>
      <c r="AO922">
        <v>1</v>
      </c>
      <c r="AP922">
        <v>0</v>
      </c>
      <c r="AQ922">
        <v>1</v>
      </c>
    </row>
    <row r="923" spans="1:43" x14ac:dyDescent="0.25">
      <c r="A923" t="s">
        <v>1238</v>
      </c>
      <c r="B923" t="s">
        <v>1237</v>
      </c>
      <c r="C923" t="s">
        <v>1236</v>
      </c>
      <c r="D923" s="1">
        <v>45855</v>
      </c>
      <c r="E923" t="s">
        <v>45</v>
      </c>
      <c r="F923" t="s">
        <v>44</v>
      </c>
      <c r="G923" t="s">
        <v>83</v>
      </c>
      <c r="H923" t="s">
        <v>66</v>
      </c>
      <c r="I923" t="s">
        <v>28</v>
      </c>
      <c r="J923" t="s">
        <v>55</v>
      </c>
      <c r="K923" t="s">
        <v>54</v>
      </c>
      <c r="L923" t="s">
        <v>117</v>
      </c>
      <c r="M923" t="s">
        <v>299</v>
      </c>
      <c r="N923" t="s">
        <v>269</v>
      </c>
      <c r="O923" t="s">
        <v>130</v>
      </c>
      <c r="P923" t="s">
        <v>39</v>
      </c>
      <c r="Q923" t="s">
        <v>172</v>
      </c>
      <c r="R923" t="s">
        <v>6</v>
      </c>
      <c r="S923">
        <v>5</v>
      </c>
      <c r="T923">
        <v>5</v>
      </c>
      <c r="U923">
        <v>93</v>
      </c>
      <c r="V923" t="s">
        <v>247</v>
      </c>
      <c r="W923" t="s">
        <v>5</v>
      </c>
      <c r="X923" t="s">
        <v>0</v>
      </c>
      <c r="Y923" t="s">
        <v>4</v>
      </c>
      <c r="Z923" t="s">
        <v>5</v>
      </c>
      <c r="AA923">
        <v>76.349999999999994</v>
      </c>
      <c r="AB923">
        <v>0</v>
      </c>
      <c r="AC923">
        <v>0</v>
      </c>
      <c r="AD923" t="s">
        <v>3</v>
      </c>
      <c r="AE923" t="s">
        <v>0</v>
      </c>
      <c r="AF923" t="s">
        <v>3</v>
      </c>
      <c r="AG923" t="s">
        <v>2</v>
      </c>
      <c r="AI923" t="s">
        <v>23</v>
      </c>
      <c r="AJ923">
        <v>5</v>
      </c>
      <c r="AK923">
        <v>-12</v>
      </c>
      <c r="AL923">
        <v>37</v>
      </c>
      <c r="AM923" t="s">
        <v>5</v>
      </c>
      <c r="AN923">
        <v>1</v>
      </c>
      <c r="AO923">
        <v>1</v>
      </c>
      <c r="AP923">
        <v>0</v>
      </c>
      <c r="AQ923">
        <v>1</v>
      </c>
    </row>
    <row r="924" spans="1:43" x14ac:dyDescent="0.25">
      <c r="A924" t="s">
        <v>1611</v>
      </c>
      <c r="B924" t="s">
        <v>1610</v>
      </c>
      <c r="C924" t="s">
        <v>1609</v>
      </c>
      <c r="D924" s="1">
        <v>45683</v>
      </c>
      <c r="E924" t="s">
        <v>45</v>
      </c>
      <c r="F924" t="s">
        <v>57</v>
      </c>
      <c r="G924" t="s">
        <v>17</v>
      </c>
      <c r="H924" t="s">
        <v>43</v>
      </c>
      <c r="I924" t="s">
        <v>15</v>
      </c>
      <c r="J924" t="s">
        <v>55</v>
      </c>
      <c r="K924" t="s">
        <v>54</v>
      </c>
      <c r="L924" t="s">
        <v>64</v>
      </c>
      <c r="M924" t="s">
        <v>11</v>
      </c>
      <c r="N924" t="s">
        <v>269</v>
      </c>
      <c r="O924" t="s">
        <v>51</v>
      </c>
      <c r="P924" t="s">
        <v>39</v>
      </c>
      <c r="Q924" t="s">
        <v>24</v>
      </c>
      <c r="R924" t="s">
        <v>38</v>
      </c>
      <c r="S924">
        <v>6</v>
      </c>
      <c r="T924">
        <v>6</v>
      </c>
      <c r="U924">
        <v>181</v>
      </c>
      <c r="V924" t="s">
        <v>0</v>
      </c>
      <c r="W924" t="s">
        <v>0</v>
      </c>
      <c r="X924" t="s">
        <v>0</v>
      </c>
      <c r="Y924" t="s">
        <v>4</v>
      </c>
      <c r="Z924" t="s">
        <v>0</v>
      </c>
      <c r="AA924">
        <v>0</v>
      </c>
      <c r="AB924">
        <v>0</v>
      </c>
      <c r="AC924">
        <v>0</v>
      </c>
      <c r="AD924" t="s">
        <v>3</v>
      </c>
      <c r="AE924" t="s">
        <v>0</v>
      </c>
      <c r="AF924" t="s">
        <v>3</v>
      </c>
      <c r="AG924" t="s">
        <v>2</v>
      </c>
      <c r="AI924" t="s">
        <v>332</v>
      </c>
      <c r="AJ924">
        <v>4</v>
      </c>
      <c r="AK924">
        <v>23</v>
      </c>
      <c r="AL924">
        <v>38</v>
      </c>
      <c r="AM924" t="s">
        <v>0</v>
      </c>
      <c r="AN924">
        <v>0</v>
      </c>
      <c r="AO924">
        <v>0</v>
      </c>
      <c r="AP924">
        <v>0</v>
      </c>
      <c r="AQ924">
        <v>0</v>
      </c>
    </row>
    <row r="925" spans="1:43" x14ac:dyDescent="0.25">
      <c r="A925" t="s">
        <v>1608</v>
      </c>
      <c r="B925" t="s">
        <v>1607</v>
      </c>
      <c r="C925" t="s">
        <v>1606</v>
      </c>
      <c r="D925" s="1">
        <v>46039</v>
      </c>
      <c r="E925" t="s">
        <v>149</v>
      </c>
      <c r="F925" t="s">
        <v>148</v>
      </c>
      <c r="G925" t="s">
        <v>17</v>
      </c>
      <c r="H925" t="s">
        <v>77</v>
      </c>
      <c r="I925" t="s">
        <v>15</v>
      </c>
      <c r="J925" t="s">
        <v>14</v>
      </c>
      <c r="K925" t="s">
        <v>76</v>
      </c>
      <c r="L925" t="s">
        <v>88</v>
      </c>
      <c r="M925" t="s">
        <v>11</v>
      </c>
      <c r="N925" t="s">
        <v>93</v>
      </c>
      <c r="O925" t="s">
        <v>26</v>
      </c>
      <c r="P925" t="s">
        <v>25</v>
      </c>
      <c r="Q925" t="s">
        <v>7</v>
      </c>
      <c r="R925" t="s">
        <v>6</v>
      </c>
      <c r="S925">
        <v>99</v>
      </c>
      <c r="T925">
        <v>4</v>
      </c>
      <c r="U925">
        <v>124</v>
      </c>
      <c r="V925" t="s">
        <v>0</v>
      </c>
      <c r="W925" t="s">
        <v>5</v>
      </c>
      <c r="X925" t="s">
        <v>0</v>
      </c>
      <c r="Y925" t="s">
        <v>4</v>
      </c>
      <c r="Z925" t="s">
        <v>5</v>
      </c>
      <c r="AA925">
        <v>182.47</v>
      </c>
      <c r="AB925">
        <v>0.22</v>
      </c>
      <c r="AC925">
        <v>0</v>
      </c>
      <c r="AD925" t="s">
        <v>3</v>
      </c>
      <c r="AE925" t="s">
        <v>0</v>
      </c>
      <c r="AF925" t="s">
        <v>3</v>
      </c>
      <c r="AG925" t="s">
        <v>2</v>
      </c>
      <c r="AI925" t="s">
        <v>23</v>
      </c>
      <c r="AJ925">
        <v>5</v>
      </c>
      <c r="AK925">
        <v>13</v>
      </c>
      <c r="AL925">
        <v>59</v>
      </c>
      <c r="AM925" t="s">
        <v>0</v>
      </c>
      <c r="AN925">
        <v>1</v>
      </c>
      <c r="AO925">
        <v>1</v>
      </c>
      <c r="AP925">
        <v>0</v>
      </c>
      <c r="AQ925">
        <v>0</v>
      </c>
    </row>
    <row r="926" spans="1:43" x14ac:dyDescent="0.25">
      <c r="A926" t="s">
        <v>1605</v>
      </c>
      <c r="B926" t="s">
        <v>21</v>
      </c>
      <c r="C926" t="s">
        <v>1604</v>
      </c>
      <c r="D926" s="1">
        <v>45830</v>
      </c>
      <c r="E926" t="s">
        <v>19</v>
      </c>
      <c r="F926" t="s">
        <v>89</v>
      </c>
      <c r="G926" t="s">
        <v>30</v>
      </c>
      <c r="H926" t="s">
        <v>66</v>
      </c>
      <c r="I926" t="s">
        <v>28</v>
      </c>
      <c r="J926" t="s">
        <v>146</v>
      </c>
      <c r="K926" t="s">
        <v>176</v>
      </c>
      <c r="L926" t="s">
        <v>64</v>
      </c>
      <c r="M926" t="s">
        <v>27</v>
      </c>
      <c r="N926" t="s">
        <v>10</v>
      </c>
      <c r="O926" t="s">
        <v>199</v>
      </c>
      <c r="P926" t="s">
        <v>63</v>
      </c>
      <c r="Q926" t="s">
        <v>7</v>
      </c>
      <c r="R926" t="s">
        <v>6</v>
      </c>
      <c r="S926">
        <v>5</v>
      </c>
      <c r="T926">
        <v>4</v>
      </c>
      <c r="U926">
        <v>153</v>
      </c>
      <c r="V926" t="s">
        <v>5</v>
      </c>
      <c r="W926" t="s">
        <v>5</v>
      </c>
      <c r="X926" t="s">
        <v>0</v>
      </c>
      <c r="Y926" t="s">
        <v>4</v>
      </c>
      <c r="Z926" t="s">
        <v>5</v>
      </c>
      <c r="AA926">
        <v>85.96</v>
      </c>
      <c r="AB926">
        <v>0</v>
      </c>
      <c r="AC926">
        <v>0.37</v>
      </c>
      <c r="AD926" t="s">
        <v>3</v>
      </c>
      <c r="AE926" t="s">
        <v>0</v>
      </c>
      <c r="AF926" t="s">
        <v>3</v>
      </c>
      <c r="AG926" t="s">
        <v>2</v>
      </c>
      <c r="AI926" t="s">
        <v>23</v>
      </c>
      <c r="AJ926">
        <v>3</v>
      </c>
      <c r="AK926">
        <v>53</v>
      </c>
      <c r="AL926">
        <v>0</v>
      </c>
      <c r="AM926" t="s">
        <v>0</v>
      </c>
      <c r="AN926">
        <v>1</v>
      </c>
      <c r="AO926">
        <v>1</v>
      </c>
      <c r="AP926">
        <v>0</v>
      </c>
      <c r="AQ926">
        <v>0</v>
      </c>
    </row>
    <row r="927" spans="1:43" x14ac:dyDescent="0.25">
      <c r="A927" t="s">
        <v>1603</v>
      </c>
      <c r="B927" t="s">
        <v>1602</v>
      </c>
      <c r="C927" t="s">
        <v>1601</v>
      </c>
      <c r="D927" s="1">
        <v>45969</v>
      </c>
      <c r="E927" t="s">
        <v>68</v>
      </c>
      <c r="F927" t="s">
        <v>67</v>
      </c>
      <c r="G927" t="s">
        <v>30</v>
      </c>
      <c r="H927" t="s">
        <v>77</v>
      </c>
      <c r="I927" t="s">
        <v>28</v>
      </c>
      <c r="J927" t="s">
        <v>146</v>
      </c>
      <c r="K927" t="s">
        <v>145</v>
      </c>
      <c r="L927" t="s">
        <v>88</v>
      </c>
      <c r="M927" t="s">
        <v>27</v>
      </c>
      <c r="N927" t="s">
        <v>93</v>
      </c>
      <c r="O927" t="s">
        <v>40</v>
      </c>
      <c r="P927" t="s">
        <v>63</v>
      </c>
      <c r="Q927" t="s">
        <v>100</v>
      </c>
      <c r="R927" t="s">
        <v>6</v>
      </c>
      <c r="S927">
        <v>8</v>
      </c>
      <c r="T927">
        <v>4</v>
      </c>
      <c r="U927">
        <v>255</v>
      </c>
      <c r="V927" t="s">
        <v>5</v>
      </c>
      <c r="W927" t="s">
        <v>0</v>
      </c>
      <c r="X927" t="s">
        <v>5</v>
      </c>
      <c r="Y927" t="s">
        <v>489</v>
      </c>
      <c r="Z927" t="s">
        <v>0</v>
      </c>
      <c r="AA927">
        <v>0</v>
      </c>
      <c r="AB927">
        <v>0</v>
      </c>
      <c r="AC927">
        <v>0</v>
      </c>
      <c r="AD927" t="s">
        <v>436</v>
      </c>
      <c r="AE927" t="s">
        <v>5</v>
      </c>
      <c r="AF927" t="s">
        <v>436</v>
      </c>
      <c r="AG927" t="s">
        <v>36</v>
      </c>
      <c r="AH927">
        <v>38</v>
      </c>
      <c r="AI927" t="s">
        <v>122</v>
      </c>
      <c r="AJ927">
        <v>1</v>
      </c>
      <c r="AK927">
        <v>-73</v>
      </c>
      <c r="AL927">
        <v>0</v>
      </c>
      <c r="AM927" t="s">
        <v>0</v>
      </c>
      <c r="AN927">
        <v>0</v>
      </c>
      <c r="AO927">
        <v>0</v>
      </c>
      <c r="AP927">
        <v>1</v>
      </c>
      <c r="AQ927">
        <v>0</v>
      </c>
    </row>
    <row r="928" spans="1:43" x14ac:dyDescent="0.25">
      <c r="A928" t="s">
        <v>1600</v>
      </c>
      <c r="B928" t="s">
        <v>532</v>
      </c>
      <c r="C928" t="s">
        <v>1599</v>
      </c>
      <c r="D928" s="1">
        <v>46156</v>
      </c>
      <c r="E928" t="s">
        <v>79</v>
      </c>
      <c r="F928" t="s">
        <v>102</v>
      </c>
      <c r="G928" t="s">
        <v>17</v>
      </c>
      <c r="H928" t="s">
        <v>16</v>
      </c>
      <c r="I928" t="s">
        <v>15</v>
      </c>
      <c r="J928" t="s">
        <v>14</v>
      </c>
      <c r="K928" t="s">
        <v>13</v>
      </c>
      <c r="L928" t="s">
        <v>12</v>
      </c>
      <c r="M928" t="s">
        <v>11</v>
      </c>
      <c r="N928" t="s">
        <v>41</v>
      </c>
      <c r="O928" t="s">
        <v>87</v>
      </c>
      <c r="P928" t="s">
        <v>63</v>
      </c>
      <c r="Q928" t="s">
        <v>100</v>
      </c>
      <c r="R928" t="s">
        <v>38</v>
      </c>
      <c r="S928">
        <v>5</v>
      </c>
      <c r="T928">
        <v>5</v>
      </c>
      <c r="U928">
        <v>143</v>
      </c>
      <c r="V928" t="s">
        <v>0</v>
      </c>
      <c r="W928" t="s">
        <v>0</v>
      </c>
      <c r="X928" t="s">
        <v>5</v>
      </c>
      <c r="Y928" t="s">
        <v>1598</v>
      </c>
      <c r="Z928" t="s">
        <v>0</v>
      </c>
      <c r="AA928">
        <v>0</v>
      </c>
      <c r="AB928">
        <v>0</v>
      </c>
      <c r="AC928">
        <v>0</v>
      </c>
      <c r="AD928" t="s">
        <v>61</v>
      </c>
      <c r="AE928" t="s">
        <v>5</v>
      </c>
      <c r="AF928" t="s">
        <v>61</v>
      </c>
      <c r="AG928" t="s">
        <v>36</v>
      </c>
      <c r="AH928">
        <v>37</v>
      </c>
      <c r="AI928" t="s">
        <v>23</v>
      </c>
      <c r="AJ928">
        <v>3</v>
      </c>
      <c r="AK928">
        <v>21</v>
      </c>
      <c r="AL928">
        <v>0</v>
      </c>
      <c r="AM928" t="s">
        <v>0</v>
      </c>
      <c r="AN928">
        <v>0</v>
      </c>
      <c r="AO928">
        <v>0</v>
      </c>
      <c r="AP928">
        <v>1</v>
      </c>
      <c r="AQ928">
        <v>0</v>
      </c>
    </row>
    <row r="929" spans="1:43" x14ac:dyDescent="0.25">
      <c r="A929" t="s">
        <v>1597</v>
      </c>
      <c r="B929" t="s">
        <v>1596</v>
      </c>
      <c r="C929" t="s">
        <v>1595</v>
      </c>
      <c r="D929" s="1">
        <v>45696</v>
      </c>
      <c r="E929" t="s">
        <v>79</v>
      </c>
      <c r="F929" t="s">
        <v>102</v>
      </c>
      <c r="G929" t="s">
        <v>110</v>
      </c>
      <c r="H929" t="s">
        <v>43</v>
      </c>
      <c r="I929" t="s">
        <v>28</v>
      </c>
      <c r="J929" t="s">
        <v>146</v>
      </c>
      <c r="K929" t="s">
        <v>145</v>
      </c>
      <c r="L929" t="s">
        <v>88</v>
      </c>
      <c r="M929" t="s">
        <v>11</v>
      </c>
      <c r="N929" t="s">
        <v>93</v>
      </c>
      <c r="O929" t="s">
        <v>26</v>
      </c>
      <c r="P929" t="s">
        <v>63</v>
      </c>
      <c r="Q929" t="s">
        <v>7</v>
      </c>
      <c r="R929" t="s">
        <v>6</v>
      </c>
      <c r="S929">
        <v>4</v>
      </c>
      <c r="T929">
        <v>4</v>
      </c>
      <c r="U929">
        <v>75</v>
      </c>
      <c r="V929" t="s">
        <v>0</v>
      </c>
      <c r="W929" t="s">
        <v>5</v>
      </c>
      <c r="X929" t="s">
        <v>0</v>
      </c>
      <c r="Y929" t="s">
        <v>4</v>
      </c>
      <c r="Z929" t="s">
        <v>0</v>
      </c>
      <c r="AA929">
        <v>0</v>
      </c>
      <c r="AB929">
        <v>0</v>
      </c>
      <c r="AC929">
        <v>0</v>
      </c>
      <c r="AD929" t="s">
        <v>3</v>
      </c>
      <c r="AE929" t="s">
        <v>0</v>
      </c>
      <c r="AF929" t="s">
        <v>3</v>
      </c>
      <c r="AG929" t="s">
        <v>2</v>
      </c>
      <c r="AI929" t="s">
        <v>23</v>
      </c>
      <c r="AJ929">
        <v>5</v>
      </c>
      <c r="AK929">
        <v>66</v>
      </c>
      <c r="AL929" t="s">
        <v>347</v>
      </c>
      <c r="AM929" t="s">
        <v>5</v>
      </c>
      <c r="AN929">
        <v>1</v>
      </c>
      <c r="AO929">
        <v>0</v>
      </c>
      <c r="AP929">
        <v>0</v>
      </c>
      <c r="AQ929">
        <v>1</v>
      </c>
    </row>
    <row r="930" spans="1:43" x14ac:dyDescent="0.25">
      <c r="A930" t="s">
        <v>1594</v>
      </c>
      <c r="B930" t="s">
        <v>1593</v>
      </c>
      <c r="C930" t="s">
        <v>1592</v>
      </c>
      <c r="D930" s="1">
        <v>45924</v>
      </c>
      <c r="E930" t="s">
        <v>68</v>
      </c>
      <c r="F930" t="s">
        <v>243</v>
      </c>
      <c r="G930" t="s">
        <v>56</v>
      </c>
      <c r="H930" t="s">
        <v>77</v>
      </c>
      <c r="I930" t="s">
        <v>15</v>
      </c>
      <c r="J930" t="s">
        <v>55</v>
      </c>
      <c r="K930" t="s">
        <v>54</v>
      </c>
      <c r="L930" t="s">
        <v>117</v>
      </c>
      <c r="M930" t="s">
        <v>11</v>
      </c>
      <c r="N930" t="s">
        <v>41</v>
      </c>
      <c r="O930" t="s">
        <v>130</v>
      </c>
      <c r="P930" t="s">
        <v>39</v>
      </c>
      <c r="Q930" t="s">
        <v>7</v>
      </c>
      <c r="R930" t="s">
        <v>6</v>
      </c>
      <c r="S930" t="s">
        <v>277</v>
      </c>
      <c r="T930">
        <v>5</v>
      </c>
      <c r="U930">
        <v>95</v>
      </c>
      <c r="V930" t="s">
        <v>0</v>
      </c>
      <c r="W930" t="s">
        <v>5</v>
      </c>
      <c r="X930" t="s">
        <v>0</v>
      </c>
      <c r="Y930" t="s">
        <v>4</v>
      </c>
      <c r="Z930" t="s">
        <v>5</v>
      </c>
      <c r="AA930">
        <v>71.650000000000006</v>
      </c>
      <c r="AB930">
        <v>0</v>
      </c>
      <c r="AC930">
        <v>0</v>
      </c>
      <c r="AD930" t="s">
        <v>3</v>
      </c>
      <c r="AE930" t="s">
        <v>0</v>
      </c>
      <c r="AF930" t="s">
        <v>3</v>
      </c>
      <c r="AG930" t="s">
        <v>2</v>
      </c>
      <c r="AI930" t="s">
        <v>23</v>
      </c>
      <c r="AJ930">
        <v>4</v>
      </c>
      <c r="AK930">
        <v>11</v>
      </c>
      <c r="AL930">
        <v>24</v>
      </c>
      <c r="AM930" t="s">
        <v>5</v>
      </c>
      <c r="AN930">
        <v>1</v>
      </c>
      <c r="AO930">
        <v>1</v>
      </c>
      <c r="AP930">
        <v>0</v>
      </c>
      <c r="AQ930">
        <v>1</v>
      </c>
    </row>
    <row r="931" spans="1:43" x14ac:dyDescent="0.25">
      <c r="A931" t="s">
        <v>1591</v>
      </c>
      <c r="B931" t="s">
        <v>609</v>
      </c>
      <c r="C931" t="s">
        <v>1590</v>
      </c>
      <c r="D931" s="1">
        <v>46057</v>
      </c>
      <c r="E931" t="s">
        <v>162</v>
      </c>
      <c r="F931" t="s">
        <v>161</v>
      </c>
      <c r="G931" t="s">
        <v>17</v>
      </c>
      <c r="H931" t="s">
        <v>29</v>
      </c>
      <c r="I931" t="s">
        <v>28</v>
      </c>
      <c r="J931" t="s">
        <v>14</v>
      </c>
      <c r="K931" t="s">
        <v>13</v>
      </c>
      <c r="L931" t="s">
        <v>42</v>
      </c>
      <c r="M931" t="s">
        <v>11</v>
      </c>
      <c r="N931" t="s">
        <v>116</v>
      </c>
      <c r="O931" t="s">
        <v>40</v>
      </c>
      <c r="P931" t="s">
        <v>39</v>
      </c>
      <c r="Q931" t="s">
        <v>100</v>
      </c>
      <c r="R931" t="s">
        <v>6</v>
      </c>
      <c r="S931">
        <v>8</v>
      </c>
      <c r="T931">
        <v>4</v>
      </c>
      <c r="U931">
        <v>249</v>
      </c>
      <c r="V931" t="s">
        <v>5</v>
      </c>
      <c r="W931" t="s">
        <v>135</v>
      </c>
      <c r="X931" t="s">
        <v>0</v>
      </c>
      <c r="Y931" t="s">
        <v>4</v>
      </c>
      <c r="Z931" t="s">
        <v>5</v>
      </c>
      <c r="AA931">
        <v>398.87</v>
      </c>
      <c r="AB931">
        <v>2.85</v>
      </c>
      <c r="AC931">
        <v>0</v>
      </c>
      <c r="AD931" t="s">
        <v>61</v>
      </c>
      <c r="AE931" t="s">
        <v>5</v>
      </c>
      <c r="AF931" t="s">
        <v>61</v>
      </c>
      <c r="AG931" t="s">
        <v>36</v>
      </c>
      <c r="AH931">
        <v>38</v>
      </c>
      <c r="AI931" t="s">
        <v>332</v>
      </c>
      <c r="AJ931">
        <v>3</v>
      </c>
      <c r="AK931">
        <v>-44</v>
      </c>
      <c r="AL931">
        <v>61</v>
      </c>
      <c r="AM931" t="s">
        <v>0</v>
      </c>
      <c r="AN931">
        <v>0</v>
      </c>
      <c r="AO931">
        <v>1</v>
      </c>
      <c r="AP931">
        <v>0</v>
      </c>
      <c r="AQ931">
        <v>0</v>
      </c>
    </row>
    <row r="932" spans="1:43" x14ac:dyDescent="0.25">
      <c r="A932" t="s">
        <v>1589</v>
      </c>
      <c r="B932" t="s">
        <v>1588</v>
      </c>
      <c r="C932" t="s">
        <v>1587</v>
      </c>
      <c r="D932" s="1">
        <v>45855</v>
      </c>
      <c r="E932" t="s">
        <v>168</v>
      </c>
      <c r="F932" t="s">
        <v>283</v>
      </c>
      <c r="G932" t="s">
        <v>123</v>
      </c>
      <c r="H932" t="s">
        <v>77</v>
      </c>
      <c r="I932" t="s">
        <v>28</v>
      </c>
      <c r="J932" t="s">
        <v>55</v>
      </c>
      <c r="K932" t="s">
        <v>54</v>
      </c>
      <c r="L932" t="s">
        <v>88</v>
      </c>
      <c r="M932" t="s">
        <v>53</v>
      </c>
      <c r="N932" t="s">
        <v>75</v>
      </c>
      <c r="O932" t="s">
        <v>51</v>
      </c>
      <c r="P932" t="s">
        <v>39</v>
      </c>
      <c r="Q932" t="s">
        <v>7</v>
      </c>
      <c r="R932" t="s">
        <v>6</v>
      </c>
      <c r="S932">
        <v>6</v>
      </c>
      <c r="T932">
        <v>6</v>
      </c>
      <c r="U932">
        <v>109</v>
      </c>
      <c r="V932" t="s">
        <v>0</v>
      </c>
      <c r="W932" t="s">
        <v>0</v>
      </c>
      <c r="X932" t="s">
        <v>0</v>
      </c>
      <c r="Y932" t="s">
        <v>4</v>
      </c>
      <c r="Z932" t="s">
        <v>0</v>
      </c>
      <c r="AA932">
        <v>0</v>
      </c>
      <c r="AB932">
        <v>0</v>
      </c>
      <c r="AC932">
        <v>0</v>
      </c>
      <c r="AD932" t="s">
        <v>3</v>
      </c>
      <c r="AE932" t="s">
        <v>0</v>
      </c>
      <c r="AF932" t="s">
        <v>3</v>
      </c>
      <c r="AG932" t="s">
        <v>2</v>
      </c>
      <c r="AI932" t="s">
        <v>1</v>
      </c>
      <c r="AJ932">
        <v>4</v>
      </c>
      <c r="AK932">
        <v>0</v>
      </c>
      <c r="AL932">
        <v>24</v>
      </c>
      <c r="AM932" t="s">
        <v>5</v>
      </c>
      <c r="AN932">
        <v>0</v>
      </c>
      <c r="AO932">
        <v>0</v>
      </c>
      <c r="AP932">
        <v>0</v>
      </c>
      <c r="AQ932">
        <v>1</v>
      </c>
    </row>
    <row r="933" spans="1:43" x14ac:dyDescent="0.25">
      <c r="A933" t="s">
        <v>1586</v>
      </c>
      <c r="B933" t="s">
        <v>612</v>
      </c>
      <c r="C933" t="s">
        <v>1585</v>
      </c>
      <c r="D933" s="1">
        <v>45690</v>
      </c>
      <c r="E933" t="s">
        <v>19</v>
      </c>
      <c r="F933" t="s">
        <v>89</v>
      </c>
      <c r="G933" t="s">
        <v>56</v>
      </c>
      <c r="H933" t="s">
        <v>16</v>
      </c>
      <c r="I933" t="s">
        <v>28</v>
      </c>
      <c r="J933" t="s">
        <v>55</v>
      </c>
      <c r="K933" t="s">
        <v>54</v>
      </c>
      <c r="L933" t="s">
        <v>88</v>
      </c>
      <c r="M933" t="s">
        <v>53</v>
      </c>
      <c r="N933" t="s">
        <v>10</v>
      </c>
      <c r="O933" t="s">
        <v>87</v>
      </c>
      <c r="P933" t="s">
        <v>39</v>
      </c>
      <c r="Q933" t="s">
        <v>24</v>
      </c>
      <c r="R933" t="s">
        <v>6</v>
      </c>
      <c r="S933">
        <v>5</v>
      </c>
      <c r="T933">
        <v>5</v>
      </c>
      <c r="U933">
        <v>159</v>
      </c>
      <c r="V933" t="s">
        <v>0</v>
      </c>
      <c r="W933" t="s">
        <v>0</v>
      </c>
      <c r="X933" t="s">
        <v>0</v>
      </c>
      <c r="Y933" t="s">
        <v>4</v>
      </c>
      <c r="Z933" t="s">
        <v>0</v>
      </c>
      <c r="AA933">
        <v>0</v>
      </c>
      <c r="AB933">
        <v>0</v>
      </c>
      <c r="AC933">
        <v>0</v>
      </c>
      <c r="AD933" t="s">
        <v>3</v>
      </c>
      <c r="AE933" t="s">
        <v>0</v>
      </c>
      <c r="AF933" t="s">
        <v>3</v>
      </c>
      <c r="AG933" t="s">
        <v>2</v>
      </c>
      <c r="AI933" t="s">
        <v>23</v>
      </c>
      <c r="AJ933">
        <v>4</v>
      </c>
      <c r="AK933">
        <v>-48</v>
      </c>
      <c r="AL933">
        <v>11</v>
      </c>
      <c r="AM933" t="s">
        <v>0</v>
      </c>
      <c r="AN933">
        <v>0</v>
      </c>
      <c r="AO933">
        <v>0</v>
      </c>
      <c r="AP933">
        <v>0</v>
      </c>
      <c r="AQ933">
        <v>0</v>
      </c>
    </row>
    <row r="934" spans="1:43" x14ac:dyDescent="0.25">
      <c r="A934" t="s">
        <v>1584</v>
      </c>
      <c r="B934" t="s">
        <v>1333</v>
      </c>
      <c r="C934" t="s">
        <v>1583</v>
      </c>
      <c r="D934" s="1">
        <v>46162</v>
      </c>
      <c r="E934" t="s">
        <v>45</v>
      </c>
      <c r="F934" t="s">
        <v>670</v>
      </c>
      <c r="G934" t="s">
        <v>30</v>
      </c>
      <c r="H934" t="s">
        <v>77</v>
      </c>
      <c r="I934" t="s">
        <v>15</v>
      </c>
      <c r="J934" t="s">
        <v>146</v>
      </c>
      <c r="K934" t="s">
        <v>145</v>
      </c>
      <c r="L934" t="s">
        <v>42</v>
      </c>
      <c r="M934" t="s">
        <v>27</v>
      </c>
      <c r="N934" t="s">
        <v>10</v>
      </c>
      <c r="O934" t="s">
        <v>26</v>
      </c>
      <c r="P934" t="s">
        <v>63</v>
      </c>
      <c r="Q934" t="s">
        <v>100</v>
      </c>
      <c r="R934" t="s">
        <v>6</v>
      </c>
      <c r="S934">
        <v>4</v>
      </c>
      <c r="T934">
        <v>4</v>
      </c>
      <c r="U934">
        <v>106</v>
      </c>
      <c r="V934" t="s">
        <v>0</v>
      </c>
      <c r="W934" t="s">
        <v>0</v>
      </c>
      <c r="X934" t="s">
        <v>0</v>
      </c>
      <c r="Y934" t="s">
        <v>4</v>
      </c>
      <c r="Z934" t="s">
        <v>5</v>
      </c>
      <c r="AA934">
        <v>195.55</v>
      </c>
      <c r="AB934">
        <v>0.21</v>
      </c>
      <c r="AC934">
        <v>0.37</v>
      </c>
      <c r="AD934" t="s">
        <v>3</v>
      </c>
      <c r="AE934" t="s">
        <v>0</v>
      </c>
      <c r="AF934" t="s">
        <v>3</v>
      </c>
      <c r="AG934" t="s">
        <v>2</v>
      </c>
      <c r="AI934" t="s">
        <v>122</v>
      </c>
      <c r="AJ934">
        <v>3</v>
      </c>
      <c r="AK934">
        <v>23</v>
      </c>
      <c r="AL934">
        <v>0</v>
      </c>
      <c r="AM934" t="s">
        <v>0</v>
      </c>
      <c r="AN934">
        <v>0</v>
      </c>
      <c r="AO934">
        <v>1</v>
      </c>
      <c r="AP934">
        <v>0</v>
      </c>
      <c r="AQ934">
        <v>0</v>
      </c>
    </row>
    <row r="935" spans="1:43" x14ac:dyDescent="0.25">
      <c r="A935" t="s">
        <v>1582</v>
      </c>
      <c r="B935" t="s">
        <v>1581</v>
      </c>
      <c r="C935" t="s">
        <v>1580</v>
      </c>
      <c r="D935" s="1">
        <v>45679</v>
      </c>
      <c r="E935" t="s">
        <v>79</v>
      </c>
      <c r="F935" t="s">
        <v>102</v>
      </c>
      <c r="G935" t="s">
        <v>17</v>
      </c>
      <c r="H935" t="s">
        <v>29</v>
      </c>
      <c r="I935" t="s">
        <v>28</v>
      </c>
      <c r="J935" t="s">
        <v>55</v>
      </c>
      <c r="K935" t="s">
        <v>54</v>
      </c>
      <c r="L935" t="s">
        <v>64</v>
      </c>
      <c r="M935" t="s">
        <v>11</v>
      </c>
      <c r="N935" t="s">
        <v>154</v>
      </c>
      <c r="O935" t="s">
        <v>51</v>
      </c>
      <c r="P935" t="s">
        <v>8</v>
      </c>
      <c r="Q935" t="s">
        <v>100</v>
      </c>
      <c r="R935" t="s">
        <v>38</v>
      </c>
      <c r="S935">
        <v>6</v>
      </c>
      <c r="T935">
        <v>6</v>
      </c>
      <c r="U935">
        <v>184</v>
      </c>
      <c r="V935" t="s">
        <v>0</v>
      </c>
      <c r="W935" t="s">
        <v>5</v>
      </c>
      <c r="X935" t="s">
        <v>0</v>
      </c>
      <c r="Y935" t="s">
        <v>4</v>
      </c>
      <c r="Z935" t="s">
        <v>5</v>
      </c>
      <c r="AA935">
        <v>63.08</v>
      </c>
      <c r="AB935">
        <v>0.1</v>
      </c>
      <c r="AC935">
        <v>0</v>
      </c>
      <c r="AD935" t="s">
        <v>3</v>
      </c>
      <c r="AE935" t="s">
        <v>0</v>
      </c>
      <c r="AF935" t="s">
        <v>3</v>
      </c>
      <c r="AG935" t="s">
        <v>2</v>
      </c>
      <c r="AI935" t="s">
        <v>23</v>
      </c>
      <c r="AJ935">
        <v>4</v>
      </c>
      <c r="AK935">
        <v>5</v>
      </c>
      <c r="AL935">
        <v>26</v>
      </c>
      <c r="AM935" t="s">
        <v>5</v>
      </c>
      <c r="AN935">
        <v>1</v>
      </c>
      <c r="AO935">
        <v>1</v>
      </c>
      <c r="AP935">
        <v>0</v>
      </c>
      <c r="AQ935">
        <v>1</v>
      </c>
    </row>
    <row r="936" spans="1:43" x14ac:dyDescent="0.25">
      <c r="A936" t="s">
        <v>1579</v>
      </c>
      <c r="B936" t="s">
        <v>431</v>
      </c>
      <c r="C936" t="s">
        <v>1578</v>
      </c>
      <c r="D936" s="1">
        <v>45790</v>
      </c>
      <c r="E936" t="s">
        <v>112</v>
      </c>
      <c r="F936" t="s">
        <v>111</v>
      </c>
      <c r="G936" t="s">
        <v>110</v>
      </c>
      <c r="H936" t="s">
        <v>237</v>
      </c>
      <c r="I936" t="s">
        <v>15</v>
      </c>
      <c r="J936" t="s">
        <v>55</v>
      </c>
      <c r="K936" t="s">
        <v>54</v>
      </c>
      <c r="L936" t="s">
        <v>88</v>
      </c>
      <c r="M936" t="s">
        <v>53</v>
      </c>
      <c r="N936" t="s">
        <v>93</v>
      </c>
      <c r="O936" t="s">
        <v>193</v>
      </c>
      <c r="P936" t="s">
        <v>63</v>
      </c>
      <c r="Q936" t="s">
        <v>7</v>
      </c>
      <c r="R936" t="s">
        <v>6</v>
      </c>
      <c r="S936">
        <v>9</v>
      </c>
      <c r="T936">
        <v>9</v>
      </c>
      <c r="U936">
        <v>270</v>
      </c>
      <c r="V936" t="s">
        <v>0</v>
      </c>
      <c r="W936" t="s">
        <v>0</v>
      </c>
      <c r="X936" t="s">
        <v>0</v>
      </c>
      <c r="Y936" t="s">
        <v>4</v>
      </c>
      <c r="Z936" t="s">
        <v>0</v>
      </c>
      <c r="AA936">
        <v>0</v>
      </c>
      <c r="AB936">
        <v>0</v>
      </c>
      <c r="AC936">
        <v>0</v>
      </c>
      <c r="AD936" t="s">
        <v>3</v>
      </c>
      <c r="AE936" t="s">
        <v>0</v>
      </c>
      <c r="AF936" t="s">
        <v>3</v>
      </c>
      <c r="AG936" t="s">
        <v>2</v>
      </c>
      <c r="AI936" t="s">
        <v>23</v>
      </c>
      <c r="AJ936">
        <v>3</v>
      </c>
      <c r="AK936">
        <v>20</v>
      </c>
      <c r="AL936">
        <v>0</v>
      </c>
      <c r="AM936" t="s">
        <v>0</v>
      </c>
      <c r="AN936">
        <v>0</v>
      </c>
      <c r="AO936">
        <v>0</v>
      </c>
      <c r="AP936">
        <v>0</v>
      </c>
      <c r="AQ936">
        <v>0</v>
      </c>
    </row>
    <row r="937" spans="1:43" x14ac:dyDescent="0.25">
      <c r="A937" t="s">
        <v>1577</v>
      </c>
      <c r="B937" t="s">
        <v>764</v>
      </c>
      <c r="C937" t="s">
        <v>1576</v>
      </c>
      <c r="D937" s="1">
        <v>45853</v>
      </c>
      <c r="E937" t="s">
        <v>68</v>
      </c>
      <c r="F937" t="s">
        <v>67</v>
      </c>
      <c r="G937" t="s">
        <v>17</v>
      </c>
      <c r="H937" t="s">
        <v>77</v>
      </c>
      <c r="I937" t="s">
        <v>28</v>
      </c>
      <c r="J937" t="s">
        <v>146</v>
      </c>
      <c r="K937" t="s">
        <v>176</v>
      </c>
      <c r="L937" t="s">
        <v>42</v>
      </c>
      <c r="M937" t="s">
        <v>27</v>
      </c>
      <c r="N937" t="s">
        <v>75</v>
      </c>
      <c r="O937" t="s">
        <v>26</v>
      </c>
      <c r="P937" t="s">
        <v>39</v>
      </c>
      <c r="Q937" t="s">
        <v>7</v>
      </c>
      <c r="R937" t="s">
        <v>6</v>
      </c>
      <c r="S937">
        <v>4</v>
      </c>
      <c r="T937">
        <v>2</v>
      </c>
      <c r="U937">
        <v>126</v>
      </c>
      <c r="V937" t="s">
        <v>5</v>
      </c>
      <c r="W937" t="s">
        <v>5</v>
      </c>
      <c r="X937" t="s">
        <v>0</v>
      </c>
      <c r="Y937" t="s">
        <v>4</v>
      </c>
      <c r="Z937" t="s">
        <v>5</v>
      </c>
      <c r="AA937">
        <v>142.12</v>
      </c>
      <c r="AB937">
        <v>0.2</v>
      </c>
      <c r="AC937">
        <v>0.37</v>
      </c>
      <c r="AD937" t="s">
        <v>3</v>
      </c>
      <c r="AE937" t="s">
        <v>0</v>
      </c>
      <c r="AF937" t="s">
        <v>3</v>
      </c>
      <c r="AG937" t="s">
        <v>2</v>
      </c>
      <c r="AI937" t="s">
        <v>23</v>
      </c>
      <c r="AJ937">
        <v>4</v>
      </c>
      <c r="AK937">
        <v>5</v>
      </c>
      <c r="AL937">
        <v>40</v>
      </c>
      <c r="AM937" t="s">
        <v>5</v>
      </c>
      <c r="AN937">
        <v>1</v>
      </c>
      <c r="AO937">
        <v>1</v>
      </c>
      <c r="AP937">
        <v>0</v>
      </c>
      <c r="AQ937">
        <v>1</v>
      </c>
    </row>
    <row r="938" spans="1:43" x14ac:dyDescent="0.25">
      <c r="A938" t="s">
        <v>1575</v>
      </c>
      <c r="B938" t="s">
        <v>1574</v>
      </c>
      <c r="C938" t="s">
        <v>1573</v>
      </c>
      <c r="D938" s="1">
        <v>45879</v>
      </c>
      <c r="E938" t="s">
        <v>79</v>
      </c>
      <c r="F938" t="s">
        <v>102</v>
      </c>
      <c r="G938" t="s">
        <v>56</v>
      </c>
      <c r="H938" t="s">
        <v>16</v>
      </c>
      <c r="I938" t="s">
        <v>15</v>
      </c>
      <c r="J938" t="s">
        <v>55</v>
      </c>
      <c r="K938" t="s">
        <v>54</v>
      </c>
      <c r="L938" t="s">
        <v>88</v>
      </c>
      <c r="M938" t="s">
        <v>53</v>
      </c>
      <c r="N938" t="s">
        <v>93</v>
      </c>
      <c r="O938" t="s">
        <v>40</v>
      </c>
      <c r="P938" t="s">
        <v>39</v>
      </c>
      <c r="Q938" t="s">
        <v>198</v>
      </c>
      <c r="R938" t="s">
        <v>38</v>
      </c>
      <c r="S938">
        <v>8</v>
      </c>
      <c r="T938">
        <v>4</v>
      </c>
      <c r="U938">
        <v>307</v>
      </c>
      <c r="V938" t="s">
        <v>182</v>
      </c>
      <c r="W938" t="s">
        <v>5</v>
      </c>
      <c r="X938" t="s">
        <v>0</v>
      </c>
      <c r="Y938" t="s">
        <v>4</v>
      </c>
      <c r="Z938" t="s">
        <v>5</v>
      </c>
      <c r="AA938">
        <v>427.65</v>
      </c>
      <c r="AB938">
        <v>2.67</v>
      </c>
      <c r="AC938">
        <v>0.17</v>
      </c>
      <c r="AD938" t="s">
        <v>3</v>
      </c>
      <c r="AE938" t="s">
        <v>0</v>
      </c>
      <c r="AF938" t="s">
        <v>3</v>
      </c>
      <c r="AG938" t="s">
        <v>2</v>
      </c>
      <c r="AI938" t="s">
        <v>23</v>
      </c>
      <c r="AJ938">
        <v>3</v>
      </c>
      <c r="AK938">
        <v>-32</v>
      </c>
      <c r="AL938">
        <v>30</v>
      </c>
      <c r="AM938" t="s">
        <v>5</v>
      </c>
      <c r="AN938">
        <v>1</v>
      </c>
      <c r="AO938">
        <v>1</v>
      </c>
      <c r="AP938">
        <v>0</v>
      </c>
      <c r="AQ938">
        <v>1</v>
      </c>
    </row>
    <row r="939" spans="1:43" x14ac:dyDescent="0.25">
      <c r="A939" t="s">
        <v>1572</v>
      </c>
      <c r="B939" t="s">
        <v>1571</v>
      </c>
      <c r="C939" t="s">
        <v>1570</v>
      </c>
      <c r="D939" s="1">
        <v>45867</v>
      </c>
      <c r="E939" t="s">
        <v>112</v>
      </c>
      <c r="F939" t="s">
        <v>307</v>
      </c>
      <c r="G939" t="s">
        <v>30</v>
      </c>
      <c r="H939" t="s">
        <v>237</v>
      </c>
      <c r="I939" t="s">
        <v>15</v>
      </c>
      <c r="J939" t="s">
        <v>14</v>
      </c>
      <c r="K939" t="s">
        <v>13</v>
      </c>
      <c r="L939" t="s">
        <v>88</v>
      </c>
      <c r="M939" t="s">
        <v>11</v>
      </c>
      <c r="N939" t="s">
        <v>93</v>
      </c>
      <c r="O939" t="s">
        <v>40</v>
      </c>
      <c r="P939" t="s">
        <v>63</v>
      </c>
      <c r="Q939" t="s">
        <v>7</v>
      </c>
      <c r="R939" t="s">
        <v>6</v>
      </c>
      <c r="S939">
        <v>8</v>
      </c>
      <c r="T939">
        <v>5</v>
      </c>
      <c r="U939">
        <v>262</v>
      </c>
      <c r="V939" t="s">
        <v>5</v>
      </c>
      <c r="W939" t="s">
        <v>0</v>
      </c>
      <c r="X939" t="s">
        <v>0</v>
      </c>
      <c r="Y939" t="s">
        <v>4</v>
      </c>
      <c r="Z939" t="s">
        <v>0</v>
      </c>
      <c r="AA939">
        <v>0</v>
      </c>
      <c r="AB939">
        <v>0</v>
      </c>
      <c r="AC939">
        <v>0</v>
      </c>
      <c r="AD939" t="s">
        <v>61</v>
      </c>
      <c r="AE939" t="s">
        <v>5</v>
      </c>
      <c r="AF939" t="s">
        <v>61</v>
      </c>
      <c r="AG939" t="s">
        <v>36</v>
      </c>
      <c r="AH939">
        <v>28</v>
      </c>
      <c r="AI939" t="s">
        <v>1</v>
      </c>
      <c r="AJ939">
        <v>3</v>
      </c>
      <c r="AK939">
        <v>-47</v>
      </c>
      <c r="AL939">
        <v>0</v>
      </c>
      <c r="AM939" t="s">
        <v>0</v>
      </c>
      <c r="AN939">
        <v>0</v>
      </c>
      <c r="AO939">
        <v>0</v>
      </c>
      <c r="AP939">
        <v>0</v>
      </c>
      <c r="AQ939">
        <v>0</v>
      </c>
    </row>
    <row r="940" spans="1:43" x14ac:dyDescent="0.25">
      <c r="A940" t="s">
        <v>1569</v>
      </c>
      <c r="B940" t="s">
        <v>812</v>
      </c>
      <c r="C940" t="s">
        <v>1568</v>
      </c>
      <c r="D940" s="1">
        <v>45673</v>
      </c>
      <c r="E940" t="s">
        <v>162</v>
      </c>
      <c r="F940" t="s">
        <v>310</v>
      </c>
      <c r="G940" t="s">
        <v>17</v>
      </c>
      <c r="H940" t="s">
        <v>29</v>
      </c>
      <c r="I940" t="s">
        <v>15</v>
      </c>
      <c r="J940" t="s">
        <v>55</v>
      </c>
      <c r="K940" t="s">
        <v>54</v>
      </c>
      <c r="L940" t="s">
        <v>117</v>
      </c>
      <c r="M940" t="s">
        <v>11</v>
      </c>
      <c r="N940" t="s">
        <v>41</v>
      </c>
      <c r="O940" t="s">
        <v>101</v>
      </c>
      <c r="P940" t="s">
        <v>63</v>
      </c>
      <c r="Q940" t="s">
        <v>50</v>
      </c>
      <c r="R940" t="s">
        <v>6</v>
      </c>
      <c r="S940">
        <v>4</v>
      </c>
      <c r="T940">
        <v>4</v>
      </c>
      <c r="U940">
        <v>119</v>
      </c>
      <c r="V940" t="s">
        <v>0</v>
      </c>
      <c r="W940" t="s">
        <v>5</v>
      </c>
      <c r="X940" t="s">
        <v>0</v>
      </c>
      <c r="Y940" t="s">
        <v>4</v>
      </c>
      <c r="Z940" t="s">
        <v>5</v>
      </c>
      <c r="AA940">
        <v>27.7</v>
      </c>
      <c r="AB940">
        <v>0.46</v>
      </c>
      <c r="AC940">
        <v>0</v>
      </c>
      <c r="AD940" t="s">
        <v>3</v>
      </c>
      <c r="AE940" t="s">
        <v>0</v>
      </c>
      <c r="AF940" t="s">
        <v>3</v>
      </c>
      <c r="AG940" t="s">
        <v>2</v>
      </c>
      <c r="AI940" t="s">
        <v>23</v>
      </c>
      <c r="AJ940">
        <v>4</v>
      </c>
      <c r="AK940">
        <v>40</v>
      </c>
      <c r="AL940" t="s">
        <v>347</v>
      </c>
      <c r="AM940" t="s">
        <v>5</v>
      </c>
      <c r="AN940">
        <v>1</v>
      </c>
      <c r="AO940">
        <v>1</v>
      </c>
      <c r="AP940">
        <v>0</v>
      </c>
      <c r="AQ940">
        <v>1</v>
      </c>
    </row>
    <row r="941" spans="1:43" x14ac:dyDescent="0.25">
      <c r="A941" t="s">
        <v>1567</v>
      </c>
      <c r="B941" t="s">
        <v>1566</v>
      </c>
      <c r="C941" t="s">
        <v>1565</v>
      </c>
      <c r="D941" s="1">
        <v>45865</v>
      </c>
      <c r="E941" t="s">
        <v>95</v>
      </c>
      <c r="F941" t="s">
        <v>118</v>
      </c>
      <c r="G941" t="s">
        <v>17</v>
      </c>
      <c r="H941" t="s">
        <v>77</v>
      </c>
      <c r="I941" t="s">
        <v>15</v>
      </c>
      <c r="J941" t="s">
        <v>55</v>
      </c>
      <c r="K941" t="s">
        <v>54</v>
      </c>
      <c r="L941" t="s">
        <v>88</v>
      </c>
      <c r="M941" t="s">
        <v>53</v>
      </c>
      <c r="N941" t="s">
        <v>52</v>
      </c>
      <c r="O941" t="s">
        <v>74</v>
      </c>
      <c r="P941" t="s">
        <v>39</v>
      </c>
      <c r="Q941" t="s">
        <v>24</v>
      </c>
      <c r="R941" t="s">
        <v>38</v>
      </c>
      <c r="S941">
        <v>6</v>
      </c>
      <c r="T941">
        <v>6</v>
      </c>
      <c r="U941">
        <v>285</v>
      </c>
      <c r="V941" t="s">
        <v>0</v>
      </c>
      <c r="W941" t="s">
        <v>5</v>
      </c>
      <c r="X941" t="s">
        <v>247</v>
      </c>
      <c r="Y941" t="s">
        <v>73</v>
      </c>
      <c r="Z941" t="s">
        <v>0</v>
      </c>
      <c r="AA941">
        <v>0</v>
      </c>
      <c r="AB941">
        <v>0</v>
      </c>
      <c r="AC941">
        <v>0</v>
      </c>
      <c r="AD941" t="s">
        <v>227</v>
      </c>
      <c r="AE941" t="s">
        <v>5</v>
      </c>
      <c r="AF941" t="s">
        <v>227</v>
      </c>
      <c r="AG941" t="s">
        <v>139</v>
      </c>
      <c r="AH941">
        <v>27</v>
      </c>
      <c r="AI941" t="s">
        <v>23</v>
      </c>
      <c r="AJ941">
        <v>3</v>
      </c>
      <c r="AK941">
        <v>49</v>
      </c>
      <c r="AL941">
        <v>28</v>
      </c>
      <c r="AM941" t="s">
        <v>0</v>
      </c>
      <c r="AN941">
        <v>1</v>
      </c>
      <c r="AO941">
        <v>0</v>
      </c>
      <c r="AP941">
        <v>0</v>
      </c>
      <c r="AQ941">
        <v>0</v>
      </c>
    </row>
    <row r="942" spans="1:43" x14ac:dyDescent="0.25">
      <c r="A942" t="s">
        <v>1564</v>
      </c>
      <c r="B942" t="s">
        <v>1563</v>
      </c>
      <c r="C942" t="s">
        <v>1562</v>
      </c>
      <c r="D942" s="1">
        <v>45705</v>
      </c>
      <c r="E942" t="s">
        <v>19</v>
      </c>
      <c r="F942" t="s">
        <v>575</v>
      </c>
      <c r="G942" t="s">
        <v>30</v>
      </c>
      <c r="H942" t="s">
        <v>66</v>
      </c>
      <c r="I942" t="s">
        <v>479</v>
      </c>
      <c r="J942" t="s">
        <v>14</v>
      </c>
      <c r="K942" t="s">
        <v>13</v>
      </c>
      <c r="L942" t="s">
        <v>42</v>
      </c>
      <c r="M942" t="s">
        <v>11</v>
      </c>
      <c r="N942" t="s">
        <v>41</v>
      </c>
      <c r="O942" t="s">
        <v>87</v>
      </c>
      <c r="P942" t="s">
        <v>63</v>
      </c>
      <c r="Q942" t="s">
        <v>24</v>
      </c>
      <c r="R942" t="s">
        <v>38</v>
      </c>
      <c r="S942">
        <v>5</v>
      </c>
      <c r="T942">
        <v>5</v>
      </c>
      <c r="U942">
        <v>94</v>
      </c>
      <c r="V942" t="s">
        <v>0</v>
      </c>
      <c r="W942" t="s">
        <v>5</v>
      </c>
      <c r="X942" t="s">
        <v>0</v>
      </c>
      <c r="Y942" t="s">
        <v>4</v>
      </c>
      <c r="Z942" t="s">
        <v>5</v>
      </c>
      <c r="AA942">
        <v>106.83</v>
      </c>
      <c r="AB942">
        <v>0</v>
      </c>
      <c r="AC942">
        <v>0</v>
      </c>
      <c r="AD942" t="s">
        <v>3</v>
      </c>
      <c r="AE942" t="s">
        <v>0</v>
      </c>
      <c r="AF942" t="s">
        <v>3</v>
      </c>
      <c r="AG942" t="s">
        <v>2</v>
      </c>
      <c r="AI942" t="s">
        <v>23</v>
      </c>
      <c r="AJ942">
        <v>4</v>
      </c>
      <c r="AK942">
        <v>26</v>
      </c>
      <c r="AL942">
        <v>0</v>
      </c>
      <c r="AM942" t="s">
        <v>5</v>
      </c>
      <c r="AN942">
        <v>1</v>
      </c>
      <c r="AO942">
        <v>1</v>
      </c>
      <c r="AP942">
        <v>0</v>
      </c>
      <c r="AQ942">
        <v>1</v>
      </c>
    </row>
    <row r="943" spans="1:43" x14ac:dyDescent="0.25">
      <c r="A943" t="s">
        <v>1561</v>
      </c>
      <c r="B943" t="s">
        <v>694</v>
      </c>
      <c r="C943" t="s">
        <v>1560</v>
      </c>
      <c r="D943" s="1">
        <v>45825</v>
      </c>
      <c r="E943" t="s">
        <v>149</v>
      </c>
      <c r="F943" t="s">
        <v>183</v>
      </c>
      <c r="G943" t="s">
        <v>83</v>
      </c>
      <c r="H943" t="s">
        <v>237</v>
      </c>
      <c r="I943" t="s">
        <v>15</v>
      </c>
      <c r="J943" t="s">
        <v>14</v>
      </c>
      <c r="K943" t="s">
        <v>13</v>
      </c>
      <c r="L943" t="s">
        <v>117</v>
      </c>
      <c r="M943" t="s">
        <v>11</v>
      </c>
      <c r="N943" t="s">
        <v>116</v>
      </c>
      <c r="O943" t="s">
        <v>74</v>
      </c>
      <c r="P943" t="s">
        <v>39</v>
      </c>
      <c r="Q943" t="s">
        <v>7</v>
      </c>
      <c r="R943" t="s">
        <v>6</v>
      </c>
      <c r="S943" t="s">
        <v>205</v>
      </c>
      <c r="T943">
        <v>6</v>
      </c>
      <c r="U943">
        <v>128</v>
      </c>
      <c r="V943" t="s">
        <v>0</v>
      </c>
      <c r="W943" t="s">
        <v>5</v>
      </c>
      <c r="X943" t="s">
        <v>0</v>
      </c>
      <c r="Y943" t="s">
        <v>4</v>
      </c>
      <c r="Z943" t="s">
        <v>5</v>
      </c>
      <c r="AA943">
        <v>59.79</v>
      </c>
      <c r="AB943">
        <v>0</v>
      </c>
      <c r="AC943">
        <v>0</v>
      </c>
      <c r="AD943" t="s">
        <v>3</v>
      </c>
      <c r="AE943" t="s">
        <v>0</v>
      </c>
      <c r="AF943" t="s">
        <v>3</v>
      </c>
      <c r="AG943" t="s">
        <v>2</v>
      </c>
      <c r="AI943" t="s">
        <v>23</v>
      </c>
      <c r="AJ943">
        <v>4</v>
      </c>
      <c r="AK943">
        <v>29</v>
      </c>
      <c r="AL943">
        <v>25</v>
      </c>
      <c r="AM943" t="s">
        <v>5</v>
      </c>
      <c r="AN943">
        <v>1</v>
      </c>
      <c r="AO943">
        <v>1</v>
      </c>
      <c r="AP943">
        <v>0</v>
      </c>
      <c r="AQ943">
        <v>1</v>
      </c>
    </row>
    <row r="944" spans="1:43" x14ac:dyDescent="0.25">
      <c r="A944" t="s">
        <v>1559</v>
      </c>
      <c r="B944" t="s">
        <v>1558</v>
      </c>
      <c r="C944" t="s">
        <v>1557</v>
      </c>
      <c r="D944" s="1">
        <v>46124</v>
      </c>
      <c r="E944" t="s">
        <v>68</v>
      </c>
      <c r="F944" t="s">
        <v>243</v>
      </c>
      <c r="G944" t="s">
        <v>83</v>
      </c>
      <c r="H944" t="s">
        <v>77</v>
      </c>
      <c r="I944" t="s">
        <v>28</v>
      </c>
      <c r="J944" t="s">
        <v>55</v>
      </c>
      <c r="K944" t="s">
        <v>54</v>
      </c>
      <c r="L944" t="s">
        <v>88</v>
      </c>
      <c r="M944" t="s">
        <v>11</v>
      </c>
      <c r="N944" t="s">
        <v>75</v>
      </c>
      <c r="O944" t="s">
        <v>199</v>
      </c>
      <c r="P944" t="s">
        <v>25</v>
      </c>
      <c r="Q944" t="s">
        <v>24</v>
      </c>
      <c r="R944" t="s">
        <v>6</v>
      </c>
      <c r="S944" t="s">
        <v>277</v>
      </c>
      <c r="T944">
        <v>5</v>
      </c>
      <c r="U944">
        <v>151</v>
      </c>
      <c r="V944" t="s">
        <v>0</v>
      </c>
      <c r="W944" t="s">
        <v>5</v>
      </c>
      <c r="X944" t="s">
        <v>5</v>
      </c>
      <c r="Y944" t="s">
        <v>282</v>
      </c>
      <c r="Z944" t="s">
        <v>0</v>
      </c>
      <c r="AA944">
        <v>0</v>
      </c>
      <c r="AB944">
        <v>0</v>
      </c>
      <c r="AC944">
        <v>0</v>
      </c>
      <c r="AD944" t="s">
        <v>61</v>
      </c>
      <c r="AE944" t="s">
        <v>5</v>
      </c>
      <c r="AF944" t="s">
        <v>61</v>
      </c>
      <c r="AG944" t="s">
        <v>139</v>
      </c>
      <c r="AH944">
        <v>26</v>
      </c>
      <c r="AI944" t="s">
        <v>23</v>
      </c>
      <c r="AJ944">
        <v>5</v>
      </c>
      <c r="AK944">
        <v>19</v>
      </c>
      <c r="AL944">
        <v>34</v>
      </c>
      <c r="AM944" t="s">
        <v>5</v>
      </c>
      <c r="AN944">
        <v>1</v>
      </c>
      <c r="AO944">
        <v>0</v>
      </c>
      <c r="AP944">
        <v>1</v>
      </c>
      <c r="AQ944">
        <v>1</v>
      </c>
    </row>
    <row r="945" spans="1:43" x14ac:dyDescent="0.25">
      <c r="A945" t="s">
        <v>1556</v>
      </c>
      <c r="B945" t="s">
        <v>1082</v>
      </c>
      <c r="C945" t="s">
        <v>1555</v>
      </c>
      <c r="D945" s="1">
        <v>45850</v>
      </c>
      <c r="E945" t="s">
        <v>162</v>
      </c>
      <c r="F945" t="s">
        <v>200</v>
      </c>
      <c r="G945" t="s">
        <v>123</v>
      </c>
      <c r="H945" t="s">
        <v>237</v>
      </c>
      <c r="I945" t="s">
        <v>15</v>
      </c>
      <c r="J945" t="s">
        <v>14</v>
      </c>
      <c r="K945" t="s">
        <v>13</v>
      </c>
      <c r="L945" t="s">
        <v>12</v>
      </c>
      <c r="M945" t="s">
        <v>11</v>
      </c>
      <c r="N945" t="s">
        <v>10</v>
      </c>
      <c r="O945" t="s">
        <v>26</v>
      </c>
      <c r="P945" t="s">
        <v>39</v>
      </c>
      <c r="Q945" t="s">
        <v>7</v>
      </c>
      <c r="R945" t="s">
        <v>6</v>
      </c>
      <c r="S945">
        <v>4</v>
      </c>
      <c r="T945">
        <v>4</v>
      </c>
      <c r="U945">
        <v>143</v>
      </c>
      <c r="V945" t="s">
        <v>0</v>
      </c>
      <c r="W945" t="s">
        <v>5</v>
      </c>
      <c r="X945" t="s">
        <v>5</v>
      </c>
      <c r="Y945" t="s">
        <v>144</v>
      </c>
      <c r="Z945" t="s">
        <v>0</v>
      </c>
      <c r="AA945">
        <v>0</v>
      </c>
      <c r="AB945">
        <v>0</v>
      </c>
      <c r="AC945">
        <v>0</v>
      </c>
      <c r="AD945" t="s">
        <v>3</v>
      </c>
      <c r="AE945" t="s">
        <v>0</v>
      </c>
      <c r="AF945" t="s">
        <v>3</v>
      </c>
      <c r="AG945" t="s">
        <v>2</v>
      </c>
      <c r="AI945" t="s">
        <v>23</v>
      </c>
      <c r="AJ945">
        <v>3</v>
      </c>
      <c r="AK945">
        <v>-4</v>
      </c>
      <c r="AL945">
        <v>39</v>
      </c>
      <c r="AM945" t="s">
        <v>5</v>
      </c>
      <c r="AN945">
        <v>1</v>
      </c>
      <c r="AO945">
        <v>0</v>
      </c>
      <c r="AP945">
        <v>1</v>
      </c>
      <c r="AQ945">
        <v>1</v>
      </c>
    </row>
    <row r="946" spans="1:43" x14ac:dyDescent="0.25">
      <c r="A946" t="s">
        <v>1554</v>
      </c>
      <c r="B946" t="s">
        <v>1553</v>
      </c>
      <c r="C946" t="s">
        <v>1552</v>
      </c>
      <c r="D946" s="1">
        <v>45683</v>
      </c>
      <c r="E946" t="s">
        <v>156</v>
      </c>
      <c r="F946" t="s">
        <v>155</v>
      </c>
      <c r="G946" t="s">
        <v>30</v>
      </c>
      <c r="H946" t="s">
        <v>66</v>
      </c>
      <c r="I946" t="s">
        <v>28</v>
      </c>
      <c r="J946" t="s">
        <v>146</v>
      </c>
      <c r="K946" t="s">
        <v>145</v>
      </c>
      <c r="L946" t="s">
        <v>88</v>
      </c>
      <c r="M946" t="s">
        <v>11</v>
      </c>
      <c r="N946" t="s">
        <v>52</v>
      </c>
      <c r="O946" t="s">
        <v>51</v>
      </c>
      <c r="P946" t="s">
        <v>39</v>
      </c>
      <c r="Q946" t="s">
        <v>7</v>
      </c>
      <c r="R946" t="s">
        <v>6</v>
      </c>
      <c r="S946">
        <v>6</v>
      </c>
      <c r="T946">
        <v>5</v>
      </c>
      <c r="U946">
        <v>261</v>
      </c>
      <c r="V946" t="s">
        <v>5</v>
      </c>
      <c r="W946" t="s">
        <v>5</v>
      </c>
      <c r="X946" t="s">
        <v>5</v>
      </c>
      <c r="Y946" t="s">
        <v>153</v>
      </c>
      <c r="Z946" t="s">
        <v>5</v>
      </c>
      <c r="AA946">
        <v>0</v>
      </c>
      <c r="AB946">
        <v>0.11</v>
      </c>
      <c r="AC946">
        <v>0</v>
      </c>
      <c r="AD946" t="s">
        <v>3</v>
      </c>
      <c r="AE946" t="s">
        <v>0</v>
      </c>
      <c r="AF946" t="s">
        <v>3</v>
      </c>
      <c r="AG946" t="s">
        <v>2</v>
      </c>
      <c r="AI946" t="s">
        <v>23</v>
      </c>
      <c r="AJ946">
        <v>3</v>
      </c>
      <c r="AK946">
        <v>-27</v>
      </c>
      <c r="AL946">
        <v>1</v>
      </c>
      <c r="AM946" t="s">
        <v>0</v>
      </c>
      <c r="AN946">
        <v>1</v>
      </c>
      <c r="AO946">
        <v>1</v>
      </c>
      <c r="AP946">
        <v>1</v>
      </c>
      <c r="AQ946">
        <v>0</v>
      </c>
    </row>
    <row r="947" spans="1:43" x14ac:dyDescent="0.25">
      <c r="A947" t="s">
        <v>1551</v>
      </c>
      <c r="B947" t="s">
        <v>1550</v>
      </c>
      <c r="C947" t="s">
        <v>1549</v>
      </c>
      <c r="D947" s="1">
        <v>45779</v>
      </c>
      <c r="E947" t="s">
        <v>162</v>
      </c>
      <c r="F947" t="s">
        <v>161</v>
      </c>
      <c r="G947" t="s">
        <v>30</v>
      </c>
      <c r="H947" t="s">
        <v>77</v>
      </c>
      <c r="I947" t="s">
        <v>28</v>
      </c>
      <c r="J947" t="s">
        <v>14</v>
      </c>
      <c r="K947" t="s">
        <v>13</v>
      </c>
      <c r="L947" t="s">
        <v>12</v>
      </c>
      <c r="M947" t="s">
        <v>53</v>
      </c>
      <c r="N947" t="s">
        <v>10</v>
      </c>
      <c r="O947" t="s">
        <v>26</v>
      </c>
      <c r="P947" t="s">
        <v>63</v>
      </c>
      <c r="Q947" t="s">
        <v>100</v>
      </c>
      <c r="R947" t="s">
        <v>6</v>
      </c>
      <c r="S947">
        <v>4</v>
      </c>
      <c r="T947">
        <v>4</v>
      </c>
      <c r="U947">
        <v>99</v>
      </c>
      <c r="V947" t="s">
        <v>0</v>
      </c>
      <c r="W947" t="s">
        <v>5</v>
      </c>
      <c r="X947" t="s">
        <v>0</v>
      </c>
      <c r="Y947" t="s">
        <v>4</v>
      </c>
      <c r="Z947" t="s">
        <v>5</v>
      </c>
      <c r="AA947">
        <v>137.61000000000001</v>
      </c>
      <c r="AB947">
        <v>0.2</v>
      </c>
      <c r="AC947">
        <v>0.17</v>
      </c>
      <c r="AD947" t="s">
        <v>3</v>
      </c>
      <c r="AE947" t="s">
        <v>0</v>
      </c>
      <c r="AF947" t="s">
        <v>3</v>
      </c>
      <c r="AG947" t="s">
        <v>2</v>
      </c>
      <c r="AI947" t="s">
        <v>23</v>
      </c>
      <c r="AJ947">
        <v>5</v>
      </c>
      <c r="AK947">
        <v>60</v>
      </c>
      <c r="AL947">
        <v>0</v>
      </c>
      <c r="AM947" t="s">
        <v>5</v>
      </c>
      <c r="AN947">
        <v>1</v>
      </c>
      <c r="AO947">
        <v>1</v>
      </c>
      <c r="AP947">
        <v>0</v>
      </c>
      <c r="AQ947">
        <v>1</v>
      </c>
    </row>
    <row r="948" spans="1:43" x14ac:dyDescent="0.25">
      <c r="A948" t="s">
        <v>1548</v>
      </c>
      <c r="B948" t="s">
        <v>1547</v>
      </c>
      <c r="C948" t="s">
        <v>1546</v>
      </c>
      <c r="D948" s="1">
        <v>45923</v>
      </c>
      <c r="E948" t="s">
        <v>19</v>
      </c>
      <c r="F948" t="s">
        <v>89</v>
      </c>
      <c r="G948" t="s">
        <v>83</v>
      </c>
      <c r="H948" t="s">
        <v>29</v>
      </c>
      <c r="I948" t="s">
        <v>28</v>
      </c>
      <c r="J948" t="s">
        <v>146</v>
      </c>
      <c r="K948" t="s">
        <v>145</v>
      </c>
      <c r="L948" t="s">
        <v>42</v>
      </c>
      <c r="M948" t="s">
        <v>11</v>
      </c>
      <c r="N948" t="s">
        <v>10</v>
      </c>
      <c r="O948" t="s">
        <v>74</v>
      </c>
      <c r="P948" t="s">
        <v>39</v>
      </c>
      <c r="Q948" t="s">
        <v>172</v>
      </c>
      <c r="R948" t="s">
        <v>38</v>
      </c>
      <c r="S948">
        <v>6</v>
      </c>
      <c r="T948">
        <v>6</v>
      </c>
      <c r="U948">
        <v>110</v>
      </c>
      <c r="V948" t="s">
        <v>0</v>
      </c>
      <c r="W948" t="s">
        <v>0</v>
      </c>
      <c r="X948" t="s">
        <v>0</v>
      </c>
      <c r="Y948" t="s">
        <v>4</v>
      </c>
      <c r="Z948" t="s">
        <v>0</v>
      </c>
      <c r="AA948">
        <v>0</v>
      </c>
      <c r="AB948">
        <v>0</v>
      </c>
      <c r="AC948">
        <v>0</v>
      </c>
      <c r="AD948" t="s">
        <v>3</v>
      </c>
      <c r="AE948" t="s">
        <v>0</v>
      </c>
      <c r="AF948" t="s">
        <v>3</v>
      </c>
      <c r="AG948" t="s">
        <v>2</v>
      </c>
      <c r="AI948" t="s">
        <v>23</v>
      </c>
      <c r="AJ948">
        <v>2</v>
      </c>
      <c r="AK948">
        <v>2</v>
      </c>
      <c r="AL948">
        <v>45</v>
      </c>
      <c r="AM948" t="s">
        <v>5</v>
      </c>
      <c r="AN948">
        <v>0</v>
      </c>
      <c r="AO948">
        <v>0</v>
      </c>
      <c r="AP948">
        <v>0</v>
      </c>
      <c r="AQ948">
        <v>1</v>
      </c>
    </row>
    <row r="949" spans="1:43" x14ac:dyDescent="0.25">
      <c r="A949" t="s">
        <v>1545</v>
      </c>
      <c r="B949" t="s">
        <v>1544</v>
      </c>
      <c r="C949" t="s">
        <v>1543</v>
      </c>
      <c r="D949" s="1">
        <v>45869</v>
      </c>
      <c r="E949" t="s">
        <v>19</v>
      </c>
      <c r="F949" t="s">
        <v>295</v>
      </c>
      <c r="G949" t="s">
        <v>110</v>
      </c>
      <c r="H949" t="s">
        <v>16</v>
      </c>
      <c r="I949" t="s">
        <v>15</v>
      </c>
      <c r="J949" t="s">
        <v>14</v>
      </c>
      <c r="K949" t="s">
        <v>13</v>
      </c>
      <c r="L949" t="s">
        <v>42</v>
      </c>
      <c r="M949" t="s">
        <v>11</v>
      </c>
      <c r="N949" t="s">
        <v>116</v>
      </c>
      <c r="O949" t="s">
        <v>74</v>
      </c>
      <c r="P949" t="s">
        <v>39</v>
      </c>
      <c r="Q949" t="s">
        <v>198</v>
      </c>
      <c r="R949" t="s">
        <v>38</v>
      </c>
      <c r="S949">
        <v>6</v>
      </c>
      <c r="T949">
        <v>6</v>
      </c>
      <c r="U949">
        <v>135</v>
      </c>
      <c r="V949" t="s">
        <v>0</v>
      </c>
      <c r="W949" t="s">
        <v>0</v>
      </c>
      <c r="X949" t="s">
        <v>0</v>
      </c>
      <c r="Y949" t="s">
        <v>4</v>
      </c>
      <c r="Z949" t="s">
        <v>5</v>
      </c>
      <c r="AA949">
        <v>7.25</v>
      </c>
      <c r="AB949">
        <v>0</v>
      </c>
      <c r="AC949">
        <v>0</v>
      </c>
      <c r="AD949" t="s">
        <v>3</v>
      </c>
      <c r="AE949" t="s">
        <v>0</v>
      </c>
      <c r="AF949" t="s">
        <v>3</v>
      </c>
      <c r="AG949" t="s">
        <v>2</v>
      </c>
      <c r="AJ949">
        <v>4</v>
      </c>
      <c r="AK949">
        <v>9</v>
      </c>
      <c r="AL949">
        <v>25</v>
      </c>
      <c r="AM949" t="s">
        <v>0</v>
      </c>
      <c r="AN949">
        <v>0</v>
      </c>
      <c r="AO949">
        <v>1</v>
      </c>
      <c r="AP949">
        <v>0</v>
      </c>
      <c r="AQ949">
        <v>0</v>
      </c>
    </row>
    <row r="950" spans="1:43" x14ac:dyDescent="0.25">
      <c r="A950" t="s">
        <v>1542</v>
      </c>
      <c r="B950" t="s">
        <v>1481</v>
      </c>
      <c r="C950" t="s">
        <v>1541</v>
      </c>
      <c r="D950" s="1">
        <v>45970</v>
      </c>
      <c r="E950" t="s">
        <v>79</v>
      </c>
      <c r="F950" t="s">
        <v>78</v>
      </c>
      <c r="G950" t="s">
        <v>17</v>
      </c>
      <c r="H950" t="s">
        <v>29</v>
      </c>
      <c r="I950" t="s">
        <v>15</v>
      </c>
      <c r="J950" t="s">
        <v>146</v>
      </c>
      <c r="K950" t="s">
        <v>145</v>
      </c>
      <c r="L950" t="s">
        <v>42</v>
      </c>
      <c r="M950" t="s">
        <v>53</v>
      </c>
      <c r="N950" t="s">
        <v>75</v>
      </c>
      <c r="O950" t="s">
        <v>26</v>
      </c>
      <c r="P950" t="s">
        <v>63</v>
      </c>
      <c r="Q950" t="s">
        <v>172</v>
      </c>
      <c r="R950" t="s">
        <v>38</v>
      </c>
      <c r="S950">
        <v>4</v>
      </c>
      <c r="T950">
        <v>4</v>
      </c>
      <c r="U950">
        <v>126</v>
      </c>
      <c r="V950" t="s">
        <v>247</v>
      </c>
      <c r="W950" t="s">
        <v>5</v>
      </c>
      <c r="X950" t="s">
        <v>0</v>
      </c>
      <c r="Y950" t="s">
        <v>4</v>
      </c>
      <c r="Z950" t="s">
        <v>0</v>
      </c>
      <c r="AA950">
        <v>0</v>
      </c>
      <c r="AB950">
        <v>0</v>
      </c>
      <c r="AC950">
        <v>0</v>
      </c>
      <c r="AD950" t="s">
        <v>3</v>
      </c>
      <c r="AE950" t="s">
        <v>0</v>
      </c>
      <c r="AF950" t="s">
        <v>3</v>
      </c>
      <c r="AG950" t="s">
        <v>2</v>
      </c>
      <c r="AI950" t="s">
        <v>23</v>
      </c>
      <c r="AJ950">
        <v>5</v>
      </c>
      <c r="AK950">
        <v>67</v>
      </c>
      <c r="AL950" t="s">
        <v>347</v>
      </c>
      <c r="AM950" t="s">
        <v>5</v>
      </c>
      <c r="AN950">
        <v>1</v>
      </c>
      <c r="AO950">
        <v>0</v>
      </c>
      <c r="AP950">
        <v>0</v>
      </c>
      <c r="AQ950">
        <v>1</v>
      </c>
    </row>
    <row r="951" spans="1:43" x14ac:dyDescent="0.25">
      <c r="A951" t="s">
        <v>1540</v>
      </c>
      <c r="B951" t="s">
        <v>1316</v>
      </c>
      <c r="C951" t="s">
        <v>1539</v>
      </c>
      <c r="D951" s="1">
        <v>45729</v>
      </c>
      <c r="E951" t="s">
        <v>149</v>
      </c>
      <c r="F951" t="s">
        <v>471</v>
      </c>
      <c r="G951" t="s">
        <v>30</v>
      </c>
      <c r="H951" t="s">
        <v>77</v>
      </c>
      <c r="I951" t="s">
        <v>28</v>
      </c>
      <c r="J951" t="s">
        <v>55</v>
      </c>
      <c r="K951" t="s">
        <v>54</v>
      </c>
      <c r="L951" t="s">
        <v>117</v>
      </c>
      <c r="M951" t="s">
        <v>11</v>
      </c>
      <c r="N951" t="s">
        <v>52</v>
      </c>
      <c r="O951" t="s">
        <v>40</v>
      </c>
      <c r="P951" t="s">
        <v>39</v>
      </c>
      <c r="Q951" t="s">
        <v>198</v>
      </c>
      <c r="R951" t="s">
        <v>6</v>
      </c>
      <c r="S951">
        <v>8</v>
      </c>
      <c r="T951">
        <v>8</v>
      </c>
      <c r="U951">
        <v>274</v>
      </c>
      <c r="V951" t="s">
        <v>0</v>
      </c>
      <c r="W951" t="s">
        <v>0</v>
      </c>
      <c r="X951" t="s">
        <v>5</v>
      </c>
      <c r="Y951" t="s">
        <v>913</v>
      </c>
      <c r="Z951" t="s">
        <v>0</v>
      </c>
      <c r="AA951">
        <v>0</v>
      </c>
      <c r="AB951">
        <v>0</v>
      </c>
      <c r="AC951">
        <v>0</v>
      </c>
      <c r="AD951" t="s">
        <v>3</v>
      </c>
      <c r="AE951" t="s">
        <v>0</v>
      </c>
      <c r="AF951" t="s">
        <v>3</v>
      </c>
      <c r="AG951" t="s">
        <v>2</v>
      </c>
      <c r="AI951" t="s">
        <v>122</v>
      </c>
      <c r="AJ951">
        <v>3</v>
      </c>
      <c r="AK951">
        <v>0</v>
      </c>
      <c r="AL951">
        <v>13</v>
      </c>
      <c r="AM951" t="s">
        <v>0</v>
      </c>
      <c r="AN951">
        <v>0</v>
      </c>
      <c r="AO951">
        <v>0</v>
      </c>
      <c r="AP951">
        <v>1</v>
      </c>
      <c r="AQ951">
        <v>0</v>
      </c>
    </row>
    <row r="952" spans="1:43" x14ac:dyDescent="0.25">
      <c r="A952" t="s">
        <v>1538</v>
      </c>
      <c r="B952" t="s">
        <v>1267</v>
      </c>
      <c r="C952" t="s">
        <v>1537</v>
      </c>
      <c r="D952" s="1">
        <v>46119</v>
      </c>
      <c r="E952" t="s">
        <v>68</v>
      </c>
      <c r="F952" t="s">
        <v>1536</v>
      </c>
      <c r="G952" t="s">
        <v>17</v>
      </c>
      <c r="H952" t="s">
        <v>29</v>
      </c>
      <c r="I952" t="s">
        <v>28</v>
      </c>
      <c r="J952" t="s">
        <v>14</v>
      </c>
      <c r="K952" t="s">
        <v>13</v>
      </c>
      <c r="L952" t="s">
        <v>12</v>
      </c>
      <c r="M952" t="s">
        <v>53</v>
      </c>
      <c r="N952" t="s">
        <v>116</v>
      </c>
      <c r="O952" t="s">
        <v>193</v>
      </c>
      <c r="P952" t="s">
        <v>63</v>
      </c>
      <c r="Q952" t="s">
        <v>198</v>
      </c>
      <c r="R952" t="s">
        <v>6</v>
      </c>
      <c r="S952">
        <v>9</v>
      </c>
      <c r="T952">
        <v>6</v>
      </c>
      <c r="U952">
        <v>251</v>
      </c>
      <c r="V952" t="s">
        <v>5</v>
      </c>
      <c r="W952" t="s">
        <v>5</v>
      </c>
      <c r="X952" t="s">
        <v>0</v>
      </c>
      <c r="Y952" t="s">
        <v>4</v>
      </c>
      <c r="Z952" t="s">
        <v>5</v>
      </c>
      <c r="AA952">
        <v>197.88</v>
      </c>
      <c r="AB952">
        <v>2.8</v>
      </c>
      <c r="AC952">
        <v>0.17</v>
      </c>
      <c r="AD952" t="s">
        <v>3</v>
      </c>
      <c r="AE952" t="s">
        <v>0</v>
      </c>
      <c r="AF952" t="s">
        <v>3</v>
      </c>
      <c r="AG952" t="s">
        <v>2</v>
      </c>
      <c r="AI952" t="s">
        <v>23</v>
      </c>
      <c r="AJ952">
        <v>3</v>
      </c>
      <c r="AK952">
        <v>-53</v>
      </c>
      <c r="AL952">
        <v>0</v>
      </c>
      <c r="AM952" t="s">
        <v>0</v>
      </c>
      <c r="AN952">
        <v>1</v>
      </c>
      <c r="AO952">
        <v>1</v>
      </c>
      <c r="AP952">
        <v>0</v>
      </c>
      <c r="AQ952">
        <v>0</v>
      </c>
    </row>
    <row r="953" spans="1:43" x14ac:dyDescent="0.25">
      <c r="A953" t="s">
        <v>1535</v>
      </c>
      <c r="B953" t="s">
        <v>603</v>
      </c>
      <c r="C953" t="s">
        <v>1534</v>
      </c>
      <c r="D953" s="1">
        <v>46059</v>
      </c>
      <c r="E953" t="s">
        <v>95</v>
      </c>
      <c r="F953" t="s">
        <v>118</v>
      </c>
      <c r="G953" t="s">
        <v>83</v>
      </c>
      <c r="H953" t="s">
        <v>77</v>
      </c>
      <c r="I953" t="s">
        <v>28</v>
      </c>
      <c r="J953" t="s">
        <v>14</v>
      </c>
      <c r="K953" t="s">
        <v>76</v>
      </c>
      <c r="L953" t="s">
        <v>88</v>
      </c>
      <c r="M953" t="s">
        <v>11</v>
      </c>
      <c r="N953" t="s">
        <v>116</v>
      </c>
      <c r="O953" t="s">
        <v>26</v>
      </c>
      <c r="P953" t="s">
        <v>39</v>
      </c>
      <c r="Q953" t="s">
        <v>7</v>
      </c>
      <c r="R953" t="s">
        <v>6</v>
      </c>
      <c r="S953">
        <v>4</v>
      </c>
      <c r="T953">
        <v>4</v>
      </c>
      <c r="U953">
        <v>109</v>
      </c>
      <c r="V953" t="s">
        <v>0</v>
      </c>
      <c r="W953" t="s">
        <v>5</v>
      </c>
      <c r="X953" t="s">
        <v>0</v>
      </c>
      <c r="Y953" t="s">
        <v>4</v>
      </c>
      <c r="Z953" t="s">
        <v>5</v>
      </c>
      <c r="AA953">
        <v>213.28</v>
      </c>
      <c r="AB953">
        <v>0.2</v>
      </c>
      <c r="AC953">
        <v>0</v>
      </c>
      <c r="AD953" t="s">
        <v>37</v>
      </c>
      <c r="AE953" t="s">
        <v>5</v>
      </c>
      <c r="AF953" t="s">
        <v>37</v>
      </c>
      <c r="AG953" t="s">
        <v>139</v>
      </c>
      <c r="AH953">
        <v>28</v>
      </c>
      <c r="AI953" t="s">
        <v>23</v>
      </c>
      <c r="AJ953">
        <v>4</v>
      </c>
      <c r="AK953">
        <v>-2</v>
      </c>
      <c r="AL953">
        <v>46</v>
      </c>
      <c r="AM953" t="s">
        <v>0</v>
      </c>
      <c r="AN953">
        <v>1</v>
      </c>
      <c r="AO953">
        <v>1</v>
      </c>
      <c r="AP953">
        <v>0</v>
      </c>
      <c r="AQ953">
        <v>0</v>
      </c>
    </row>
    <row r="954" spans="1:43" x14ac:dyDescent="0.25">
      <c r="A954" t="s">
        <v>1533</v>
      </c>
      <c r="B954" t="s">
        <v>1532</v>
      </c>
      <c r="C954" t="s">
        <v>1531</v>
      </c>
      <c r="D954" s="1">
        <v>45915</v>
      </c>
      <c r="E954" t="s">
        <v>45</v>
      </c>
      <c r="F954" t="s">
        <v>57</v>
      </c>
      <c r="G954" t="s">
        <v>110</v>
      </c>
      <c r="H954" t="s">
        <v>77</v>
      </c>
      <c r="I954" t="s">
        <v>15</v>
      </c>
      <c r="J954" t="s">
        <v>55</v>
      </c>
      <c r="K954" t="s">
        <v>54</v>
      </c>
      <c r="L954" t="s">
        <v>12</v>
      </c>
      <c r="M954" t="s">
        <v>53</v>
      </c>
      <c r="N954" t="s">
        <v>10</v>
      </c>
      <c r="O954" t="s">
        <v>199</v>
      </c>
      <c r="P954" t="s">
        <v>63</v>
      </c>
      <c r="Q954" t="s">
        <v>7</v>
      </c>
      <c r="R954" t="s">
        <v>6</v>
      </c>
      <c r="S954">
        <v>5</v>
      </c>
      <c r="T954">
        <v>5</v>
      </c>
      <c r="U954">
        <v>128</v>
      </c>
      <c r="V954" t="s">
        <v>0</v>
      </c>
      <c r="W954" t="s">
        <v>5</v>
      </c>
      <c r="X954" t="s">
        <v>0</v>
      </c>
      <c r="Y954" t="s">
        <v>4</v>
      </c>
      <c r="Z954" t="s">
        <v>5</v>
      </c>
      <c r="AA954">
        <v>126.15</v>
      </c>
      <c r="AB954">
        <v>0</v>
      </c>
      <c r="AC954">
        <v>0.17</v>
      </c>
      <c r="AD954" t="s">
        <v>3</v>
      </c>
      <c r="AE954" t="s">
        <v>0</v>
      </c>
      <c r="AF954" t="s">
        <v>3</v>
      </c>
      <c r="AG954" t="s">
        <v>2</v>
      </c>
      <c r="AI954" t="s">
        <v>23</v>
      </c>
      <c r="AJ954">
        <v>4</v>
      </c>
      <c r="AK954">
        <v>14</v>
      </c>
      <c r="AL954">
        <v>0</v>
      </c>
      <c r="AM954" t="s">
        <v>5</v>
      </c>
      <c r="AN954">
        <v>1</v>
      </c>
      <c r="AO954">
        <v>1</v>
      </c>
      <c r="AP954">
        <v>0</v>
      </c>
      <c r="AQ954">
        <v>1</v>
      </c>
    </row>
    <row r="955" spans="1:43" x14ac:dyDescent="0.25">
      <c r="A955" t="s">
        <v>1530</v>
      </c>
      <c r="B955" t="s">
        <v>1529</v>
      </c>
      <c r="C955" t="s">
        <v>1528</v>
      </c>
      <c r="D955" s="1">
        <v>45899</v>
      </c>
      <c r="E955" t="s">
        <v>32</v>
      </c>
      <c r="F955" t="s">
        <v>31</v>
      </c>
      <c r="G955" t="s">
        <v>110</v>
      </c>
      <c r="H955" t="s">
        <v>29</v>
      </c>
      <c r="I955" t="s">
        <v>28</v>
      </c>
      <c r="J955" t="s">
        <v>14</v>
      </c>
      <c r="K955" t="s">
        <v>76</v>
      </c>
      <c r="L955" t="s">
        <v>64</v>
      </c>
      <c r="M955" t="s">
        <v>11</v>
      </c>
      <c r="N955" t="s">
        <v>116</v>
      </c>
      <c r="O955" t="s">
        <v>26</v>
      </c>
      <c r="P955" t="s">
        <v>63</v>
      </c>
      <c r="Q955" t="s">
        <v>198</v>
      </c>
      <c r="R955" t="s">
        <v>38</v>
      </c>
      <c r="S955">
        <v>4</v>
      </c>
      <c r="T955">
        <v>4</v>
      </c>
      <c r="U955">
        <v>77</v>
      </c>
      <c r="V955" t="s">
        <v>0</v>
      </c>
      <c r="W955" t="s">
        <v>5</v>
      </c>
      <c r="X955" t="s">
        <v>0</v>
      </c>
      <c r="Y955" t="s">
        <v>4</v>
      </c>
      <c r="Z955" t="s">
        <v>5</v>
      </c>
      <c r="AA955">
        <v>196.76</v>
      </c>
      <c r="AB955">
        <v>0.18</v>
      </c>
      <c r="AC955">
        <v>0</v>
      </c>
      <c r="AD955" t="s">
        <v>3</v>
      </c>
      <c r="AE955" t="s">
        <v>0</v>
      </c>
      <c r="AF955" t="s">
        <v>3</v>
      </c>
      <c r="AG955" t="s">
        <v>2</v>
      </c>
      <c r="AI955" t="s">
        <v>23</v>
      </c>
      <c r="AJ955">
        <v>5</v>
      </c>
      <c r="AK955">
        <v>18</v>
      </c>
      <c r="AL955">
        <v>0</v>
      </c>
      <c r="AM955" t="s">
        <v>5</v>
      </c>
      <c r="AN955">
        <v>1</v>
      </c>
      <c r="AO955">
        <v>1</v>
      </c>
      <c r="AP955">
        <v>0</v>
      </c>
      <c r="AQ955">
        <v>1</v>
      </c>
    </row>
    <row r="956" spans="1:43" x14ac:dyDescent="0.25">
      <c r="A956" t="s">
        <v>1527</v>
      </c>
      <c r="B956" t="s">
        <v>302</v>
      </c>
      <c r="C956" t="s">
        <v>1526</v>
      </c>
      <c r="D956" s="1">
        <v>46061</v>
      </c>
      <c r="E956" t="s">
        <v>156</v>
      </c>
      <c r="F956" t="s">
        <v>238</v>
      </c>
      <c r="G956" t="s">
        <v>83</v>
      </c>
      <c r="H956" t="s">
        <v>29</v>
      </c>
      <c r="I956" t="s">
        <v>15</v>
      </c>
      <c r="J956" t="s">
        <v>14</v>
      </c>
      <c r="K956" t="s">
        <v>13</v>
      </c>
      <c r="L956" t="s">
        <v>88</v>
      </c>
      <c r="M956" t="s">
        <v>11</v>
      </c>
      <c r="N956" t="s">
        <v>75</v>
      </c>
      <c r="O956" t="s">
        <v>74</v>
      </c>
      <c r="P956" t="s">
        <v>25</v>
      </c>
      <c r="Q956" t="s">
        <v>7</v>
      </c>
      <c r="R956" t="s">
        <v>6</v>
      </c>
      <c r="S956" t="s">
        <v>205</v>
      </c>
      <c r="T956" t="s">
        <v>277</v>
      </c>
      <c r="U956">
        <v>233</v>
      </c>
      <c r="V956" t="s">
        <v>5</v>
      </c>
      <c r="W956" t="s">
        <v>5</v>
      </c>
      <c r="X956" t="s">
        <v>0</v>
      </c>
      <c r="Y956" t="s">
        <v>4</v>
      </c>
      <c r="Z956" t="s">
        <v>5</v>
      </c>
      <c r="AA956">
        <v>0</v>
      </c>
      <c r="AB956">
        <v>0</v>
      </c>
      <c r="AC956">
        <v>0</v>
      </c>
      <c r="AD956" t="s">
        <v>1399</v>
      </c>
      <c r="AE956" t="s">
        <v>5</v>
      </c>
      <c r="AF956" t="s">
        <v>1399</v>
      </c>
      <c r="AG956" t="s">
        <v>36</v>
      </c>
      <c r="AH956">
        <v>36</v>
      </c>
      <c r="AI956" t="s">
        <v>23</v>
      </c>
      <c r="AJ956">
        <v>4</v>
      </c>
      <c r="AK956">
        <v>-31</v>
      </c>
      <c r="AL956">
        <v>40</v>
      </c>
      <c r="AM956" t="s">
        <v>0</v>
      </c>
      <c r="AN956">
        <v>1</v>
      </c>
      <c r="AO956">
        <v>1</v>
      </c>
      <c r="AP956">
        <v>0</v>
      </c>
      <c r="AQ956">
        <v>0</v>
      </c>
    </row>
    <row r="957" spans="1:43" x14ac:dyDescent="0.25">
      <c r="A957" t="s">
        <v>1525</v>
      </c>
      <c r="B957" t="s">
        <v>1524</v>
      </c>
      <c r="C957" t="s">
        <v>1523</v>
      </c>
      <c r="D957" s="1">
        <v>45871</v>
      </c>
      <c r="E957" t="s">
        <v>162</v>
      </c>
      <c r="F957" t="s">
        <v>540</v>
      </c>
      <c r="G957" t="s">
        <v>123</v>
      </c>
      <c r="H957" t="s">
        <v>29</v>
      </c>
      <c r="I957" t="s">
        <v>15</v>
      </c>
      <c r="J957" t="s">
        <v>55</v>
      </c>
      <c r="K957" t="s">
        <v>54</v>
      </c>
      <c r="L957" t="s">
        <v>88</v>
      </c>
      <c r="M957" t="s">
        <v>53</v>
      </c>
      <c r="N957" t="s">
        <v>93</v>
      </c>
      <c r="O957" t="s">
        <v>51</v>
      </c>
      <c r="P957" t="s">
        <v>63</v>
      </c>
      <c r="Q957" t="s">
        <v>7</v>
      </c>
      <c r="R957" t="s">
        <v>6</v>
      </c>
      <c r="S957">
        <v>6</v>
      </c>
      <c r="T957">
        <v>6</v>
      </c>
      <c r="U957">
        <v>133</v>
      </c>
      <c r="V957" t="s">
        <v>0</v>
      </c>
      <c r="W957" t="s">
        <v>5</v>
      </c>
      <c r="X957" t="s">
        <v>0</v>
      </c>
      <c r="Y957" t="s">
        <v>4</v>
      </c>
      <c r="Z957" t="s">
        <v>5</v>
      </c>
      <c r="AA957">
        <v>73.69</v>
      </c>
      <c r="AB957">
        <v>0.11</v>
      </c>
      <c r="AC957">
        <v>0.17</v>
      </c>
      <c r="AD957" t="s">
        <v>61</v>
      </c>
      <c r="AE957" t="s">
        <v>5</v>
      </c>
      <c r="AF957" t="s">
        <v>61</v>
      </c>
      <c r="AG957" t="s">
        <v>36</v>
      </c>
      <c r="AH957">
        <v>8</v>
      </c>
      <c r="AI957" t="s">
        <v>23</v>
      </c>
      <c r="AJ957">
        <v>5</v>
      </c>
      <c r="AK957">
        <v>18</v>
      </c>
      <c r="AL957">
        <v>0</v>
      </c>
      <c r="AM957" t="s">
        <v>5</v>
      </c>
      <c r="AN957">
        <v>1</v>
      </c>
      <c r="AO957">
        <v>1</v>
      </c>
      <c r="AP957">
        <v>0</v>
      </c>
      <c r="AQ957">
        <v>1</v>
      </c>
    </row>
    <row r="958" spans="1:43" x14ac:dyDescent="0.25">
      <c r="A958" t="s">
        <v>1522</v>
      </c>
      <c r="B958" t="s">
        <v>1055</v>
      </c>
      <c r="C958" t="s">
        <v>1521</v>
      </c>
      <c r="D958" s="1">
        <v>45882</v>
      </c>
      <c r="E958" t="s">
        <v>125</v>
      </c>
      <c r="F958" t="s">
        <v>140</v>
      </c>
      <c r="G958" t="s">
        <v>17</v>
      </c>
      <c r="H958" t="s">
        <v>16</v>
      </c>
      <c r="I958" t="s">
        <v>15</v>
      </c>
      <c r="J958" t="s">
        <v>55</v>
      </c>
      <c r="K958" t="s">
        <v>54</v>
      </c>
      <c r="L958" t="s">
        <v>64</v>
      </c>
      <c r="M958" t="s">
        <v>27</v>
      </c>
      <c r="N958" t="s">
        <v>41</v>
      </c>
      <c r="O958" t="s">
        <v>51</v>
      </c>
      <c r="P958" t="s">
        <v>39</v>
      </c>
      <c r="Q958" t="s">
        <v>24</v>
      </c>
      <c r="R958" t="s">
        <v>38</v>
      </c>
      <c r="S958">
        <v>6</v>
      </c>
      <c r="T958">
        <v>6</v>
      </c>
      <c r="U958">
        <v>150</v>
      </c>
      <c r="V958" t="s">
        <v>0</v>
      </c>
      <c r="W958" t="s">
        <v>0</v>
      </c>
      <c r="X958" t="s">
        <v>0</v>
      </c>
      <c r="Y958" t="s">
        <v>4</v>
      </c>
      <c r="Z958" t="s">
        <v>5</v>
      </c>
      <c r="AA958">
        <v>1</v>
      </c>
      <c r="AB958">
        <v>0.1</v>
      </c>
      <c r="AC958">
        <v>0.37</v>
      </c>
      <c r="AD958" t="s">
        <v>3</v>
      </c>
      <c r="AE958" t="s">
        <v>0</v>
      </c>
      <c r="AF958" t="s">
        <v>3</v>
      </c>
      <c r="AG958" t="s">
        <v>2</v>
      </c>
      <c r="AI958" t="s">
        <v>23</v>
      </c>
      <c r="AJ958">
        <v>4</v>
      </c>
      <c r="AK958">
        <v>-1</v>
      </c>
      <c r="AL958">
        <v>67</v>
      </c>
      <c r="AM958" t="s">
        <v>0</v>
      </c>
      <c r="AN958">
        <v>0</v>
      </c>
      <c r="AO958">
        <v>1</v>
      </c>
      <c r="AP958">
        <v>0</v>
      </c>
      <c r="AQ958">
        <v>0</v>
      </c>
    </row>
    <row r="959" spans="1:43" x14ac:dyDescent="0.25">
      <c r="A959" t="s">
        <v>1520</v>
      </c>
      <c r="B959" t="s">
        <v>1519</v>
      </c>
      <c r="C959" t="s">
        <v>1518</v>
      </c>
      <c r="D959" s="1">
        <v>45917</v>
      </c>
      <c r="E959" t="s">
        <v>162</v>
      </c>
      <c r="F959" t="s">
        <v>200</v>
      </c>
      <c r="G959" t="s">
        <v>56</v>
      </c>
      <c r="H959" t="s">
        <v>77</v>
      </c>
      <c r="I959" t="s">
        <v>28</v>
      </c>
      <c r="J959" t="s">
        <v>55</v>
      </c>
      <c r="K959" t="s">
        <v>54</v>
      </c>
      <c r="L959" t="s">
        <v>42</v>
      </c>
      <c r="M959" t="s">
        <v>11</v>
      </c>
      <c r="N959" t="s">
        <v>75</v>
      </c>
      <c r="O959" t="s">
        <v>26</v>
      </c>
      <c r="P959" t="s">
        <v>39</v>
      </c>
      <c r="Q959" t="s">
        <v>7</v>
      </c>
      <c r="R959" t="s">
        <v>6</v>
      </c>
      <c r="S959">
        <v>4</v>
      </c>
      <c r="T959">
        <v>2</v>
      </c>
      <c r="U959">
        <v>189</v>
      </c>
      <c r="V959" t="s">
        <v>5</v>
      </c>
      <c r="W959" t="s">
        <v>0</v>
      </c>
      <c r="X959" t="s">
        <v>0</v>
      </c>
      <c r="Y959" t="s">
        <v>4</v>
      </c>
      <c r="Z959" t="s">
        <v>5</v>
      </c>
      <c r="AA959">
        <v>162.97999999999999</v>
      </c>
      <c r="AB959">
        <v>0.22</v>
      </c>
      <c r="AC959">
        <v>0</v>
      </c>
      <c r="AD959" t="s">
        <v>3</v>
      </c>
      <c r="AE959" t="s">
        <v>0</v>
      </c>
      <c r="AF959" t="s">
        <v>3</v>
      </c>
      <c r="AG959" t="s">
        <v>2</v>
      </c>
      <c r="AI959" t="s">
        <v>1</v>
      </c>
      <c r="AJ959">
        <v>3</v>
      </c>
      <c r="AK959">
        <v>5</v>
      </c>
      <c r="AL959">
        <v>16</v>
      </c>
      <c r="AM959" t="s">
        <v>5</v>
      </c>
      <c r="AN959">
        <v>0</v>
      </c>
      <c r="AO959">
        <v>1</v>
      </c>
      <c r="AP959">
        <v>0</v>
      </c>
      <c r="AQ959">
        <v>1</v>
      </c>
    </row>
    <row r="960" spans="1:43" x14ac:dyDescent="0.25">
      <c r="A960" t="s">
        <v>1517</v>
      </c>
      <c r="B960" t="s">
        <v>1516</v>
      </c>
      <c r="C960" t="s">
        <v>1515</v>
      </c>
      <c r="D960" s="1">
        <v>45720</v>
      </c>
      <c r="E960" t="s">
        <v>45</v>
      </c>
      <c r="F960" t="s">
        <v>670</v>
      </c>
      <c r="G960" t="s">
        <v>110</v>
      </c>
      <c r="H960" t="s">
        <v>29</v>
      </c>
      <c r="I960" t="s">
        <v>28</v>
      </c>
      <c r="J960" t="s">
        <v>14</v>
      </c>
      <c r="K960" t="s">
        <v>13</v>
      </c>
      <c r="L960" t="s">
        <v>117</v>
      </c>
      <c r="M960" t="s">
        <v>53</v>
      </c>
      <c r="N960" t="s">
        <v>52</v>
      </c>
      <c r="O960" t="s">
        <v>101</v>
      </c>
      <c r="P960" t="s">
        <v>63</v>
      </c>
      <c r="Q960" t="s">
        <v>100</v>
      </c>
      <c r="R960" t="s">
        <v>6</v>
      </c>
      <c r="S960">
        <v>4</v>
      </c>
      <c r="T960">
        <v>4</v>
      </c>
      <c r="U960">
        <v>94</v>
      </c>
      <c r="V960" t="s">
        <v>0</v>
      </c>
      <c r="W960" t="s">
        <v>5</v>
      </c>
      <c r="X960" t="s">
        <v>0</v>
      </c>
      <c r="Y960" t="s">
        <v>4</v>
      </c>
      <c r="Z960" t="s">
        <v>5</v>
      </c>
      <c r="AA960">
        <v>125.4</v>
      </c>
      <c r="AB960">
        <v>0.43</v>
      </c>
      <c r="AC960">
        <v>0.17</v>
      </c>
      <c r="AD960" t="s">
        <v>3</v>
      </c>
      <c r="AE960" t="s">
        <v>0</v>
      </c>
      <c r="AF960" t="s">
        <v>3</v>
      </c>
      <c r="AG960" t="s">
        <v>2</v>
      </c>
      <c r="AI960" t="s">
        <v>23</v>
      </c>
      <c r="AJ960">
        <v>5</v>
      </c>
      <c r="AK960">
        <v>42</v>
      </c>
      <c r="AL960" t="s">
        <v>347</v>
      </c>
      <c r="AM960" t="s">
        <v>0</v>
      </c>
      <c r="AN960">
        <v>1</v>
      </c>
      <c r="AO960">
        <v>1</v>
      </c>
      <c r="AP960">
        <v>0</v>
      </c>
      <c r="AQ960">
        <v>0</v>
      </c>
    </row>
    <row r="961" spans="1:43" x14ac:dyDescent="0.25">
      <c r="A961" t="s">
        <v>1514</v>
      </c>
      <c r="B961" t="s">
        <v>158</v>
      </c>
      <c r="C961" t="s">
        <v>1513</v>
      </c>
      <c r="D961" s="1">
        <v>45790</v>
      </c>
      <c r="E961" t="s">
        <v>149</v>
      </c>
      <c r="F961" t="s">
        <v>183</v>
      </c>
      <c r="G961" t="s">
        <v>30</v>
      </c>
      <c r="H961" t="s">
        <v>29</v>
      </c>
      <c r="I961" t="s">
        <v>15</v>
      </c>
      <c r="J961" t="s">
        <v>146</v>
      </c>
      <c r="K961" t="s">
        <v>176</v>
      </c>
      <c r="L961" t="s">
        <v>88</v>
      </c>
      <c r="M961" t="s">
        <v>11</v>
      </c>
      <c r="N961" t="s">
        <v>10</v>
      </c>
      <c r="O961" t="s">
        <v>74</v>
      </c>
      <c r="P961" t="s">
        <v>39</v>
      </c>
      <c r="Q961" t="s">
        <v>198</v>
      </c>
      <c r="R961" t="s">
        <v>6</v>
      </c>
      <c r="S961">
        <v>6</v>
      </c>
      <c r="T961">
        <v>6</v>
      </c>
      <c r="U961">
        <v>145</v>
      </c>
      <c r="V961" t="s">
        <v>0</v>
      </c>
      <c r="W961" t="s">
        <v>5</v>
      </c>
      <c r="X961" t="s">
        <v>0</v>
      </c>
      <c r="Y961" t="s">
        <v>4</v>
      </c>
      <c r="Z961" t="s">
        <v>5</v>
      </c>
      <c r="AA961">
        <v>19.38</v>
      </c>
      <c r="AB961">
        <v>0</v>
      </c>
      <c r="AC961">
        <v>0</v>
      </c>
      <c r="AD961" t="s">
        <v>436</v>
      </c>
      <c r="AE961" t="s">
        <v>5</v>
      </c>
      <c r="AF961" t="s">
        <v>436</v>
      </c>
      <c r="AG961" t="s">
        <v>139</v>
      </c>
      <c r="AH961">
        <v>15</v>
      </c>
      <c r="AI961" t="s">
        <v>23</v>
      </c>
      <c r="AJ961">
        <v>5</v>
      </c>
      <c r="AK961">
        <v>-5</v>
      </c>
      <c r="AL961">
        <v>37</v>
      </c>
      <c r="AM961" t="s">
        <v>5</v>
      </c>
      <c r="AN961">
        <v>1</v>
      </c>
      <c r="AO961">
        <v>1</v>
      </c>
      <c r="AP961">
        <v>0</v>
      </c>
      <c r="AQ961">
        <v>1</v>
      </c>
    </row>
    <row r="962" spans="1:43" x14ac:dyDescent="0.25">
      <c r="A962" t="s">
        <v>1512</v>
      </c>
      <c r="B962" t="s">
        <v>500</v>
      </c>
      <c r="C962" t="s">
        <v>1511</v>
      </c>
      <c r="D962" s="1">
        <v>45932</v>
      </c>
      <c r="E962" t="s">
        <v>149</v>
      </c>
      <c r="F962" t="s">
        <v>183</v>
      </c>
      <c r="G962" t="s">
        <v>17</v>
      </c>
      <c r="H962" t="s">
        <v>77</v>
      </c>
      <c r="I962" t="s">
        <v>28</v>
      </c>
      <c r="J962" t="s">
        <v>14</v>
      </c>
      <c r="K962" t="s">
        <v>13</v>
      </c>
      <c r="L962" t="s">
        <v>12</v>
      </c>
      <c r="M962" t="s">
        <v>11</v>
      </c>
      <c r="N962" t="s">
        <v>10</v>
      </c>
      <c r="O962" t="s">
        <v>87</v>
      </c>
      <c r="P962" t="s">
        <v>63</v>
      </c>
      <c r="Q962" t="s">
        <v>24</v>
      </c>
      <c r="R962" t="s">
        <v>38</v>
      </c>
      <c r="S962">
        <v>5</v>
      </c>
      <c r="T962">
        <v>5</v>
      </c>
      <c r="U962">
        <v>144</v>
      </c>
      <c r="V962" t="s">
        <v>0</v>
      </c>
      <c r="W962" t="s">
        <v>5</v>
      </c>
      <c r="X962" t="s">
        <v>0</v>
      </c>
      <c r="Y962" t="s">
        <v>4</v>
      </c>
      <c r="Z962" t="s">
        <v>5</v>
      </c>
      <c r="AA962">
        <v>25.17</v>
      </c>
      <c r="AB962">
        <v>0</v>
      </c>
      <c r="AC962">
        <v>0</v>
      </c>
      <c r="AD962" t="s">
        <v>3</v>
      </c>
      <c r="AE962" t="s">
        <v>0</v>
      </c>
      <c r="AF962" t="s">
        <v>3</v>
      </c>
      <c r="AG962" t="s">
        <v>2</v>
      </c>
      <c r="AI962" t="s">
        <v>23</v>
      </c>
      <c r="AJ962">
        <v>4</v>
      </c>
      <c r="AK962">
        <v>75</v>
      </c>
      <c r="AL962">
        <v>0</v>
      </c>
      <c r="AM962" t="s">
        <v>5</v>
      </c>
      <c r="AN962">
        <v>1</v>
      </c>
      <c r="AO962">
        <v>1</v>
      </c>
      <c r="AP962">
        <v>0</v>
      </c>
      <c r="AQ962">
        <v>1</v>
      </c>
    </row>
    <row r="963" spans="1:43" x14ac:dyDescent="0.25">
      <c r="A963" t="s">
        <v>1510</v>
      </c>
      <c r="B963" t="s">
        <v>445</v>
      </c>
      <c r="C963" t="s">
        <v>1509</v>
      </c>
      <c r="D963" s="1">
        <v>45865</v>
      </c>
      <c r="E963" t="s">
        <v>32</v>
      </c>
      <c r="F963" t="s">
        <v>356</v>
      </c>
      <c r="G963" t="s">
        <v>131</v>
      </c>
      <c r="H963" t="s">
        <v>237</v>
      </c>
      <c r="I963" t="s">
        <v>15</v>
      </c>
      <c r="J963" t="s">
        <v>14</v>
      </c>
      <c r="K963" t="s">
        <v>13</v>
      </c>
      <c r="L963" t="s">
        <v>117</v>
      </c>
      <c r="M963" t="s">
        <v>53</v>
      </c>
      <c r="N963" t="s">
        <v>52</v>
      </c>
      <c r="O963" t="s">
        <v>9</v>
      </c>
      <c r="P963" t="s">
        <v>63</v>
      </c>
      <c r="Q963" t="s">
        <v>7</v>
      </c>
      <c r="R963" t="s">
        <v>6</v>
      </c>
      <c r="S963">
        <v>7</v>
      </c>
      <c r="T963">
        <v>6</v>
      </c>
      <c r="U963">
        <v>229</v>
      </c>
      <c r="V963" t="s">
        <v>5</v>
      </c>
      <c r="W963" t="s">
        <v>5</v>
      </c>
      <c r="X963" t="s">
        <v>181</v>
      </c>
      <c r="Y963" t="s">
        <v>4</v>
      </c>
      <c r="Z963" t="s">
        <v>5</v>
      </c>
      <c r="AA963">
        <v>18.149999999999999</v>
      </c>
      <c r="AB963">
        <v>0</v>
      </c>
      <c r="AC963">
        <v>0.17</v>
      </c>
      <c r="AD963" t="s">
        <v>3</v>
      </c>
      <c r="AE963" t="s">
        <v>0</v>
      </c>
      <c r="AF963" t="s">
        <v>3</v>
      </c>
      <c r="AG963" t="s">
        <v>2</v>
      </c>
      <c r="AI963" t="s">
        <v>23</v>
      </c>
      <c r="AJ963">
        <v>3</v>
      </c>
      <c r="AK963">
        <v>-31</v>
      </c>
      <c r="AL963">
        <v>0</v>
      </c>
      <c r="AM963" t="s">
        <v>0</v>
      </c>
      <c r="AN963">
        <v>1</v>
      </c>
      <c r="AO963">
        <v>1</v>
      </c>
      <c r="AP963">
        <v>0</v>
      </c>
      <c r="AQ963">
        <v>0</v>
      </c>
    </row>
    <row r="964" spans="1:43" x14ac:dyDescent="0.25">
      <c r="A964" t="s">
        <v>1508</v>
      </c>
      <c r="B964" t="s">
        <v>891</v>
      </c>
      <c r="C964" t="s">
        <v>1507</v>
      </c>
      <c r="D964" s="1">
        <v>45666</v>
      </c>
      <c r="E964" t="s">
        <v>19</v>
      </c>
      <c r="F964" t="s">
        <v>295</v>
      </c>
      <c r="G964" t="s">
        <v>17</v>
      </c>
      <c r="H964" t="s">
        <v>29</v>
      </c>
      <c r="I964" t="s">
        <v>28</v>
      </c>
      <c r="J964" t="s">
        <v>14</v>
      </c>
      <c r="K964" t="s">
        <v>13</v>
      </c>
      <c r="L964" t="s">
        <v>42</v>
      </c>
      <c r="M964" t="s">
        <v>11</v>
      </c>
      <c r="N964" t="s">
        <v>75</v>
      </c>
      <c r="O964" t="s">
        <v>26</v>
      </c>
      <c r="P964" t="s">
        <v>8</v>
      </c>
      <c r="Q964" t="s">
        <v>7</v>
      </c>
      <c r="R964" t="s">
        <v>6</v>
      </c>
      <c r="S964">
        <v>4</v>
      </c>
      <c r="T964">
        <v>4</v>
      </c>
      <c r="U964">
        <v>124</v>
      </c>
      <c r="V964" t="s">
        <v>0</v>
      </c>
      <c r="W964" t="s">
        <v>5</v>
      </c>
      <c r="X964" t="s">
        <v>0</v>
      </c>
      <c r="Y964" t="s">
        <v>4</v>
      </c>
      <c r="Z964" t="s">
        <v>5</v>
      </c>
      <c r="AA964">
        <v>101.47</v>
      </c>
      <c r="AB964">
        <v>0.2</v>
      </c>
      <c r="AC964">
        <v>0</v>
      </c>
      <c r="AD964" t="s">
        <v>436</v>
      </c>
      <c r="AE964" t="s">
        <v>5</v>
      </c>
      <c r="AF964" t="s">
        <v>436</v>
      </c>
      <c r="AG964" t="s">
        <v>36</v>
      </c>
      <c r="AH964">
        <v>38</v>
      </c>
      <c r="AI964" t="s">
        <v>23</v>
      </c>
      <c r="AJ964">
        <v>3</v>
      </c>
      <c r="AK964">
        <v>59</v>
      </c>
      <c r="AL964">
        <v>20</v>
      </c>
      <c r="AM964" t="s">
        <v>5</v>
      </c>
      <c r="AN964">
        <v>1</v>
      </c>
      <c r="AO964">
        <v>1</v>
      </c>
      <c r="AP964">
        <v>0</v>
      </c>
      <c r="AQ964">
        <v>1</v>
      </c>
    </row>
    <row r="965" spans="1:43" x14ac:dyDescent="0.25">
      <c r="A965" t="s">
        <v>1506</v>
      </c>
      <c r="B965" t="s">
        <v>1505</v>
      </c>
      <c r="C965" t="s">
        <v>1504</v>
      </c>
      <c r="D965" s="1">
        <v>46028</v>
      </c>
      <c r="E965" t="s">
        <v>32</v>
      </c>
      <c r="F965" t="s">
        <v>107</v>
      </c>
      <c r="G965" t="s">
        <v>123</v>
      </c>
      <c r="H965" t="s">
        <v>77</v>
      </c>
      <c r="I965" t="s">
        <v>28</v>
      </c>
      <c r="J965" t="s">
        <v>14</v>
      </c>
      <c r="K965" t="s">
        <v>13</v>
      </c>
      <c r="L965" t="s">
        <v>42</v>
      </c>
      <c r="M965" t="s">
        <v>11</v>
      </c>
      <c r="N965" t="s">
        <v>93</v>
      </c>
      <c r="O965" t="s">
        <v>40</v>
      </c>
      <c r="P965" t="s">
        <v>39</v>
      </c>
      <c r="Q965" t="s">
        <v>24</v>
      </c>
      <c r="R965" t="s">
        <v>38</v>
      </c>
      <c r="S965">
        <v>8</v>
      </c>
      <c r="T965">
        <v>8</v>
      </c>
      <c r="U965">
        <v>145</v>
      </c>
      <c r="V965" t="s">
        <v>0</v>
      </c>
      <c r="W965" t="s">
        <v>0</v>
      </c>
      <c r="X965" t="s">
        <v>0</v>
      </c>
      <c r="Y965" t="s">
        <v>4</v>
      </c>
      <c r="Z965" t="s">
        <v>5</v>
      </c>
      <c r="AA965">
        <v>360.05</v>
      </c>
      <c r="AB965">
        <v>2.4900000000000002</v>
      </c>
      <c r="AC965">
        <v>0</v>
      </c>
      <c r="AD965" t="s">
        <v>3</v>
      </c>
      <c r="AE965" t="s">
        <v>0</v>
      </c>
      <c r="AF965" t="s">
        <v>3</v>
      </c>
      <c r="AG965" t="s">
        <v>2</v>
      </c>
      <c r="AI965" t="s">
        <v>23</v>
      </c>
      <c r="AJ965">
        <v>3</v>
      </c>
      <c r="AK965">
        <v>-16</v>
      </c>
      <c r="AL965">
        <v>24</v>
      </c>
      <c r="AM965" t="s">
        <v>5</v>
      </c>
      <c r="AN965">
        <v>0</v>
      </c>
      <c r="AO965">
        <v>1</v>
      </c>
      <c r="AP965">
        <v>0</v>
      </c>
      <c r="AQ965">
        <v>1</v>
      </c>
    </row>
    <row r="966" spans="1:43" x14ac:dyDescent="0.25">
      <c r="A966" t="s">
        <v>1503</v>
      </c>
      <c r="B966" t="s">
        <v>1502</v>
      </c>
      <c r="C966" t="s">
        <v>1501</v>
      </c>
      <c r="D966" s="1">
        <v>46058</v>
      </c>
      <c r="E966" t="s">
        <v>95</v>
      </c>
      <c r="F966" t="s">
        <v>118</v>
      </c>
      <c r="G966" t="s">
        <v>17</v>
      </c>
      <c r="H966" t="s">
        <v>43</v>
      </c>
      <c r="I966" t="s">
        <v>28</v>
      </c>
      <c r="J966" t="s">
        <v>14</v>
      </c>
      <c r="K966" t="s">
        <v>13</v>
      </c>
      <c r="L966" t="s">
        <v>64</v>
      </c>
      <c r="M966" t="s">
        <v>11</v>
      </c>
      <c r="N966" t="s">
        <v>10</v>
      </c>
      <c r="O966" t="s">
        <v>199</v>
      </c>
      <c r="P966" t="s">
        <v>63</v>
      </c>
      <c r="Q966" t="s">
        <v>198</v>
      </c>
      <c r="R966" t="s">
        <v>6</v>
      </c>
      <c r="S966">
        <v>5</v>
      </c>
      <c r="T966">
        <v>5</v>
      </c>
      <c r="U966">
        <v>144</v>
      </c>
      <c r="V966" t="s">
        <v>0</v>
      </c>
      <c r="W966" t="s">
        <v>5</v>
      </c>
      <c r="X966" t="s">
        <v>0</v>
      </c>
      <c r="Y966" t="s">
        <v>4</v>
      </c>
      <c r="Z966" t="s">
        <v>0</v>
      </c>
      <c r="AA966">
        <v>0</v>
      </c>
      <c r="AB966">
        <v>0</v>
      </c>
      <c r="AC966">
        <v>0</v>
      </c>
      <c r="AD966" t="s">
        <v>187</v>
      </c>
      <c r="AE966" t="s">
        <v>5</v>
      </c>
      <c r="AF966" t="s">
        <v>187</v>
      </c>
      <c r="AG966" t="s">
        <v>139</v>
      </c>
      <c r="AH966">
        <v>39</v>
      </c>
      <c r="AI966" t="s">
        <v>23</v>
      </c>
      <c r="AJ966">
        <v>4</v>
      </c>
      <c r="AK966">
        <v>66</v>
      </c>
      <c r="AL966">
        <v>0</v>
      </c>
      <c r="AM966" t="s">
        <v>5</v>
      </c>
      <c r="AN966">
        <v>1</v>
      </c>
      <c r="AO966">
        <v>0</v>
      </c>
      <c r="AP966">
        <v>0</v>
      </c>
      <c r="AQ966">
        <v>1</v>
      </c>
    </row>
    <row r="967" spans="1:43" x14ac:dyDescent="0.25">
      <c r="A967" t="s">
        <v>1500</v>
      </c>
      <c r="B967" t="s">
        <v>1499</v>
      </c>
      <c r="C967" t="s">
        <v>1498</v>
      </c>
      <c r="D967" s="1">
        <v>45856</v>
      </c>
      <c r="E967" t="s">
        <v>45</v>
      </c>
      <c r="F967" t="s">
        <v>348</v>
      </c>
      <c r="G967" t="s">
        <v>83</v>
      </c>
      <c r="H967" t="s">
        <v>43</v>
      </c>
      <c r="I967" t="s">
        <v>15</v>
      </c>
      <c r="J967" t="s">
        <v>55</v>
      </c>
      <c r="K967" t="s">
        <v>54</v>
      </c>
      <c r="L967" t="s">
        <v>117</v>
      </c>
      <c r="M967" t="s">
        <v>27</v>
      </c>
      <c r="N967" t="s">
        <v>93</v>
      </c>
      <c r="O967" t="s">
        <v>26</v>
      </c>
      <c r="P967" t="s">
        <v>8</v>
      </c>
      <c r="Q967" t="s">
        <v>198</v>
      </c>
      <c r="R967" t="s">
        <v>6</v>
      </c>
      <c r="S967">
        <v>4</v>
      </c>
      <c r="T967">
        <v>3</v>
      </c>
      <c r="U967">
        <v>162</v>
      </c>
      <c r="V967" t="s">
        <v>5</v>
      </c>
      <c r="W967" t="s">
        <v>5</v>
      </c>
      <c r="X967" t="s">
        <v>0</v>
      </c>
      <c r="Y967" t="s">
        <v>4</v>
      </c>
      <c r="Z967" t="s">
        <v>5</v>
      </c>
      <c r="AA967">
        <v>156.36000000000001</v>
      </c>
      <c r="AB967">
        <v>0.22</v>
      </c>
      <c r="AC967">
        <v>0.37</v>
      </c>
      <c r="AD967" t="s">
        <v>3</v>
      </c>
      <c r="AE967" t="s">
        <v>0</v>
      </c>
      <c r="AF967" t="s">
        <v>3</v>
      </c>
      <c r="AG967" t="s">
        <v>2</v>
      </c>
      <c r="AI967" t="s">
        <v>23</v>
      </c>
      <c r="AJ967">
        <v>4</v>
      </c>
      <c r="AK967">
        <v>4</v>
      </c>
      <c r="AL967">
        <v>7</v>
      </c>
      <c r="AM967" t="s">
        <v>5</v>
      </c>
      <c r="AN967">
        <v>1</v>
      </c>
      <c r="AO967">
        <v>1</v>
      </c>
      <c r="AP967">
        <v>0</v>
      </c>
      <c r="AQ967">
        <v>1</v>
      </c>
    </row>
    <row r="968" spans="1:43" x14ac:dyDescent="0.25">
      <c r="A968" t="s">
        <v>1497</v>
      </c>
      <c r="B968" t="s">
        <v>1496</v>
      </c>
      <c r="C968" t="s">
        <v>1495</v>
      </c>
      <c r="D968" s="1">
        <v>45848</v>
      </c>
      <c r="E968" t="s">
        <v>19</v>
      </c>
      <c r="F968" t="s">
        <v>18</v>
      </c>
      <c r="G968" t="s">
        <v>83</v>
      </c>
      <c r="H968" t="s">
        <v>77</v>
      </c>
      <c r="I968" t="s">
        <v>28</v>
      </c>
      <c r="J968" t="s">
        <v>55</v>
      </c>
      <c r="K968" t="s">
        <v>54</v>
      </c>
      <c r="L968" t="s">
        <v>42</v>
      </c>
      <c r="M968" t="s">
        <v>11</v>
      </c>
      <c r="N968" t="s">
        <v>10</v>
      </c>
      <c r="O968" t="s">
        <v>199</v>
      </c>
      <c r="P968" t="s">
        <v>39</v>
      </c>
      <c r="Q968" t="s">
        <v>198</v>
      </c>
      <c r="R968" t="s">
        <v>38</v>
      </c>
      <c r="S968">
        <v>5</v>
      </c>
      <c r="T968">
        <v>5</v>
      </c>
      <c r="U968">
        <v>154</v>
      </c>
      <c r="V968" t="s">
        <v>0</v>
      </c>
      <c r="W968" t="s">
        <v>0</v>
      </c>
      <c r="X968" t="s">
        <v>0</v>
      </c>
      <c r="Y968" t="s">
        <v>4</v>
      </c>
      <c r="Z968" t="s">
        <v>0</v>
      </c>
      <c r="AA968">
        <v>0</v>
      </c>
      <c r="AB968">
        <v>0</v>
      </c>
      <c r="AC968">
        <v>0</v>
      </c>
      <c r="AD968" t="s">
        <v>3</v>
      </c>
      <c r="AE968" t="s">
        <v>247</v>
      </c>
      <c r="AF968" t="s">
        <v>3</v>
      </c>
      <c r="AG968" t="s">
        <v>2</v>
      </c>
      <c r="AI968" t="s">
        <v>1001</v>
      </c>
      <c r="AJ968">
        <v>4</v>
      </c>
      <c r="AK968">
        <v>20</v>
      </c>
      <c r="AL968">
        <v>20</v>
      </c>
      <c r="AM968" t="s">
        <v>0</v>
      </c>
      <c r="AN968">
        <v>0</v>
      </c>
      <c r="AO968">
        <v>0</v>
      </c>
      <c r="AP968">
        <v>0</v>
      </c>
      <c r="AQ968">
        <v>0</v>
      </c>
    </row>
    <row r="969" spans="1:43" x14ac:dyDescent="0.25">
      <c r="A969" t="s">
        <v>1494</v>
      </c>
      <c r="B969" t="s">
        <v>1493</v>
      </c>
      <c r="C969" t="s">
        <v>1492</v>
      </c>
      <c r="D969" s="1">
        <v>46193</v>
      </c>
      <c r="E969" t="s">
        <v>45</v>
      </c>
      <c r="F969" t="s">
        <v>44</v>
      </c>
      <c r="G969" t="s">
        <v>83</v>
      </c>
      <c r="H969" t="s">
        <v>66</v>
      </c>
      <c r="I969" t="s">
        <v>15</v>
      </c>
      <c r="J969" t="s">
        <v>146</v>
      </c>
      <c r="K969" t="s">
        <v>145</v>
      </c>
      <c r="L969" t="s">
        <v>42</v>
      </c>
      <c r="M969" t="s">
        <v>11</v>
      </c>
      <c r="N969" t="s">
        <v>93</v>
      </c>
      <c r="O969" t="s">
        <v>40</v>
      </c>
      <c r="P969" t="s">
        <v>39</v>
      </c>
      <c r="Q969" t="s">
        <v>7</v>
      </c>
      <c r="R969" t="s">
        <v>6</v>
      </c>
      <c r="S969">
        <v>8</v>
      </c>
      <c r="T969">
        <v>8</v>
      </c>
      <c r="U969">
        <v>171</v>
      </c>
      <c r="V969" t="s">
        <v>0</v>
      </c>
      <c r="W969" t="s">
        <v>0</v>
      </c>
      <c r="X969" t="s">
        <v>0</v>
      </c>
      <c r="Y969" t="s">
        <v>4</v>
      </c>
      <c r="Z969" t="s">
        <v>0</v>
      </c>
      <c r="AA969">
        <v>0</v>
      </c>
      <c r="AB969">
        <v>0</v>
      </c>
      <c r="AC969">
        <v>0</v>
      </c>
      <c r="AD969" t="s">
        <v>3</v>
      </c>
      <c r="AE969" t="s">
        <v>0</v>
      </c>
      <c r="AF969" t="s">
        <v>3</v>
      </c>
      <c r="AG969" t="s">
        <v>2</v>
      </c>
      <c r="AI969" t="s">
        <v>23</v>
      </c>
      <c r="AJ969">
        <v>4</v>
      </c>
      <c r="AK969">
        <v>-6</v>
      </c>
      <c r="AL969">
        <v>39</v>
      </c>
      <c r="AM969" t="s">
        <v>5</v>
      </c>
      <c r="AN969">
        <v>0</v>
      </c>
      <c r="AO969">
        <v>0</v>
      </c>
      <c r="AP969">
        <v>0</v>
      </c>
      <c r="AQ969">
        <v>1</v>
      </c>
    </row>
    <row r="970" spans="1:43" x14ac:dyDescent="0.25">
      <c r="A970" t="s">
        <v>1491</v>
      </c>
      <c r="B970" t="s">
        <v>1490</v>
      </c>
      <c r="C970" t="s">
        <v>1489</v>
      </c>
      <c r="D970" s="1">
        <v>45701</v>
      </c>
      <c r="E970" t="s">
        <v>95</v>
      </c>
      <c r="F970" t="s">
        <v>338</v>
      </c>
      <c r="G970" t="s">
        <v>123</v>
      </c>
      <c r="H970" t="s">
        <v>16</v>
      </c>
      <c r="I970" t="s">
        <v>15</v>
      </c>
      <c r="J970" t="s">
        <v>14</v>
      </c>
      <c r="K970" t="s">
        <v>13</v>
      </c>
      <c r="L970" t="s">
        <v>117</v>
      </c>
      <c r="M970" t="s">
        <v>11</v>
      </c>
      <c r="N970" t="s">
        <v>116</v>
      </c>
      <c r="O970" t="s">
        <v>26</v>
      </c>
      <c r="P970" t="s">
        <v>63</v>
      </c>
      <c r="Q970" t="s">
        <v>24</v>
      </c>
      <c r="R970" t="s">
        <v>6</v>
      </c>
      <c r="S970">
        <v>4</v>
      </c>
      <c r="T970">
        <v>4</v>
      </c>
      <c r="U970">
        <v>101</v>
      </c>
      <c r="V970" t="s">
        <v>0</v>
      </c>
      <c r="W970" t="s">
        <v>287</v>
      </c>
      <c r="X970" t="s">
        <v>0</v>
      </c>
      <c r="Y970" t="s">
        <v>4</v>
      </c>
      <c r="Z970" t="s">
        <v>5</v>
      </c>
      <c r="AA970">
        <v>66.3</v>
      </c>
      <c r="AB970">
        <v>0.22</v>
      </c>
      <c r="AC970">
        <v>0</v>
      </c>
      <c r="AD970" t="s">
        <v>3</v>
      </c>
      <c r="AE970" t="s">
        <v>0</v>
      </c>
      <c r="AF970" t="s">
        <v>3</v>
      </c>
      <c r="AG970" t="s">
        <v>2</v>
      </c>
      <c r="AI970" t="s">
        <v>23</v>
      </c>
      <c r="AJ970">
        <v>4</v>
      </c>
      <c r="AK970">
        <v>15</v>
      </c>
      <c r="AL970">
        <v>0</v>
      </c>
      <c r="AM970" t="s">
        <v>0</v>
      </c>
      <c r="AN970">
        <v>1</v>
      </c>
      <c r="AO970">
        <v>1</v>
      </c>
      <c r="AP970">
        <v>0</v>
      </c>
      <c r="AQ970">
        <v>0</v>
      </c>
    </row>
    <row r="971" spans="1:43" x14ac:dyDescent="0.25">
      <c r="A971" t="s">
        <v>1488</v>
      </c>
      <c r="B971" t="s">
        <v>1487</v>
      </c>
      <c r="C971" t="s">
        <v>1486</v>
      </c>
      <c r="D971" s="1">
        <v>45716</v>
      </c>
      <c r="E971" t="s">
        <v>168</v>
      </c>
      <c r="F971" t="s">
        <v>233</v>
      </c>
      <c r="G971" t="s">
        <v>83</v>
      </c>
      <c r="H971" t="s">
        <v>16</v>
      </c>
      <c r="I971" t="s">
        <v>28</v>
      </c>
      <c r="J971" t="s">
        <v>146</v>
      </c>
      <c r="K971" t="s">
        <v>145</v>
      </c>
      <c r="L971" t="s">
        <v>64</v>
      </c>
      <c r="M971" t="s">
        <v>11</v>
      </c>
      <c r="N971" t="s">
        <v>52</v>
      </c>
      <c r="O971" t="s">
        <v>51</v>
      </c>
      <c r="P971" t="s">
        <v>8</v>
      </c>
      <c r="Q971" t="s">
        <v>7</v>
      </c>
      <c r="R971" t="s">
        <v>6</v>
      </c>
      <c r="S971">
        <v>6</v>
      </c>
      <c r="T971">
        <v>6</v>
      </c>
      <c r="U971">
        <v>185</v>
      </c>
      <c r="V971" t="s">
        <v>0</v>
      </c>
      <c r="W971" t="s">
        <v>0</v>
      </c>
      <c r="X971" t="s">
        <v>0</v>
      </c>
      <c r="Y971" t="s">
        <v>4</v>
      </c>
      <c r="Z971" t="s">
        <v>0</v>
      </c>
      <c r="AA971">
        <v>0</v>
      </c>
      <c r="AB971">
        <v>0</v>
      </c>
      <c r="AC971">
        <v>0</v>
      </c>
      <c r="AD971" t="s">
        <v>3</v>
      </c>
      <c r="AE971" t="s">
        <v>0</v>
      </c>
      <c r="AF971" t="s">
        <v>3</v>
      </c>
      <c r="AG971" t="s">
        <v>2</v>
      </c>
      <c r="AI971" t="s">
        <v>23</v>
      </c>
      <c r="AJ971">
        <v>4</v>
      </c>
      <c r="AK971">
        <v>43</v>
      </c>
      <c r="AL971">
        <v>29</v>
      </c>
      <c r="AM971" t="s">
        <v>0</v>
      </c>
      <c r="AN971">
        <v>0</v>
      </c>
      <c r="AO971">
        <v>0</v>
      </c>
      <c r="AP971">
        <v>0</v>
      </c>
      <c r="AQ971">
        <v>0</v>
      </c>
    </row>
    <row r="972" spans="1:43" x14ac:dyDescent="0.25">
      <c r="A972" t="s">
        <v>1485</v>
      </c>
      <c r="B972" t="s">
        <v>1484</v>
      </c>
      <c r="C972" t="s">
        <v>1483</v>
      </c>
      <c r="D972" s="1">
        <v>46197</v>
      </c>
      <c r="E972" t="s">
        <v>149</v>
      </c>
      <c r="F972" t="s">
        <v>148</v>
      </c>
      <c r="G972" t="s">
        <v>123</v>
      </c>
      <c r="H972" t="s">
        <v>16</v>
      </c>
      <c r="I972" t="s">
        <v>28</v>
      </c>
      <c r="J972" t="s">
        <v>55</v>
      </c>
      <c r="K972" t="s">
        <v>65</v>
      </c>
      <c r="L972" t="s">
        <v>12</v>
      </c>
      <c r="M972" t="s">
        <v>27</v>
      </c>
      <c r="N972" t="s">
        <v>75</v>
      </c>
      <c r="O972" t="s">
        <v>9</v>
      </c>
      <c r="P972" t="s">
        <v>63</v>
      </c>
      <c r="Q972" t="s">
        <v>7</v>
      </c>
      <c r="R972" t="s">
        <v>6</v>
      </c>
      <c r="S972">
        <v>7</v>
      </c>
      <c r="T972">
        <v>7</v>
      </c>
      <c r="U972">
        <v>204</v>
      </c>
      <c r="V972" t="s">
        <v>0</v>
      </c>
      <c r="W972" t="s">
        <v>0</v>
      </c>
      <c r="X972" t="s">
        <v>0</v>
      </c>
      <c r="Y972" t="s">
        <v>4</v>
      </c>
      <c r="Z972" t="s">
        <v>0</v>
      </c>
      <c r="AA972">
        <v>0</v>
      </c>
      <c r="AB972">
        <v>0</v>
      </c>
      <c r="AC972">
        <v>0</v>
      </c>
      <c r="AD972" t="s">
        <v>3</v>
      </c>
      <c r="AE972" t="s">
        <v>0</v>
      </c>
      <c r="AF972" t="s">
        <v>3</v>
      </c>
      <c r="AG972" t="s">
        <v>2</v>
      </c>
      <c r="AI972" t="s">
        <v>23</v>
      </c>
      <c r="AJ972">
        <v>2</v>
      </c>
      <c r="AK972">
        <v>-15</v>
      </c>
      <c r="AL972">
        <v>0</v>
      </c>
      <c r="AM972" t="s">
        <v>0</v>
      </c>
      <c r="AN972">
        <v>0</v>
      </c>
      <c r="AO972">
        <v>0</v>
      </c>
      <c r="AP972">
        <v>0</v>
      </c>
      <c r="AQ972">
        <v>0</v>
      </c>
    </row>
    <row r="973" spans="1:43" x14ac:dyDescent="0.25">
      <c r="A973" t="s">
        <v>1482</v>
      </c>
      <c r="B973" t="s">
        <v>1481</v>
      </c>
      <c r="C973" t="s">
        <v>1480</v>
      </c>
      <c r="D973" s="1">
        <v>45929</v>
      </c>
      <c r="E973" t="s">
        <v>162</v>
      </c>
      <c r="F973" t="s">
        <v>540</v>
      </c>
      <c r="G973" t="s">
        <v>17</v>
      </c>
      <c r="H973" t="s">
        <v>16</v>
      </c>
      <c r="I973" t="s">
        <v>15</v>
      </c>
      <c r="J973" t="s">
        <v>146</v>
      </c>
      <c r="K973" t="s">
        <v>145</v>
      </c>
      <c r="L973" t="s">
        <v>88</v>
      </c>
      <c r="M973" t="s">
        <v>53</v>
      </c>
      <c r="N973" t="s">
        <v>75</v>
      </c>
      <c r="O973" t="s">
        <v>26</v>
      </c>
      <c r="P973" t="s">
        <v>39</v>
      </c>
      <c r="Q973" t="s">
        <v>7</v>
      </c>
      <c r="R973" t="s">
        <v>6</v>
      </c>
      <c r="S973">
        <v>4</v>
      </c>
      <c r="T973">
        <v>4</v>
      </c>
      <c r="U973">
        <v>147</v>
      </c>
      <c r="V973" t="s">
        <v>0</v>
      </c>
      <c r="W973" t="s">
        <v>5</v>
      </c>
      <c r="X973" t="s">
        <v>5</v>
      </c>
      <c r="Y973" t="s">
        <v>62</v>
      </c>
      <c r="Z973" t="s">
        <v>5</v>
      </c>
      <c r="AA973">
        <v>142.99</v>
      </c>
      <c r="AB973">
        <v>0.18</v>
      </c>
      <c r="AC973">
        <v>0.17</v>
      </c>
      <c r="AD973" t="s">
        <v>227</v>
      </c>
      <c r="AE973" t="s">
        <v>5</v>
      </c>
      <c r="AF973" t="s">
        <v>227</v>
      </c>
      <c r="AG973" t="s">
        <v>139</v>
      </c>
      <c r="AH973">
        <v>18</v>
      </c>
      <c r="AI973" t="s">
        <v>23</v>
      </c>
      <c r="AJ973">
        <v>3</v>
      </c>
      <c r="AK973">
        <v>-26</v>
      </c>
      <c r="AL973">
        <v>37</v>
      </c>
      <c r="AM973" t="s">
        <v>5</v>
      </c>
      <c r="AN973">
        <v>1</v>
      </c>
      <c r="AO973">
        <v>1</v>
      </c>
      <c r="AP973">
        <v>1</v>
      </c>
      <c r="AQ973">
        <v>1</v>
      </c>
    </row>
    <row r="974" spans="1:43" x14ac:dyDescent="0.25">
      <c r="A974" t="s">
        <v>1479</v>
      </c>
      <c r="B974" t="s">
        <v>1478</v>
      </c>
      <c r="C974" t="s">
        <v>1477</v>
      </c>
      <c r="D974" s="1">
        <v>45706</v>
      </c>
      <c r="E974" t="s">
        <v>95</v>
      </c>
      <c r="F974" t="s">
        <v>94</v>
      </c>
      <c r="G974" t="s">
        <v>30</v>
      </c>
      <c r="H974" t="s">
        <v>29</v>
      </c>
      <c r="I974" t="s">
        <v>15</v>
      </c>
      <c r="J974" t="s">
        <v>146</v>
      </c>
      <c r="K974" t="s">
        <v>145</v>
      </c>
      <c r="L974" t="s">
        <v>42</v>
      </c>
      <c r="M974" t="s">
        <v>11</v>
      </c>
      <c r="N974" t="s">
        <v>75</v>
      </c>
      <c r="O974" t="s">
        <v>26</v>
      </c>
      <c r="P974" t="s">
        <v>63</v>
      </c>
      <c r="Q974" t="s">
        <v>7</v>
      </c>
      <c r="R974" t="s">
        <v>6</v>
      </c>
      <c r="S974">
        <v>4</v>
      </c>
      <c r="T974">
        <v>4</v>
      </c>
      <c r="U974">
        <v>96</v>
      </c>
      <c r="V974" t="s">
        <v>0</v>
      </c>
      <c r="W974" t="s">
        <v>5</v>
      </c>
      <c r="X974" t="s">
        <v>0</v>
      </c>
      <c r="Y974" t="s">
        <v>4</v>
      </c>
      <c r="Z974" t="s">
        <v>5</v>
      </c>
      <c r="AA974">
        <v>98.67</v>
      </c>
      <c r="AB974">
        <v>0.2</v>
      </c>
      <c r="AC974">
        <v>0</v>
      </c>
      <c r="AD974" t="s">
        <v>3</v>
      </c>
      <c r="AE974" t="s">
        <v>0</v>
      </c>
      <c r="AF974" t="s">
        <v>3</v>
      </c>
      <c r="AG974" t="s">
        <v>2</v>
      </c>
      <c r="AI974" t="s">
        <v>23</v>
      </c>
      <c r="AJ974">
        <v>4</v>
      </c>
      <c r="AK974">
        <v>57</v>
      </c>
      <c r="AL974">
        <v>0</v>
      </c>
      <c r="AM974" t="s">
        <v>5</v>
      </c>
      <c r="AN974">
        <v>1</v>
      </c>
      <c r="AO974">
        <v>1</v>
      </c>
      <c r="AP974">
        <v>0</v>
      </c>
      <c r="AQ974">
        <v>1</v>
      </c>
    </row>
    <row r="975" spans="1:43" x14ac:dyDescent="0.25">
      <c r="A975" t="s">
        <v>1476</v>
      </c>
      <c r="B975" t="s">
        <v>1475</v>
      </c>
      <c r="C975" t="s">
        <v>1474</v>
      </c>
      <c r="D975" s="1">
        <v>45697</v>
      </c>
      <c r="E975" t="s">
        <v>168</v>
      </c>
      <c r="G975" t="s">
        <v>30</v>
      </c>
      <c r="H975" t="s">
        <v>29</v>
      </c>
      <c r="I975" t="s">
        <v>28</v>
      </c>
      <c r="J975" t="s">
        <v>14</v>
      </c>
      <c r="K975" t="s">
        <v>13</v>
      </c>
      <c r="L975" t="s">
        <v>88</v>
      </c>
      <c r="M975" t="s">
        <v>11</v>
      </c>
      <c r="N975" t="s">
        <v>93</v>
      </c>
      <c r="O975" t="s">
        <v>40</v>
      </c>
      <c r="P975" t="s">
        <v>39</v>
      </c>
      <c r="Q975" t="s">
        <v>7</v>
      </c>
      <c r="R975" t="s">
        <v>6</v>
      </c>
      <c r="S975">
        <v>8</v>
      </c>
      <c r="T975">
        <v>8</v>
      </c>
      <c r="U975">
        <v>254</v>
      </c>
      <c r="V975" t="s">
        <v>0</v>
      </c>
      <c r="W975" t="s">
        <v>5</v>
      </c>
      <c r="X975" t="s">
        <v>0</v>
      </c>
      <c r="Y975" t="s">
        <v>4</v>
      </c>
      <c r="Z975" t="s">
        <v>5</v>
      </c>
      <c r="AA975">
        <v>467.33</v>
      </c>
      <c r="AB975">
        <v>2.59</v>
      </c>
      <c r="AC975">
        <v>0</v>
      </c>
      <c r="AD975" t="s">
        <v>3</v>
      </c>
      <c r="AE975" t="s">
        <v>0</v>
      </c>
      <c r="AF975" t="s">
        <v>3</v>
      </c>
      <c r="AG975" t="s">
        <v>2</v>
      </c>
      <c r="AI975" t="s">
        <v>23</v>
      </c>
      <c r="AJ975">
        <v>4</v>
      </c>
      <c r="AK975">
        <v>0</v>
      </c>
      <c r="AL975">
        <v>1</v>
      </c>
      <c r="AM975" t="s">
        <v>5</v>
      </c>
      <c r="AN975">
        <v>1</v>
      </c>
      <c r="AO975">
        <v>1</v>
      </c>
      <c r="AP975">
        <v>0</v>
      </c>
      <c r="AQ975">
        <v>1</v>
      </c>
    </row>
    <row r="976" spans="1:43" x14ac:dyDescent="0.25">
      <c r="A976" t="s">
        <v>1473</v>
      </c>
      <c r="B976" t="s">
        <v>1472</v>
      </c>
      <c r="C976" t="s">
        <v>1471</v>
      </c>
      <c r="D976" s="1">
        <v>46071</v>
      </c>
      <c r="E976" t="s">
        <v>68</v>
      </c>
      <c r="F976" t="s">
        <v>67</v>
      </c>
      <c r="G976" t="s">
        <v>30</v>
      </c>
      <c r="H976" t="s">
        <v>66</v>
      </c>
      <c r="I976" t="s">
        <v>15</v>
      </c>
      <c r="J976" t="s">
        <v>55</v>
      </c>
      <c r="K976" t="s">
        <v>65</v>
      </c>
      <c r="L976" t="s">
        <v>64</v>
      </c>
      <c r="M976" t="s">
        <v>11</v>
      </c>
      <c r="N976" t="s">
        <v>52</v>
      </c>
      <c r="O976" t="s">
        <v>26</v>
      </c>
      <c r="P976" t="s">
        <v>63</v>
      </c>
      <c r="Q976" t="s">
        <v>7</v>
      </c>
      <c r="R976" t="s">
        <v>6</v>
      </c>
      <c r="S976">
        <v>4</v>
      </c>
      <c r="T976">
        <v>4</v>
      </c>
      <c r="U976">
        <v>138</v>
      </c>
      <c r="V976" t="s">
        <v>0</v>
      </c>
      <c r="W976" t="s">
        <v>5</v>
      </c>
      <c r="X976" t="s">
        <v>5</v>
      </c>
      <c r="Y976" t="s">
        <v>62</v>
      </c>
      <c r="Z976" t="s">
        <v>5</v>
      </c>
      <c r="AA976">
        <v>165.09</v>
      </c>
      <c r="AB976">
        <v>0.18</v>
      </c>
      <c r="AC976">
        <v>0</v>
      </c>
      <c r="AD976" t="s">
        <v>61</v>
      </c>
      <c r="AE976" t="s">
        <v>5</v>
      </c>
      <c r="AF976" t="s">
        <v>61</v>
      </c>
      <c r="AG976" t="s">
        <v>36</v>
      </c>
      <c r="AH976">
        <v>37</v>
      </c>
      <c r="AI976" t="s">
        <v>23</v>
      </c>
      <c r="AJ976">
        <v>3</v>
      </c>
      <c r="AK976">
        <v>18</v>
      </c>
      <c r="AL976">
        <v>0</v>
      </c>
      <c r="AM976" t="s">
        <v>5</v>
      </c>
      <c r="AN976">
        <v>1</v>
      </c>
      <c r="AO976">
        <v>1</v>
      </c>
      <c r="AP976">
        <v>1</v>
      </c>
      <c r="AQ976">
        <v>1</v>
      </c>
    </row>
    <row r="977" spans="1:43" x14ac:dyDescent="0.25">
      <c r="A977" t="s">
        <v>1470</v>
      </c>
      <c r="B977" t="s">
        <v>1469</v>
      </c>
      <c r="C977" t="s">
        <v>1468</v>
      </c>
      <c r="D977" s="1">
        <v>46070</v>
      </c>
      <c r="E977" t="s">
        <v>95</v>
      </c>
      <c r="F977" t="s">
        <v>338</v>
      </c>
      <c r="G977" t="s">
        <v>110</v>
      </c>
      <c r="H977" t="s">
        <v>29</v>
      </c>
      <c r="I977" t="s">
        <v>28</v>
      </c>
      <c r="J977" t="s">
        <v>14</v>
      </c>
      <c r="K977" t="s">
        <v>13</v>
      </c>
      <c r="L977" t="s">
        <v>64</v>
      </c>
      <c r="M977" t="s">
        <v>53</v>
      </c>
      <c r="N977" t="s">
        <v>75</v>
      </c>
      <c r="O977" t="s">
        <v>193</v>
      </c>
      <c r="P977" t="s">
        <v>39</v>
      </c>
      <c r="Q977" t="s">
        <v>7</v>
      </c>
      <c r="R977" t="s">
        <v>6</v>
      </c>
      <c r="S977">
        <v>9</v>
      </c>
      <c r="T977">
        <v>9</v>
      </c>
      <c r="U977">
        <v>249</v>
      </c>
      <c r="V977" t="s">
        <v>0</v>
      </c>
      <c r="W977" t="s">
        <v>0</v>
      </c>
      <c r="X977" t="s">
        <v>0</v>
      </c>
      <c r="Y977" t="s">
        <v>4</v>
      </c>
      <c r="Z977" t="s">
        <v>0</v>
      </c>
      <c r="AA977">
        <v>0</v>
      </c>
      <c r="AB977">
        <v>0</v>
      </c>
      <c r="AC977">
        <v>0</v>
      </c>
      <c r="AD977" t="s">
        <v>3</v>
      </c>
      <c r="AE977" t="s">
        <v>0</v>
      </c>
      <c r="AF977" t="s">
        <v>3</v>
      </c>
      <c r="AG977" t="s">
        <v>2</v>
      </c>
      <c r="AI977" t="s">
        <v>191</v>
      </c>
      <c r="AJ977">
        <v>2</v>
      </c>
      <c r="AK977">
        <v>5</v>
      </c>
      <c r="AL977">
        <v>17</v>
      </c>
      <c r="AM977" t="s">
        <v>0</v>
      </c>
      <c r="AN977">
        <v>0</v>
      </c>
      <c r="AO977">
        <v>0</v>
      </c>
      <c r="AP977">
        <v>0</v>
      </c>
      <c r="AQ977">
        <v>0</v>
      </c>
    </row>
    <row r="978" spans="1:43" x14ac:dyDescent="0.25">
      <c r="A978" t="s">
        <v>1467</v>
      </c>
      <c r="B978" t="s">
        <v>1466</v>
      </c>
      <c r="C978" t="s">
        <v>1465</v>
      </c>
      <c r="D978" s="1">
        <v>45842</v>
      </c>
      <c r="E978" t="s">
        <v>162</v>
      </c>
      <c r="F978" t="s">
        <v>161</v>
      </c>
      <c r="G978" t="s">
        <v>83</v>
      </c>
      <c r="H978" t="s">
        <v>77</v>
      </c>
      <c r="I978" t="s">
        <v>15</v>
      </c>
      <c r="J978" t="s">
        <v>146</v>
      </c>
      <c r="K978" t="s">
        <v>176</v>
      </c>
      <c r="L978" t="s">
        <v>64</v>
      </c>
      <c r="M978" t="s">
        <v>53</v>
      </c>
      <c r="N978" t="s">
        <v>41</v>
      </c>
      <c r="O978" t="s">
        <v>26</v>
      </c>
      <c r="P978" t="s">
        <v>25</v>
      </c>
      <c r="Q978" t="s">
        <v>7</v>
      </c>
      <c r="R978" t="s">
        <v>6</v>
      </c>
      <c r="S978">
        <v>4</v>
      </c>
      <c r="T978">
        <v>4</v>
      </c>
      <c r="U978">
        <v>97</v>
      </c>
      <c r="V978" t="s">
        <v>0</v>
      </c>
      <c r="W978" t="s">
        <v>287</v>
      </c>
      <c r="X978" t="s">
        <v>0</v>
      </c>
      <c r="Y978" t="s">
        <v>4</v>
      </c>
      <c r="Z978" t="s">
        <v>5</v>
      </c>
      <c r="AA978">
        <v>115.69</v>
      </c>
      <c r="AB978">
        <v>0.18</v>
      </c>
      <c r="AC978">
        <v>0.17</v>
      </c>
      <c r="AD978" t="s">
        <v>3</v>
      </c>
      <c r="AE978" t="s">
        <v>0</v>
      </c>
      <c r="AF978" t="s">
        <v>3</v>
      </c>
      <c r="AG978" t="s">
        <v>2</v>
      </c>
      <c r="AI978" t="s">
        <v>23</v>
      </c>
      <c r="AJ978">
        <v>4</v>
      </c>
      <c r="AK978">
        <v>41</v>
      </c>
      <c r="AL978">
        <v>28</v>
      </c>
      <c r="AM978" t="s">
        <v>0</v>
      </c>
      <c r="AN978">
        <v>1</v>
      </c>
      <c r="AO978">
        <v>1</v>
      </c>
      <c r="AP978">
        <v>0</v>
      </c>
      <c r="AQ978">
        <v>0</v>
      </c>
    </row>
    <row r="979" spans="1:43" x14ac:dyDescent="0.25">
      <c r="A979" t="s">
        <v>1464</v>
      </c>
      <c r="B979" t="s">
        <v>185</v>
      </c>
      <c r="C979" t="s">
        <v>1463</v>
      </c>
      <c r="D979" s="1">
        <v>45704</v>
      </c>
      <c r="E979" t="s">
        <v>168</v>
      </c>
      <c r="F979" t="s">
        <v>167</v>
      </c>
      <c r="G979" t="s">
        <v>30</v>
      </c>
      <c r="H979" t="s">
        <v>77</v>
      </c>
      <c r="I979" t="s">
        <v>15</v>
      </c>
      <c r="J979" t="s">
        <v>55</v>
      </c>
      <c r="K979" t="s">
        <v>54</v>
      </c>
      <c r="L979" t="s">
        <v>12</v>
      </c>
      <c r="M979" t="s">
        <v>27</v>
      </c>
      <c r="N979" t="s">
        <v>93</v>
      </c>
      <c r="O979" t="s">
        <v>26</v>
      </c>
      <c r="P979" t="s">
        <v>39</v>
      </c>
      <c r="Q979" t="s">
        <v>100</v>
      </c>
      <c r="R979" t="s">
        <v>6</v>
      </c>
      <c r="S979">
        <v>4</v>
      </c>
      <c r="T979">
        <v>3</v>
      </c>
      <c r="U979">
        <v>193</v>
      </c>
      <c r="V979" t="s">
        <v>5</v>
      </c>
      <c r="W979" t="s">
        <v>5</v>
      </c>
      <c r="X979" t="s">
        <v>0</v>
      </c>
      <c r="Y979" t="s">
        <v>4</v>
      </c>
      <c r="Z979" t="s">
        <v>5</v>
      </c>
      <c r="AA979">
        <v>176.51</v>
      </c>
      <c r="AB979">
        <v>0.2</v>
      </c>
      <c r="AC979">
        <v>0.37</v>
      </c>
      <c r="AD979" t="s">
        <v>3</v>
      </c>
      <c r="AE979" t="s">
        <v>0</v>
      </c>
      <c r="AF979" t="s">
        <v>3</v>
      </c>
      <c r="AG979" t="s">
        <v>2</v>
      </c>
      <c r="AI979" t="s">
        <v>23</v>
      </c>
      <c r="AJ979">
        <v>3</v>
      </c>
      <c r="AK979">
        <v>38</v>
      </c>
      <c r="AL979">
        <v>31</v>
      </c>
      <c r="AM979" t="s">
        <v>5</v>
      </c>
      <c r="AN979">
        <v>1</v>
      </c>
      <c r="AO979">
        <v>1</v>
      </c>
      <c r="AP979">
        <v>0</v>
      </c>
      <c r="AQ979">
        <v>1</v>
      </c>
    </row>
    <row r="980" spans="1:43" x14ac:dyDescent="0.25">
      <c r="A980" t="s">
        <v>1462</v>
      </c>
      <c r="B980" t="s">
        <v>1461</v>
      </c>
      <c r="C980" t="s">
        <v>1460</v>
      </c>
      <c r="D980" s="1">
        <v>46038</v>
      </c>
      <c r="E980" t="s">
        <v>68</v>
      </c>
      <c r="F980" t="s">
        <v>278</v>
      </c>
      <c r="G980" t="s">
        <v>56</v>
      </c>
      <c r="H980" t="s">
        <v>16</v>
      </c>
      <c r="I980" t="s">
        <v>15</v>
      </c>
      <c r="J980" t="s">
        <v>14</v>
      </c>
      <c r="K980" t="s">
        <v>13</v>
      </c>
      <c r="L980" t="s">
        <v>88</v>
      </c>
      <c r="M980" t="s">
        <v>11</v>
      </c>
      <c r="N980" t="s">
        <v>75</v>
      </c>
      <c r="O980" t="s">
        <v>101</v>
      </c>
      <c r="P980" t="s">
        <v>8</v>
      </c>
      <c r="Q980" t="s">
        <v>24</v>
      </c>
      <c r="R980" t="s">
        <v>38</v>
      </c>
      <c r="S980">
        <v>4</v>
      </c>
      <c r="T980">
        <v>2</v>
      </c>
      <c r="U980">
        <v>248</v>
      </c>
      <c r="V980" t="s">
        <v>5</v>
      </c>
      <c r="W980" t="s">
        <v>5</v>
      </c>
      <c r="X980" t="s">
        <v>287</v>
      </c>
      <c r="Y980" t="s">
        <v>696</v>
      </c>
      <c r="Z980" t="s">
        <v>0</v>
      </c>
      <c r="AA980">
        <v>0</v>
      </c>
      <c r="AB980">
        <v>0</v>
      </c>
      <c r="AC980">
        <v>0</v>
      </c>
      <c r="AD980" t="s">
        <v>187</v>
      </c>
      <c r="AE980" t="s">
        <v>5</v>
      </c>
      <c r="AF980" t="s">
        <v>187</v>
      </c>
      <c r="AG980" t="s">
        <v>36</v>
      </c>
      <c r="AH980">
        <v>44</v>
      </c>
      <c r="AI980" t="s">
        <v>122</v>
      </c>
      <c r="AJ980">
        <v>2</v>
      </c>
      <c r="AK980">
        <v>11</v>
      </c>
      <c r="AL980">
        <v>37</v>
      </c>
      <c r="AM980" t="s">
        <v>5</v>
      </c>
      <c r="AN980">
        <v>1</v>
      </c>
      <c r="AO980">
        <v>0</v>
      </c>
      <c r="AP980">
        <v>1</v>
      </c>
      <c r="AQ980">
        <v>1</v>
      </c>
    </row>
    <row r="981" spans="1:43" x14ac:dyDescent="0.25">
      <c r="A981" t="s">
        <v>1459</v>
      </c>
      <c r="B981" t="s">
        <v>208</v>
      </c>
      <c r="C981" t="s">
        <v>1458</v>
      </c>
      <c r="D981" s="1">
        <v>45744</v>
      </c>
      <c r="E981" t="s">
        <v>168</v>
      </c>
      <c r="F981" t="s">
        <v>177</v>
      </c>
      <c r="G981" t="s">
        <v>17</v>
      </c>
      <c r="H981" t="s">
        <v>43</v>
      </c>
      <c r="I981" t="s">
        <v>28</v>
      </c>
      <c r="J981" t="s">
        <v>146</v>
      </c>
      <c r="K981" t="s">
        <v>145</v>
      </c>
      <c r="L981" t="s">
        <v>12</v>
      </c>
      <c r="M981" t="s">
        <v>11</v>
      </c>
      <c r="N981" t="s">
        <v>93</v>
      </c>
      <c r="O981" t="s">
        <v>193</v>
      </c>
      <c r="P981" t="s">
        <v>63</v>
      </c>
      <c r="Q981" t="s">
        <v>198</v>
      </c>
      <c r="R981" t="s">
        <v>38</v>
      </c>
      <c r="S981">
        <v>9</v>
      </c>
      <c r="T981">
        <v>9</v>
      </c>
      <c r="U981">
        <v>327</v>
      </c>
      <c r="V981" t="s">
        <v>0</v>
      </c>
      <c r="W981" t="s">
        <v>5</v>
      </c>
      <c r="X981" t="s">
        <v>5</v>
      </c>
      <c r="Y981" t="s">
        <v>192</v>
      </c>
      <c r="Z981" t="s">
        <v>0</v>
      </c>
      <c r="AA981">
        <v>0</v>
      </c>
      <c r="AB981">
        <v>0</v>
      </c>
      <c r="AC981">
        <v>0</v>
      </c>
      <c r="AD981" t="s">
        <v>3</v>
      </c>
      <c r="AE981" t="s">
        <v>0</v>
      </c>
      <c r="AF981" t="s">
        <v>3</v>
      </c>
      <c r="AG981" t="s">
        <v>2</v>
      </c>
      <c r="AI981" t="s">
        <v>23</v>
      </c>
      <c r="AJ981">
        <v>3</v>
      </c>
      <c r="AK981">
        <v>0</v>
      </c>
      <c r="AL981">
        <v>0</v>
      </c>
      <c r="AM981" t="s">
        <v>0</v>
      </c>
      <c r="AN981">
        <v>1</v>
      </c>
      <c r="AO981">
        <v>0</v>
      </c>
      <c r="AP981">
        <v>1</v>
      </c>
      <c r="AQ981">
        <v>0</v>
      </c>
    </row>
    <row r="982" spans="1:43" x14ac:dyDescent="0.25">
      <c r="A982" t="s">
        <v>1457</v>
      </c>
      <c r="B982" t="s">
        <v>1456</v>
      </c>
      <c r="C982" t="s">
        <v>1455</v>
      </c>
      <c r="D982" s="1">
        <v>45881</v>
      </c>
      <c r="E982" t="s">
        <v>19</v>
      </c>
      <c r="F982" t="s">
        <v>255</v>
      </c>
      <c r="G982" t="s">
        <v>17</v>
      </c>
      <c r="H982" t="s">
        <v>43</v>
      </c>
      <c r="I982" t="s">
        <v>28</v>
      </c>
      <c r="J982" t="s">
        <v>146</v>
      </c>
      <c r="K982" t="s">
        <v>460</v>
      </c>
      <c r="L982" t="s">
        <v>88</v>
      </c>
      <c r="M982" t="s">
        <v>11</v>
      </c>
      <c r="N982" t="s">
        <v>93</v>
      </c>
      <c r="O982" t="s">
        <v>9</v>
      </c>
      <c r="P982" t="s">
        <v>39</v>
      </c>
      <c r="Q982" t="s">
        <v>7</v>
      </c>
      <c r="R982" t="s">
        <v>6</v>
      </c>
      <c r="S982">
        <v>7</v>
      </c>
      <c r="T982" t="s">
        <v>242</v>
      </c>
      <c r="U982">
        <v>203</v>
      </c>
      <c r="V982" t="s">
        <v>0</v>
      </c>
      <c r="W982" t="s">
        <v>135</v>
      </c>
      <c r="X982" t="s">
        <v>5</v>
      </c>
      <c r="Y982" t="s">
        <v>228</v>
      </c>
      <c r="Z982" t="s">
        <v>0</v>
      </c>
      <c r="AA982">
        <v>0</v>
      </c>
      <c r="AB982">
        <v>0</v>
      </c>
      <c r="AC982">
        <v>0</v>
      </c>
      <c r="AD982" t="s">
        <v>3</v>
      </c>
      <c r="AE982" t="s">
        <v>0</v>
      </c>
      <c r="AF982" t="s">
        <v>3</v>
      </c>
      <c r="AG982" t="s">
        <v>2</v>
      </c>
      <c r="AI982" t="s">
        <v>122</v>
      </c>
      <c r="AJ982">
        <v>1</v>
      </c>
      <c r="AK982">
        <v>-21</v>
      </c>
      <c r="AL982">
        <v>1</v>
      </c>
      <c r="AM982" t="s">
        <v>5</v>
      </c>
      <c r="AN982">
        <v>0</v>
      </c>
      <c r="AO982">
        <v>0</v>
      </c>
      <c r="AP982">
        <v>1</v>
      </c>
      <c r="AQ982">
        <v>1</v>
      </c>
    </row>
    <row r="983" spans="1:43" x14ac:dyDescent="0.25">
      <c r="A983" t="s">
        <v>1454</v>
      </c>
      <c r="B983" t="s">
        <v>405</v>
      </c>
      <c r="C983" t="s">
        <v>1453</v>
      </c>
      <c r="D983" s="1">
        <v>46096</v>
      </c>
      <c r="E983" t="s">
        <v>149</v>
      </c>
      <c r="F983" t="s">
        <v>589</v>
      </c>
      <c r="G983" t="s">
        <v>30</v>
      </c>
      <c r="H983" t="s">
        <v>77</v>
      </c>
      <c r="I983" t="s">
        <v>15</v>
      </c>
      <c r="J983" t="s">
        <v>146</v>
      </c>
      <c r="K983" t="s">
        <v>176</v>
      </c>
      <c r="L983" t="s">
        <v>42</v>
      </c>
      <c r="M983" t="s">
        <v>53</v>
      </c>
      <c r="N983" t="s">
        <v>93</v>
      </c>
      <c r="O983" t="s">
        <v>199</v>
      </c>
      <c r="P983" t="s">
        <v>39</v>
      </c>
      <c r="Q983" t="s">
        <v>100</v>
      </c>
      <c r="R983" t="s">
        <v>38</v>
      </c>
      <c r="S983">
        <v>5</v>
      </c>
      <c r="T983">
        <v>5</v>
      </c>
      <c r="U983">
        <v>133</v>
      </c>
      <c r="V983" t="s">
        <v>0</v>
      </c>
      <c r="W983" t="s">
        <v>181</v>
      </c>
      <c r="X983" t="s">
        <v>0</v>
      </c>
      <c r="Y983" t="s">
        <v>4</v>
      </c>
      <c r="Z983" t="s">
        <v>0</v>
      </c>
      <c r="AA983">
        <v>0</v>
      </c>
      <c r="AB983">
        <v>0</v>
      </c>
      <c r="AC983">
        <v>0</v>
      </c>
      <c r="AD983" t="s">
        <v>3</v>
      </c>
      <c r="AE983" t="s">
        <v>0</v>
      </c>
      <c r="AF983" t="s">
        <v>3</v>
      </c>
      <c r="AG983" t="s">
        <v>2</v>
      </c>
      <c r="AI983" t="s">
        <v>23</v>
      </c>
      <c r="AJ983">
        <v>4</v>
      </c>
      <c r="AK983">
        <v>34</v>
      </c>
      <c r="AL983">
        <v>6</v>
      </c>
      <c r="AM983" t="s">
        <v>0</v>
      </c>
      <c r="AN983">
        <v>0</v>
      </c>
      <c r="AO983">
        <v>0</v>
      </c>
      <c r="AP983">
        <v>0</v>
      </c>
      <c r="AQ983">
        <v>0</v>
      </c>
    </row>
    <row r="984" spans="1:43" x14ac:dyDescent="0.25">
      <c r="A984" t="s">
        <v>1452</v>
      </c>
      <c r="B984" t="s">
        <v>1451</v>
      </c>
      <c r="C984" t="s">
        <v>1450</v>
      </c>
      <c r="D984" s="1">
        <v>46112</v>
      </c>
      <c r="E984" t="s">
        <v>32</v>
      </c>
      <c r="F984" t="s">
        <v>107</v>
      </c>
      <c r="G984" t="s">
        <v>17</v>
      </c>
      <c r="H984" t="s">
        <v>16</v>
      </c>
      <c r="I984" t="s">
        <v>15</v>
      </c>
      <c r="J984" t="s">
        <v>55</v>
      </c>
      <c r="K984" t="s">
        <v>54</v>
      </c>
      <c r="L984" t="s">
        <v>12</v>
      </c>
      <c r="M984" t="s">
        <v>53</v>
      </c>
      <c r="N984" t="s">
        <v>75</v>
      </c>
      <c r="O984" t="s">
        <v>101</v>
      </c>
      <c r="P984" t="s">
        <v>25</v>
      </c>
      <c r="Q984" t="s">
        <v>7</v>
      </c>
      <c r="R984" t="s">
        <v>6</v>
      </c>
      <c r="S984">
        <v>4</v>
      </c>
      <c r="T984">
        <v>4</v>
      </c>
      <c r="U984">
        <v>94</v>
      </c>
      <c r="V984" t="s">
        <v>0</v>
      </c>
      <c r="W984" t="s">
        <v>5</v>
      </c>
      <c r="X984" t="s">
        <v>0</v>
      </c>
      <c r="Y984" t="s">
        <v>4</v>
      </c>
      <c r="Z984" t="s">
        <v>0</v>
      </c>
      <c r="AA984">
        <v>0</v>
      </c>
      <c r="AB984">
        <v>0</v>
      </c>
      <c r="AC984">
        <v>0</v>
      </c>
      <c r="AD984" t="s">
        <v>3</v>
      </c>
      <c r="AE984" t="s">
        <v>0</v>
      </c>
      <c r="AF984" t="s">
        <v>3</v>
      </c>
      <c r="AG984" t="s">
        <v>2</v>
      </c>
      <c r="AI984" t="s">
        <v>23</v>
      </c>
      <c r="AJ984">
        <v>4</v>
      </c>
      <c r="AK984">
        <v>28</v>
      </c>
      <c r="AL984">
        <v>33</v>
      </c>
      <c r="AM984" t="s">
        <v>0</v>
      </c>
      <c r="AN984">
        <v>1</v>
      </c>
      <c r="AO984">
        <v>0</v>
      </c>
      <c r="AP984">
        <v>0</v>
      </c>
      <c r="AQ984">
        <v>0</v>
      </c>
    </row>
    <row r="985" spans="1:43" x14ac:dyDescent="0.25">
      <c r="A985" t="s">
        <v>1449</v>
      </c>
      <c r="B985" t="s">
        <v>1448</v>
      </c>
      <c r="C985" t="s">
        <v>1447</v>
      </c>
      <c r="D985" s="1">
        <v>46189</v>
      </c>
      <c r="E985" t="s">
        <v>79</v>
      </c>
      <c r="F985" t="s">
        <v>206</v>
      </c>
      <c r="G985" t="s">
        <v>123</v>
      </c>
      <c r="H985" t="s">
        <v>16</v>
      </c>
      <c r="I985" t="s">
        <v>15</v>
      </c>
      <c r="J985" t="s">
        <v>14</v>
      </c>
      <c r="K985" t="s">
        <v>13</v>
      </c>
      <c r="L985" t="s">
        <v>88</v>
      </c>
      <c r="M985" t="s">
        <v>11</v>
      </c>
      <c r="N985" t="s">
        <v>75</v>
      </c>
      <c r="O985" t="s">
        <v>40</v>
      </c>
      <c r="P985" t="s">
        <v>8</v>
      </c>
      <c r="Q985" t="s">
        <v>198</v>
      </c>
      <c r="R985" t="s">
        <v>38</v>
      </c>
      <c r="S985" t="s">
        <v>106</v>
      </c>
      <c r="T985">
        <v>8</v>
      </c>
      <c r="U985">
        <v>242</v>
      </c>
      <c r="V985" t="s">
        <v>0</v>
      </c>
      <c r="W985" t="s">
        <v>5</v>
      </c>
      <c r="X985" t="s">
        <v>0</v>
      </c>
      <c r="Y985" t="s">
        <v>4</v>
      </c>
      <c r="Z985" t="s">
        <v>5</v>
      </c>
      <c r="AA985">
        <v>361.92</v>
      </c>
      <c r="AB985">
        <v>2.2599999999999998</v>
      </c>
      <c r="AC985">
        <v>0</v>
      </c>
      <c r="AD985" t="s">
        <v>3</v>
      </c>
      <c r="AE985" t="s">
        <v>0</v>
      </c>
      <c r="AF985" t="s">
        <v>3</v>
      </c>
      <c r="AG985" t="s">
        <v>2</v>
      </c>
      <c r="AI985" t="s">
        <v>23</v>
      </c>
      <c r="AJ985">
        <v>3</v>
      </c>
      <c r="AK985">
        <v>7</v>
      </c>
      <c r="AL985">
        <v>8</v>
      </c>
      <c r="AM985" t="s">
        <v>0</v>
      </c>
      <c r="AN985">
        <v>1</v>
      </c>
      <c r="AO985">
        <v>1</v>
      </c>
      <c r="AP985">
        <v>0</v>
      </c>
      <c r="AQ985">
        <v>0</v>
      </c>
    </row>
    <row r="986" spans="1:43" x14ac:dyDescent="0.25">
      <c r="A986" t="s">
        <v>1446</v>
      </c>
      <c r="B986" t="s">
        <v>235</v>
      </c>
      <c r="C986" t="s">
        <v>1445</v>
      </c>
      <c r="D986" s="1">
        <v>45697</v>
      </c>
      <c r="E986" t="s">
        <v>112</v>
      </c>
      <c r="F986" t="s">
        <v>642</v>
      </c>
      <c r="G986" t="s">
        <v>17</v>
      </c>
      <c r="H986" t="s">
        <v>16</v>
      </c>
      <c r="I986" t="s">
        <v>28</v>
      </c>
      <c r="J986" t="s">
        <v>55</v>
      </c>
      <c r="K986" t="s">
        <v>54</v>
      </c>
      <c r="L986" t="s">
        <v>42</v>
      </c>
      <c r="M986" t="s">
        <v>11</v>
      </c>
      <c r="N986" t="s">
        <v>75</v>
      </c>
      <c r="O986" t="s">
        <v>74</v>
      </c>
      <c r="P986" t="s">
        <v>8</v>
      </c>
      <c r="Q986" t="s">
        <v>7</v>
      </c>
      <c r="R986" t="s">
        <v>6</v>
      </c>
      <c r="S986">
        <v>6</v>
      </c>
      <c r="T986" t="s">
        <v>205</v>
      </c>
      <c r="U986">
        <v>0</v>
      </c>
      <c r="V986" t="s">
        <v>0</v>
      </c>
      <c r="W986" t="s">
        <v>0</v>
      </c>
      <c r="X986" t="s">
        <v>5</v>
      </c>
      <c r="Y986" t="s">
        <v>1444</v>
      </c>
      <c r="Z986" t="s">
        <v>0</v>
      </c>
      <c r="AA986">
        <v>0</v>
      </c>
      <c r="AB986">
        <v>0</v>
      </c>
      <c r="AC986">
        <v>0</v>
      </c>
      <c r="AD986" t="s">
        <v>3</v>
      </c>
      <c r="AE986" t="s">
        <v>0</v>
      </c>
      <c r="AF986" t="s">
        <v>3</v>
      </c>
      <c r="AG986" t="s">
        <v>2</v>
      </c>
      <c r="AI986" t="s">
        <v>23</v>
      </c>
      <c r="AJ986">
        <v>2</v>
      </c>
      <c r="AK986">
        <v>-1</v>
      </c>
      <c r="AL986">
        <v>22</v>
      </c>
      <c r="AM986" t="s">
        <v>5</v>
      </c>
      <c r="AN986">
        <v>0</v>
      </c>
      <c r="AO986">
        <v>0</v>
      </c>
      <c r="AP986">
        <v>1</v>
      </c>
      <c r="AQ986">
        <v>1</v>
      </c>
    </row>
    <row r="987" spans="1:43" x14ac:dyDescent="0.25">
      <c r="A987" t="s">
        <v>1443</v>
      </c>
      <c r="B987" t="s">
        <v>1442</v>
      </c>
      <c r="C987" t="s">
        <v>1441</v>
      </c>
      <c r="D987" s="1">
        <v>45697</v>
      </c>
      <c r="E987" t="s">
        <v>149</v>
      </c>
      <c r="F987" t="s">
        <v>471</v>
      </c>
      <c r="G987" t="s">
        <v>131</v>
      </c>
      <c r="H987" t="s">
        <v>77</v>
      </c>
      <c r="I987" t="s">
        <v>15</v>
      </c>
      <c r="J987" t="s">
        <v>146</v>
      </c>
      <c r="K987" t="s">
        <v>145</v>
      </c>
      <c r="L987" t="s">
        <v>117</v>
      </c>
      <c r="M987" t="s">
        <v>11</v>
      </c>
      <c r="N987" t="s">
        <v>52</v>
      </c>
      <c r="O987" t="s">
        <v>9</v>
      </c>
      <c r="P987" t="s">
        <v>39</v>
      </c>
      <c r="Q987" t="s">
        <v>24</v>
      </c>
      <c r="R987" t="s">
        <v>6</v>
      </c>
      <c r="S987">
        <v>7</v>
      </c>
      <c r="T987">
        <v>6</v>
      </c>
      <c r="U987">
        <v>262</v>
      </c>
      <c r="V987" t="s">
        <v>5</v>
      </c>
      <c r="W987" t="s">
        <v>5</v>
      </c>
      <c r="X987" t="s">
        <v>0</v>
      </c>
      <c r="Y987" t="s">
        <v>4</v>
      </c>
      <c r="Z987" t="s">
        <v>5</v>
      </c>
      <c r="AA987">
        <v>0</v>
      </c>
      <c r="AB987">
        <v>0</v>
      </c>
      <c r="AC987">
        <v>0</v>
      </c>
      <c r="AD987" t="s">
        <v>3</v>
      </c>
      <c r="AE987" t="s">
        <v>0</v>
      </c>
      <c r="AF987" t="s">
        <v>3</v>
      </c>
      <c r="AG987" t="s">
        <v>2</v>
      </c>
      <c r="AI987" t="s">
        <v>23</v>
      </c>
      <c r="AJ987">
        <v>3</v>
      </c>
      <c r="AK987">
        <v>-24</v>
      </c>
      <c r="AL987">
        <v>52</v>
      </c>
      <c r="AM987" t="s">
        <v>5</v>
      </c>
      <c r="AN987">
        <v>1</v>
      </c>
      <c r="AO987">
        <v>1</v>
      </c>
      <c r="AP987">
        <v>0</v>
      </c>
      <c r="AQ987">
        <v>1</v>
      </c>
    </row>
    <row r="988" spans="1:43" x14ac:dyDescent="0.25">
      <c r="A988" t="s">
        <v>1440</v>
      </c>
      <c r="B988" t="s">
        <v>506</v>
      </c>
      <c r="C988" t="s">
        <v>1439</v>
      </c>
      <c r="D988" s="1">
        <v>46036</v>
      </c>
      <c r="E988" t="s">
        <v>68</v>
      </c>
      <c r="F988" t="s">
        <v>67</v>
      </c>
      <c r="G988" t="s">
        <v>83</v>
      </c>
      <c r="H988" t="s">
        <v>43</v>
      </c>
      <c r="I988" t="s">
        <v>15</v>
      </c>
      <c r="J988" t="s">
        <v>14</v>
      </c>
      <c r="K988" t="s">
        <v>13</v>
      </c>
      <c r="L988" t="s">
        <v>42</v>
      </c>
      <c r="M988" t="s">
        <v>11</v>
      </c>
      <c r="N988" t="s">
        <v>52</v>
      </c>
      <c r="O988" t="s">
        <v>40</v>
      </c>
      <c r="P988" t="s">
        <v>39</v>
      </c>
      <c r="Q988" t="s">
        <v>7</v>
      </c>
      <c r="R988" t="s">
        <v>6</v>
      </c>
      <c r="S988">
        <v>8</v>
      </c>
      <c r="T988">
        <v>8</v>
      </c>
      <c r="U988">
        <v>0</v>
      </c>
      <c r="V988" t="s">
        <v>0</v>
      </c>
      <c r="W988" t="s">
        <v>0</v>
      </c>
      <c r="X988" t="s">
        <v>0</v>
      </c>
      <c r="Y988" t="s">
        <v>4</v>
      </c>
      <c r="Z988" t="s">
        <v>0</v>
      </c>
      <c r="AA988">
        <v>0</v>
      </c>
      <c r="AB988">
        <v>0</v>
      </c>
      <c r="AC988">
        <v>0</v>
      </c>
      <c r="AD988" t="s">
        <v>3</v>
      </c>
      <c r="AE988" t="s">
        <v>0</v>
      </c>
      <c r="AF988" t="s">
        <v>3</v>
      </c>
      <c r="AG988" t="s">
        <v>2</v>
      </c>
      <c r="AI988" t="s">
        <v>23</v>
      </c>
      <c r="AJ988">
        <v>2</v>
      </c>
      <c r="AK988">
        <v>30</v>
      </c>
      <c r="AL988">
        <v>27</v>
      </c>
      <c r="AM988" t="s">
        <v>0</v>
      </c>
      <c r="AN988">
        <v>0</v>
      </c>
      <c r="AO988">
        <v>0</v>
      </c>
      <c r="AP988">
        <v>0</v>
      </c>
      <c r="AQ988">
        <v>0</v>
      </c>
    </row>
    <row r="989" spans="1:43" x14ac:dyDescent="0.25">
      <c r="A989" t="s">
        <v>1438</v>
      </c>
      <c r="B989" t="s">
        <v>1437</v>
      </c>
      <c r="C989" t="s">
        <v>1436</v>
      </c>
      <c r="D989" s="1">
        <v>45825</v>
      </c>
      <c r="E989" t="s">
        <v>162</v>
      </c>
      <c r="F989" t="s">
        <v>540</v>
      </c>
      <c r="G989" t="s">
        <v>30</v>
      </c>
      <c r="H989" t="s">
        <v>77</v>
      </c>
      <c r="I989" t="s">
        <v>28</v>
      </c>
      <c r="J989" t="s">
        <v>14</v>
      </c>
      <c r="K989" t="s">
        <v>13</v>
      </c>
      <c r="L989" t="s">
        <v>12</v>
      </c>
      <c r="M989" t="s">
        <v>11</v>
      </c>
      <c r="N989" t="s">
        <v>75</v>
      </c>
      <c r="O989" t="s">
        <v>40</v>
      </c>
      <c r="P989" t="s">
        <v>39</v>
      </c>
      <c r="Q989" t="s">
        <v>7</v>
      </c>
      <c r="R989" t="s">
        <v>6</v>
      </c>
      <c r="S989">
        <v>8</v>
      </c>
      <c r="T989">
        <v>8</v>
      </c>
      <c r="U989">
        <v>155</v>
      </c>
      <c r="V989" t="s">
        <v>0</v>
      </c>
      <c r="W989" t="s">
        <v>5</v>
      </c>
      <c r="X989" t="s">
        <v>0</v>
      </c>
      <c r="Y989" t="s">
        <v>4</v>
      </c>
      <c r="Z989" t="s">
        <v>5</v>
      </c>
      <c r="AA989">
        <v>398.55</v>
      </c>
      <c r="AB989">
        <v>2.62</v>
      </c>
      <c r="AC989">
        <v>0</v>
      </c>
      <c r="AD989" t="s">
        <v>37</v>
      </c>
      <c r="AE989" t="s">
        <v>5</v>
      </c>
      <c r="AF989" t="s">
        <v>37</v>
      </c>
      <c r="AG989" t="s">
        <v>139</v>
      </c>
      <c r="AH989">
        <v>29</v>
      </c>
      <c r="AI989" t="s">
        <v>23</v>
      </c>
      <c r="AJ989">
        <v>0</v>
      </c>
      <c r="AK989">
        <v>0</v>
      </c>
      <c r="AL989">
        <v>35</v>
      </c>
      <c r="AM989" t="s">
        <v>5</v>
      </c>
      <c r="AN989">
        <v>1</v>
      </c>
      <c r="AO989">
        <v>1</v>
      </c>
      <c r="AP989">
        <v>0</v>
      </c>
      <c r="AQ989">
        <v>1</v>
      </c>
    </row>
    <row r="990" spans="1:43" x14ac:dyDescent="0.25">
      <c r="A990" t="s">
        <v>1435</v>
      </c>
      <c r="B990" t="s">
        <v>1434</v>
      </c>
      <c r="C990" t="s">
        <v>1433</v>
      </c>
      <c r="D990" s="1">
        <v>45748</v>
      </c>
      <c r="E990" t="s">
        <v>125</v>
      </c>
      <c r="F990" t="s">
        <v>1432</v>
      </c>
      <c r="G990" t="s">
        <v>17</v>
      </c>
      <c r="H990" t="s">
        <v>43</v>
      </c>
      <c r="I990" t="s">
        <v>15</v>
      </c>
      <c r="J990" t="s">
        <v>14</v>
      </c>
      <c r="K990" t="s">
        <v>13</v>
      </c>
      <c r="L990" t="s">
        <v>42</v>
      </c>
      <c r="M990" t="s">
        <v>53</v>
      </c>
      <c r="N990" t="s">
        <v>52</v>
      </c>
      <c r="O990" t="s">
        <v>9</v>
      </c>
      <c r="P990" t="s">
        <v>63</v>
      </c>
      <c r="Q990" t="s">
        <v>172</v>
      </c>
      <c r="R990" t="s">
        <v>6</v>
      </c>
      <c r="S990">
        <v>7</v>
      </c>
      <c r="T990">
        <v>7</v>
      </c>
      <c r="U990">
        <v>133</v>
      </c>
      <c r="V990" t="s">
        <v>0</v>
      </c>
      <c r="W990" t="s">
        <v>5</v>
      </c>
      <c r="X990" t="s">
        <v>0</v>
      </c>
      <c r="Y990" t="s">
        <v>4</v>
      </c>
      <c r="Z990" t="s">
        <v>5</v>
      </c>
      <c r="AA990">
        <v>0</v>
      </c>
      <c r="AB990">
        <v>0</v>
      </c>
      <c r="AC990">
        <v>0.17</v>
      </c>
      <c r="AD990" t="s">
        <v>3</v>
      </c>
      <c r="AE990" t="s">
        <v>0</v>
      </c>
      <c r="AF990" t="s">
        <v>3</v>
      </c>
      <c r="AG990" t="s">
        <v>2</v>
      </c>
      <c r="AI990" t="s">
        <v>23</v>
      </c>
      <c r="AJ990">
        <v>5</v>
      </c>
      <c r="AK990">
        <v>16</v>
      </c>
      <c r="AL990">
        <v>0</v>
      </c>
      <c r="AM990" t="s">
        <v>5</v>
      </c>
      <c r="AN990">
        <v>1</v>
      </c>
      <c r="AO990">
        <v>1</v>
      </c>
      <c r="AP990">
        <v>0</v>
      </c>
      <c r="AQ990">
        <v>1</v>
      </c>
    </row>
    <row r="991" spans="1:43" x14ac:dyDescent="0.25">
      <c r="A991" t="s">
        <v>1431</v>
      </c>
      <c r="B991" t="s">
        <v>1430</v>
      </c>
      <c r="C991" t="s">
        <v>1429</v>
      </c>
      <c r="D991" s="1">
        <v>46161</v>
      </c>
      <c r="E991" t="s">
        <v>68</v>
      </c>
      <c r="F991" t="s">
        <v>278</v>
      </c>
      <c r="G991" t="s">
        <v>17</v>
      </c>
      <c r="H991" t="s">
        <v>43</v>
      </c>
      <c r="I991" t="s">
        <v>28</v>
      </c>
      <c r="J991" t="s">
        <v>55</v>
      </c>
      <c r="K991" t="s">
        <v>54</v>
      </c>
      <c r="L991" t="s">
        <v>42</v>
      </c>
      <c r="M991" t="s">
        <v>27</v>
      </c>
      <c r="N991" t="s">
        <v>41</v>
      </c>
      <c r="O991" t="s">
        <v>26</v>
      </c>
      <c r="P991" t="s">
        <v>39</v>
      </c>
      <c r="Q991" t="s">
        <v>24</v>
      </c>
      <c r="R991" t="s">
        <v>38</v>
      </c>
      <c r="S991">
        <v>4</v>
      </c>
      <c r="T991">
        <v>4</v>
      </c>
      <c r="U991">
        <v>111</v>
      </c>
      <c r="V991" t="s">
        <v>0</v>
      </c>
      <c r="W991" t="s">
        <v>5</v>
      </c>
      <c r="X991" t="s">
        <v>181</v>
      </c>
      <c r="Y991" t="s">
        <v>4</v>
      </c>
      <c r="Z991" t="s">
        <v>5</v>
      </c>
      <c r="AA991">
        <v>186.79</v>
      </c>
      <c r="AB991">
        <v>0.17</v>
      </c>
      <c r="AC991">
        <v>0.37</v>
      </c>
      <c r="AD991" t="s">
        <v>3</v>
      </c>
      <c r="AE991" t="s">
        <v>0</v>
      </c>
      <c r="AF991" t="s">
        <v>3</v>
      </c>
      <c r="AG991" t="s">
        <v>2</v>
      </c>
      <c r="AI991" t="s">
        <v>23</v>
      </c>
      <c r="AJ991">
        <v>4</v>
      </c>
      <c r="AK991">
        <v>64</v>
      </c>
      <c r="AL991">
        <v>50</v>
      </c>
      <c r="AM991" t="s">
        <v>5</v>
      </c>
      <c r="AN991">
        <v>1</v>
      </c>
      <c r="AO991">
        <v>1</v>
      </c>
      <c r="AP991">
        <v>0</v>
      </c>
      <c r="AQ991">
        <v>1</v>
      </c>
    </row>
    <row r="992" spans="1:43" x14ac:dyDescent="0.25">
      <c r="A992" t="s">
        <v>1428</v>
      </c>
      <c r="B992" t="s">
        <v>1427</v>
      </c>
      <c r="C992" t="s">
        <v>1426</v>
      </c>
      <c r="D992" s="1">
        <v>46110</v>
      </c>
      <c r="E992" t="s">
        <v>125</v>
      </c>
      <c r="F992" t="s">
        <v>132</v>
      </c>
      <c r="G992" t="s">
        <v>110</v>
      </c>
      <c r="H992" t="s">
        <v>16</v>
      </c>
      <c r="I992" t="s">
        <v>15</v>
      </c>
      <c r="J992" t="s">
        <v>55</v>
      </c>
      <c r="K992" t="s">
        <v>54</v>
      </c>
      <c r="L992" t="s">
        <v>64</v>
      </c>
      <c r="M992" t="s">
        <v>11</v>
      </c>
      <c r="N992" t="s">
        <v>52</v>
      </c>
      <c r="O992" t="s">
        <v>101</v>
      </c>
      <c r="P992" t="s">
        <v>63</v>
      </c>
      <c r="Q992" t="s">
        <v>100</v>
      </c>
      <c r="R992" t="s">
        <v>38</v>
      </c>
      <c r="S992" t="s">
        <v>99</v>
      </c>
      <c r="T992">
        <v>4</v>
      </c>
      <c r="U992">
        <v>100</v>
      </c>
      <c r="V992" t="s">
        <v>0</v>
      </c>
      <c r="W992" t="s">
        <v>5</v>
      </c>
      <c r="X992" t="s">
        <v>135</v>
      </c>
      <c r="Y992" t="s">
        <v>4</v>
      </c>
      <c r="Z992" t="s">
        <v>0</v>
      </c>
      <c r="AA992">
        <v>0</v>
      </c>
      <c r="AB992">
        <v>0</v>
      </c>
      <c r="AC992">
        <v>0</v>
      </c>
      <c r="AD992" t="s">
        <v>3</v>
      </c>
      <c r="AE992" t="s">
        <v>0</v>
      </c>
      <c r="AF992" t="s">
        <v>3</v>
      </c>
      <c r="AG992" t="s">
        <v>2</v>
      </c>
      <c r="AI992" t="s">
        <v>23</v>
      </c>
      <c r="AJ992">
        <v>4</v>
      </c>
      <c r="AK992">
        <v>46</v>
      </c>
      <c r="AL992">
        <v>0</v>
      </c>
      <c r="AM992" t="s">
        <v>5</v>
      </c>
      <c r="AN992">
        <v>1</v>
      </c>
      <c r="AO992">
        <v>0</v>
      </c>
      <c r="AP992">
        <v>0</v>
      </c>
      <c r="AQ992">
        <v>1</v>
      </c>
    </row>
    <row r="993" spans="1:43" x14ac:dyDescent="0.25">
      <c r="A993" t="s">
        <v>1425</v>
      </c>
      <c r="B993" t="s">
        <v>1424</v>
      </c>
      <c r="C993" t="s">
        <v>1423</v>
      </c>
      <c r="D993" s="1">
        <v>45765</v>
      </c>
      <c r="E993" t="s">
        <v>79</v>
      </c>
      <c r="F993" t="s">
        <v>78</v>
      </c>
      <c r="G993" t="s">
        <v>56</v>
      </c>
      <c r="H993" t="s">
        <v>66</v>
      </c>
      <c r="I993" t="s">
        <v>28</v>
      </c>
      <c r="J993" t="s">
        <v>55</v>
      </c>
      <c r="K993" t="s">
        <v>54</v>
      </c>
      <c r="L993" t="s">
        <v>42</v>
      </c>
      <c r="M993" t="s">
        <v>27</v>
      </c>
      <c r="N993" t="s">
        <v>269</v>
      </c>
      <c r="O993" t="s">
        <v>9</v>
      </c>
      <c r="P993" t="s">
        <v>39</v>
      </c>
      <c r="Q993" t="s">
        <v>7</v>
      </c>
      <c r="R993" t="s">
        <v>6</v>
      </c>
      <c r="S993">
        <v>7</v>
      </c>
      <c r="T993">
        <v>7</v>
      </c>
      <c r="U993">
        <v>312</v>
      </c>
      <c r="V993" t="s">
        <v>0</v>
      </c>
      <c r="W993" t="s">
        <v>0</v>
      </c>
      <c r="X993" t="s">
        <v>5</v>
      </c>
      <c r="Y993" t="s">
        <v>450</v>
      </c>
      <c r="Z993" t="s">
        <v>0</v>
      </c>
      <c r="AA993">
        <v>0</v>
      </c>
      <c r="AB993">
        <v>0</v>
      </c>
      <c r="AC993">
        <v>0</v>
      </c>
      <c r="AD993" t="s">
        <v>61</v>
      </c>
      <c r="AE993" t="s">
        <v>5</v>
      </c>
      <c r="AF993" t="s">
        <v>61</v>
      </c>
      <c r="AG993" t="s">
        <v>36</v>
      </c>
      <c r="AH993">
        <v>20</v>
      </c>
      <c r="AI993" t="s">
        <v>122</v>
      </c>
      <c r="AJ993">
        <v>3</v>
      </c>
      <c r="AK993">
        <v>-8</v>
      </c>
      <c r="AL993" t="s">
        <v>766</v>
      </c>
      <c r="AM993" t="s">
        <v>5</v>
      </c>
      <c r="AN993">
        <v>0</v>
      </c>
      <c r="AO993">
        <v>0</v>
      </c>
      <c r="AP993">
        <v>1</v>
      </c>
      <c r="AQ993">
        <v>1</v>
      </c>
    </row>
    <row r="994" spans="1:43" x14ac:dyDescent="0.25">
      <c r="A994" t="s">
        <v>1422</v>
      </c>
      <c r="B994" t="s">
        <v>867</v>
      </c>
      <c r="C994" t="s">
        <v>1421</v>
      </c>
      <c r="D994" s="1">
        <v>46100</v>
      </c>
      <c r="E994" t="s">
        <v>149</v>
      </c>
      <c r="F994" t="s">
        <v>248</v>
      </c>
      <c r="G994" t="s">
        <v>83</v>
      </c>
      <c r="H994" t="s">
        <v>77</v>
      </c>
      <c r="I994" t="s">
        <v>28</v>
      </c>
      <c r="J994" t="s">
        <v>55</v>
      </c>
      <c r="K994" t="s">
        <v>54</v>
      </c>
      <c r="L994" t="s">
        <v>64</v>
      </c>
      <c r="M994" t="s">
        <v>27</v>
      </c>
      <c r="N994" t="s">
        <v>10</v>
      </c>
      <c r="O994" t="s">
        <v>193</v>
      </c>
      <c r="P994" t="s">
        <v>39</v>
      </c>
      <c r="Q994" t="s">
        <v>172</v>
      </c>
      <c r="R994" t="s">
        <v>38</v>
      </c>
      <c r="S994">
        <v>9</v>
      </c>
      <c r="T994">
        <v>9</v>
      </c>
      <c r="U994">
        <v>247</v>
      </c>
      <c r="V994" t="s">
        <v>0</v>
      </c>
      <c r="W994" t="s">
        <v>5</v>
      </c>
      <c r="X994" t="s">
        <v>0</v>
      </c>
      <c r="Y994" t="s">
        <v>4</v>
      </c>
      <c r="Z994" t="s">
        <v>0</v>
      </c>
      <c r="AA994">
        <v>0</v>
      </c>
      <c r="AB994">
        <v>0</v>
      </c>
      <c r="AC994">
        <v>0</v>
      </c>
      <c r="AD994" t="s">
        <v>3</v>
      </c>
      <c r="AE994" t="s">
        <v>0</v>
      </c>
      <c r="AF994" t="s">
        <v>3</v>
      </c>
      <c r="AG994" t="s">
        <v>2</v>
      </c>
      <c r="AI994" t="s">
        <v>23</v>
      </c>
      <c r="AJ994">
        <v>3</v>
      </c>
      <c r="AK994">
        <v>12</v>
      </c>
      <c r="AL994">
        <v>7</v>
      </c>
      <c r="AM994" t="s">
        <v>0</v>
      </c>
      <c r="AN994">
        <v>1</v>
      </c>
      <c r="AO994">
        <v>0</v>
      </c>
      <c r="AP994">
        <v>0</v>
      </c>
      <c r="AQ994">
        <v>0</v>
      </c>
    </row>
    <row r="995" spans="1:43" x14ac:dyDescent="0.25">
      <c r="A995" t="s">
        <v>1420</v>
      </c>
      <c r="B995" t="s">
        <v>1419</v>
      </c>
      <c r="C995" t="s">
        <v>1418</v>
      </c>
      <c r="D995" s="1">
        <v>45939</v>
      </c>
      <c r="E995" t="s">
        <v>162</v>
      </c>
      <c r="F995" t="s">
        <v>161</v>
      </c>
      <c r="G995" t="s">
        <v>30</v>
      </c>
      <c r="H995" t="s">
        <v>77</v>
      </c>
      <c r="I995" t="s">
        <v>28</v>
      </c>
      <c r="J995" t="s">
        <v>55</v>
      </c>
      <c r="K995" t="s">
        <v>54</v>
      </c>
      <c r="L995" t="s">
        <v>64</v>
      </c>
      <c r="M995" t="s">
        <v>11</v>
      </c>
      <c r="N995" t="s">
        <v>75</v>
      </c>
      <c r="O995" t="s">
        <v>26</v>
      </c>
      <c r="P995" t="s">
        <v>63</v>
      </c>
      <c r="Q995" t="s">
        <v>7</v>
      </c>
      <c r="R995" t="s">
        <v>6</v>
      </c>
      <c r="S995">
        <v>4</v>
      </c>
      <c r="T995">
        <v>4</v>
      </c>
      <c r="U995">
        <v>109</v>
      </c>
      <c r="V995" t="s">
        <v>0</v>
      </c>
      <c r="W995" t="s">
        <v>5</v>
      </c>
      <c r="X995" t="s">
        <v>0</v>
      </c>
      <c r="Y995" t="s">
        <v>4</v>
      </c>
      <c r="Z995" t="s">
        <v>0</v>
      </c>
      <c r="AA995">
        <v>0</v>
      </c>
      <c r="AB995">
        <v>0</v>
      </c>
      <c r="AC995">
        <v>0</v>
      </c>
      <c r="AD995" t="s">
        <v>3</v>
      </c>
      <c r="AE995" t="s">
        <v>0</v>
      </c>
      <c r="AF995" t="s">
        <v>3</v>
      </c>
      <c r="AG995" t="s">
        <v>2</v>
      </c>
      <c r="AI995" t="s">
        <v>23</v>
      </c>
      <c r="AJ995">
        <v>4</v>
      </c>
      <c r="AK995">
        <v>-2</v>
      </c>
      <c r="AL995">
        <v>0</v>
      </c>
      <c r="AM995" t="s">
        <v>0</v>
      </c>
      <c r="AN995">
        <v>1</v>
      </c>
      <c r="AO995">
        <v>0</v>
      </c>
      <c r="AP995">
        <v>0</v>
      </c>
      <c r="AQ995">
        <v>0</v>
      </c>
    </row>
    <row r="996" spans="1:43" x14ac:dyDescent="0.25">
      <c r="A996" t="s">
        <v>1417</v>
      </c>
      <c r="B996" t="s">
        <v>721</v>
      </c>
      <c r="C996" t="s">
        <v>1416</v>
      </c>
      <c r="D996" s="1">
        <v>46041</v>
      </c>
      <c r="E996" t="s">
        <v>112</v>
      </c>
      <c r="F996" t="s">
        <v>307</v>
      </c>
      <c r="G996" t="s">
        <v>131</v>
      </c>
      <c r="H996" t="s">
        <v>29</v>
      </c>
      <c r="I996" t="s">
        <v>15</v>
      </c>
      <c r="J996" t="s">
        <v>55</v>
      </c>
      <c r="K996" t="s">
        <v>54</v>
      </c>
      <c r="L996" t="s">
        <v>12</v>
      </c>
      <c r="M996" t="s">
        <v>11</v>
      </c>
      <c r="N996" t="s">
        <v>154</v>
      </c>
      <c r="O996" t="s">
        <v>87</v>
      </c>
      <c r="P996" t="s">
        <v>8</v>
      </c>
      <c r="Q996" t="s">
        <v>100</v>
      </c>
      <c r="R996" t="s">
        <v>6</v>
      </c>
      <c r="S996">
        <v>5</v>
      </c>
      <c r="T996">
        <v>5</v>
      </c>
      <c r="U996">
        <v>151</v>
      </c>
      <c r="V996" t="s">
        <v>0</v>
      </c>
      <c r="W996" t="s">
        <v>5</v>
      </c>
      <c r="X996" t="s">
        <v>0</v>
      </c>
      <c r="Y996" t="s">
        <v>4</v>
      </c>
      <c r="Z996" t="s">
        <v>5</v>
      </c>
      <c r="AA996">
        <v>92.23</v>
      </c>
      <c r="AB996">
        <v>0</v>
      </c>
      <c r="AC996">
        <v>0</v>
      </c>
      <c r="AD996" t="s">
        <v>227</v>
      </c>
      <c r="AE996" t="s">
        <v>5</v>
      </c>
      <c r="AF996" t="s">
        <v>227</v>
      </c>
      <c r="AG996" t="s">
        <v>36</v>
      </c>
      <c r="AH996">
        <v>37</v>
      </c>
      <c r="AI996" t="s">
        <v>23</v>
      </c>
      <c r="AJ996">
        <v>4</v>
      </c>
      <c r="AK996">
        <v>27</v>
      </c>
      <c r="AL996">
        <v>30</v>
      </c>
      <c r="AM996" t="s">
        <v>5</v>
      </c>
      <c r="AN996">
        <v>1</v>
      </c>
      <c r="AO996">
        <v>1</v>
      </c>
      <c r="AP996">
        <v>0</v>
      </c>
      <c r="AQ996">
        <v>1</v>
      </c>
    </row>
    <row r="997" spans="1:43" x14ac:dyDescent="0.25">
      <c r="A997" t="s">
        <v>1415</v>
      </c>
      <c r="B997" t="s">
        <v>185</v>
      </c>
      <c r="C997" t="s">
        <v>1414</v>
      </c>
      <c r="D997" s="1">
        <v>46194</v>
      </c>
      <c r="E997" t="s">
        <v>95</v>
      </c>
      <c r="F997" t="s">
        <v>270</v>
      </c>
      <c r="G997" t="s">
        <v>17</v>
      </c>
      <c r="H997" t="s">
        <v>77</v>
      </c>
      <c r="I997" t="s">
        <v>28</v>
      </c>
      <c r="J997" t="s">
        <v>14</v>
      </c>
      <c r="K997" t="s">
        <v>13</v>
      </c>
      <c r="L997" t="s">
        <v>88</v>
      </c>
      <c r="M997" t="s">
        <v>11</v>
      </c>
      <c r="N997" t="s">
        <v>116</v>
      </c>
      <c r="O997" t="s">
        <v>130</v>
      </c>
      <c r="P997" t="s">
        <v>8</v>
      </c>
      <c r="Q997" t="s">
        <v>50</v>
      </c>
      <c r="R997" t="s">
        <v>6</v>
      </c>
      <c r="S997">
        <v>5</v>
      </c>
      <c r="T997">
        <v>5</v>
      </c>
      <c r="U997">
        <v>136</v>
      </c>
      <c r="V997" t="s">
        <v>0</v>
      </c>
      <c r="W997" t="s">
        <v>5</v>
      </c>
      <c r="X997" t="s">
        <v>0</v>
      </c>
      <c r="Y997" t="s">
        <v>4</v>
      </c>
      <c r="Z997" t="s">
        <v>5</v>
      </c>
      <c r="AA997">
        <v>95.41</v>
      </c>
      <c r="AB997">
        <v>0</v>
      </c>
      <c r="AC997">
        <v>0</v>
      </c>
      <c r="AD997" t="s">
        <v>3</v>
      </c>
      <c r="AE997" t="s">
        <v>0</v>
      </c>
      <c r="AF997" t="s">
        <v>3</v>
      </c>
      <c r="AG997" t="s">
        <v>2</v>
      </c>
      <c r="AI997" t="s">
        <v>23</v>
      </c>
      <c r="AJ997">
        <v>4</v>
      </c>
      <c r="AK997">
        <v>0</v>
      </c>
      <c r="AL997">
        <v>34</v>
      </c>
      <c r="AM997" t="s">
        <v>5</v>
      </c>
      <c r="AN997">
        <v>1</v>
      </c>
      <c r="AO997">
        <v>1</v>
      </c>
      <c r="AP997">
        <v>0</v>
      </c>
      <c r="AQ997">
        <v>1</v>
      </c>
    </row>
    <row r="998" spans="1:43" x14ac:dyDescent="0.25">
      <c r="A998" t="s">
        <v>369</v>
      </c>
      <c r="B998" t="s">
        <v>368</v>
      </c>
      <c r="C998" t="s">
        <v>367</v>
      </c>
      <c r="D998" s="1">
        <v>45739</v>
      </c>
      <c r="E998" t="s">
        <v>68</v>
      </c>
      <c r="F998" t="s">
        <v>67</v>
      </c>
      <c r="G998" t="s">
        <v>83</v>
      </c>
      <c r="H998" t="s">
        <v>29</v>
      </c>
      <c r="I998" t="s">
        <v>28</v>
      </c>
      <c r="J998" t="s">
        <v>55</v>
      </c>
      <c r="K998" t="s">
        <v>54</v>
      </c>
      <c r="L998" t="s">
        <v>64</v>
      </c>
      <c r="M998" t="s">
        <v>11</v>
      </c>
      <c r="N998" t="s">
        <v>41</v>
      </c>
      <c r="O998" t="s">
        <v>74</v>
      </c>
      <c r="P998" t="s">
        <v>39</v>
      </c>
      <c r="Q998" t="s">
        <v>50</v>
      </c>
      <c r="R998" t="s">
        <v>38</v>
      </c>
      <c r="S998">
        <v>6</v>
      </c>
      <c r="T998">
        <v>6</v>
      </c>
      <c r="U998">
        <v>150</v>
      </c>
      <c r="V998" t="s">
        <v>0</v>
      </c>
      <c r="W998" t="s">
        <v>5</v>
      </c>
      <c r="X998" t="s">
        <v>0</v>
      </c>
      <c r="Y998" t="s">
        <v>4</v>
      </c>
      <c r="Z998" t="s">
        <v>5</v>
      </c>
      <c r="AA998">
        <v>0</v>
      </c>
      <c r="AB998">
        <v>0</v>
      </c>
      <c r="AC998">
        <v>0</v>
      </c>
      <c r="AD998" t="s">
        <v>3</v>
      </c>
      <c r="AE998" t="s">
        <v>0</v>
      </c>
      <c r="AF998" t="s">
        <v>3</v>
      </c>
      <c r="AG998" t="s">
        <v>2</v>
      </c>
      <c r="AI998" t="s">
        <v>23</v>
      </c>
      <c r="AJ998">
        <v>5</v>
      </c>
      <c r="AK998">
        <v>30</v>
      </c>
      <c r="AL998">
        <v>27</v>
      </c>
      <c r="AM998" t="s">
        <v>5</v>
      </c>
      <c r="AN998">
        <v>1</v>
      </c>
      <c r="AO998">
        <v>1</v>
      </c>
      <c r="AP998">
        <v>0</v>
      </c>
      <c r="AQ998">
        <v>1</v>
      </c>
    </row>
    <row r="999" spans="1:43" x14ac:dyDescent="0.25">
      <c r="A999" t="s">
        <v>1413</v>
      </c>
      <c r="B999" t="s">
        <v>838</v>
      </c>
      <c r="C999" t="s">
        <v>1412</v>
      </c>
      <c r="D999" s="1">
        <v>46075</v>
      </c>
      <c r="E999" t="s">
        <v>162</v>
      </c>
      <c r="F999" t="s">
        <v>310</v>
      </c>
      <c r="G999" t="s">
        <v>56</v>
      </c>
      <c r="H999" t="s">
        <v>16</v>
      </c>
      <c r="I999" t="s">
        <v>15</v>
      </c>
      <c r="J999" t="s">
        <v>146</v>
      </c>
      <c r="K999" t="s">
        <v>145</v>
      </c>
      <c r="L999" t="s">
        <v>42</v>
      </c>
      <c r="M999" t="s">
        <v>27</v>
      </c>
      <c r="N999" t="s">
        <v>10</v>
      </c>
      <c r="O999" t="s">
        <v>199</v>
      </c>
      <c r="P999" t="s">
        <v>8</v>
      </c>
      <c r="Q999" t="s">
        <v>24</v>
      </c>
      <c r="R999" t="s">
        <v>6</v>
      </c>
      <c r="S999">
        <v>5</v>
      </c>
      <c r="T999">
        <v>5</v>
      </c>
      <c r="U999">
        <v>113</v>
      </c>
      <c r="V999" t="s">
        <v>0</v>
      </c>
      <c r="W999" t="s">
        <v>5</v>
      </c>
      <c r="X999" t="s">
        <v>0</v>
      </c>
      <c r="Y999" t="s">
        <v>4</v>
      </c>
      <c r="Z999" t="s">
        <v>5</v>
      </c>
      <c r="AA999">
        <v>68.44</v>
      </c>
      <c r="AB999">
        <v>0</v>
      </c>
      <c r="AC999">
        <v>0.37</v>
      </c>
      <c r="AD999" t="s">
        <v>3</v>
      </c>
      <c r="AE999" t="s">
        <v>0</v>
      </c>
      <c r="AF999" t="s">
        <v>3</v>
      </c>
      <c r="AG999" t="s">
        <v>2</v>
      </c>
      <c r="AI999" t="s">
        <v>23</v>
      </c>
      <c r="AJ999">
        <v>4</v>
      </c>
      <c r="AK999">
        <v>34</v>
      </c>
      <c r="AL999">
        <v>49</v>
      </c>
      <c r="AM999" t="s">
        <v>5</v>
      </c>
      <c r="AN999">
        <v>1</v>
      </c>
      <c r="AO999">
        <v>1</v>
      </c>
      <c r="AP999">
        <v>0</v>
      </c>
      <c r="AQ999">
        <v>1</v>
      </c>
    </row>
    <row r="1000" spans="1:43" x14ac:dyDescent="0.25">
      <c r="A1000" t="s">
        <v>1411</v>
      </c>
      <c r="B1000" t="s">
        <v>1313</v>
      </c>
      <c r="C1000" t="s">
        <v>1410</v>
      </c>
      <c r="D1000" s="1">
        <v>45836</v>
      </c>
      <c r="E1000" t="s">
        <v>95</v>
      </c>
      <c r="F1000" t="s">
        <v>1409</v>
      </c>
      <c r="G1000" t="s">
        <v>17</v>
      </c>
      <c r="H1000" t="s">
        <v>66</v>
      </c>
      <c r="I1000" t="s">
        <v>15</v>
      </c>
      <c r="J1000" t="s">
        <v>14</v>
      </c>
      <c r="K1000" t="s">
        <v>13</v>
      </c>
      <c r="L1000" t="s">
        <v>64</v>
      </c>
      <c r="M1000" t="s">
        <v>299</v>
      </c>
      <c r="N1000" t="s">
        <v>154</v>
      </c>
      <c r="O1000" t="s">
        <v>199</v>
      </c>
      <c r="P1000" t="s">
        <v>8</v>
      </c>
      <c r="Q1000" t="s">
        <v>24</v>
      </c>
      <c r="R1000" t="s">
        <v>6</v>
      </c>
      <c r="S1000">
        <v>5</v>
      </c>
      <c r="T1000" t="s">
        <v>277</v>
      </c>
      <c r="U1000">
        <v>213</v>
      </c>
      <c r="V1000" t="s">
        <v>0</v>
      </c>
      <c r="W1000" t="s">
        <v>5</v>
      </c>
      <c r="X1000" t="s">
        <v>5</v>
      </c>
      <c r="Y1000" t="s">
        <v>410</v>
      </c>
      <c r="Z1000" t="s">
        <v>0</v>
      </c>
      <c r="AA1000">
        <v>0</v>
      </c>
      <c r="AB1000">
        <v>0</v>
      </c>
      <c r="AC1000">
        <v>0</v>
      </c>
      <c r="AD1000" t="s">
        <v>3</v>
      </c>
      <c r="AE1000" t="s">
        <v>0</v>
      </c>
      <c r="AF1000" t="s">
        <v>3</v>
      </c>
      <c r="AG1000" t="s">
        <v>2</v>
      </c>
      <c r="AI1000" t="s">
        <v>23</v>
      </c>
      <c r="AJ1000">
        <v>2</v>
      </c>
      <c r="AK1000">
        <v>-15</v>
      </c>
      <c r="AL1000">
        <v>18</v>
      </c>
      <c r="AM1000" t="s">
        <v>0</v>
      </c>
      <c r="AN1000">
        <v>1</v>
      </c>
      <c r="AO1000">
        <v>0</v>
      </c>
      <c r="AP1000">
        <v>1</v>
      </c>
      <c r="AQ1000">
        <v>0</v>
      </c>
    </row>
    <row r="1001" spans="1:43" x14ac:dyDescent="0.25">
      <c r="A1001" t="s">
        <v>1408</v>
      </c>
      <c r="B1001" t="s">
        <v>786</v>
      </c>
      <c r="C1001" t="s">
        <v>1407</v>
      </c>
      <c r="D1001" s="1">
        <v>45809</v>
      </c>
      <c r="E1001" t="s">
        <v>32</v>
      </c>
      <c r="F1001" t="s">
        <v>356</v>
      </c>
      <c r="G1001" t="s">
        <v>17</v>
      </c>
      <c r="H1001" t="s">
        <v>16</v>
      </c>
      <c r="I1001" t="s">
        <v>15</v>
      </c>
      <c r="J1001" t="s">
        <v>146</v>
      </c>
      <c r="K1001" t="s">
        <v>145</v>
      </c>
      <c r="L1001" t="s">
        <v>117</v>
      </c>
      <c r="M1001" t="s">
        <v>11</v>
      </c>
      <c r="N1001" t="s">
        <v>93</v>
      </c>
      <c r="O1001" t="s">
        <v>9</v>
      </c>
      <c r="P1001" t="s">
        <v>8</v>
      </c>
      <c r="Q1001" t="s">
        <v>198</v>
      </c>
      <c r="R1001" t="s">
        <v>6</v>
      </c>
      <c r="S1001">
        <v>7</v>
      </c>
      <c r="T1001">
        <v>7</v>
      </c>
      <c r="U1001">
        <v>164</v>
      </c>
      <c r="V1001" t="s">
        <v>247</v>
      </c>
      <c r="W1001" t="s">
        <v>0</v>
      </c>
      <c r="X1001" t="s">
        <v>0</v>
      </c>
      <c r="Y1001" t="s">
        <v>4</v>
      </c>
      <c r="Z1001" t="s">
        <v>5</v>
      </c>
      <c r="AA1001">
        <v>15.47</v>
      </c>
      <c r="AB1001">
        <v>0</v>
      </c>
      <c r="AC1001">
        <v>0</v>
      </c>
      <c r="AD1001" t="s">
        <v>1399</v>
      </c>
      <c r="AE1001" t="s">
        <v>5</v>
      </c>
      <c r="AF1001" t="s">
        <v>1399</v>
      </c>
      <c r="AG1001" t="s">
        <v>36</v>
      </c>
      <c r="AH1001">
        <v>11</v>
      </c>
      <c r="AI1001" t="s">
        <v>1</v>
      </c>
      <c r="AJ1001">
        <v>4</v>
      </c>
      <c r="AK1001">
        <v>4</v>
      </c>
      <c r="AL1001">
        <v>33</v>
      </c>
      <c r="AM1001" t="s">
        <v>0</v>
      </c>
      <c r="AN1001">
        <v>0</v>
      </c>
      <c r="AO1001">
        <v>1</v>
      </c>
      <c r="AP1001">
        <v>0</v>
      </c>
      <c r="AQ1001">
        <v>0</v>
      </c>
    </row>
    <row r="1002" spans="1:43" x14ac:dyDescent="0.25">
      <c r="A1002" t="s">
        <v>1406</v>
      </c>
      <c r="B1002" t="s">
        <v>1405</v>
      </c>
      <c r="C1002" t="s">
        <v>1404</v>
      </c>
      <c r="D1002" s="1">
        <v>45670</v>
      </c>
      <c r="E1002" t="s">
        <v>32</v>
      </c>
      <c r="F1002" t="s">
        <v>356</v>
      </c>
      <c r="G1002" t="s">
        <v>83</v>
      </c>
      <c r="H1002" t="s">
        <v>237</v>
      </c>
      <c r="I1002" t="s">
        <v>147</v>
      </c>
      <c r="J1002" t="s">
        <v>14</v>
      </c>
      <c r="K1002" t="s">
        <v>13</v>
      </c>
      <c r="L1002" t="s">
        <v>64</v>
      </c>
      <c r="M1002" t="s">
        <v>53</v>
      </c>
      <c r="N1002" t="s">
        <v>269</v>
      </c>
      <c r="O1002" t="s">
        <v>26</v>
      </c>
      <c r="P1002" t="s">
        <v>39</v>
      </c>
      <c r="Q1002" t="s">
        <v>7</v>
      </c>
      <c r="R1002" t="s">
        <v>6</v>
      </c>
      <c r="S1002">
        <v>4</v>
      </c>
      <c r="T1002">
        <v>4</v>
      </c>
      <c r="U1002">
        <v>125</v>
      </c>
      <c r="V1002" t="s">
        <v>0</v>
      </c>
      <c r="W1002" t="s">
        <v>0</v>
      </c>
      <c r="X1002" t="s">
        <v>0</v>
      </c>
      <c r="Y1002" t="s">
        <v>4</v>
      </c>
      <c r="Z1002" t="s">
        <v>0</v>
      </c>
      <c r="AA1002">
        <v>0</v>
      </c>
      <c r="AB1002">
        <v>0</v>
      </c>
      <c r="AC1002">
        <v>0</v>
      </c>
      <c r="AD1002" t="s">
        <v>3</v>
      </c>
      <c r="AE1002" t="s">
        <v>0</v>
      </c>
      <c r="AF1002" t="s">
        <v>3</v>
      </c>
      <c r="AG1002" t="s">
        <v>2</v>
      </c>
      <c r="AI1002" t="s">
        <v>23</v>
      </c>
      <c r="AJ1002">
        <v>4</v>
      </c>
      <c r="AK1002">
        <v>38</v>
      </c>
      <c r="AL1002" t="s">
        <v>1403</v>
      </c>
      <c r="AM1002" t="s">
        <v>5</v>
      </c>
      <c r="AN1002">
        <v>0</v>
      </c>
      <c r="AO1002">
        <v>0</v>
      </c>
      <c r="AP1002">
        <v>0</v>
      </c>
      <c r="AQ1002">
        <v>1</v>
      </c>
    </row>
    <row r="1003" spans="1:43" x14ac:dyDescent="0.25">
      <c r="A1003" t="s">
        <v>1402</v>
      </c>
      <c r="B1003" t="s">
        <v>1401</v>
      </c>
      <c r="C1003" t="s">
        <v>1400</v>
      </c>
      <c r="D1003" s="1">
        <v>45884</v>
      </c>
      <c r="E1003" t="s">
        <v>79</v>
      </c>
      <c r="F1003" t="s">
        <v>223</v>
      </c>
      <c r="G1003" t="s">
        <v>56</v>
      </c>
      <c r="H1003" t="s">
        <v>77</v>
      </c>
      <c r="I1003" t="s">
        <v>28</v>
      </c>
      <c r="J1003" t="s">
        <v>55</v>
      </c>
      <c r="K1003" t="s">
        <v>54</v>
      </c>
      <c r="L1003" t="s">
        <v>42</v>
      </c>
      <c r="M1003" t="s">
        <v>11</v>
      </c>
      <c r="N1003" t="s">
        <v>116</v>
      </c>
      <c r="O1003" t="s">
        <v>9</v>
      </c>
      <c r="P1003" t="s">
        <v>39</v>
      </c>
      <c r="Q1003" t="s">
        <v>172</v>
      </c>
      <c r="R1003" t="s">
        <v>6</v>
      </c>
      <c r="S1003">
        <v>7</v>
      </c>
      <c r="T1003">
        <v>6</v>
      </c>
      <c r="U1003">
        <v>281</v>
      </c>
      <c r="V1003" t="s">
        <v>5</v>
      </c>
      <c r="W1003" t="s">
        <v>0</v>
      </c>
      <c r="X1003" t="s">
        <v>0</v>
      </c>
      <c r="Y1003" t="s">
        <v>4</v>
      </c>
      <c r="Z1003" t="s">
        <v>0</v>
      </c>
      <c r="AA1003">
        <v>0</v>
      </c>
      <c r="AB1003">
        <v>0</v>
      </c>
      <c r="AC1003">
        <v>0</v>
      </c>
      <c r="AD1003" t="s">
        <v>1399</v>
      </c>
      <c r="AE1003" t="s">
        <v>5</v>
      </c>
      <c r="AF1003" t="s">
        <v>1399</v>
      </c>
      <c r="AG1003" t="s">
        <v>139</v>
      </c>
      <c r="AH1003">
        <v>43</v>
      </c>
      <c r="AI1003" t="s">
        <v>1</v>
      </c>
      <c r="AJ1003">
        <v>2</v>
      </c>
      <c r="AK1003">
        <v>5</v>
      </c>
      <c r="AL1003">
        <v>31</v>
      </c>
      <c r="AM1003" t="s">
        <v>0</v>
      </c>
      <c r="AN1003">
        <v>0</v>
      </c>
      <c r="AO1003">
        <v>0</v>
      </c>
      <c r="AP1003">
        <v>0</v>
      </c>
      <c r="AQ1003">
        <v>0</v>
      </c>
    </row>
    <row r="1004" spans="1:43" x14ac:dyDescent="0.25">
      <c r="A1004" t="s">
        <v>1398</v>
      </c>
      <c r="B1004" t="s">
        <v>1397</v>
      </c>
      <c r="C1004" t="s">
        <v>1396</v>
      </c>
      <c r="D1004" s="1">
        <v>46067</v>
      </c>
      <c r="E1004" t="s">
        <v>19</v>
      </c>
      <c r="F1004" t="s">
        <v>295</v>
      </c>
      <c r="G1004" t="s">
        <v>56</v>
      </c>
      <c r="H1004" t="s">
        <v>66</v>
      </c>
      <c r="I1004" t="s">
        <v>15</v>
      </c>
      <c r="J1004" t="s">
        <v>14</v>
      </c>
      <c r="K1004" t="s">
        <v>13</v>
      </c>
      <c r="L1004" t="s">
        <v>42</v>
      </c>
      <c r="M1004" t="s">
        <v>27</v>
      </c>
      <c r="N1004" t="s">
        <v>10</v>
      </c>
      <c r="O1004" t="s">
        <v>101</v>
      </c>
      <c r="P1004" t="s">
        <v>25</v>
      </c>
      <c r="Q1004" t="s">
        <v>100</v>
      </c>
      <c r="R1004" t="s">
        <v>38</v>
      </c>
      <c r="S1004">
        <v>4</v>
      </c>
      <c r="T1004">
        <v>4</v>
      </c>
      <c r="U1004">
        <v>116</v>
      </c>
      <c r="V1004" t="s">
        <v>0</v>
      </c>
      <c r="W1004" t="s">
        <v>5</v>
      </c>
      <c r="X1004" t="s">
        <v>0</v>
      </c>
      <c r="Y1004" t="s">
        <v>4</v>
      </c>
      <c r="Z1004" t="s">
        <v>5</v>
      </c>
      <c r="AA1004">
        <v>92.73</v>
      </c>
      <c r="AB1004">
        <v>0.45</v>
      </c>
      <c r="AC1004">
        <v>0.37</v>
      </c>
      <c r="AD1004" t="s">
        <v>3</v>
      </c>
      <c r="AE1004" t="s">
        <v>0</v>
      </c>
      <c r="AF1004" t="s">
        <v>3</v>
      </c>
      <c r="AG1004" t="s">
        <v>2</v>
      </c>
      <c r="AI1004" t="s">
        <v>23</v>
      </c>
      <c r="AJ1004">
        <v>5</v>
      </c>
      <c r="AK1004">
        <v>9</v>
      </c>
      <c r="AL1004">
        <v>42</v>
      </c>
      <c r="AM1004" t="s">
        <v>5</v>
      </c>
      <c r="AN1004">
        <v>1</v>
      </c>
      <c r="AO1004">
        <v>1</v>
      </c>
      <c r="AP1004">
        <v>0</v>
      </c>
      <c r="AQ1004">
        <v>1</v>
      </c>
    </row>
    <row r="1005" spans="1:43" x14ac:dyDescent="0.25">
      <c r="A1005" t="s">
        <v>1395</v>
      </c>
      <c r="B1005" t="s">
        <v>1394</v>
      </c>
      <c r="C1005" t="s">
        <v>1393</v>
      </c>
      <c r="D1005" s="1">
        <v>45988</v>
      </c>
      <c r="E1005" t="s">
        <v>149</v>
      </c>
      <c r="F1005" t="s">
        <v>248</v>
      </c>
      <c r="G1005" t="s">
        <v>56</v>
      </c>
      <c r="H1005" t="s">
        <v>43</v>
      </c>
      <c r="I1005" t="s">
        <v>15</v>
      </c>
      <c r="J1005" t="s">
        <v>14</v>
      </c>
      <c r="K1005" t="s">
        <v>13</v>
      </c>
      <c r="L1005" t="s">
        <v>12</v>
      </c>
      <c r="M1005" t="s">
        <v>27</v>
      </c>
      <c r="N1005" t="s">
        <v>41</v>
      </c>
      <c r="O1005" t="s">
        <v>130</v>
      </c>
      <c r="P1005" t="s">
        <v>39</v>
      </c>
      <c r="Q1005" t="s">
        <v>7</v>
      </c>
      <c r="R1005" t="s">
        <v>6</v>
      </c>
      <c r="S1005">
        <v>5</v>
      </c>
      <c r="T1005">
        <v>3</v>
      </c>
      <c r="U1005">
        <v>258</v>
      </c>
      <c r="V1005" t="s">
        <v>5</v>
      </c>
      <c r="W1005" t="s">
        <v>0</v>
      </c>
      <c r="X1005" t="s">
        <v>287</v>
      </c>
      <c r="Y1005" t="s">
        <v>1249</v>
      </c>
      <c r="Z1005" t="s">
        <v>5</v>
      </c>
      <c r="AA1005">
        <v>47.71</v>
      </c>
      <c r="AB1005">
        <v>0</v>
      </c>
      <c r="AC1005">
        <v>0.37</v>
      </c>
      <c r="AD1005" t="s">
        <v>3</v>
      </c>
      <c r="AE1005" t="s">
        <v>0</v>
      </c>
      <c r="AF1005" t="s">
        <v>3</v>
      </c>
      <c r="AG1005" t="s">
        <v>2</v>
      </c>
      <c r="AI1005" t="s">
        <v>122</v>
      </c>
      <c r="AJ1005">
        <v>1</v>
      </c>
      <c r="AK1005">
        <v>-19</v>
      </c>
      <c r="AL1005">
        <v>16</v>
      </c>
      <c r="AM1005" t="s">
        <v>5</v>
      </c>
      <c r="AN1005">
        <v>0</v>
      </c>
      <c r="AO1005">
        <v>1</v>
      </c>
      <c r="AP1005">
        <v>1</v>
      </c>
      <c r="AQ1005">
        <v>1</v>
      </c>
    </row>
    <row r="1006" spans="1:43" x14ac:dyDescent="0.25">
      <c r="A1006" t="s">
        <v>1392</v>
      </c>
      <c r="B1006" t="s">
        <v>737</v>
      </c>
      <c r="C1006" t="s">
        <v>1391</v>
      </c>
      <c r="D1006" s="1">
        <v>45890</v>
      </c>
      <c r="E1006" t="s">
        <v>125</v>
      </c>
      <c r="F1006" t="s">
        <v>124</v>
      </c>
      <c r="G1006" t="s">
        <v>17</v>
      </c>
      <c r="H1006" t="s">
        <v>77</v>
      </c>
      <c r="I1006" t="s">
        <v>28</v>
      </c>
      <c r="J1006" t="s">
        <v>14</v>
      </c>
      <c r="K1006" t="s">
        <v>13</v>
      </c>
      <c r="L1006" t="s">
        <v>12</v>
      </c>
      <c r="M1006" t="s">
        <v>11</v>
      </c>
      <c r="N1006" t="s">
        <v>116</v>
      </c>
      <c r="O1006" t="s">
        <v>26</v>
      </c>
      <c r="P1006" t="s">
        <v>39</v>
      </c>
      <c r="Q1006" t="s">
        <v>50</v>
      </c>
      <c r="R1006" t="s">
        <v>38</v>
      </c>
      <c r="S1006">
        <v>4</v>
      </c>
      <c r="T1006">
        <v>4</v>
      </c>
      <c r="U1006">
        <v>111</v>
      </c>
      <c r="V1006" t="s">
        <v>0</v>
      </c>
      <c r="W1006" t="s">
        <v>5</v>
      </c>
      <c r="X1006" t="s">
        <v>0</v>
      </c>
      <c r="Y1006" t="s">
        <v>4</v>
      </c>
      <c r="Z1006" t="s">
        <v>5</v>
      </c>
      <c r="AA1006">
        <v>158.33000000000001</v>
      </c>
      <c r="AB1006">
        <v>0.17</v>
      </c>
      <c r="AC1006">
        <v>0</v>
      </c>
      <c r="AD1006" t="s">
        <v>3</v>
      </c>
      <c r="AE1006" t="s">
        <v>0</v>
      </c>
      <c r="AF1006" t="s">
        <v>3</v>
      </c>
      <c r="AG1006" t="s">
        <v>2</v>
      </c>
      <c r="AI1006" t="s">
        <v>23</v>
      </c>
      <c r="AJ1006">
        <v>3</v>
      </c>
      <c r="AK1006">
        <v>39</v>
      </c>
      <c r="AL1006">
        <v>48</v>
      </c>
      <c r="AM1006" t="s">
        <v>5</v>
      </c>
      <c r="AN1006">
        <v>1</v>
      </c>
      <c r="AO1006">
        <v>1</v>
      </c>
      <c r="AP1006">
        <v>0</v>
      </c>
      <c r="AQ1006">
        <v>1</v>
      </c>
    </row>
    <row r="1007" spans="1:43" x14ac:dyDescent="0.25">
      <c r="A1007" t="s">
        <v>1390</v>
      </c>
      <c r="B1007" t="s">
        <v>1389</v>
      </c>
      <c r="C1007" t="s">
        <v>1388</v>
      </c>
      <c r="D1007" s="1">
        <v>45880</v>
      </c>
      <c r="E1007" t="s">
        <v>95</v>
      </c>
      <c r="F1007" t="s">
        <v>321</v>
      </c>
      <c r="G1007" t="s">
        <v>123</v>
      </c>
      <c r="H1007" t="s">
        <v>43</v>
      </c>
      <c r="I1007" t="s">
        <v>15</v>
      </c>
      <c r="J1007" t="s">
        <v>14</v>
      </c>
      <c r="K1007" t="s">
        <v>13</v>
      </c>
      <c r="L1007" t="s">
        <v>42</v>
      </c>
      <c r="M1007" t="s">
        <v>27</v>
      </c>
      <c r="N1007" t="s">
        <v>41</v>
      </c>
      <c r="O1007" t="s">
        <v>26</v>
      </c>
      <c r="P1007" t="s">
        <v>63</v>
      </c>
      <c r="Q1007" t="s">
        <v>198</v>
      </c>
      <c r="R1007" t="s">
        <v>38</v>
      </c>
      <c r="S1007">
        <v>4</v>
      </c>
      <c r="T1007">
        <v>4</v>
      </c>
      <c r="U1007">
        <v>105</v>
      </c>
      <c r="V1007" t="s">
        <v>0</v>
      </c>
      <c r="W1007" t="s">
        <v>5</v>
      </c>
      <c r="X1007" t="s">
        <v>135</v>
      </c>
      <c r="Y1007" t="s">
        <v>4</v>
      </c>
      <c r="Z1007" t="s">
        <v>5</v>
      </c>
      <c r="AA1007">
        <v>177.85</v>
      </c>
      <c r="AB1007">
        <v>0.22</v>
      </c>
      <c r="AC1007">
        <v>0.37</v>
      </c>
      <c r="AD1007" t="s">
        <v>3</v>
      </c>
      <c r="AE1007" t="s">
        <v>0</v>
      </c>
      <c r="AF1007" t="s">
        <v>3</v>
      </c>
      <c r="AG1007" t="s">
        <v>2</v>
      </c>
      <c r="AI1007" t="s">
        <v>23</v>
      </c>
      <c r="AJ1007">
        <v>5</v>
      </c>
      <c r="AK1007">
        <v>38</v>
      </c>
      <c r="AL1007">
        <v>0</v>
      </c>
      <c r="AM1007" t="s">
        <v>5</v>
      </c>
      <c r="AN1007">
        <v>1</v>
      </c>
      <c r="AO1007">
        <v>1</v>
      </c>
      <c r="AP1007">
        <v>0</v>
      </c>
      <c r="AQ1007">
        <v>1</v>
      </c>
    </row>
    <row r="1008" spans="1:43" x14ac:dyDescent="0.25">
      <c r="A1008" t="s">
        <v>1387</v>
      </c>
      <c r="B1008" t="s">
        <v>1386</v>
      </c>
      <c r="C1008" t="s">
        <v>1385</v>
      </c>
      <c r="D1008" s="1">
        <v>45739</v>
      </c>
      <c r="E1008" t="s">
        <v>32</v>
      </c>
      <c r="F1008" t="s">
        <v>382</v>
      </c>
      <c r="G1008" t="s">
        <v>56</v>
      </c>
      <c r="H1008" t="s">
        <v>77</v>
      </c>
      <c r="I1008" t="s">
        <v>28</v>
      </c>
      <c r="J1008" t="s">
        <v>55</v>
      </c>
      <c r="K1008" t="s">
        <v>54</v>
      </c>
      <c r="L1008" t="s">
        <v>117</v>
      </c>
      <c r="M1008" t="s">
        <v>11</v>
      </c>
      <c r="N1008" t="s">
        <v>116</v>
      </c>
      <c r="O1008" t="s">
        <v>101</v>
      </c>
      <c r="P1008" t="s">
        <v>8</v>
      </c>
      <c r="Q1008" t="s">
        <v>198</v>
      </c>
      <c r="R1008" t="s">
        <v>38</v>
      </c>
      <c r="S1008">
        <v>4</v>
      </c>
      <c r="T1008">
        <v>4</v>
      </c>
      <c r="U1008">
        <v>100</v>
      </c>
      <c r="V1008" t="s">
        <v>0</v>
      </c>
      <c r="W1008" t="s">
        <v>5</v>
      </c>
      <c r="X1008" t="s">
        <v>0</v>
      </c>
      <c r="Y1008" t="s">
        <v>4</v>
      </c>
      <c r="Z1008" t="s">
        <v>5</v>
      </c>
      <c r="AA1008">
        <v>94.99</v>
      </c>
      <c r="AB1008">
        <v>0.47</v>
      </c>
      <c r="AC1008">
        <v>0</v>
      </c>
      <c r="AD1008" t="s">
        <v>3</v>
      </c>
      <c r="AE1008" t="s">
        <v>247</v>
      </c>
      <c r="AF1008" t="s">
        <v>3</v>
      </c>
      <c r="AG1008" t="s">
        <v>2</v>
      </c>
      <c r="AI1008" t="s">
        <v>23</v>
      </c>
      <c r="AJ1008">
        <v>4</v>
      </c>
      <c r="AK1008">
        <v>66</v>
      </c>
      <c r="AL1008">
        <v>38</v>
      </c>
      <c r="AM1008" t="s">
        <v>5</v>
      </c>
      <c r="AN1008">
        <v>1</v>
      </c>
      <c r="AO1008">
        <v>1</v>
      </c>
      <c r="AP1008">
        <v>0</v>
      </c>
      <c r="AQ1008">
        <v>1</v>
      </c>
    </row>
    <row r="1009" spans="1:43" x14ac:dyDescent="0.25">
      <c r="A1009" t="s">
        <v>1384</v>
      </c>
      <c r="B1009" t="s">
        <v>158</v>
      </c>
      <c r="C1009" t="s">
        <v>1383</v>
      </c>
      <c r="D1009" s="1">
        <v>46203</v>
      </c>
      <c r="E1009" t="s">
        <v>149</v>
      </c>
      <c r="F1009" t="s">
        <v>1382</v>
      </c>
      <c r="G1009" t="s">
        <v>30</v>
      </c>
      <c r="H1009" t="s">
        <v>77</v>
      </c>
      <c r="I1009" t="s">
        <v>28</v>
      </c>
      <c r="J1009" t="s">
        <v>146</v>
      </c>
      <c r="K1009" t="s">
        <v>176</v>
      </c>
      <c r="L1009" t="s">
        <v>88</v>
      </c>
      <c r="M1009" t="s">
        <v>11</v>
      </c>
      <c r="N1009" t="s">
        <v>52</v>
      </c>
      <c r="O1009" t="s">
        <v>87</v>
      </c>
      <c r="P1009" t="s">
        <v>39</v>
      </c>
      <c r="Q1009" t="s">
        <v>100</v>
      </c>
      <c r="R1009" t="s">
        <v>6</v>
      </c>
      <c r="S1009">
        <v>5</v>
      </c>
      <c r="T1009">
        <v>5</v>
      </c>
      <c r="U1009">
        <v>173</v>
      </c>
      <c r="V1009" t="s">
        <v>0</v>
      </c>
      <c r="W1009" t="s">
        <v>5</v>
      </c>
      <c r="X1009" t="s">
        <v>5</v>
      </c>
      <c r="Y1009" t="s">
        <v>1381</v>
      </c>
      <c r="Z1009" t="s">
        <v>0</v>
      </c>
      <c r="AA1009">
        <v>0</v>
      </c>
      <c r="AB1009">
        <v>0</v>
      </c>
      <c r="AC1009">
        <v>0</v>
      </c>
      <c r="AD1009" t="s">
        <v>37</v>
      </c>
      <c r="AE1009" t="s">
        <v>5</v>
      </c>
      <c r="AF1009" t="s">
        <v>37</v>
      </c>
      <c r="AG1009" t="s">
        <v>139</v>
      </c>
      <c r="AH1009">
        <v>32</v>
      </c>
      <c r="AI1009" t="s">
        <v>23</v>
      </c>
      <c r="AJ1009">
        <v>4</v>
      </c>
      <c r="AK1009">
        <v>-28</v>
      </c>
      <c r="AL1009">
        <v>68</v>
      </c>
      <c r="AM1009" t="s">
        <v>5</v>
      </c>
      <c r="AN1009">
        <v>1</v>
      </c>
      <c r="AO1009">
        <v>0</v>
      </c>
      <c r="AP1009">
        <v>1</v>
      </c>
      <c r="AQ1009">
        <v>1</v>
      </c>
    </row>
    <row r="1010" spans="1:43" x14ac:dyDescent="0.25">
      <c r="A1010" t="s">
        <v>1380</v>
      </c>
      <c r="B1010" t="s">
        <v>1379</v>
      </c>
      <c r="C1010" t="s">
        <v>1378</v>
      </c>
      <c r="D1010" s="1">
        <v>46139</v>
      </c>
      <c r="E1010" t="s">
        <v>162</v>
      </c>
      <c r="F1010" t="s">
        <v>161</v>
      </c>
      <c r="G1010" t="s">
        <v>83</v>
      </c>
      <c r="H1010" t="s">
        <v>16</v>
      </c>
      <c r="I1010" t="s">
        <v>28</v>
      </c>
      <c r="J1010" t="s">
        <v>146</v>
      </c>
      <c r="K1010" t="s">
        <v>145</v>
      </c>
      <c r="L1010" t="s">
        <v>88</v>
      </c>
      <c r="M1010" t="s">
        <v>53</v>
      </c>
      <c r="N1010" t="s">
        <v>269</v>
      </c>
      <c r="O1010" t="s">
        <v>40</v>
      </c>
      <c r="P1010" t="s">
        <v>25</v>
      </c>
      <c r="Q1010" t="s">
        <v>24</v>
      </c>
      <c r="R1010" t="s">
        <v>6</v>
      </c>
      <c r="S1010" t="s">
        <v>106</v>
      </c>
      <c r="T1010">
        <v>8</v>
      </c>
      <c r="U1010">
        <v>269</v>
      </c>
      <c r="V1010" t="s">
        <v>0</v>
      </c>
      <c r="W1010" t="s">
        <v>0</v>
      </c>
      <c r="X1010" t="s">
        <v>5</v>
      </c>
      <c r="Y1010" t="s">
        <v>913</v>
      </c>
      <c r="Z1010" t="s">
        <v>0</v>
      </c>
      <c r="AA1010">
        <v>0</v>
      </c>
      <c r="AB1010">
        <v>0</v>
      </c>
      <c r="AC1010">
        <v>0</v>
      </c>
      <c r="AD1010" t="s">
        <v>3</v>
      </c>
      <c r="AE1010" t="s">
        <v>0</v>
      </c>
      <c r="AF1010" t="s">
        <v>3</v>
      </c>
      <c r="AG1010" t="s">
        <v>2</v>
      </c>
      <c r="AI1010" t="s">
        <v>23</v>
      </c>
      <c r="AJ1010">
        <v>2</v>
      </c>
      <c r="AK1010">
        <v>-28</v>
      </c>
      <c r="AL1010">
        <v>31</v>
      </c>
      <c r="AM1010" t="s">
        <v>0</v>
      </c>
      <c r="AN1010">
        <v>0</v>
      </c>
      <c r="AO1010">
        <v>0</v>
      </c>
      <c r="AP1010">
        <v>1</v>
      </c>
      <c r="AQ1010">
        <v>0</v>
      </c>
    </row>
    <row r="1011" spans="1:43" x14ac:dyDescent="0.25">
      <c r="A1011" t="s">
        <v>1377</v>
      </c>
      <c r="B1011" t="s">
        <v>1125</v>
      </c>
      <c r="C1011" t="s">
        <v>1376</v>
      </c>
      <c r="D1011" s="1">
        <v>46063</v>
      </c>
      <c r="E1011" t="s">
        <v>19</v>
      </c>
      <c r="F1011" t="s">
        <v>89</v>
      </c>
      <c r="G1011" t="s">
        <v>56</v>
      </c>
      <c r="H1011" t="s">
        <v>43</v>
      </c>
      <c r="I1011" t="s">
        <v>15</v>
      </c>
      <c r="J1011" t="s">
        <v>146</v>
      </c>
      <c r="K1011" t="s">
        <v>145</v>
      </c>
      <c r="L1011" t="s">
        <v>117</v>
      </c>
      <c r="M1011" t="s">
        <v>53</v>
      </c>
      <c r="N1011" t="s">
        <v>41</v>
      </c>
      <c r="O1011" t="s">
        <v>74</v>
      </c>
      <c r="P1011" t="s">
        <v>63</v>
      </c>
      <c r="Q1011" t="s">
        <v>7</v>
      </c>
      <c r="R1011" t="s">
        <v>6</v>
      </c>
      <c r="S1011" t="s">
        <v>205</v>
      </c>
      <c r="T1011">
        <v>6</v>
      </c>
      <c r="U1011">
        <v>124</v>
      </c>
      <c r="V1011" t="s">
        <v>0</v>
      </c>
      <c r="W1011" t="s">
        <v>5</v>
      </c>
      <c r="X1011" t="s">
        <v>0</v>
      </c>
      <c r="Y1011" t="s">
        <v>4</v>
      </c>
      <c r="Z1011" t="s">
        <v>5</v>
      </c>
      <c r="AA1011">
        <v>0</v>
      </c>
      <c r="AB1011">
        <v>0</v>
      </c>
      <c r="AC1011">
        <v>0.17</v>
      </c>
      <c r="AD1011" t="s">
        <v>37</v>
      </c>
      <c r="AE1011" t="s">
        <v>5</v>
      </c>
      <c r="AF1011" t="s">
        <v>37</v>
      </c>
      <c r="AG1011" t="s">
        <v>36</v>
      </c>
      <c r="AH1011">
        <v>24</v>
      </c>
      <c r="AI1011" t="s">
        <v>23</v>
      </c>
      <c r="AJ1011">
        <v>4</v>
      </c>
      <c r="AK1011">
        <v>1</v>
      </c>
      <c r="AL1011">
        <v>0</v>
      </c>
      <c r="AM1011" t="s">
        <v>5</v>
      </c>
      <c r="AN1011">
        <v>1</v>
      </c>
      <c r="AO1011">
        <v>1</v>
      </c>
      <c r="AP1011">
        <v>0</v>
      </c>
      <c r="AQ1011">
        <v>1</v>
      </c>
    </row>
    <row r="1012" spans="1:43" x14ac:dyDescent="0.25">
      <c r="A1012" t="s">
        <v>1375</v>
      </c>
      <c r="B1012" t="s">
        <v>1107</v>
      </c>
      <c r="C1012" t="s">
        <v>1374</v>
      </c>
      <c r="D1012" s="1">
        <v>45685</v>
      </c>
      <c r="E1012" t="s">
        <v>19</v>
      </c>
      <c r="F1012" t="s">
        <v>295</v>
      </c>
      <c r="G1012" t="s">
        <v>56</v>
      </c>
      <c r="H1012" t="s">
        <v>77</v>
      </c>
      <c r="I1012" t="s">
        <v>15</v>
      </c>
      <c r="J1012" t="s">
        <v>55</v>
      </c>
      <c r="K1012" t="s">
        <v>54</v>
      </c>
      <c r="L1012" t="s">
        <v>117</v>
      </c>
      <c r="M1012" t="s">
        <v>11</v>
      </c>
      <c r="N1012" t="s">
        <v>93</v>
      </c>
      <c r="O1012" t="s">
        <v>9</v>
      </c>
      <c r="P1012" t="s">
        <v>63</v>
      </c>
      <c r="Q1012" t="s">
        <v>7</v>
      </c>
      <c r="R1012" t="s">
        <v>6</v>
      </c>
      <c r="S1012">
        <v>7</v>
      </c>
      <c r="T1012">
        <v>7</v>
      </c>
      <c r="U1012">
        <v>200</v>
      </c>
      <c r="V1012" t="s">
        <v>0</v>
      </c>
      <c r="W1012" t="s">
        <v>5</v>
      </c>
      <c r="X1012" t="s">
        <v>5</v>
      </c>
      <c r="Y1012" t="s">
        <v>294</v>
      </c>
      <c r="Z1012" t="s">
        <v>0</v>
      </c>
      <c r="AA1012">
        <v>0</v>
      </c>
      <c r="AB1012">
        <v>0</v>
      </c>
      <c r="AC1012">
        <v>0</v>
      </c>
      <c r="AD1012" t="s">
        <v>3</v>
      </c>
      <c r="AE1012" t="s">
        <v>0</v>
      </c>
      <c r="AF1012" t="s">
        <v>3</v>
      </c>
      <c r="AG1012" t="s">
        <v>2</v>
      </c>
      <c r="AI1012" t="s">
        <v>23</v>
      </c>
      <c r="AJ1012">
        <v>3</v>
      </c>
      <c r="AK1012">
        <v>-11</v>
      </c>
      <c r="AL1012" t="s">
        <v>347</v>
      </c>
      <c r="AM1012" t="s">
        <v>5</v>
      </c>
      <c r="AN1012">
        <v>1</v>
      </c>
      <c r="AO1012">
        <v>0</v>
      </c>
      <c r="AP1012">
        <v>1</v>
      </c>
      <c r="AQ1012">
        <v>1</v>
      </c>
    </row>
    <row r="1013" spans="1:43" x14ac:dyDescent="0.25">
      <c r="A1013" t="s">
        <v>1373</v>
      </c>
      <c r="B1013" t="s">
        <v>672</v>
      </c>
      <c r="C1013" t="s">
        <v>1372</v>
      </c>
      <c r="D1013" s="1">
        <v>46064</v>
      </c>
      <c r="E1013" t="s">
        <v>19</v>
      </c>
      <c r="F1013" t="s">
        <v>1371</v>
      </c>
      <c r="G1013" t="s">
        <v>17</v>
      </c>
      <c r="H1013" t="s">
        <v>16</v>
      </c>
      <c r="I1013" t="s">
        <v>28</v>
      </c>
      <c r="J1013" t="s">
        <v>55</v>
      </c>
      <c r="K1013" t="s">
        <v>65</v>
      </c>
      <c r="L1013" t="s">
        <v>88</v>
      </c>
      <c r="M1013" t="s">
        <v>11</v>
      </c>
      <c r="N1013" t="s">
        <v>75</v>
      </c>
      <c r="O1013" t="s">
        <v>51</v>
      </c>
      <c r="P1013" t="s">
        <v>63</v>
      </c>
      <c r="Q1013" t="s">
        <v>50</v>
      </c>
      <c r="R1013" t="s">
        <v>6</v>
      </c>
      <c r="S1013">
        <v>6</v>
      </c>
      <c r="T1013">
        <v>6</v>
      </c>
      <c r="U1013">
        <v>163</v>
      </c>
      <c r="V1013" t="s">
        <v>0</v>
      </c>
      <c r="W1013" t="s">
        <v>5</v>
      </c>
      <c r="X1013" t="s">
        <v>0</v>
      </c>
      <c r="Y1013" t="s">
        <v>4</v>
      </c>
      <c r="Z1013" t="s">
        <v>5</v>
      </c>
      <c r="AA1013">
        <v>56.03</v>
      </c>
      <c r="AB1013">
        <v>0.11</v>
      </c>
      <c r="AC1013">
        <v>0</v>
      </c>
      <c r="AD1013" t="s">
        <v>3</v>
      </c>
      <c r="AE1013" t="s">
        <v>0</v>
      </c>
      <c r="AF1013" t="s">
        <v>3</v>
      </c>
      <c r="AG1013" t="s">
        <v>2</v>
      </c>
      <c r="AI1013" t="s">
        <v>23</v>
      </c>
      <c r="AJ1013">
        <v>3</v>
      </c>
      <c r="AK1013">
        <v>-32</v>
      </c>
      <c r="AL1013">
        <v>0</v>
      </c>
      <c r="AM1013" t="s">
        <v>5</v>
      </c>
      <c r="AN1013">
        <v>1</v>
      </c>
      <c r="AO1013">
        <v>1</v>
      </c>
      <c r="AP1013">
        <v>0</v>
      </c>
      <c r="AQ1013">
        <v>1</v>
      </c>
    </row>
    <row r="1014" spans="1:43" x14ac:dyDescent="0.25">
      <c r="A1014" t="s">
        <v>1370</v>
      </c>
      <c r="B1014" t="s">
        <v>1369</v>
      </c>
      <c r="C1014" t="s">
        <v>1368</v>
      </c>
      <c r="D1014" s="1">
        <v>45683</v>
      </c>
      <c r="E1014" t="s">
        <v>125</v>
      </c>
      <c r="F1014" t="s">
        <v>132</v>
      </c>
      <c r="G1014" t="s">
        <v>56</v>
      </c>
      <c r="H1014" t="s">
        <v>16</v>
      </c>
      <c r="I1014" t="s">
        <v>15</v>
      </c>
      <c r="J1014" t="s">
        <v>14</v>
      </c>
      <c r="K1014" t="s">
        <v>13</v>
      </c>
      <c r="L1014" t="s">
        <v>42</v>
      </c>
      <c r="M1014" t="s">
        <v>11</v>
      </c>
      <c r="N1014" t="s">
        <v>93</v>
      </c>
      <c r="O1014" t="s">
        <v>130</v>
      </c>
      <c r="P1014" t="s">
        <v>39</v>
      </c>
      <c r="Q1014" t="s">
        <v>7</v>
      </c>
      <c r="R1014" t="s">
        <v>6</v>
      </c>
      <c r="S1014">
        <v>5</v>
      </c>
      <c r="T1014">
        <v>5</v>
      </c>
      <c r="U1014">
        <v>125</v>
      </c>
      <c r="V1014" t="s">
        <v>0</v>
      </c>
      <c r="W1014" t="s">
        <v>0</v>
      </c>
      <c r="X1014" t="s">
        <v>0</v>
      </c>
      <c r="Y1014" t="s">
        <v>4</v>
      </c>
      <c r="Z1014" t="s">
        <v>0</v>
      </c>
      <c r="AA1014">
        <v>0</v>
      </c>
      <c r="AB1014">
        <v>0</v>
      </c>
      <c r="AC1014">
        <v>0</v>
      </c>
      <c r="AD1014" t="s">
        <v>3</v>
      </c>
      <c r="AE1014" t="s">
        <v>0</v>
      </c>
      <c r="AF1014" t="s">
        <v>3</v>
      </c>
      <c r="AG1014" t="s">
        <v>2</v>
      </c>
      <c r="AI1014" t="s">
        <v>23</v>
      </c>
      <c r="AJ1014">
        <v>3</v>
      </c>
      <c r="AK1014">
        <v>59</v>
      </c>
      <c r="AL1014">
        <v>17</v>
      </c>
      <c r="AM1014" t="s">
        <v>5</v>
      </c>
      <c r="AN1014">
        <v>0</v>
      </c>
      <c r="AO1014">
        <v>0</v>
      </c>
      <c r="AP1014">
        <v>0</v>
      </c>
      <c r="AQ1014">
        <v>1</v>
      </c>
    </row>
    <row r="1015" spans="1:43" x14ac:dyDescent="0.25">
      <c r="A1015" t="s">
        <v>1367</v>
      </c>
      <c r="B1015" t="s">
        <v>1366</v>
      </c>
      <c r="C1015" t="s">
        <v>1365</v>
      </c>
      <c r="D1015" s="1">
        <v>45784</v>
      </c>
      <c r="E1015" t="s">
        <v>149</v>
      </c>
      <c r="F1015" t="s">
        <v>148</v>
      </c>
      <c r="G1015" t="s">
        <v>83</v>
      </c>
      <c r="H1015" t="s">
        <v>77</v>
      </c>
      <c r="I1015" t="s">
        <v>28</v>
      </c>
      <c r="J1015" t="s">
        <v>146</v>
      </c>
      <c r="K1015" t="s">
        <v>176</v>
      </c>
      <c r="L1015" t="s">
        <v>12</v>
      </c>
      <c r="M1015" t="s">
        <v>11</v>
      </c>
      <c r="N1015" t="s">
        <v>93</v>
      </c>
      <c r="O1015" t="s">
        <v>87</v>
      </c>
      <c r="P1015" t="s">
        <v>39</v>
      </c>
      <c r="Q1015" t="s">
        <v>24</v>
      </c>
      <c r="R1015" t="s">
        <v>38</v>
      </c>
      <c r="S1015">
        <v>5</v>
      </c>
      <c r="T1015">
        <v>5</v>
      </c>
      <c r="U1015">
        <v>104</v>
      </c>
      <c r="V1015" t="s">
        <v>0</v>
      </c>
      <c r="W1015" t="s">
        <v>5</v>
      </c>
      <c r="X1015" t="s">
        <v>181</v>
      </c>
      <c r="Y1015" t="s">
        <v>4</v>
      </c>
      <c r="Z1015" t="s">
        <v>5</v>
      </c>
      <c r="AA1015">
        <v>103.33</v>
      </c>
      <c r="AB1015">
        <v>0</v>
      </c>
      <c r="AC1015">
        <v>0</v>
      </c>
      <c r="AD1015" t="s">
        <v>3</v>
      </c>
      <c r="AE1015" t="s">
        <v>0</v>
      </c>
      <c r="AF1015" t="s">
        <v>3</v>
      </c>
      <c r="AG1015" t="s">
        <v>2</v>
      </c>
      <c r="AI1015" t="s">
        <v>23</v>
      </c>
      <c r="AJ1015">
        <v>5</v>
      </c>
      <c r="AK1015">
        <v>37</v>
      </c>
      <c r="AL1015">
        <v>36</v>
      </c>
      <c r="AM1015" t="s">
        <v>5</v>
      </c>
      <c r="AN1015">
        <v>1</v>
      </c>
      <c r="AO1015">
        <v>1</v>
      </c>
      <c r="AP1015">
        <v>0</v>
      </c>
      <c r="AQ1015">
        <v>1</v>
      </c>
    </row>
    <row r="1016" spans="1:43" x14ac:dyDescent="0.25">
      <c r="A1016" t="s">
        <v>1364</v>
      </c>
      <c r="B1016" t="s">
        <v>1363</v>
      </c>
      <c r="C1016" t="s">
        <v>1362</v>
      </c>
      <c r="D1016" s="1">
        <v>45987</v>
      </c>
      <c r="E1016" t="s">
        <v>19</v>
      </c>
      <c r="F1016" t="s">
        <v>295</v>
      </c>
      <c r="G1016" t="s">
        <v>123</v>
      </c>
      <c r="H1016" t="s">
        <v>77</v>
      </c>
      <c r="I1016" t="s">
        <v>28</v>
      </c>
      <c r="J1016" t="s">
        <v>55</v>
      </c>
      <c r="K1016" t="s">
        <v>54</v>
      </c>
      <c r="L1016" t="s">
        <v>117</v>
      </c>
      <c r="M1016" t="s">
        <v>53</v>
      </c>
      <c r="N1016" t="s">
        <v>10</v>
      </c>
      <c r="O1016" t="s">
        <v>199</v>
      </c>
      <c r="P1016" t="s">
        <v>39</v>
      </c>
      <c r="Q1016" t="s">
        <v>24</v>
      </c>
      <c r="R1016" t="s">
        <v>38</v>
      </c>
      <c r="S1016">
        <v>5</v>
      </c>
      <c r="T1016">
        <v>5</v>
      </c>
      <c r="U1016">
        <v>157</v>
      </c>
      <c r="V1016" t="s">
        <v>0</v>
      </c>
      <c r="W1016" t="s">
        <v>5</v>
      </c>
      <c r="X1016" t="s">
        <v>0</v>
      </c>
      <c r="Y1016" t="s">
        <v>4</v>
      </c>
      <c r="Z1016" t="s">
        <v>5</v>
      </c>
      <c r="AA1016">
        <v>52.89</v>
      </c>
      <c r="AB1016">
        <v>0</v>
      </c>
      <c r="AC1016">
        <v>0.17</v>
      </c>
      <c r="AD1016" t="s">
        <v>61</v>
      </c>
      <c r="AE1016" t="s">
        <v>5</v>
      </c>
      <c r="AF1016" t="s">
        <v>61</v>
      </c>
      <c r="AG1016" t="s">
        <v>36</v>
      </c>
      <c r="AH1016">
        <v>13</v>
      </c>
      <c r="AI1016" t="s">
        <v>23</v>
      </c>
      <c r="AJ1016">
        <v>5</v>
      </c>
      <c r="AK1016">
        <v>54</v>
      </c>
      <c r="AL1016">
        <v>30</v>
      </c>
      <c r="AM1016" t="s">
        <v>5</v>
      </c>
      <c r="AN1016">
        <v>1</v>
      </c>
      <c r="AO1016">
        <v>1</v>
      </c>
      <c r="AP1016">
        <v>0</v>
      </c>
      <c r="AQ1016">
        <v>1</v>
      </c>
    </row>
    <row r="1017" spans="1:43" x14ac:dyDescent="0.25">
      <c r="A1017" t="s">
        <v>1361</v>
      </c>
      <c r="B1017" t="s">
        <v>1360</v>
      </c>
      <c r="C1017" t="s">
        <v>1359</v>
      </c>
      <c r="D1017" s="1">
        <v>46122</v>
      </c>
      <c r="E1017" t="s">
        <v>125</v>
      </c>
      <c r="F1017" t="s">
        <v>132</v>
      </c>
      <c r="G1017" t="s">
        <v>17</v>
      </c>
      <c r="H1017" t="s">
        <v>16</v>
      </c>
      <c r="I1017" t="s">
        <v>15</v>
      </c>
      <c r="J1017" t="s">
        <v>55</v>
      </c>
      <c r="K1017" t="s">
        <v>54</v>
      </c>
      <c r="L1017" t="s">
        <v>12</v>
      </c>
      <c r="M1017" t="s">
        <v>11</v>
      </c>
      <c r="N1017" t="s">
        <v>75</v>
      </c>
      <c r="O1017" t="s">
        <v>9</v>
      </c>
      <c r="P1017" t="s">
        <v>25</v>
      </c>
      <c r="Q1017" t="s">
        <v>198</v>
      </c>
      <c r="R1017" t="s">
        <v>6</v>
      </c>
      <c r="S1017">
        <v>7</v>
      </c>
      <c r="T1017">
        <v>7</v>
      </c>
      <c r="U1017">
        <v>141</v>
      </c>
      <c r="V1017" t="s">
        <v>0</v>
      </c>
      <c r="W1017" t="s">
        <v>5</v>
      </c>
      <c r="X1017" t="s">
        <v>181</v>
      </c>
      <c r="Y1017" t="s">
        <v>4</v>
      </c>
      <c r="Z1017" t="s">
        <v>5</v>
      </c>
      <c r="AA1017">
        <v>0</v>
      </c>
      <c r="AB1017">
        <v>0</v>
      </c>
      <c r="AC1017">
        <v>0</v>
      </c>
      <c r="AD1017" t="s">
        <v>187</v>
      </c>
      <c r="AE1017" t="s">
        <v>5</v>
      </c>
      <c r="AF1017" t="s">
        <v>187</v>
      </c>
      <c r="AG1017" t="s">
        <v>36</v>
      </c>
      <c r="AH1017">
        <v>41</v>
      </c>
      <c r="AI1017" t="s">
        <v>23</v>
      </c>
      <c r="AJ1017">
        <v>3</v>
      </c>
      <c r="AK1017">
        <v>-11</v>
      </c>
      <c r="AL1017">
        <v>33</v>
      </c>
      <c r="AM1017" t="s">
        <v>0</v>
      </c>
      <c r="AN1017">
        <v>1</v>
      </c>
      <c r="AO1017">
        <v>1</v>
      </c>
      <c r="AP1017">
        <v>0</v>
      </c>
      <c r="AQ1017">
        <v>0</v>
      </c>
    </row>
    <row r="1018" spans="1:43" x14ac:dyDescent="0.25">
      <c r="A1018" t="s">
        <v>1358</v>
      </c>
      <c r="B1018" t="s">
        <v>1357</v>
      </c>
      <c r="C1018" t="s">
        <v>1356</v>
      </c>
      <c r="D1018" s="1">
        <v>45759</v>
      </c>
      <c r="E1018" t="s">
        <v>68</v>
      </c>
      <c r="F1018" t="s">
        <v>216</v>
      </c>
      <c r="G1018" t="s">
        <v>17</v>
      </c>
      <c r="H1018" t="s">
        <v>77</v>
      </c>
      <c r="I1018" t="s">
        <v>15</v>
      </c>
      <c r="J1018" t="s">
        <v>14</v>
      </c>
      <c r="K1018" t="s">
        <v>76</v>
      </c>
      <c r="L1018" t="s">
        <v>88</v>
      </c>
      <c r="M1018" t="s">
        <v>11</v>
      </c>
      <c r="N1018" t="s">
        <v>52</v>
      </c>
      <c r="O1018" t="s">
        <v>26</v>
      </c>
      <c r="P1018" t="s">
        <v>39</v>
      </c>
      <c r="Q1018" t="s">
        <v>7</v>
      </c>
      <c r="R1018" t="s">
        <v>6</v>
      </c>
      <c r="S1018">
        <v>4</v>
      </c>
      <c r="T1018">
        <v>4</v>
      </c>
      <c r="U1018">
        <v>112</v>
      </c>
      <c r="V1018" t="s">
        <v>0</v>
      </c>
      <c r="W1018" t="s">
        <v>5</v>
      </c>
      <c r="X1018" t="s">
        <v>0</v>
      </c>
      <c r="Y1018" t="s">
        <v>4</v>
      </c>
      <c r="Z1018" t="s">
        <v>5</v>
      </c>
      <c r="AA1018">
        <v>118.07</v>
      </c>
      <c r="AB1018">
        <v>0.22</v>
      </c>
      <c r="AC1018">
        <v>0</v>
      </c>
      <c r="AD1018" t="s">
        <v>3</v>
      </c>
      <c r="AE1018" t="s">
        <v>0</v>
      </c>
      <c r="AF1018" t="s">
        <v>3</v>
      </c>
      <c r="AG1018" t="s">
        <v>2</v>
      </c>
      <c r="AI1018" t="s">
        <v>23</v>
      </c>
      <c r="AJ1018">
        <v>5</v>
      </c>
      <c r="AK1018">
        <v>34</v>
      </c>
      <c r="AL1018">
        <v>48</v>
      </c>
      <c r="AM1018" t="s">
        <v>5</v>
      </c>
      <c r="AN1018">
        <v>1</v>
      </c>
      <c r="AO1018">
        <v>1</v>
      </c>
      <c r="AP1018">
        <v>0</v>
      </c>
      <c r="AQ1018">
        <v>1</v>
      </c>
    </row>
    <row r="1019" spans="1:43" x14ac:dyDescent="0.25">
      <c r="A1019" t="s">
        <v>1355</v>
      </c>
      <c r="B1019" t="s">
        <v>1354</v>
      </c>
      <c r="C1019" t="s">
        <v>1353</v>
      </c>
      <c r="D1019" s="1">
        <v>45932</v>
      </c>
      <c r="E1019" t="s">
        <v>32</v>
      </c>
      <c r="F1019" t="s">
        <v>356</v>
      </c>
      <c r="G1019" t="s">
        <v>56</v>
      </c>
      <c r="H1019" t="s">
        <v>29</v>
      </c>
      <c r="I1019" t="s">
        <v>28</v>
      </c>
      <c r="J1019" t="s">
        <v>146</v>
      </c>
      <c r="K1019" t="s">
        <v>176</v>
      </c>
      <c r="L1019" t="s">
        <v>88</v>
      </c>
      <c r="M1019" t="s">
        <v>27</v>
      </c>
      <c r="N1019" t="s">
        <v>52</v>
      </c>
      <c r="O1019" t="s">
        <v>9</v>
      </c>
      <c r="P1019" t="s">
        <v>39</v>
      </c>
      <c r="Q1019" t="s">
        <v>7</v>
      </c>
      <c r="R1019" t="s">
        <v>6</v>
      </c>
      <c r="S1019">
        <v>7</v>
      </c>
      <c r="T1019">
        <v>5</v>
      </c>
      <c r="U1019">
        <v>180</v>
      </c>
      <c r="V1019" t="s">
        <v>287</v>
      </c>
      <c r="W1019" t="s">
        <v>0</v>
      </c>
      <c r="X1019" t="s">
        <v>0</v>
      </c>
      <c r="Y1019" t="s">
        <v>4</v>
      </c>
      <c r="Z1019" t="s">
        <v>0</v>
      </c>
      <c r="AA1019">
        <v>0</v>
      </c>
      <c r="AB1019">
        <v>0</v>
      </c>
      <c r="AC1019">
        <v>0</v>
      </c>
      <c r="AD1019" t="s">
        <v>3</v>
      </c>
      <c r="AE1019" t="s">
        <v>0</v>
      </c>
      <c r="AF1019" t="s">
        <v>3</v>
      </c>
      <c r="AG1019" t="s">
        <v>2</v>
      </c>
      <c r="AI1019" t="s">
        <v>129</v>
      </c>
      <c r="AJ1019">
        <v>3</v>
      </c>
      <c r="AK1019">
        <v>17</v>
      </c>
      <c r="AL1019">
        <v>42</v>
      </c>
      <c r="AM1019" t="s">
        <v>0</v>
      </c>
      <c r="AN1019">
        <v>0</v>
      </c>
      <c r="AO1019">
        <v>0</v>
      </c>
      <c r="AP1019">
        <v>0</v>
      </c>
      <c r="AQ1019">
        <v>0</v>
      </c>
    </row>
    <row r="1020" spans="1:43" x14ac:dyDescent="0.25">
      <c r="A1020" t="s">
        <v>1352</v>
      </c>
      <c r="B1020" t="s">
        <v>1351</v>
      </c>
      <c r="C1020" t="s">
        <v>1350</v>
      </c>
      <c r="D1020" s="1">
        <v>45684</v>
      </c>
      <c r="E1020" t="s">
        <v>156</v>
      </c>
      <c r="F1020" t="s">
        <v>155</v>
      </c>
      <c r="G1020" t="s">
        <v>17</v>
      </c>
      <c r="H1020" t="s">
        <v>43</v>
      </c>
      <c r="I1020" t="s">
        <v>28</v>
      </c>
      <c r="J1020" t="s">
        <v>14</v>
      </c>
      <c r="K1020" t="s">
        <v>13</v>
      </c>
      <c r="L1020" t="s">
        <v>117</v>
      </c>
      <c r="M1020" t="s">
        <v>11</v>
      </c>
      <c r="N1020" t="s">
        <v>116</v>
      </c>
      <c r="O1020" t="s">
        <v>199</v>
      </c>
      <c r="P1020" t="s">
        <v>63</v>
      </c>
      <c r="Q1020" t="s">
        <v>50</v>
      </c>
      <c r="R1020" t="s">
        <v>38</v>
      </c>
      <c r="S1020">
        <v>5</v>
      </c>
      <c r="T1020" t="s">
        <v>277</v>
      </c>
      <c r="U1020">
        <v>134</v>
      </c>
      <c r="V1020" t="s">
        <v>0</v>
      </c>
      <c r="W1020" t="s">
        <v>135</v>
      </c>
      <c r="X1020" t="s">
        <v>0</v>
      </c>
      <c r="Y1020" t="s">
        <v>4</v>
      </c>
      <c r="Z1020" t="s">
        <v>5</v>
      </c>
      <c r="AA1020">
        <v>94.22</v>
      </c>
      <c r="AB1020">
        <v>0</v>
      </c>
      <c r="AC1020">
        <v>0</v>
      </c>
      <c r="AD1020" t="s">
        <v>3</v>
      </c>
      <c r="AE1020" t="s">
        <v>0</v>
      </c>
      <c r="AF1020" t="s">
        <v>3</v>
      </c>
      <c r="AG1020" t="s">
        <v>2</v>
      </c>
      <c r="AI1020" t="s">
        <v>1</v>
      </c>
      <c r="AJ1020">
        <v>3</v>
      </c>
      <c r="AK1020">
        <v>61</v>
      </c>
      <c r="AL1020">
        <v>0</v>
      </c>
      <c r="AM1020" t="s">
        <v>0</v>
      </c>
      <c r="AN1020">
        <v>0</v>
      </c>
      <c r="AO1020">
        <v>1</v>
      </c>
      <c r="AP1020">
        <v>0</v>
      </c>
      <c r="AQ1020">
        <v>0</v>
      </c>
    </row>
    <row r="1021" spans="1:43" x14ac:dyDescent="0.25">
      <c r="A1021" t="s">
        <v>1349</v>
      </c>
      <c r="B1021" t="s">
        <v>1348</v>
      </c>
      <c r="C1021" t="s">
        <v>1347</v>
      </c>
      <c r="D1021" s="1">
        <v>46136</v>
      </c>
      <c r="E1021" t="s">
        <v>149</v>
      </c>
      <c r="F1021" t="s">
        <v>248</v>
      </c>
      <c r="G1021" t="s">
        <v>17</v>
      </c>
      <c r="H1021" t="s">
        <v>16</v>
      </c>
      <c r="I1021" t="s">
        <v>28</v>
      </c>
      <c r="J1021" t="s">
        <v>14</v>
      </c>
      <c r="K1021" t="s">
        <v>13</v>
      </c>
      <c r="L1021" t="s">
        <v>12</v>
      </c>
      <c r="M1021" t="s">
        <v>53</v>
      </c>
      <c r="N1021" t="s">
        <v>154</v>
      </c>
      <c r="O1021" t="s">
        <v>74</v>
      </c>
      <c r="P1021" t="s">
        <v>63</v>
      </c>
      <c r="Q1021" t="s">
        <v>100</v>
      </c>
      <c r="R1021" t="s">
        <v>6</v>
      </c>
      <c r="S1021">
        <v>6</v>
      </c>
      <c r="T1021">
        <v>6</v>
      </c>
      <c r="U1021">
        <v>176</v>
      </c>
      <c r="V1021" t="s">
        <v>0</v>
      </c>
      <c r="W1021" t="s">
        <v>0</v>
      </c>
      <c r="X1021" t="s">
        <v>0</v>
      </c>
      <c r="Y1021" t="s">
        <v>4</v>
      </c>
      <c r="Z1021" t="s">
        <v>0</v>
      </c>
      <c r="AA1021">
        <v>0</v>
      </c>
      <c r="AB1021">
        <v>0</v>
      </c>
      <c r="AC1021">
        <v>0</v>
      </c>
      <c r="AD1021" t="s">
        <v>3</v>
      </c>
      <c r="AE1021" t="s">
        <v>0</v>
      </c>
      <c r="AF1021" t="s">
        <v>3</v>
      </c>
      <c r="AG1021" t="s">
        <v>2</v>
      </c>
      <c r="AI1021" t="s">
        <v>1</v>
      </c>
      <c r="AJ1021">
        <v>3</v>
      </c>
      <c r="AK1021">
        <v>13</v>
      </c>
      <c r="AL1021">
        <v>0</v>
      </c>
      <c r="AM1021" t="s">
        <v>0</v>
      </c>
      <c r="AN1021">
        <v>0</v>
      </c>
      <c r="AO1021">
        <v>0</v>
      </c>
      <c r="AP1021">
        <v>0</v>
      </c>
      <c r="AQ1021">
        <v>0</v>
      </c>
    </row>
    <row r="1022" spans="1:43" x14ac:dyDescent="0.25">
      <c r="A1022" t="s">
        <v>1346</v>
      </c>
      <c r="B1022" t="s">
        <v>1345</v>
      </c>
      <c r="C1022" t="s">
        <v>1344</v>
      </c>
      <c r="D1022" s="1">
        <v>46052</v>
      </c>
      <c r="E1022" t="s">
        <v>156</v>
      </c>
      <c r="F1022" t="s">
        <v>238</v>
      </c>
      <c r="G1022" t="s">
        <v>56</v>
      </c>
      <c r="H1022" t="s">
        <v>29</v>
      </c>
      <c r="I1022" t="s">
        <v>28</v>
      </c>
      <c r="J1022" t="s">
        <v>55</v>
      </c>
      <c r="K1022" t="s">
        <v>54</v>
      </c>
      <c r="L1022" t="s">
        <v>42</v>
      </c>
      <c r="M1022" t="s">
        <v>27</v>
      </c>
      <c r="N1022" t="s">
        <v>41</v>
      </c>
      <c r="O1022" t="s">
        <v>101</v>
      </c>
      <c r="P1022" t="s">
        <v>63</v>
      </c>
      <c r="Q1022" t="s">
        <v>198</v>
      </c>
      <c r="R1022" t="s">
        <v>38</v>
      </c>
      <c r="S1022">
        <v>4</v>
      </c>
      <c r="T1022" t="s">
        <v>99</v>
      </c>
      <c r="U1022">
        <v>106</v>
      </c>
      <c r="V1022" t="s">
        <v>0</v>
      </c>
      <c r="W1022" t="s">
        <v>5</v>
      </c>
      <c r="X1022" t="s">
        <v>5</v>
      </c>
      <c r="Y1022" t="s">
        <v>1163</v>
      </c>
      <c r="Z1022" t="s">
        <v>5</v>
      </c>
      <c r="AA1022">
        <v>108.5</v>
      </c>
      <c r="AB1022">
        <v>0.53</v>
      </c>
      <c r="AC1022">
        <v>0.37</v>
      </c>
      <c r="AD1022" t="s">
        <v>3</v>
      </c>
      <c r="AE1022" t="s">
        <v>0</v>
      </c>
      <c r="AF1022" t="s">
        <v>3</v>
      </c>
      <c r="AG1022" t="s">
        <v>2</v>
      </c>
      <c r="AI1022" t="s">
        <v>23</v>
      </c>
      <c r="AJ1022">
        <v>4</v>
      </c>
      <c r="AK1022">
        <v>20</v>
      </c>
      <c r="AL1022">
        <v>0</v>
      </c>
      <c r="AM1022" t="s">
        <v>5</v>
      </c>
      <c r="AN1022">
        <v>1</v>
      </c>
      <c r="AO1022">
        <v>1</v>
      </c>
      <c r="AP1022">
        <v>1</v>
      </c>
      <c r="AQ1022">
        <v>1</v>
      </c>
    </row>
    <row r="1023" spans="1:43" x14ac:dyDescent="0.25">
      <c r="A1023" t="s">
        <v>1343</v>
      </c>
      <c r="B1023" t="s">
        <v>1342</v>
      </c>
      <c r="C1023" t="s">
        <v>1341</v>
      </c>
      <c r="D1023" s="1">
        <v>45679</v>
      </c>
      <c r="E1023" t="s">
        <v>95</v>
      </c>
      <c r="F1023" t="s">
        <v>338</v>
      </c>
      <c r="G1023" t="s">
        <v>110</v>
      </c>
      <c r="H1023" t="s">
        <v>43</v>
      </c>
      <c r="I1023" t="s">
        <v>28</v>
      </c>
      <c r="J1023" t="s">
        <v>14</v>
      </c>
      <c r="K1023" t="s">
        <v>13</v>
      </c>
      <c r="L1023" t="s">
        <v>88</v>
      </c>
      <c r="M1023" t="s">
        <v>11</v>
      </c>
      <c r="N1023" t="s">
        <v>52</v>
      </c>
      <c r="O1023" t="s">
        <v>193</v>
      </c>
      <c r="P1023" t="s">
        <v>39</v>
      </c>
      <c r="Q1023" t="s">
        <v>7</v>
      </c>
      <c r="R1023" t="s">
        <v>6</v>
      </c>
      <c r="S1023" t="s">
        <v>232</v>
      </c>
      <c r="T1023">
        <v>9</v>
      </c>
      <c r="U1023">
        <v>210</v>
      </c>
      <c r="V1023" t="s">
        <v>0</v>
      </c>
      <c r="W1023" t="s">
        <v>5</v>
      </c>
      <c r="X1023" t="s">
        <v>0</v>
      </c>
      <c r="Y1023" t="s">
        <v>4</v>
      </c>
      <c r="Z1023" t="s">
        <v>5</v>
      </c>
      <c r="AA1023">
        <v>278.72000000000003</v>
      </c>
      <c r="AB1023">
        <v>2.72</v>
      </c>
      <c r="AC1023">
        <v>0</v>
      </c>
      <c r="AD1023" t="s">
        <v>3</v>
      </c>
      <c r="AE1023" t="s">
        <v>0</v>
      </c>
      <c r="AF1023" t="s">
        <v>3</v>
      </c>
      <c r="AG1023" t="s">
        <v>2</v>
      </c>
      <c r="AI1023" t="s">
        <v>23</v>
      </c>
      <c r="AJ1023">
        <v>3</v>
      </c>
      <c r="AK1023">
        <v>24</v>
      </c>
      <c r="AL1023">
        <v>30</v>
      </c>
      <c r="AM1023" t="s">
        <v>0</v>
      </c>
      <c r="AN1023">
        <v>1</v>
      </c>
      <c r="AO1023">
        <v>1</v>
      </c>
      <c r="AP1023">
        <v>0</v>
      </c>
      <c r="AQ1023">
        <v>0</v>
      </c>
    </row>
    <row r="1024" spans="1:43" x14ac:dyDescent="0.25">
      <c r="A1024" t="s">
        <v>1340</v>
      </c>
      <c r="B1024" t="s">
        <v>81</v>
      </c>
      <c r="C1024" t="s">
        <v>1339</v>
      </c>
      <c r="D1024" s="1">
        <v>45817</v>
      </c>
      <c r="E1024" t="s">
        <v>162</v>
      </c>
      <c r="F1024" t="s">
        <v>161</v>
      </c>
      <c r="G1024" t="s">
        <v>17</v>
      </c>
      <c r="H1024" t="s">
        <v>29</v>
      </c>
      <c r="I1024" t="s">
        <v>28</v>
      </c>
      <c r="J1024" t="s">
        <v>14</v>
      </c>
      <c r="K1024" t="s">
        <v>13</v>
      </c>
      <c r="L1024" t="s">
        <v>117</v>
      </c>
      <c r="M1024" t="s">
        <v>11</v>
      </c>
      <c r="N1024" t="s">
        <v>52</v>
      </c>
      <c r="O1024" t="s">
        <v>130</v>
      </c>
      <c r="P1024" t="s">
        <v>8</v>
      </c>
      <c r="Q1024" t="s">
        <v>7</v>
      </c>
      <c r="R1024" t="s">
        <v>6</v>
      </c>
      <c r="S1024">
        <v>5</v>
      </c>
      <c r="T1024">
        <v>5</v>
      </c>
      <c r="U1024">
        <v>112</v>
      </c>
      <c r="V1024" t="s">
        <v>0</v>
      </c>
      <c r="W1024" t="s">
        <v>0</v>
      </c>
      <c r="X1024" t="s">
        <v>181</v>
      </c>
      <c r="Y1024" t="s">
        <v>4</v>
      </c>
      <c r="Z1024" t="s">
        <v>5</v>
      </c>
      <c r="AA1024">
        <v>0</v>
      </c>
      <c r="AB1024">
        <v>0</v>
      </c>
      <c r="AC1024">
        <v>0</v>
      </c>
      <c r="AD1024" t="s">
        <v>3</v>
      </c>
      <c r="AE1024" t="s">
        <v>0</v>
      </c>
      <c r="AF1024" t="s">
        <v>3</v>
      </c>
      <c r="AG1024" t="s">
        <v>2</v>
      </c>
      <c r="AI1024" t="s">
        <v>1</v>
      </c>
      <c r="AJ1024">
        <v>4</v>
      </c>
      <c r="AK1024">
        <v>53</v>
      </c>
      <c r="AL1024">
        <v>53</v>
      </c>
      <c r="AM1024" t="s">
        <v>0</v>
      </c>
      <c r="AN1024">
        <v>0</v>
      </c>
      <c r="AO1024">
        <v>1</v>
      </c>
      <c r="AP1024">
        <v>0</v>
      </c>
      <c r="AQ1024">
        <v>0</v>
      </c>
    </row>
    <row r="1025" spans="1:43" x14ac:dyDescent="0.25">
      <c r="A1025" t="s">
        <v>1338</v>
      </c>
      <c r="B1025" t="s">
        <v>1337</v>
      </c>
      <c r="C1025" t="s">
        <v>1336</v>
      </c>
      <c r="D1025" s="1">
        <v>45658</v>
      </c>
      <c r="E1025" t="s">
        <v>45</v>
      </c>
      <c r="F1025" t="s">
        <v>1335</v>
      </c>
      <c r="G1025" t="s">
        <v>56</v>
      </c>
      <c r="H1025" t="s">
        <v>77</v>
      </c>
      <c r="I1025" t="s">
        <v>15</v>
      </c>
      <c r="J1025" t="s">
        <v>14</v>
      </c>
      <c r="K1025" t="s">
        <v>13</v>
      </c>
      <c r="L1025" t="s">
        <v>64</v>
      </c>
      <c r="M1025" t="s">
        <v>53</v>
      </c>
      <c r="N1025" t="s">
        <v>75</v>
      </c>
      <c r="O1025" t="s">
        <v>101</v>
      </c>
      <c r="P1025" t="s">
        <v>39</v>
      </c>
      <c r="Q1025" t="s">
        <v>7</v>
      </c>
      <c r="R1025" t="s">
        <v>6</v>
      </c>
      <c r="S1025">
        <v>4</v>
      </c>
      <c r="T1025">
        <v>4</v>
      </c>
      <c r="U1025">
        <v>91</v>
      </c>
      <c r="V1025" t="s">
        <v>0</v>
      </c>
      <c r="W1025" t="s">
        <v>5</v>
      </c>
      <c r="X1025" t="s">
        <v>0</v>
      </c>
      <c r="Y1025" t="s">
        <v>4</v>
      </c>
      <c r="Z1025" t="s">
        <v>5</v>
      </c>
      <c r="AA1025">
        <v>127.78</v>
      </c>
      <c r="AB1025">
        <v>0.48</v>
      </c>
      <c r="AC1025">
        <v>0.17</v>
      </c>
      <c r="AD1025" t="s">
        <v>3</v>
      </c>
      <c r="AE1025" t="s">
        <v>0</v>
      </c>
      <c r="AF1025" t="s">
        <v>3</v>
      </c>
      <c r="AG1025" t="s">
        <v>2</v>
      </c>
      <c r="AI1025" t="s">
        <v>23</v>
      </c>
      <c r="AJ1025">
        <v>4</v>
      </c>
      <c r="AK1025">
        <v>76</v>
      </c>
      <c r="AL1025">
        <v>2</v>
      </c>
      <c r="AM1025" t="s">
        <v>5</v>
      </c>
      <c r="AN1025">
        <v>1</v>
      </c>
      <c r="AO1025">
        <v>1</v>
      </c>
      <c r="AP1025">
        <v>0</v>
      </c>
      <c r="AQ1025">
        <v>1</v>
      </c>
    </row>
    <row r="1026" spans="1:43" x14ac:dyDescent="0.25">
      <c r="A1026" t="s">
        <v>1334</v>
      </c>
      <c r="B1026" t="s">
        <v>1333</v>
      </c>
      <c r="C1026" t="s">
        <v>1332</v>
      </c>
      <c r="D1026" s="1">
        <v>45728</v>
      </c>
      <c r="E1026" t="s">
        <v>79</v>
      </c>
      <c r="F1026" t="s">
        <v>206</v>
      </c>
      <c r="G1026" t="s">
        <v>30</v>
      </c>
      <c r="H1026" t="s">
        <v>29</v>
      </c>
      <c r="I1026" t="s">
        <v>28</v>
      </c>
      <c r="J1026" t="s">
        <v>55</v>
      </c>
      <c r="K1026" t="s">
        <v>54</v>
      </c>
      <c r="L1026" t="s">
        <v>88</v>
      </c>
      <c r="M1026" t="s">
        <v>27</v>
      </c>
      <c r="N1026" t="s">
        <v>52</v>
      </c>
      <c r="O1026" t="s">
        <v>26</v>
      </c>
      <c r="P1026" t="s">
        <v>39</v>
      </c>
      <c r="Q1026" t="s">
        <v>24</v>
      </c>
      <c r="R1026" t="s">
        <v>38</v>
      </c>
      <c r="S1026">
        <v>4</v>
      </c>
      <c r="T1026">
        <v>4</v>
      </c>
      <c r="U1026">
        <v>150</v>
      </c>
      <c r="V1026" t="s">
        <v>0</v>
      </c>
      <c r="W1026" t="s">
        <v>5</v>
      </c>
      <c r="X1026" t="s">
        <v>5</v>
      </c>
      <c r="Y1026" t="s">
        <v>144</v>
      </c>
      <c r="Z1026" t="s">
        <v>5</v>
      </c>
      <c r="AA1026">
        <v>177.6</v>
      </c>
      <c r="AB1026">
        <v>0.2</v>
      </c>
      <c r="AC1026">
        <v>0.37</v>
      </c>
      <c r="AD1026" t="s">
        <v>3</v>
      </c>
      <c r="AE1026" t="s">
        <v>0</v>
      </c>
      <c r="AF1026" t="s">
        <v>3</v>
      </c>
      <c r="AG1026" t="s">
        <v>2</v>
      </c>
      <c r="AI1026" t="s">
        <v>23</v>
      </c>
      <c r="AJ1026">
        <v>3</v>
      </c>
      <c r="AK1026">
        <v>36</v>
      </c>
      <c r="AL1026">
        <v>16</v>
      </c>
      <c r="AM1026" t="s">
        <v>5</v>
      </c>
      <c r="AN1026">
        <v>1</v>
      </c>
      <c r="AO1026">
        <v>1</v>
      </c>
      <c r="AP1026">
        <v>1</v>
      </c>
      <c r="AQ1026">
        <v>1</v>
      </c>
    </row>
    <row r="1027" spans="1:43" x14ac:dyDescent="0.25">
      <c r="A1027" t="s">
        <v>1331</v>
      </c>
      <c r="B1027" t="s">
        <v>1330</v>
      </c>
      <c r="C1027" t="s">
        <v>1329</v>
      </c>
      <c r="D1027" s="1">
        <v>45951</v>
      </c>
      <c r="E1027" t="s">
        <v>168</v>
      </c>
      <c r="F1027" t="s">
        <v>167</v>
      </c>
      <c r="G1027" t="s">
        <v>56</v>
      </c>
      <c r="H1027" t="s">
        <v>77</v>
      </c>
      <c r="I1027" t="s">
        <v>15</v>
      </c>
      <c r="J1027" t="s">
        <v>55</v>
      </c>
      <c r="K1027" t="s">
        <v>54</v>
      </c>
      <c r="L1027" t="s">
        <v>12</v>
      </c>
      <c r="M1027" t="s">
        <v>27</v>
      </c>
      <c r="N1027" t="s">
        <v>41</v>
      </c>
      <c r="O1027" t="s">
        <v>40</v>
      </c>
      <c r="P1027" t="s">
        <v>63</v>
      </c>
      <c r="Q1027" t="s">
        <v>7</v>
      </c>
      <c r="R1027" t="s">
        <v>6</v>
      </c>
      <c r="S1027">
        <v>8</v>
      </c>
      <c r="T1027">
        <v>8</v>
      </c>
      <c r="U1027">
        <v>168</v>
      </c>
      <c r="V1027" t="s">
        <v>0</v>
      </c>
      <c r="W1027" t="s">
        <v>5</v>
      </c>
      <c r="X1027" t="s">
        <v>181</v>
      </c>
      <c r="Y1027" t="s">
        <v>4</v>
      </c>
      <c r="Z1027" t="s">
        <v>5</v>
      </c>
      <c r="AA1027">
        <v>390.02</v>
      </c>
      <c r="AB1027">
        <v>2.44</v>
      </c>
      <c r="AC1027">
        <v>0.37</v>
      </c>
      <c r="AD1027" t="s">
        <v>3</v>
      </c>
      <c r="AE1027" t="s">
        <v>0</v>
      </c>
      <c r="AF1027" t="s">
        <v>3</v>
      </c>
      <c r="AG1027" t="s">
        <v>2</v>
      </c>
      <c r="AI1027" t="s">
        <v>23</v>
      </c>
      <c r="AJ1027">
        <v>4</v>
      </c>
      <c r="AK1027">
        <v>-6</v>
      </c>
      <c r="AL1027">
        <v>0</v>
      </c>
      <c r="AM1027" t="s">
        <v>5</v>
      </c>
      <c r="AN1027">
        <v>1</v>
      </c>
      <c r="AO1027">
        <v>1</v>
      </c>
      <c r="AP1027">
        <v>0</v>
      </c>
      <c r="AQ1027">
        <v>1</v>
      </c>
    </row>
    <row r="1028" spans="1:43" x14ac:dyDescent="0.25">
      <c r="A1028" t="s">
        <v>1328</v>
      </c>
      <c r="B1028" t="s">
        <v>1035</v>
      </c>
      <c r="C1028" t="s">
        <v>1327</v>
      </c>
      <c r="D1028" s="1">
        <v>45877</v>
      </c>
      <c r="E1028" t="s">
        <v>149</v>
      </c>
      <c r="F1028" t="s">
        <v>248</v>
      </c>
      <c r="G1028" t="s">
        <v>56</v>
      </c>
      <c r="H1028" t="s">
        <v>43</v>
      </c>
      <c r="I1028" t="s">
        <v>15</v>
      </c>
      <c r="J1028" t="s">
        <v>55</v>
      </c>
      <c r="K1028" t="s">
        <v>54</v>
      </c>
      <c r="L1028" t="s">
        <v>88</v>
      </c>
      <c r="M1028" t="s">
        <v>53</v>
      </c>
      <c r="N1028" t="s">
        <v>75</v>
      </c>
      <c r="O1028" t="s">
        <v>101</v>
      </c>
      <c r="P1028" t="s">
        <v>25</v>
      </c>
      <c r="Q1028" t="s">
        <v>7</v>
      </c>
      <c r="R1028" t="s">
        <v>6</v>
      </c>
      <c r="S1028">
        <v>4</v>
      </c>
      <c r="T1028">
        <v>4</v>
      </c>
      <c r="U1028">
        <v>97</v>
      </c>
      <c r="V1028" t="s">
        <v>0</v>
      </c>
      <c r="W1028" t="s">
        <v>5</v>
      </c>
      <c r="X1028" t="s">
        <v>0</v>
      </c>
      <c r="Y1028" t="s">
        <v>4</v>
      </c>
      <c r="Z1028" t="s">
        <v>5</v>
      </c>
      <c r="AA1028">
        <v>24.39</v>
      </c>
      <c r="AB1028">
        <v>0.56999999999999995</v>
      </c>
      <c r="AC1028">
        <v>0.17</v>
      </c>
      <c r="AD1028" t="s">
        <v>3</v>
      </c>
      <c r="AE1028" t="s">
        <v>0</v>
      </c>
      <c r="AF1028" t="s">
        <v>3</v>
      </c>
      <c r="AG1028" t="s">
        <v>2</v>
      </c>
      <c r="AI1028" t="s">
        <v>23</v>
      </c>
      <c r="AJ1028">
        <v>4</v>
      </c>
      <c r="AK1028">
        <v>8</v>
      </c>
      <c r="AL1028" t="s">
        <v>1100</v>
      </c>
      <c r="AM1028" t="s">
        <v>5</v>
      </c>
      <c r="AN1028">
        <v>1</v>
      </c>
      <c r="AO1028">
        <v>1</v>
      </c>
      <c r="AP1028">
        <v>0</v>
      </c>
      <c r="AQ1028">
        <v>1</v>
      </c>
    </row>
    <row r="1029" spans="1:43" x14ac:dyDescent="0.25">
      <c r="A1029" t="s">
        <v>1326</v>
      </c>
      <c r="B1029" t="s">
        <v>1325</v>
      </c>
      <c r="C1029" t="s">
        <v>1324</v>
      </c>
      <c r="D1029" s="1">
        <v>45791</v>
      </c>
      <c r="E1029" t="s">
        <v>19</v>
      </c>
      <c r="F1029" t="s">
        <v>18</v>
      </c>
      <c r="G1029" t="s">
        <v>17</v>
      </c>
      <c r="H1029" t="s">
        <v>29</v>
      </c>
      <c r="I1029" t="s">
        <v>15</v>
      </c>
      <c r="J1029" t="s">
        <v>14</v>
      </c>
      <c r="K1029" t="s">
        <v>13</v>
      </c>
      <c r="L1029" t="s">
        <v>117</v>
      </c>
      <c r="M1029" t="s">
        <v>53</v>
      </c>
      <c r="N1029" t="s">
        <v>52</v>
      </c>
      <c r="O1029" t="s">
        <v>193</v>
      </c>
      <c r="P1029" t="s">
        <v>63</v>
      </c>
      <c r="Q1029" t="s">
        <v>7</v>
      </c>
      <c r="R1029" t="s">
        <v>6</v>
      </c>
      <c r="S1029">
        <v>9</v>
      </c>
      <c r="T1029">
        <v>9</v>
      </c>
      <c r="U1029">
        <v>312</v>
      </c>
      <c r="V1029" t="s">
        <v>0</v>
      </c>
      <c r="W1029" t="s">
        <v>0</v>
      </c>
      <c r="X1029" t="s">
        <v>5</v>
      </c>
      <c r="Y1029" t="s">
        <v>475</v>
      </c>
      <c r="Z1029" t="s">
        <v>0</v>
      </c>
      <c r="AA1029">
        <v>0</v>
      </c>
      <c r="AB1029">
        <v>0</v>
      </c>
      <c r="AC1029">
        <v>0</v>
      </c>
      <c r="AD1029" t="s">
        <v>3</v>
      </c>
      <c r="AE1029" t="s">
        <v>0</v>
      </c>
      <c r="AF1029" t="s">
        <v>3</v>
      </c>
      <c r="AG1029" t="s">
        <v>2</v>
      </c>
      <c r="AI1029" t="s">
        <v>23</v>
      </c>
      <c r="AJ1029">
        <v>4</v>
      </c>
      <c r="AK1029">
        <v>-24</v>
      </c>
      <c r="AL1029">
        <v>0</v>
      </c>
      <c r="AM1029" t="s">
        <v>5</v>
      </c>
      <c r="AN1029">
        <v>0</v>
      </c>
      <c r="AO1029">
        <v>0</v>
      </c>
      <c r="AP1029">
        <v>1</v>
      </c>
      <c r="AQ1029">
        <v>1</v>
      </c>
    </row>
    <row r="1030" spans="1:43" x14ac:dyDescent="0.25">
      <c r="A1030" t="s">
        <v>1323</v>
      </c>
      <c r="B1030" t="s">
        <v>1322</v>
      </c>
      <c r="C1030" t="s">
        <v>1321</v>
      </c>
      <c r="D1030" s="1">
        <v>45780</v>
      </c>
      <c r="E1030" t="s">
        <v>32</v>
      </c>
      <c r="F1030" t="s">
        <v>356</v>
      </c>
      <c r="G1030" t="s">
        <v>17</v>
      </c>
      <c r="H1030" t="s">
        <v>29</v>
      </c>
      <c r="I1030" t="s">
        <v>15</v>
      </c>
      <c r="J1030" t="s">
        <v>55</v>
      </c>
      <c r="K1030" t="s">
        <v>54</v>
      </c>
      <c r="L1030" t="s">
        <v>88</v>
      </c>
      <c r="M1030" t="s">
        <v>27</v>
      </c>
      <c r="N1030" t="s">
        <v>41</v>
      </c>
      <c r="O1030" t="s">
        <v>26</v>
      </c>
      <c r="P1030" t="s">
        <v>63</v>
      </c>
      <c r="Q1030" t="s">
        <v>24</v>
      </c>
      <c r="R1030" t="s">
        <v>38</v>
      </c>
      <c r="S1030">
        <v>4</v>
      </c>
      <c r="T1030">
        <v>4</v>
      </c>
      <c r="U1030">
        <v>93</v>
      </c>
      <c r="V1030" t="s">
        <v>0</v>
      </c>
      <c r="W1030" t="s">
        <v>5</v>
      </c>
      <c r="X1030" t="s">
        <v>5</v>
      </c>
      <c r="Y1030" t="s">
        <v>144</v>
      </c>
      <c r="Z1030" t="s">
        <v>5</v>
      </c>
      <c r="AA1030">
        <v>216.65</v>
      </c>
      <c r="AB1030">
        <v>0.23</v>
      </c>
      <c r="AC1030">
        <v>0.37</v>
      </c>
      <c r="AD1030" t="s">
        <v>3</v>
      </c>
      <c r="AE1030" t="s">
        <v>0</v>
      </c>
      <c r="AF1030" t="s">
        <v>3</v>
      </c>
      <c r="AG1030" t="s">
        <v>2</v>
      </c>
      <c r="AI1030" t="s">
        <v>23</v>
      </c>
      <c r="AJ1030">
        <v>3</v>
      </c>
      <c r="AK1030">
        <v>47</v>
      </c>
      <c r="AL1030">
        <v>0</v>
      </c>
      <c r="AM1030" t="s">
        <v>5</v>
      </c>
      <c r="AN1030">
        <v>1</v>
      </c>
      <c r="AO1030">
        <v>1</v>
      </c>
      <c r="AP1030">
        <v>1</v>
      </c>
      <c r="AQ1030">
        <v>1</v>
      </c>
    </row>
    <row r="1031" spans="1:43" x14ac:dyDescent="0.25">
      <c r="A1031" t="s">
        <v>1320</v>
      </c>
      <c r="B1031" t="s">
        <v>1319</v>
      </c>
      <c r="C1031" t="s">
        <v>1318</v>
      </c>
      <c r="D1031" s="1">
        <v>45851</v>
      </c>
      <c r="E1031" t="s">
        <v>45</v>
      </c>
      <c r="F1031" t="s">
        <v>44</v>
      </c>
      <c r="G1031" t="s">
        <v>56</v>
      </c>
      <c r="H1031" t="s">
        <v>29</v>
      </c>
      <c r="I1031" t="s">
        <v>15</v>
      </c>
      <c r="J1031" t="s">
        <v>55</v>
      </c>
      <c r="K1031" t="s">
        <v>54</v>
      </c>
      <c r="L1031" t="s">
        <v>12</v>
      </c>
      <c r="M1031" t="s">
        <v>53</v>
      </c>
      <c r="N1031" t="s">
        <v>93</v>
      </c>
      <c r="O1031" t="s">
        <v>26</v>
      </c>
      <c r="P1031" t="s">
        <v>63</v>
      </c>
      <c r="Q1031" t="s">
        <v>7</v>
      </c>
      <c r="R1031" t="s">
        <v>6</v>
      </c>
      <c r="S1031">
        <v>4</v>
      </c>
      <c r="T1031">
        <v>4</v>
      </c>
      <c r="U1031">
        <v>81</v>
      </c>
      <c r="V1031" t="s">
        <v>0</v>
      </c>
      <c r="W1031" t="s">
        <v>181</v>
      </c>
      <c r="X1031" t="s">
        <v>0</v>
      </c>
      <c r="Y1031" t="s">
        <v>4</v>
      </c>
      <c r="Z1031" t="s">
        <v>0</v>
      </c>
      <c r="AA1031">
        <v>0</v>
      </c>
      <c r="AB1031">
        <v>0</v>
      </c>
      <c r="AC1031">
        <v>0</v>
      </c>
      <c r="AD1031" t="s">
        <v>3</v>
      </c>
      <c r="AE1031" t="s">
        <v>0</v>
      </c>
      <c r="AF1031" t="s">
        <v>3</v>
      </c>
      <c r="AG1031" t="s">
        <v>2</v>
      </c>
      <c r="AI1031" t="s">
        <v>23</v>
      </c>
      <c r="AJ1031">
        <v>4</v>
      </c>
      <c r="AK1031">
        <v>41</v>
      </c>
      <c r="AL1031">
        <v>0</v>
      </c>
      <c r="AM1031" t="s">
        <v>5</v>
      </c>
      <c r="AN1031">
        <v>0</v>
      </c>
      <c r="AO1031">
        <v>0</v>
      </c>
      <c r="AP1031">
        <v>0</v>
      </c>
      <c r="AQ1031">
        <v>1</v>
      </c>
    </row>
    <row r="1032" spans="1:43" x14ac:dyDescent="0.25">
      <c r="A1032" t="s">
        <v>1317</v>
      </c>
      <c r="B1032" t="s">
        <v>1316</v>
      </c>
      <c r="C1032" t="s">
        <v>1315</v>
      </c>
      <c r="D1032" s="1">
        <v>45866</v>
      </c>
      <c r="E1032" t="s">
        <v>168</v>
      </c>
      <c r="F1032" t="s">
        <v>283</v>
      </c>
      <c r="G1032" t="s">
        <v>17</v>
      </c>
      <c r="H1032" t="s">
        <v>43</v>
      </c>
      <c r="I1032" t="s">
        <v>28</v>
      </c>
      <c r="J1032" t="s">
        <v>146</v>
      </c>
      <c r="K1032" t="s">
        <v>145</v>
      </c>
      <c r="L1032" t="s">
        <v>42</v>
      </c>
      <c r="M1032" t="s">
        <v>11</v>
      </c>
      <c r="N1032" t="s">
        <v>75</v>
      </c>
      <c r="O1032" t="s">
        <v>51</v>
      </c>
      <c r="P1032" t="s">
        <v>39</v>
      </c>
      <c r="Q1032" t="s">
        <v>172</v>
      </c>
      <c r="R1032" t="s">
        <v>38</v>
      </c>
      <c r="S1032">
        <v>6</v>
      </c>
      <c r="T1032">
        <v>5</v>
      </c>
      <c r="U1032">
        <v>189</v>
      </c>
      <c r="V1032" t="s">
        <v>182</v>
      </c>
      <c r="W1032" t="s">
        <v>0</v>
      </c>
      <c r="X1032" t="s">
        <v>0</v>
      </c>
      <c r="Y1032" t="s">
        <v>4</v>
      </c>
      <c r="Z1032" t="s">
        <v>0</v>
      </c>
      <c r="AA1032">
        <v>0</v>
      </c>
      <c r="AB1032">
        <v>0</v>
      </c>
      <c r="AC1032">
        <v>0</v>
      </c>
      <c r="AD1032" t="s">
        <v>3</v>
      </c>
      <c r="AE1032" t="s">
        <v>0</v>
      </c>
      <c r="AF1032" t="s">
        <v>3</v>
      </c>
      <c r="AG1032" t="s">
        <v>2</v>
      </c>
      <c r="AI1032" t="s">
        <v>1</v>
      </c>
      <c r="AJ1032">
        <v>3</v>
      </c>
      <c r="AK1032">
        <v>52</v>
      </c>
      <c r="AL1032">
        <v>41</v>
      </c>
      <c r="AM1032" t="s">
        <v>0</v>
      </c>
      <c r="AN1032">
        <v>0</v>
      </c>
      <c r="AO1032">
        <v>0</v>
      </c>
      <c r="AP1032">
        <v>0</v>
      </c>
      <c r="AQ1032">
        <v>0</v>
      </c>
    </row>
    <row r="1033" spans="1:43" x14ac:dyDescent="0.25">
      <c r="A1033" t="s">
        <v>1314</v>
      </c>
      <c r="B1033" t="s">
        <v>1313</v>
      </c>
      <c r="C1033" t="s">
        <v>1312</v>
      </c>
      <c r="D1033" s="1">
        <v>45978</v>
      </c>
      <c r="E1033" t="s">
        <v>32</v>
      </c>
      <c r="F1033" t="s">
        <v>356</v>
      </c>
      <c r="G1033" t="s">
        <v>56</v>
      </c>
      <c r="H1033" t="s">
        <v>77</v>
      </c>
      <c r="I1033" t="s">
        <v>15</v>
      </c>
      <c r="J1033" t="s">
        <v>14</v>
      </c>
      <c r="K1033" t="s">
        <v>13</v>
      </c>
      <c r="L1033" t="s">
        <v>64</v>
      </c>
      <c r="M1033" t="s">
        <v>299</v>
      </c>
      <c r="N1033" t="s">
        <v>93</v>
      </c>
      <c r="O1033" t="s">
        <v>199</v>
      </c>
      <c r="P1033" t="s">
        <v>8</v>
      </c>
      <c r="Q1033" t="s">
        <v>7</v>
      </c>
      <c r="R1033" t="s">
        <v>6</v>
      </c>
      <c r="S1033">
        <v>5</v>
      </c>
      <c r="T1033">
        <v>3</v>
      </c>
      <c r="U1033">
        <v>190</v>
      </c>
      <c r="V1033" t="s">
        <v>5</v>
      </c>
      <c r="W1033" t="s">
        <v>0</v>
      </c>
      <c r="X1033" t="s">
        <v>0</v>
      </c>
      <c r="Y1033" t="s">
        <v>4</v>
      </c>
      <c r="Z1033" t="s">
        <v>0</v>
      </c>
      <c r="AA1033">
        <v>0</v>
      </c>
      <c r="AB1033">
        <v>0</v>
      </c>
      <c r="AC1033">
        <v>0</v>
      </c>
      <c r="AD1033" t="s">
        <v>187</v>
      </c>
      <c r="AE1033" t="s">
        <v>5</v>
      </c>
      <c r="AF1033" t="s">
        <v>187</v>
      </c>
      <c r="AG1033" t="s">
        <v>139</v>
      </c>
      <c r="AH1033">
        <v>40</v>
      </c>
      <c r="AI1033" t="s">
        <v>332</v>
      </c>
      <c r="AJ1033">
        <v>3</v>
      </c>
      <c r="AK1033">
        <v>14</v>
      </c>
      <c r="AL1033">
        <v>37</v>
      </c>
      <c r="AM1033" t="s">
        <v>0</v>
      </c>
      <c r="AN1033">
        <v>0</v>
      </c>
      <c r="AO1033">
        <v>0</v>
      </c>
      <c r="AP1033">
        <v>0</v>
      </c>
      <c r="AQ1033">
        <v>0</v>
      </c>
    </row>
    <row r="1034" spans="1:43" x14ac:dyDescent="0.25">
      <c r="A1034" t="s">
        <v>1311</v>
      </c>
      <c r="B1034" t="s">
        <v>935</v>
      </c>
      <c r="C1034" t="s">
        <v>1310</v>
      </c>
      <c r="D1034" s="1">
        <v>46117</v>
      </c>
      <c r="E1034" t="s">
        <v>79</v>
      </c>
      <c r="F1034" t="s">
        <v>206</v>
      </c>
      <c r="G1034" t="s">
        <v>123</v>
      </c>
      <c r="H1034" t="s">
        <v>77</v>
      </c>
      <c r="I1034" t="s">
        <v>15</v>
      </c>
      <c r="J1034" t="s">
        <v>55</v>
      </c>
      <c r="K1034" t="s">
        <v>54</v>
      </c>
      <c r="L1034" t="s">
        <v>88</v>
      </c>
      <c r="M1034" t="s">
        <v>11</v>
      </c>
      <c r="N1034" t="s">
        <v>75</v>
      </c>
      <c r="O1034" t="s">
        <v>130</v>
      </c>
      <c r="P1034" t="s">
        <v>25</v>
      </c>
      <c r="Q1034" t="s">
        <v>7</v>
      </c>
      <c r="R1034" t="s">
        <v>6</v>
      </c>
      <c r="S1034">
        <v>5</v>
      </c>
      <c r="T1034">
        <v>4</v>
      </c>
      <c r="U1034">
        <v>133</v>
      </c>
      <c r="V1034" t="s">
        <v>5</v>
      </c>
      <c r="W1034" t="s">
        <v>5</v>
      </c>
      <c r="X1034" t="s">
        <v>0</v>
      </c>
      <c r="Y1034" t="s">
        <v>4</v>
      </c>
      <c r="Z1034" t="s">
        <v>5</v>
      </c>
      <c r="AA1034">
        <v>28.25</v>
      </c>
      <c r="AB1034">
        <v>0</v>
      </c>
      <c r="AC1034">
        <v>0</v>
      </c>
      <c r="AD1034" t="s">
        <v>3</v>
      </c>
      <c r="AE1034" t="s">
        <v>0</v>
      </c>
      <c r="AF1034" t="s">
        <v>3</v>
      </c>
      <c r="AG1034" t="s">
        <v>2</v>
      </c>
      <c r="AH1034">
        <v>999</v>
      </c>
      <c r="AI1034" t="s">
        <v>23</v>
      </c>
      <c r="AJ1034">
        <v>4</v>
      </c>
      <c r="AK1034">
        <v>8</v>
      </c>
      <c r="AL1034">
        <v>46</v>
      </c>
      <c r="AM1034" t="s">
        <v>5</v>
      </c>
      <c r="AN1034">
        <v>1</v>
      </c>
      <c r="AO1034">
        <v>1</v>
      </c>
      <c r="AP1034">
        <v>0</v>
      </c>
      <c r="AQ1034">
        <v>1</v>
      </c>
    </row>
    <row r="1035" spans="1:43" x14ac:dyDescent="0.25">
      <c r="A1035" t="s">
        <v>1309</v>
      </c>
      <c r="B1035" t="s">
        <v>708</v>
      </c>
      <c r="C1035" t="s">
        <v>1308</v>
      </c>
      <c r="D1035" s="1">
        <v>45917</v>
      </c>
      <c r="E1035" t="s">
        <v>168</v>
      </c>
      <c r="F1035" t="s">
        <v>233</v>
      </c>
      <c r="G1035" t="s">
        <v>30</v>
      </c>
      <c r="H1035" t="s">
        <v>29</v>
      </c>
      <c r="I1035" t="s">
        <v>28</v>
      </c>
      <c r="J1035" t="s">
        <v>55</v>
      </c>
      <c r="K1035" t="s">
        <v>54</v>
      </c>
      <c r="L1035" t="s">
        <v>64</v>
      </c>
      <c r="M1035" t="s">
        <v>27</v>
      </c>
      <c r="N1035" t="s">
        <v>10</v>
      </c>
      <c r="O1035" t="s">
        <v>26</v>
      </c>
      <c r="P1035" t="s">
        <v>39</v>
      </c>
      <c r="Q1035" t="s">
        <v>24</v>
      </c>
      <c r="R1035" t="s">
        <v>38</v>
      </c>
      <c r="S1035">
        <v>4</v>
      </c>
      <c r="T1035">
        <v>4</v>
      </c>
      <c r="U1035">
        <v>94</v>
      </c>
      <c r="V1035" t="s">
        <v>0</v>
      </c>
      <c r="W1035" t="s">
        <v>5</v>
      </c>
      <c r="X1035" t="s">
        <v>0</v>
      </c>
      <c r="Y1035" t="s">
        <v>4</v>
      </c>
      <c r="Z1035" t="s">
        <v>5</v>
      </c>
      <c r="AA1035">
        <v>93.67</v>
      </c>
      <c r="AB1035">
        <v>0.21</v>
      </c>
      <c r="AC1035">
        <v>0.37</v>
      </c>
      <c r="AD1035" t="s">
        <v>187</v>
      </c>
      <c r="AE1035" t="s">
        <v>5</v>
      </c>
      <c r="AF1035" t="s">
        <v>187</v>
      </c>
      <c r="AG1035" t="s">
        <v>36</v>
      </c>
      <c r="AH1035">
        <v>28</v>
      </c>
      <c r="AI1035" t="s">
        <v>23</v>
      </c>
      <c r="AJ1035">
        <v>5</v>
      </c>
      <c r="AK1035">
        <v>14</v>
      </c>
      <c r="AL1035">
        <v>17</v>
      </c>
      <c r="AM1035" t="s">
        <v>0</v>
      </c>
      <c r="AN1035">
        <v>1</v>
      </c>
      <c r="AO1035">
        <v>1</v>
      </c>
      <c r="AP1035">
        <v>0</v>
      </c>
      <c r="AQ1035">
        <v>0</v>
      </c>
    </row>
    <row r="1036" spans="1:43" x14ac:dyDescent="0.25">
      <c r="A1036" t="s">
        <v>1307</v>
      </c>
      <c r="B1036" t="s">
        <v>1207</v>
      </c>
      <c r="C1036" t="s">
        <v>1306</v>
      </c>
      <c r="D1036" s="1">
        <v>45933</v>
      </c>
      <c r="E1036" t="s">
        <v>149</v>
      </c>
      <c r="F1036" t="s">
        <v>183</v>
      </c>
      <c r="G1036" t="s">
        <v>110</v>
      </c>
      <c r="H1036" t="s">
        <v>29</v>
      </c>
      <c r="I1036" t="s">
        <v>28</v>
      </c>
      <c r="J1036" t="s">
        <v>55</v>
      </c>
      <c r="K1036" t="s">
        <v>54</v>
      </c>
      <c r="L1036" t="s">
        <v>88</v>
      </c>
      <c r="M1036" t="s">
        <v>11</v>
      </c>
      <c r="N1036" t="s">
        <v>154</v>
      </c>
      <c r="O1036" t="s">
        <v>26</v>
      </c>
      <c r="P1036" t="s">
        <v>63</v>
      </c>
      <c r="Q1036" t="s">
        <v>198</v>
      </c>
      <c r="R1036" t="s">
        <v>6</v>
      </c>
      <c r="S1036">
        <v>4</v>
      </c>
      <c r="T1036">
        <v>3</v>
      </c>
      <c r="U1036">
        <v>152</v>
      </c>
      <c r="V1036" t="s">
        <v>5</v>
      </c>
      <c r="W1036" t="s">
        <v>5</v>
      </c>
      <c r="X1036" t="s">
        <v>0</v>
      </c>
      <c r="Y1036" t="s">
        <v>4</v>
      </c>
      <c r="Z1036" t="s">
        <v>0</v>
      </c>
      <c r="AA1036">
        <v>0</v>
      </c>
      <c r="AB1036">
        <v>0</v>
      </c>
      <c r="AC1036">
        <v>0</v>
      </c>
      <c r="AD1036" t="s">
        <v>3</v>
      </c>
      <c r="AE1036" t="s">
        <v>0</v>
      </c>
      <c r="AF1036" t="s">
        <v>3</v>
      </c>
      <c r="AG1036" t="s">
        <v>2</v>
      </c>
      <c r="AI1036" t="s">
        <v>23</v>
      </c>
      <c r="AJ1036">
        <v>3</v>
      </c>
      <c r="AK1036">
        <v>13</v>
      </c>
      <c r="AL1036">
        <v>0</v>
      </c>
      <c r="AM1036" t="s">
        <v>5</v>
      </c>
      <c r="AN1036">
        <v>1</v>
      </c>
      <c r="AO1036">
        <v>0</v>
      </c>
      <c r="AP1036">
        <v>0</v>
      </c>
      <c r="AQ1036">
        <v>1</v>
      </c>
    </row>
    <row r="1037" spans="1:43" x14ac:dyDescent="0.25">
      <c r="A1037" t="s">
        <v>1305</v>
      </c>
      <c r="B1037" t="s">
        <v>1304</v>
      </c>
      <c r="C1037" t="s">
        <v>1303</v>
      </c>
      <c r="D1037" s="1">
        <v>45964</v>
      </c>
      <c r="E1037" t="s">
        <v>19</v>
      </c>
      <c r="F1037" t="s">
        <v>255</v>
      </c>
      <c r="G1037" t="s">
        <v>56</v>
      </c>
      <c r="H1037" t="s">
        <v>77</v>
      </c>
      <c r="I1037" t="s">
        <v>15</v>
      </c>
      <c r="J1037" t="s">
        <v>55</v>
      </c>
      <c r="K1037" t="s">
        <v>54</v>
      </c>
      <c r="L1037" t="s">
        <v>64</v>
      </c>
      <c r="M1037" t="s">
        <v>11</v>
      </c>
      <c r="N1037" t="s">
        <v>269</v>
      </c>
      <c r="O1037" t="s">
        <v>9</v>
      </c>
      <c r="P1037" t="s">
        <v>39</v>
      </c>
      <c r="Q1037" t="s">
        <v>7</v>
      </c>
      <c r="R1037" t="s">
        <v>6</v>
      </c>
      <c r="S1037">
        <v>7</v>
      </c>
      <c r="T1037">
        <v>7</v>
      </c>
      <c r="U1037">
        <v>201</v>
      </c>
      <c r="V1037" t="s">
        <v>0</v>
      </c>
      <c r="W1037" t="s">
        <v>0</v>
      </c>
      <c r="X1037" t="s">
        <v>0</v>
      </c>
      <c r="Y1037" t="s">
        <v>4</v>
      </c>
      <c r="Z1037" t="s">
        <v>0</v>
      </c>
      <c r="AA1037">
        <v>0</v>
      </c>
      <c r="AB1037">
        <v>0</v>
      </c>
      <c r="AC1037">
        <v>0</v>
      </c>
      <c r="AD1037" t="s">
        <v>3</v>
      </c>
      <c r="AE1037" t="s">
        <v>0</v>
      </c>
      <c r="AF1037" t="s">
        <v>3</v>
      </c>
      <c r="AG1037" t="s">
        <v>2</v>
      </c>
      <c r="AI1037" t="s">
        <v>23</v>
      </c>
      <c r="AJ1037">
        <v>3</v>
      </c>
      <c r="AK1037">
        <v>13</v>
      </c>
      <c r="AL1037" t="s">
        <v>1302</v>
      </c>
      <c r="AM1037" t="s">
        <v>0</v>
      </c>
      <c r="AN1037">
        <v>0</v>
      </c>
      <c r="AO1037">
        <v>0</v>
      </c>
      <c r="AP1037">
        <v>0</v>
      </c>
      <c r="AQ1037">
        <v>0</v>
      </c>
    </row>
    <row r="1038" spans="1:43" x14ac:dyDescent="0.25">
      <c r="A1038" t="s">
        <v>1301</v>
      </c>
      <c r="B1038" t="s">
        <v>1300</v>
      </c>
      <c r="C1038" t="s">
        <v>1299</v>
      </c>
      <c r="D1038" s="1">
        <v>45984</v>
      </c>
      <c r="E1038" t="s">
        <v>125</v>
      </c>
      <c r="F1038" t="s">
        <v>140</v>
      </c>
      <c r="G1038" t="s">
        <v>56</v>
      </c>
      <c r="H1038" t="s">
        <v>16</v>
      </c>
      <c r="I1038" t="s">
        <v>28</v>
      </c>
      <c r="J1038" t="s">
        <v>146</v>
      </c>
      <c r="K1038" t="s">
        <v>145</v>
      </c>
      <c r="L1038" t="s">
        <v>12</v>
      </c>
      <c r="M1038" t="s">
        <v>11</v>
      </c>
      <c r="N1038" t="s">
        <v>41</v>
      </c>
      <c r="O1038" t="s">
        <v>51</v>
      </c>
      <c r="P1038" t="s">
        <v>63</v>
      </c>
      <c r="Q1038" t="s">
        <v>7</v>
      </c>
      <c r="R1038" t="s">
        <v>6</v>
      </c>
      <c r="S1038">
        <v>6</v>
      </c>
      <c r="T1038">
        <v>6</v>
      </c>
      <c r="U1038">
        <v>189</v>
      </c>
      <c r="V1038" t="s">
        <v>0</v>
      </c>
      <c r="W1038" t="s">
        <v>5</v>
      </c>
      <c r="X1038" t="s">
        <v>0</v>
      </c>
      <c r="Y1038" t="s">
        <v>4</v>
      </c>
      <c r="Z1038" t="s">
        <v>5</v>
      </c>
      <c r="AA1038">
        <v>80.63</v>
      </c>
      <c r="AB1038">
        <v>0.1</v>
      </c>
      <c r="AC1038">
        <v>0</v>
      </c>
      <c r="AD1038" t="s">
        <v>3</v>
      </c>
      <c r="AE1038" t="s">
        <v>0</v>
      </c>
      <c r="AF1038" t="s">
        <v>3</v>
      </c>
      <c r="AG1038" t="s">
        <v>2</v>
      </c>
      <c r="AI1038" t="s">
        <v>23</v>
      </c>
      <c r="AJ1038">
        <v>4</v>
      </c>
      <c r="AK1038">
        <v>23</v>
      </c>
      <c r="AL1038">
        <v>0</v>
      </c>
      <c r="AM1038" t="s">
        <v>0</v>
      </c>
      <c r="AN1038">
        <v>1</v>
      </c>
      <c r="AO1038">
        <v>1</v>
      </c>
      <c r="AP1038">
        <v>0</v>
      </c>
      <c r="AQ1038">
        <v>0</v>
      </c>
    </row>
    <row r="1039" spans="1:43" x14ac:dyDescent="0.25">
      <c r="A1039" t="s">
        <v>1298</v>
      </c>
      <c r="B1039" t="s">
        <v>1297</v>
      </c>
      <c r="C1039" t="s">
        <v>1296</v>
      </c>
      <c r="D1039" s="1">
        <v>45868</v>
      </c>
      <c r="E1039" t="s">
        <v>156</v>
      </c>
      <c r="F1039" t="s">
        <v>325</v>
      </c>
      <c r="G1039" t="s">
        <v>110</v>
      </c>
      <c r="H1039" t="s">
        <v>16</v>
      </c>
      <c r="I1039" t="s">
        <v>28</v>
      </c>
      <c r="J1039" t="s">
        <v>55</v>
      </c>
      <c r="K1039" t="s">
        <v>54</v>
      </c>
      <c r="L1039" t="s">
        <v>12</v>
      </c>
      <c r="M1039" t="s">
        <v>53</v>
      </c>
      <c r="N1039" t="s">
        <v>75</v>
      </c>
      <c r="O1039" t="s">
        <v>199</v>
      </c>
      <c r="P1039" t="s">
        <v>39</v>
      </c>
      <c r="Q1039" t="s">
        <v>198</v>
      </c>
      <c r="R1039" t="s">
        <v>6</v>
      </c>
      <c r="S1039">
        <v>5</v>
      </c>
      <c r="T1039">
        <v>5</v>
      </c>
      <c r="U1039">
        <v>135</v>
      </c>
      <c r="V1039" t="s">
        <v>0</v>
      </c>
      <c r="W1039" t="s">
        <v>0</v>
      </c>
      <c r="X1039" t="s">
        <v>0</v>
      </c>
      <c r="Y1039" t="s">
        <v>4</v>
      </c>
      <c r="Z1039" t="s">
        <v>5</v>
      </c>
      <c r="AA1039">
        <v>133.34</v>
      </c>
      <c r="AB1039">
        <v>0</v>
      </c>
      <c r="AC1039">
        <v>0.17</v>
      </c>
      <c r="AD1039" t="s">
        <v>3</v>
      </c>
      <c r="AE1039" t="s">
        <v>0</v>
      </c>
      <c r="AF1039" t="s">
        <v>3</v>
      </c>
      <c r="AG1039" t="s">
        <v>2</v>
      </c>
      <c r="AI1039" t="s">
        <v>332</v>
      </c>
      <c r="AJ1039">
        <v>3</v>
      </c>
      <c r="AK1039">
        <v>21</v>
      </c>
      <c r="AL1039">
        <v>16</v>
      </c>
      <c r="AM1039" t="s">
        <v>5</v>
      </c>
      <c r="AN1039">
        <v>0</v>
      </c>
      <c r="AO1039">
        <v>1</v>
      </c>
      <c r="AP1039">
        <v>0</v>
      </c>
      <c r="AQ1039">
        <v>1</v>
      </c>
    </row>
    <row r="1040" spans="1:43" x14ac:dyDescent="0.25">
      <c r="A1040" t="s">
        <v>1295</v>
      </c>
      <c r="B1040" t="s">
        <v>867</v>
      </c>
      <c r="C1040" t="s">
        <v>1294</v>
      </c>
      <c r="D1040" s="1">
        <v>45736</v>
      </c>
      <c r="E1040" t="s">
        <v>19</v>
      </c>
      <c r="F1040" t="s">
        <v>295</v>
      </c>
      <c r="G1040" t="s">
        <v>17</v>
      </c>
      <c r="H1040" t="s">
        <v>29</v>
      </c>
      <c r="I1040" t="s">
        <v>15</v>
      </c>
      <c r="J1040" t="s">
        <v>55</v>
      </c>
      <c r="K1040" t="s">
        <v>54</v>
      </c>
      <c r="L1040" t="s">
        <v>88</v>
      </c>
      <c r="M1040" t="s">
        <v>11</v>
      </c>
      <c r="N1040" t="s">
        <v>41</v>
      </c>
      <c r="O1040" t="s">
        <v>9</v>
      </c>
      <c r="P1040" t="s">
        <v>63</v>
      </c>
      <c r="Q1040" t="s">
        <v>7</v>
      </c>
      <c r="R1040" t="s">
        <v>6</v>
      </c>
      <c r="S1040" t="s">
        <v>527</v>
      </c>
      <c r="T1040">
        <v>5</v>
      </c>
      <c r="U1040">
        <v>270</v>
      </c>
      <c r="V1040" t="s">
        <v>5</v>
      </c>
      <c r="W1040" t="s">
        <v>5</v>
      </c>
      <c r="X1040" t="s">
        <v>0</v>
      </c>
      <c r="Y1040" t="s">
        <v>4</v>
      </c>
      <c r="Z1040" t="s">
        <v>5</v>
      </c>
      <c r="AA1040">
        <v>61.04</v>
      </c>
      <c r="AB1040">
        <v>0</v>
      </c>
      <c r="AC1040">
        <v>0</v>
      </c>
      <c r="AD1040" t="s">
        <v>3</v>
      </c>
      <c r="AE1040" t="s">
        <v>0</v>
      </c>
      <c r="AF1040" t="s">
        <v>3</v>
      </c>
      <c r="AG1040" t="s">
        <v>2</v>
      </c>
      <c r="AI1040" t="s">
        <v>23</v>
      </c>
      <c r="AJ1040">
        <v>2</v>
      </c>
      <c r="AK1040">
        <v>-25</v>
      </c>
      <c r="AL1040">
        <v>0</v>
      </c>
      <c r="AM1040" t="s">
        <v>247</v>
      </c>
      <c r="AN1040">
        <v>1</v>
      </c>
      <c r="AO1040">
        <v>1</v>
      </c>
      <c r="AP1040">
        <v>0</v>
      </c>
      <c r="AQ1040">
        <v>0</v>
      </c>
    </row>
    <row r="1041" spans="1:43" x14ac:dyDescent="0.25">
      <c r="A1041" t="s">
        <v>1293</v>
      </c>
      <c r="B1041" t="s">
        <v>1292</v>
      </c>
      <c r="C1041" t="s">
        <v>1291</v>
      </c>
      <c r="D1041" s="1">
        <v>46162</v>
      </c>
      <c r="E1041" t="s">
        <v>45</v>
      </c>
      <c r="F1041" t="s">
        <v>57</v>
      </c>
      <c r="G1041" t="s">
        <v>17</v>
      </c>
      <c r="H1041" t="s">
        <v>43</v>
      </c>
      <c r="I1041" t="s">
        <v>147</v>
      </c>
      <c r="J1041" t="s">
        <v>14</v>
      </c>
      <c r="K1041" t="s">
        <v>13</v>
      </c>
      <c r="L1041" t="s">
        <v>12</v>
      </c>
      <c r="M1041" t="s">
        <v>11</v>
      </c>
      <c r="N1041" t="s">
        <v>93</v>
      </c>
      <c r="O1041" t="s">
        <v>130</v>
      </c>
      <c r="P1041" t="s">
        <v>63</v>
      </c>
      <c r="Q1041" t="s">
        <v>24</v>
      </c>
      <c r="R1041" t="s">
        <v>6</v>
      </c>
      <c r="S1041">
        <v>5</v>
      </c>
      <c r="T1041">
        <v>4</v>
      </c>
      <c r="U1041">
        <v>171</v>
      </c>
      <c r="V1041" t="s">
        <v>5</v>
      </c>
      <c r="W1041" t="s">
        <v>0</v>
      </c>
      <c r="X1041" t="s">
        <v>181</v>
      </c>
      <c r="Y1041" t="s">
        <v>4</v>
      </c>
      <c r="Z1041" t="s">
        <v>0</v>
      </c>
      <c r="AA1041">
        <v>0</v>
      </c>
      <c r="AB1041">
        <v>0</v>
      </c>
      <c r="AC1041">
        <v>0</v>
      </c>
      <c r="AD1041" t="s">
        <v>37</v>
      </c>
      <c r="AE1041" t="s">
        <v>5</v>
      </c>
      <c r="AF1041" t="s">
        <v>37</v>
      </c>
      <c r="AG1041" t="s">
        <v>36</v>
      </c>
      <c r="AH1041">
        <v>20</v>
      </c>
      <c r="AI1041" t="s">
        <v>332</v>
      </c>
      <c r="AJ1041">
        <v>3</v>
      </c>
      <c r="AK1041">
        <v>-49</v>
      </c>
      <c r="AL1041">
        <v>0</v>
      </c>
      <c r="AM1041" t="s">
        <v>0</v>
      </c>
      <c r="AN1041">
        <v>0</v>
      </c>
      <c r="AO1041">
        <v>0</v>
      </c>
      <c r="AP1041">
        <v>0</v>
      </c>
      <c r="AQ1041">
        <v>0</v>
      </c>
    </row>
    <row r="1042" spans="1:43" x14ac:dyDescent="0.25">
      <c r="A1042" t="s">
        <v>1290</v>
      </c>
      <c r="B1042" t="s">
        <v>1289</v>
      </c>
      <c r="C1042" t="s">
        <v>1288</v>
      </c>
      <c r="D1042" s="1">
        <v>45965</v>
      </c>
      <c r="E1042" t="s">
        <v>156</v>
      </c>
      <c r="F1042" t="s">
        <v>1287</v>
      </c>
      <c r="G1042" t="s">
        <v>110</v>
      </c>
      <c r="H1042" t="s">
        <v>29</v>
      </c>
      <c r="I1042" t="s">
        <v>28</v>
      </c>
      <c r="J1042" t="s">
        <v>14</v>
      </c>
      <c r="K1042" t="s">
        <v>13</v>
      </c>
      <c r="L1042" t="s">
        <v>88</v>
      </c>
      <c r="M1042" t="s">
        <v>11</v>
      </c>
      <c r="N1042" t="s">
        <v>75</v>
      </c>
      <c r="O1042" t="s">
        <v>199</v>
      </c>
      <c r="P1042" t="s">
        <v>8</v>
      </c>
      <c r="Q1042" t="s">
        <v>7</v>
      </c>
      <c r="R1042" t="s">
        <v>6</v>
      </c>
      <c r="S1042">
        <v>5</v>
      </c>
      <c r="T1042">
        <v>3</v>
      </c>
      <c r="U1042">
        <v>153</v>
      </c>
      <c r="V1042" t="s">
        <v>5</v>
      </c>
      <c r="W1042" t="s">
        <v>0</v>
      </c>
      <c r="X1042" t="s">
        <v>0</v>
      </c>
      <c r="Y1042" t="s">
        <v>4</v>
      </c>
      <c r="Z1042" t="s">
        <v>0</v>
      </c>
      <c r="AA1042">
        <v>0</v>
      </c>
      <c r="AB1042">
        <v>0</v>
      </c>
      <c r="AC1042">
        <v>0</v>
      </c>
      <c r="AD1042" t="s">
        <v>3</v>
      </c>
      <c r="AE1042" t="s">
        <v>0</v>
      </c>
      <c r="AF1042" t="s">
        <v>3</v>
      </c>
      <c r="AG1042" t="s">
        <v>2</v>
      </c>
      <c r="AI1042" t="s">
        <v>129</v>
      </c>
      <c r="AJ1042">
        <v>2</v>
      </c>
      <c r="AK1042">
        <v>-7</v>
      </c>
      <c r="AL1042">
        <v>11</v>
      </c>
      <c r="AM1042" t="s">
        <v>0</v>
      </c>
      <c r="AN1042">
        <v>0</v>
      </c>
      <c r="AO1042">
        <v>0</v>
      </c>
      <c r="AP1042">
        <v>0</v>
      </c>
      <c r="AQ1042">
        <v>0</v>
      </c>
    </row>
    <row r="1043" spans="1:43" x14ac:dyDescent="0.25">
      <c r="A1043" t="s">
        <v>1286</v>
      </c>
      <c r="B1043" t="s">
        <v>1188</v>
      </c>
      <c r="C1043" t="s">
        <v>1285</v>
      </c>
      <c r="D1043" s="1">
        <v>45865</v>
      </c>
      <c r="E1043" t="s">
        <v>32</v>
      </c>
      <c r="F1043" t="s">
        <v>356</v>
      </c>
      <c r="G1043" t="s">
        <v>17</v>
      </c>
      <c r="H1043" t="s">
        <v>77</v>
      </c>
      <c r="I1043" t="s">
        <v>15</v>
      </c>
      <c r="J1043" t="s">
        <v>14</v>
      </c>
      <c r="K1043" t="s">
        <v>13</v>
      </c>
      <c r="L1043" t="s">
        <v>88</v>
      </c>
      <c r="M1043" t="s">
        <v>11</v>
      </c>
      <c r="N1043" t="s">
        <v>10</v>
      </c>
      <c r="O1043" t="s">
        <v>199</v>
      </c>
      <c r="P1043" t="s">
        <v>63</v>
      </c>
      <c r="Q1043" t="s">
        <v>50</v>
      </c>
      <c r="R1043" t="s">
        <v>6</v>
      </c>
      <c r="S1043">
        <v>5</v>
      </c>
      <c r="T1043">
        <v>5</v>
      </c>
      <c r="U1043">
        <v>124</v>
      </c>
      <c r="V1043" t="s">
        <v>0</v>
      </c>
      <c r="W1043" t="s">
        <v>5</v>
      </c>
      <c r="X1043" t="s">
        <v>0</v>
      </c>
      <c r="Y1043" t="s">
        <v>4</v>
      </c>
      <c r="Z1043" t="s">
        <v>5</v>
      </c>
      <c r="AA1043">
        <v>118.13</v>
      </c>
      <c r="AB1043">
        <v>0</v>
      </c>
      <c r="AC1043">
        <v>0</v>
      </c>
      <c r="AD1043" t="s">
        <v>3</v>
      </c>
      <c r="AE1043" t="s">
        <v>0</v>
      </c>
      <c r="AF1043" t="s">
        <v>3</v>
      </c>
      <c r="AG1043" t="s">
        <v>2</v>
      </c>
      <c r="AI1043" t="s">
        <v>23</v>
      </c>
      <c r="AJ1043">
        <v>4</v>
      </c>
      <c r="AK1043">
        <v>-1</v>
      </c>
      <c r="AL1043">
        <v>999</v>
      </c>
      <c r="AM1043" t="s">
        <v>5</v>
      </c>
      <c r="AN1043">
        <v>1</v>
      </c>
      <c r="AO1043">
        <v>1</v>
      </c>
      <c r="AP1043">
        <v>0</v>
      </c>
      <c r="AQ1043">
        <v>1</v>
      </c>
    </row>
    <row r="1044" spans="1:43" x14ac:dyDescent="0.25">
      <c r="A1044" t="s">
        <v>1284</v>
      </c>
      <c r="B1044" t="s">
        <v>1283</v>
      </c>
      <c r="C1044" t="s">
        <v>1282</v>
      </c>
      <c r="D1044" s="1">
        <v>45794</v>
      </c>
      <c r="E1044" t="s">
        <v>112</v>
      </c>
      <c r="F1044" t="s">
        <v>111</v>
      </c>
      <c r="G1044" t="s">
        <v>56</v>
      </c>
      <c r="H1044" t="s">
        <v>66</v>
      </c>
      <c r="I1044" t="s">
        <v>15</v>
      </c>
      <c r="J1044" t="s">
        <v>55</v>
      </c>
      <c r="K1044" t="s">
        <v>54</v>
      </c>
      <c r="L1044" t="s">
        <v>12</v>
      </c>
      <c r="M1044" t="s">
        <v>11</v>
      </c>
      <c r="N1044" t="s">
        <v>75</v>
      </c>
      <c r="O1044" t="s">
        <v>26</v>
      </c>
      <c r="P1044" t="s">
        <v>39</v>
      </c>
      <c r="Q1044" t="s">
        <v>7</v>
      </c>
      <c r="R1044" t="s">
        <v>6</v>
      </c>
      <c r="S1044">
        <v>4</v>
      </c>
      <c r="T1044">
        <v>4</v>
      </c>
      <c r="U1044">
        <v>90</v>
      </c>
      <c r="V1044" t="s">
        <v>0</v>
      </c>
      <c r="W1044" t="s">
        <v>5</v>
      </c>
      <c r="X1044" t="s">
        <v>0</v>
      </c>
      <c r="Y1044" t="s">
        <v>4</v>
      </c>
      <c r="Z1044" t="s">
        <v>5</v>
      </c>
      <c r="AA1044">
        <v>220.15</v>
      </c>
      <c r="AB1044">
        <v>0.19</v>
      </c>
      <c r="AC1044">
        <v>0</v>
      </c>
      <c r="AD1044" t="s">
        <v>3</v>
      </c>
      <c r="AE1044" t="s">
        <v>0</v>
      </c>
      <c r="AF1044" t="s">
        <v>3</v>
      </c>
      <c r="AG1044" t="s">
        <v>2</v>
      </c>
      <c r="AI1044" t="s">
        <v>23</v>
      </c>
      <c r="AJ1044">
        <v>3</v>
      </c>
      <c r="AK1044">
        <v>28</v>
      </c>
      <c r="AL1044">
        <v>10</v>
      </c>
      <c r="AM1044" t="s">
        <v>0</v>
      </c>
      <c r="AN1044">
        <v>1</v>
      </c>
      <c r="AO1044">
        <v>1</v>
      </c>
      <c r="AP1044">
        <v>0</v>
      </c>
      <c r="AQ1044">
        <v>0</v>
      </c>
    </row>
    <row r="1045" spans="1:43" x14ac:dyDescent="0.25">
      <c r="A1045" t="s">
        <v>1281</v>
      </c>
      <c r="B1045" t="s">
        <v>289</v>
      </c>
      <c r="C1045" t="s">
        <v>1280</v>
      </c>
      <c r="D1045" s="1">
        <v>45984</v>
      </c>
      <c r="E1045" t="s">
        <v>79</v>
      </c>
      <c r="F1045" t="s">
        <v>223</v>
      </c>
      <c r="G1045" t="s">
        <v>17</v>
      </c>
      <c r="H1045" t="s">
        <v>29</v>
      </c>
      <c r="I1045" t="s">
        <v>28</v>
      </c>
      <c r="J1045" t="s">
        <v>55</v>
      </c>
      <c r="K1045" t="s">
        <v>54</v>
      </c>
      <c r="L1045" t="s">
        <v>64</v>
      </c>
      <c r="M1045" t="s">
        <v>11</v>
      </c>
      <c r="N1045" t="s">
        <v>10</v>
      </c>
      <c r="O1045" t="s">
        <v>51</v>
      </c>
      <c r="P1045" t="s">
        <v>25</v>
      </c>
      <c r="Q1045" t="s">
        <v>7</v>
      </c>
      <c r="R1045" t="s">
        <v>6</v>
      </c>
      <c r="S1045">
        <v>6</v>
      </c>
      <c r="T1045" t="s">
        <v>205</v>
      </c>
      <c r="U1045">
        <v>166</v>
      </c>
      <c r="V1045" t="s">
        <v>0</v>
      </c>
      <c r="W1045" t="s">
        <v>0</v>
      </c>
      <c r="X1045" t="s">
        <v>5</v>
      </c>
      <c r="Y1045" t="s">
        <v>49</v>
      </c>
      <c r="Z1045" t="s">
        <v>0</v>
      </c>
      <c r="AA1045">
        <v>0</v>
      </c>
      <c r="AB1045">
        <v>0</v>
      </c>
      <c r="AC1045">
        <v>0</v>
      </c>
      <c r="AD1045" t="s">
        <v>3</v>
      </c>
      <c r="AE1045" t="s">
        <v>0</v>
      </c>
      <c r="AF1045" t="s">
        <v>3</v>
      </c>
      <c r="AG1045" t="s">
        <v>2</v>
      </c>
      <c r="AI1045" t="s">
        <v>23</v>
      </c>
      <c r="AJ1045">
        <v>2</v>
      </c>
      <c r="AK1045">
        <v>12</v>
      </c>
      <c r="AL1045">
        <v>59</v>
      </c>
      <c r="AM1045" t="s">
        <v>0</v>
      </c>
      <c r="AN1045">
        <v>0</v>
      </c>
      <c r="AO1045">
        <v>0</v>
      </c>
      <c r="AP1045">
        <v>1</v>
      </c>
      <c r="AQ1045">
        <v>0</v>
      </c>
    </row>
    <row r="1046" spans="1:43" x14ac:dyDescent="0.25">
      <c r="A1046" t="s">
        <v>1279</v>
      </c>
      <c r="B1046" t="s">
        <v>1278</v>
      </c>
      <c r="C1046" t="s">
        <v>1277</v>
      </c>
      <c r="D1046" s="1">
        <v>45696</v>
      </c>
      <c r="E1046" t="s">
        <v>149</v>
      </c>
      <c r="F1046" t="s">
        <v>183</v>
      </c>
      <c r="G1046" t="s">
        <v>30</v>
      </c>
      <c r="H1046" t="s">
        <v>77</v>
      </c>
      <c r="I1046" t="s">
        <v>15</v>
      </c>
      <c r="J1046" t="s">
        <v>146</v>
      </c>
      <c r="K1046" t="s">
        <v>176</v>
      </c>
      <c r="L1046" t="s">
        <v>88</v>
      </c>
      <c r="M1046" t="s">
        <v>299</v>
      </c>
      <c r="N1046" t="s">
        <v>52</v>
      </c>
      <c r="O1046" t="s">
        <v>193</v>
      </c>
      <c r="P1046" t="s">
        <v>63</v>
      </c>
      <c r="Q1046" t="s">
        <v>7</v>
      </c>
      <c r="R1046" t="s">
        <v>6</v>
      </c>
      <c r="S1046">
        <v>9</v>
      </c>
      <c r="T1046">
        <v>9</v>
      </c>
      <c r="U1046">
        <v>264</v>
      </c>
      <c r="V1046" t="s">
        <v>0</v>
      </c>
      <c r="W1046" t="s">
        <v>5</v>
      </c>
      <c r="X1046" t="s">
        <v>0</v>
      </c>
      <c r="Y1046" t="s">
        <v>4</v>
      </c>
      <c r="Z1046" t="s">
        <v>5</v>
      </c>
      <c r="AA1046">
        <v>94.52</v>
      </c>
      <c r="AB1046">
        <v>3.26</v>
      </c>
      <c r="AC1046">
        <v>0</v>
      </c>
      <c r="AD1046" t="s">
        <v>3</v>
      </c>
      <c r="AE1046" t="s">
        <v>0</v>
      </c>
      <c r="AF1046" t="s">
        <v>3</v>
      </c>
      <c r="AG1046" t="s">
        <v>2</v>
      </c>
      <c r="AI1046" t="s">
        <v>23</v>
      </c>
      <c r="AJ1046">
        <v>4</v>
      </c>
      <c r="AK1046">
        <v>-9</v>
      </c>
      <c r="AL1046">
        <v>0</v>
      </c>
      <c r="AM1046" t="s">
        <v>0</v>
      </c>
      <c r="AN1046">
        <v>1</v>
      </c>
      <c r="AO1046">
        <v>1</v>
      </c>
      <c r="AP1046">
        <v>0</v>
      </c>
      <c r="AQ1046">
        <v>0</v>
      </c>
    </row>
    <row r="1047" spans="1:43" x14ac:dyDescent="0.25">
      <c r="A1047" t="s">
        <v>1276</v>
      </c>
      <c r="B1047" t="s">
        <v>1275</v>
      </c>
      <c r="C1047" t="s">
        <v>1274</v>
      </c>
      <c r="D1047" s="1">
        <v>45896</v>
      </c>
      <c r="E1047" t="s">
        <v>79</v>
      </c>
      <c r="F1047" t="s">
        <v>102</v>
      </c>
      <c r="G1047" t="s">
        <v>30</v>
      </c>
      <c r="H1047" t="s">
        <v>16</v>
      </c>
      <c r="I1047" t="s">
        <v>15</v>
      </c>
      <c r="J1047" t="s">
        <v>55</v>
      </c>
      <c r="K1047" t="s">
        <v>54</v>
      </c>
      <c r="L1047" t="s">
        <v>88</v>
      </c>
      <c r="M1047" t="s">
        <v>11</v>
      </c>
      <c r="N1047" t="s">
        <v>75</v>
      </c>
      <c r="O1047" t="s">
        <v>26</v>
      </c>
      <c r="P1047" t="s">
        <v>63</v>
      </c>
      <c r="Q1047" t="s">
        <v>7</v>
      </c>
      <c r="R1047" t="s">
        <v>6</v>
      </c>
      <c r="S1047">
        <v>4</v>
      </c>
      <c r="T1047">
        <v>4</v>
      </c>
      <c r="U1047">
        <v>82</v>
      </c>
      <c r="V1047" t="s">
        <v>0</v>
      </c>
      <c r="W1047" t="s">
        <v>5</v>
      </c>
      <c r="X1047" t="s">
        <v>0</v>
      </c>
      <c r="Y1047" t="s">
        <v>4</v>
      </c>
      <c r="Z1047" t="s">
        <v>5</v>
      </c>
      <c r="AA1047">
        <v>230.31</v>
      </c>
      <c r="AB1047">
        <v>0.17</v>
      </c>
      <c r="AC1047">
        <v>0</v>
      </c>
      <c r="AD1047" t="s">
        <v>3</v>
      </c>
      <c r="AE1047" t="s">
        <v>0</v>
      </c>
      <c r="AF1047" t="s">
        <v>3</v>
      </c>
      <c r="AG1047" t="s">
        <v>2</v>
      </c>
      <c r="AI1047" t="s">
        <v>23</v>
      </c>
      <c r="AJ1047">
        <v>5</v>
      </c>
      <c r="AK1047">
        <v>39</v>
      </c>
      <c r="AL1047">
        <v>0</v>
      </c>
      <c r="AM1047" t="s">
        <v>5</v>
      </c>
      <c r="AN1047">
        <v>1</v>
      </c>
      <c r="AO1047">
        <v>1</v>
      </c>
      <c r="AP1047">
        <v>0</v>
      </c>
      <c r="AQ1047">
        <v>1</v>
      </c>
    </row>
    <row r="1048" spans="1:43" x14ac:dyDescent="0.25">
      <c r="A1048" t="s">
        <v>1273</v>
      </c>
      <c r="B1048" t="s">
        <v>1272</v>
      </c>
      <c r="C1048" t="s">
        <v>1271</v>
      </c>
      <c r="D1048" s="1">
        <v>46023</v>
      </c>
      <c r="E1048" t="s">
        <v>125</v>
      </c>
      <c r="F1048" t="s">
        <v>124</v>
      </c>
      <c r="G1048" t="s">
        <v>30</v>
      </c>
      <c r="H1048" t="s">
        <v>237</v>
      </c>
      <c r="I1048" t="s">
        <v>15</v>
      </c>
      <c r="J1048" t="s">
        <v>14</v>
      </c>
      <c r="K1048" t="s">
        <v>13</v>
      </c>
      <c r="L1048" t="s">
        <v>117</v>
      </c>
      <c r="M1048" t="s">
        <v>11</v>
      </c>
      <c r="N1048" t="s">
        <v>52</v>
      </c>
      <c r="O1048" t="s">
        <v>40</v>
      </c>
      <c r="P1048" t="s">
        <v>39</v>
      </c>
      <c r="Q1048" t="s">
        <v>24</v>
      </c>
      <c r="R1048" t="s">
        <v>6</v>
      </c>
      <c r="S1048">
        <v>8</v>
      </c>
      <c r="T1048">
        <v>6</v>
      </c>
      <c r="U1048">
        <v>354</v>
      </c>
      <c r="V1048" t="s">
        <v>5</v>
      </c>
      <c r="W1048" t="s">
        <v>0</v>
      </c>
      <c r="X1048" t="s">
        <v>5</v>
      </c>
      <c r="Y1048" t="s">
        <v>489</v>
      </c>
      <c r="Z1048" t="s">
        <v>0</v>
      </c>
      <c r="AA1048">
        <v>0</v>
      </c>
      <c r="AB1048">
        <v>0</v>
      </c>
      <c r="AC1048">
        <v>0</v>
      </c>
      <c r="AD1048" t="s">
        <v>3</v>
      </c>
      <c r="AE1048" t="s">
        <v>0</v>
      </c>
      <c r="AF1048" t="s">
        <v>3</v>
      </c>
      <c r="AG1048" t="s">
        <v>2</v>
      </c>
      <c r="AI1048" t="s">
        <v>122</v>
      </c>
      <c r="AJ1048">
        <v>1</v>
      </c>
      <c r="AK1048">
        <v>-31</v>
      </c>
      <c r="AL1048">
        <v>16</v>
      </c>
      <c r="AM1048" t="s">
        <v>0</v>
      </c>
      <c r="AN1048">
        <v>0</v>
      </c>
      <c r="AO1048">
        <v>0</v>
      </c>
      <c r="AP1048">
        <v>1</v>
      </c>
      <c r="AQ1048">
        <v>0</v>
      </c>
    </row>
    <row r="1049" spans="1:43" x14ac:dyDescent="0.25">
      <c r="A1049" t="s">
        <v>1270</v>
      </c>
      <c r="B1049" t="s">
        <v>158</v>
      </c>
      <c r="C1049" t="s">
        <v>1269</v>
      </c>
      <c r="D1049" s="1">
        <v>45954</v>
      </c>
      <c r="E1049" t="s">
        <v>19</v>
      </c>
      <c r="F1049" t="s">
        <v>295</v>
      </c>
      <c r="G1049" t="s">
        <v>110</v>
      </c>
      <c r="H1049" t="s">
        <v>77</v>
      </c>
      <c r="I1049" t="s">
        <v>28</v>
      </c>
      <c r="J1049" t="s">
        <v>14</v>
      </c>
      <c r="K1049" t="s">
        <v>13</v>
      </c>
      <c r="L1049" t="s">
        <v>88</v>
      </c>
      <c r="M1049" t="s">
        <v>11</v>
      </c>
      <c r="N1049" t="s">
        <v>75</v>
      </c>
      <c r="O1049" t="s">
        <v>51</v>
      </c>
      <c r="P1049" t="s">
        <v>25</v>
      </c>
      <c r="Q1049" t="s">
        <v>7</v>
      </c>
      <c r="R1049" t="s">
        <v>6</v>
      </c>
      <c r="S1049">
        <v>6</v>
      </c>
      <c r="T1049">
        <v>3</v>
      </c>
      <c r="U1049">
        <v>220</v>
      </c>
      <c r="V1049" t="s">
        <v>5</v>
      </c>
      <c r="W1049" t="s">
        <v>5</v>
      </c>
      <c r="X1049" t="s">
        <v>0</v>
      </c>
      <c r="Y1049" t="s">
        <v>4</v>
      </c>
      <c r="Z1049" t="s">
        <v>5</v>
      </c>
      <c r="AA1049">
        <v>0</v>
      </c>
      <c r="AB1049">
        <v>0.1</v>
      </c>
      <c r="AC1049">
        <v>0</v>
      </c>
      <c r="AD1049" t="s">
        <v>3</v>
      </c>
      <c r="AE1049" t="s">
        <v>0</v>
      </c>
      <c r="AF1049" t="s">
        <v>3</v>
      </c>
      <c r="AG1049" t="s">
        <v>2</v>
      </c>
      <c r="AI1049" t="s">
        <v>23</v>
      </c>
      <c r="AJ1049">
        <v>3</v>
      </c>
      <c r="AK1049">
        <v>10</v>
      </c>
      <c r="AL1049">
        <v>8</v>
      </c>
      <c r="AM1049" t="s">
        <v>5</v>
      </c>
      <c r="AN1049">
        <v>1</v>
      </c>
      <c r="AO1049">
        <v>1</v>
      </c>
      <c r="AP1049">
        <v>0</v>
      </c>
      <c r="AQ1049">
        <v>1</v>
      </c>
    </row>
    <row r="1050" spans="1:43" x14ac:dyDescent="0.25">
      <c r="A1050" t="s">
        <v>1268</v>
      </c>
      <c r="B1050" t="s">
        <v>1267</v>
      </c>
      <c r="C1050" t="s">
        <v>1266</v>
      </c>
      <c r="D1050" s="1">
        <v>45811</v>
      </c>
      <c r="E1050" t="s">
        <v>19</v>
      </c>
      <c r="F1050" t="s">
        <v>89</v>
      </c>
      <c r="G1050" t="s">
        <v>123</v>
      </c>
      <c r="H1050" t="s">
        <v>16</v>
      </c>
      <c r="I1050" t="s">
        <v>147</v>
      </c>
      <c r="J1050" t="s">
        <v>14</v>
      </c>
      <c r="K1050" t="s">
        <v>13</v>
      </c>
      <c r="L1050" t="s">
        <v>12</v>
      </c>
      <c r="M1050" t="s">
        <v>53</v>
      </c>
      <c r="N1050" t="s">
        <v>75</v>
      </c>
      <c r="O1050" t="s">
        <v>26</v>
      </c>
      <c r="P1050" t="s">
        <v>39</v>
      </c>
      <c r="Q1050" t="s">
        <v>198</v>
      </c>
      <c r="R1050" t="s">
        <v>6</v>
      </c>
      <c r="S1050">
        <v>4</v>
      </c>
      <c r="T1050">
        <v>4</v>
      </c>
      <c r="U1050">
        <v>85</v>
      </c>
      <c r="V1050" t="s">
        <v>0</v>
      </c>
      <c r="W1050" t="s">
        <v>0</v>
      </c>
      <c r="X1050" t="s">
        <v>0</v>
      </c>
      <c r="Y1050" t="s">
        <v>4</v>
      </c>
      <c r="Z1050" t="s">
        <v>0</v>
      </c>
      <c r="AA1050">
        <v>0</v>
      </c>
      <c r="AB1050">
        <v>0</v>
      </c>
      <c r="AC1050">
        <v>0</v>
      </c>
      <c r="AD1050" t="s">
        <v>3</v>
      </c>
      <c r="AE1050" t="s">
        <v>0</v>
      </c>
      <c r="AF1050" t="s">
        <v>3</v>
      </c>
      <c r="AG1050" t="s">
        <v>2</v>
      </c>
      <c r="AI1050" t="s">
        <v>544</v>
      </c>
      <c r="AJ1050">
        <v>3</v>
      </c>
      <c r="AK1050">
        <v>34</v>
      </c>
      <c r="AL1050">
        <v>53</v>
      </c>
      <c r="AM1050" t="s">
        <v>0</v>
      </c>
      <c r="AN1050">
        <v>0</v>
      </c>
      <c r="AO1050">
        <v>0</v>
      </c>
      <c r="AP1050">
        <v>0</v>
      </c>
      <c r="AQ1050">
        <v>0</v>
      </c>
    </row>
    <row r="1051" spans="1:43" x14ac:dyDescent="0.25">
      <c r="A1051" t="s">
        <v>1265</v>
      </c>
      <c r="B1051" t="s">
        <v>371</v>
      </c>
      <c r="C1051" t="s">
        <v>1264</v>
      </c>
      <c r="D1051" s="1">
        <v>45710</v>
      </c>
      <c r="E1051" t="s">
        <v>149</v>
      </c>
      <c r="F1051" t="s">
        <v>589</v>
      </c>
      <c r="G1051" t="s">
        <v>56</v>
      </c>
      <c r="H1051" t="s">
        <v>77</v>
      </c>
      <c r="I1051" t="s">
        <v>15</v>
      </c>
      <c r="J1051" t="s">
        <v>14</v>
      </c>
      <c r="K1051" t="s">
        <v>13</v>
      </c>
      <c r="L1051" t="s">
        <v>117</v>
      </c>
      <c r="M1051" t="s">
        <v>11</v>
      </c>
      <c r="N1051" t="s">
        <v>10</v>
      </c>
      <c r="O1051" t="s">
        <v>40</v>
      </c>
      <c r="P1051" t="s">
        <v>25</v>
      </c>
      <c r="Q1051" t="s">
        <v>198</v>
      </c>
      <c r="R1051" t="s">
        <v>6</v>
      </c>
      <c r="S1051">
        <v>8</v>
      </c>
      <c r="T1051">
        <v>8</v>
      </c>
      <c r="U1051">
        <v>244</v>
      </c>
      <c r="V1051" t="s">
        <v>0</v>
      </c>
      <c r="W1051" t="s">
        <v>5</v>
      </c>
      <c r="X1051" t="s">
        <v>0</v>
      </c>
      <c r="Y1051" t="s">
        <v>4</v>
      </c>
      <c r="Z1051" t="s">
        <v>0</v>
      </c>
      <c r="AA1051">
        <v>0</v>
      </c>
      <c r="AB1051">
        <v>0</v>
      </c>
      <c r="AC1051">
        <v>0</v>
      </c>
      <c r="AD1051" t="s">
        <v>3</v>
      </c>
      <c r="AE1051" t="s">
        <v>0</v>
      </c>
      <c r="AF1051" t="s">
        <v>3</v>
      </c>
      <c r="AG1051" t="s">
        <v>2</v>
      </c>
      <c r="AI1051" t="s">
        <v>23</v>
      </c>
      <c r="AJ1051">
        <v>3</v>
      </c>
      <c r="AK1051">
        <v>33</v>
      </c>
      <c r="AL1051">
        <v>34</v>
      </c>
      <c r="AM1051" t="s">
        <v>5</v>
      </c>
      <c r="AN1051">
        <v>1</v>
      </c>
      <c r="AO1051">
        <v>0</v>
      </c>
      <c r="AP1051">
        <v>0</v>
      </c>
      <c r="AQ1051">
        <v>1</v>
      </c>
    </row>
    <row r="1052" spans="1:43" x14ac:dyDescent="0.25">
      <c r="A1052" t="s">
        <v>1263</v>
      </c>
      <c r="B1052" t="s">
        <v>302</v>
      </c>
      <c r="C1052" t="s">
        <v>1262</v>
      </c>
      <c r="D1052" s="1">
        <v>45964</v>
      </c>
      <c r="E1052" t="s">
        <v>95</v>
      </c>
      <c r="F1052" t="s">
        <v>338</v>
      </c>
      <c r="G1052" t="s">
        <v>83</v>
      </c>
      <c r="H1052" t="s">
        <v>77</v>
      </c>
      <c r="I1052" t="s">
        <v>28</v>
      </c>
      <c r="J1052" t="s">
        <v>14</v>
      </c>
      <c r="K1052" t="s">
        <v>13</v>
      </c>
      <c r="L1052" t="s">
        <v>88</v>
      </c>
      <c r="M1052" t="s">
        <v>11</v>
      </c>
      <c r="N1052" t="s">
        <v>154</v>
      </c>
      <c r="O1052" t="s">
        <v>101</v>
      </c>
      <c r="P1052" t="s">
        <v>8</v>
      </c>
      <c r="Q1052" t="s">
        <v>24</v>
      </c>
      <c r="R1052" t="s">
        <v>6</v>
      </c>
      <c r="S1052">
        <v>4</v>
      </c>
      <c r="T1052">
        <v>4</v>
      </c>
      <c r="U1052">
        <v>96</v>
      </c>
      <c r="V1052" t="s">
        <v>0</v>
      </c>
      <c r="W1052" t="s">
        <v>5</v>
      </c>
      <c r="X1052" t="s">
        <v>0</v>
      </c>
      <c r="Y1052" t="s">
        <v>4</v>
      </c>
      <c r="Z1052" t="s">
        <v>5</v>
      </c>
      <c r="AA1052">
        <v>0</v>
      </c>
      <c r="AB1052">
        <v>0.46</v>
      </c>
      <c r="AC1052">
        <v>0</v>
      </c>
      <c r="AD1052" t="s">
        <v>3</v>
      </c>
      <c r="AE1052" t="s">
        <v>0</v>
      </c>
      <c r="AF1052" t="s">
        <v>3</v>
      </c>
      <c r="AG1052" t="s">
        <v>2</v>
      </c>
      <c r="AI1052" t="s">
        <v>23</v>
      </c>
      <c r="AJ1052">
        <v>4</v>
      </c>
      <c r="AK1052">
        <v>12</v>
      </c>
      <c r="AL1052" t="s">
        <v>1261</v>
      </c>
      <c r="AM1052" t="s">
        <v>0</v>
      </c>
      <c r="AN1052">
        <v>1</v>
      </c>
      <c r="AO1052">
        <v>1</v>
      </c>
      <c r="AP1052">
        <v>0</v>
      </c>
      <c r="AQ1052">
        <v>0</v>
      </c>
    </row>
    <row r="1053" spans="1:43" x14ac:dyDescent="0.25">
      <c r="A1053" t="s">
        <v>1260</v>
      </c>
      <c r="B1053" t="s">
        <v>994</v>
      </c>
      <c r="C1053" t="s">
        <v>1259</v>
      </c>
      <c r="D1053" s="1">
        <v>45921</v>
      </c>
      <c r="E1053" t="s">
        <v>168</v>
      </c>
      <c r="F1053" t="s">
        <v>177</v>
      </c>
      <c r="G1053" t="s">
        <v>123</v>
      </c>
      <c r="H1053" t="s">
        <v>29</v>
      </c>
      <c r="I1053" t="s">
        <v>15</v>
      </c>
      <c r="J1053" t="s">
        <v>55</v>
      </c>
      <c r="K1053" t="s">
        <v>54</v>
      </c>
      <c r="L1053" t="s">
        <v>64</v>
      </c>
      <c r="M1053" t="s">
        <v>53</v>
      </c>
      <c r="N1053" t="s">
        <v>41</v>
      </c>
      <c r="O1053" t="s">
        <v>74</v>
      </c>
      <c r="P1053" t="s">
        <v>63</v>
      </c>
      <c r="Q1053" t="s">
        <v>24</v>
      </c>
      <c r="R1053" t="s">
        <v>6</v>
      </c>
      <c r="S1053">
        <v>6</v>
      </c>
      <c r="T1053">
        <v>6</v>
      </c>
      <c r="U1053">
        <v>169</v>
      </c>
      <c r="V1053" t="s">
        <v>0</v>
      </c>
      <c r="W1053" t="s">
        <v>5</v>
      </c>
      <c r="X1053" t="s">
        <v>0</v>
      </c>
      <c r="Y1053" t="s">
        <v>4</v>
      </c>
      <c r="Z1053" t="s">
        <v>5</v>
      </c>
      <c r="AA1053">
        <v>35.74</v>
      </c>
      <c r="AB1053">
        <v>0</v>
      </c>
      <c r="AC1053">
        <v>0.17</v>
      </c>
      <c r="AD1053" t="s">
        <v>187</v>
      </c>
      <c r="AE1053" t="s">
        <v>5</v>
      </c>
      <c r="AF1053" t="s">
        <v>187</v>
      </c>
      <c r="AG1053" t="s">
        <v>36</v>
      </c>
      <c r="AH1053">
        <v>20</v>
      </c>
      <c r="AI1053" t="s">
        <v>23</v>
      </c>
      <c r="AJ1053">
        <v>5</v>
      </c>
      <c r="AK1053">
        <v>64</v>
      </c>
      <c r="AL1053">
        <v>0</v>
      </c>
      <c r="AM1053" t="s">
        <v>5</v>
      </c>
      <c r="AN1053">
        <v>1</v>
      </c>
      <c r="AO1053">
        <v>1</v>
      </c>
      <c r="AP1053">
        <v>0</v>
      </c>
      <c r="AQ1053">
        <v>1</v>
      </c>
    </row>
    <row r="1054" spans="1:43" x14ac:dyDescent="0.25">
      <c r="A1054" t="s">
        <v>1258</v>
      </c>
      <c r="B1054" t="s">
        <v>1257</v>
      </c>
      <c r="C1054" t="s">
        <v>1256</v>
      </c>
      <c r="D1054" s="1">
        <v>46123</v>
      </c>
      <c r="E1054" t="s">
        <v>79</v>
      </c>
      <c r="F1054" t="s">
        <v>206</v>
      </c>
      <c r="G1054" t="s">
        <v>17</v>
      </c>
      <c r="H1054" t="s">
        <v>77</v>
      </c>
      <c r="I1054" t="s">
        <v>28</v>
      </c>
      <c r="J1054" t="s">
        <v>146</v>
      </c>
      <c r="K1054" t="s">
        <v>460</v>
      </c>
      <c r="L1054" t="s">
        <v>88</v>
      </c>
      <c r="M1054" t="s">
        <v>11</v>
      </c>
      <c r="N1054" t="s">
        <v>93</v>
      </c>
      <c r="O1054" t="s">
        <v>40</v>
      </c>
      <c r="P1054" t="s">
        <v>39</v>
      </c>
      <c r="Q1054" t="s">
        <v>7</v>
      </c>
      <c r="R1054" t="s">
        <v>6</v>
      </c>
      <c r="S1054">
        <v>8</v>
      </c>
      <c r="T1054">
        <v>8</v>
      </c>
      <c r="U1054">
        <v>189</v>
      </c>
      <c r="V1054" t="s">
        <v>0</v>
      </c>
      <c r="W1054" t="s">
        <v>0</v>
      </c>
      <c r="X1054" t="s">
        <v>0</v>
      </c>
      <c r="Y1054" t="s">
        <v>4</v>
      </c>
      <c r="Z1054" t="s">
        <v>0</v>
      </c>
      <c r="AA1054">
        <v>0</v>
      </c>
      <c r="AB1054">
        <v>0</v>
      </c>
      <c r="AC1054">
        <v>0</v>
      </c>
      <c r="AD1054" t="s">
        <v>3</v>
      </c>
      <c r="AE1054" t="s">
        <v>0</v>
      </c>
      <c r="AF1054" t="s">
        <v>3</v>
      </c>
      <c r="AG1054" t="s">
        <v>2</v>
      </c>
      <c r="AI1054" t="s">
        <v>23</v>
      </c>
      <c r="AJ1054">
        <v>3</v>
      </c>
      <c r="AK1054">
        <v>7</v>
      </c>
      <c r="AL1054">
        <v>82</v>
      </c>
      <c r="AM1054" t="s">
        <v>0</v>
      </c>
      <c r="AN1054">
        <v>0</v>
      </c>
      <c r="AO1054">
        <v>0</v>
      </c>
      <c r="AP1054">
        <v>0</v>
      </c>
      <c r="AQ1054">
        <v>0</v>
      </c>
    </row>
    <row r="1055" spans="1:43" x14ac:dyDescent="0.25">
      <c r="A1055" t="s">
        <v>1255</v>
      </c>
      <c r="B1055" t="s">
        <v>1013</v>
      </c>
      <c r="C1055" t="s">
        <v>1254</v>
      </c>
      <c r="D1055" s="1">
        <v>45905</v>
      </c>
      <c r="E1055" t="s">
        <v>79</v>
      </c>
      <c r="F1055" t="s">
        <v>1253</v>
      </c>
      <c r="G1055" t="s">
        <v>30</v>
      </c>
      <c r="H1055" t="s">
        <v>29</v>
      </c>
      <c r="I1055" t="s">
        <v>28</v>
      </c>
      <c r="J1055" t="s">
        <v>55</v>
      </c>
      <c r="K1055" t="s">
        <v>65</v>
      </c>
      <c r="L1055" t="s">
        <v>88</v>
      </c>
      <c r="M1055" t="s">
        <v>11</v>
      </c>
      <c r="N1055" t="s">
        <v>116</v>
      </c>
      <c r="O1055" t="s">
        <v>26</v>
      </c>
      <c r="P1055" t="s">
        <v>63</v>
      </c>
      <c r="Q1055" t="s">
        <v>100</v>
      </c>
      <c r="R1055" t="s">
        <v>6</v>
      </c>
      <c r="S1055">
        <v>4</v>
      </c>
      <c r="T1055">
        <v>4</v>
      </c>
      <c r="U1055">
        <v>90</v>
      </c>
      <c r="V1055" t="s">
        <v>0</v>
      </c>
      <c r="W1055" t="s">
        <v>5</v>
      </c>
      <c r="X1055" t="s">
        <v>0</v>
      </c>
      <c r="Y1055" t="s">
        <v>4</v>
      </c>
      <c r="Z1055" t="s">
        <v>5</v>
      </c>
      <c r="AA1055">
        <v>119.87</v>
      </c>
      <c r="AB1055">
        <v>0.2</v>
      </c>
      <c r="AC1055">
        <v>0</v>
      </c>
      <c r="AD1055" t="s">
        <v>3</v>
      </c>
      <c r="AE1055" t="s">
        <v>0</v>
      </c>
      <c r="AF1055" t="s">
        <v>3</v>
      </c>
      <c r="AG1055" t="s">
        <v>2</v>
      </c>
      <c r="AI1055" t="s">
        <v>23</v>
      </c>
      <c r="AJ1055">
        <v>4</v>
      </c>
      <c r="AK1055">
        <v>57</v>
      </c>
      <c r="AL1055">
        <v>0</v>
      </c>
      <c r="AM1055" t="s">
        <v>5</v>
      </c>
      <c r="AN1055">
        <v>1</v>
      </c>
      <c r="AO1055">
        <v>1</v>
      </c>
      <c r="AP1055">
        <v>0</v>
      </c>
      <c r="AQ1055">
        <v>1</v>
      </c>
    </row>
    <row r="1056" spans="1:43" x14ac:dyDescent="0.25">
      <c r="A1056" t="s">
        <v>1252</v>
      </c>
      <c r="B1056" t="s">
        <v>1251</v>
      </c>
      <c r="C1056" t="s">
        <v>1250</v>
      </c>
      <c r="D1056" s="1">
        <v>45988</v>
      </c>
      <c r="E1056" t="s">
        <v>95</v>
      </c>
      <c r="F1056" t="s">
        <v>270</v>
      </c>
      <c r="G1056" t="s">
        <v>56</v>
      </c>
      <c r="H1056" t="s">
        <v>16</v>
      </c>
      <c r="I1056" t="s">
        <v>15</v>
      </c>
      <c r="J1056" t="s">
        <v>55</v>
      </c>
      <c r="K1056" t="s">
        <v>54</v>
      </c>
      <c r="L1056" t="s">
        <v>88</v>
      </c>
      <c r="M1056" t="s">
        <v>27</v>
      </c>
      <c r="N1056" t="s">
        <v>52</v>
      </c>
      <c r="O1056" t="s">
        <v>130</v>
      </c>
      <c r="P1056" t="s">
        <v>39</v>
      </c>
      <c r="Q1056" t="s">
        <v>100</v>
      </c>
      <c r="R1056" t="s">
        <v>38</v>
      </c>
      <c r="S1056">
        <v>5</v>
      </c>
      <c r="T1056">
        <v>5</v>
      </c>
      <c r="U1056">
        <v>140</v>
      </c>
      <c r="V1056" t="s">
        <v>0</v>
      </c>
      <c r="W1056" t="s">
        <v>5</v>
      </c>
      <c r="X1056" t="s">
        <v>5</v>
      </c>
      <c r="Y1056" t="s">
        <v>1249</v>
      </c>
      <c r="Z1056" t="s">
        <v>0</v>
      </c>
      <c r="AA1056">
        <v>0</v>
      </c>
      <c r="AB1056">
        <v>0</v>
      </c>
      <c r="AC1056">
        <v>0</v>
      </c>
      <c r="AD1056" t="s">
        <v>3</v>
      </c>
      <c r="AE1056" t="s">
        <v>0</v>
      </c>
      <c r="AF1056" t="s">
        <v>3</v>
      </c>
      <c r="AG1056" t="s">
        <v>2</v>
      </c>
      <c r="AI1056" t="s">
        <v>23</v>
      </c>
      <c r="AJ1056">
        <v>3</v>
      </c>
      <c r="AK1056">
        <v>40</v>
      </c>
      <c r="AL1056">
        <v>11</v>
      </c>
      <c r="AM1056" t="s">
        <v>0</v>
      </c>
      <c r="AN1056">
        <v>1</v>
      </c>
      <c r="AO1056">
        <v>0</v>
      </c>
      <c r="AP1056">
        <v>1</v>
      </c>
      <c r="AQ1056">
        <v>0</v>
      </c>
    </row>
    <row r="1057" spans="1:43" x14ac:dyDescent="0.25">
      <c r="A1057" t="s">
        <v>1248</v>
      </c>
      <c r="B1057" t="s">
        <v>1247</v>
      </c>
      <c r="C1057" t="s">
        <v>1246</v>
      </c>
      <c r="D1057" s="1">
        <v>46203</v>
      </c>
      <c r="E1057" t="s">
        <v>149</v>
      </c>
      <c r="F1057" t="s">
        <v>183</v>
      </c>
      <c r="G1057" t="s">
        <v>17</v>
      </c>
      <c r="H1057" t="s">
        <v>29</v>
      </c>
      <c r="I1057" t="s">
        <v>15</v>
      </c>
      <c r="J1057" t="s">
        <v>55</v>
      </c>
      <c r="K1057" t="s">
        <v>54</v>
      </c>
      <c r="L1057" t="s">
        <v>117</v>
      </c>
      <c r="M1057" t="s">
        <v>11</v>
      </c>
      <c r="N1057" t="s">
        <v>41</v>
      </c>
      <c r="O1057" t="s">
        <v>26</v>
      </c>
      <c r="P1057" t="s">
        <v>39</v>
      </c>
      <c r="Q1057" t="s">
        <v>7</v>
      </c>
      <c r="R1057" t="s">
        <v>6</v>
      </c>
      <c r="S1057">
        <v>4</v>
      </c>
      <c r="T1057">
        <v>4</v>
      </c>
      <c r="U1057">
        <v>116</v>
      </c>
      <c r="V1057" t="s">
        <v>0</v>
      </c>
      <c r="W1057" t="s">
        <v>5</v>
      </c>
      <c r="X1057" t="s">
        <v>0</v>
      </c>
      <c r="Y1057" t="s">
        <v>4</v>
      </c>
      <c r="Z1057" t="s">
        <v>5</v>
      </c>
      <c r="AA1057">
        <v>130.44999999999999</v>
      </c>
      <c r="AB1057">
        <v>0.19</v>
      </c>
      <c r="AC1057">
        <v>0</v>
      </c>
      <c r="AD1057" t="s">
        <v>3</v>
      </c>
      <c r="AE1057" t="s">
        <v>0</v>
      </c>
      <c r="AF1057" t="s">
        <v>3</v>
      </c>
      <c r="AG1057" t="s">
        <v>2</v>
      </c>
      <c r="AI1057" t="s">
        <v>23</v>
      </c>
      <c r="AJ1057">
        <v>4</v>
      </c>
      <c r="AK1057">
        <v>31</v>
      </c>
      <c r="AL1057">
        <v>57</v>
      </c>
      <c r="AM1057" t="s">
        <v>0</v>
      </c>
      <c r="AN1057">
        <v>1</v>
      </c>
      <c r="AO1057">
        <v>1</v>
      </c>
      <c r="AP1057">
        <v>0</v>
      </c>
      <c r="AQ1057">
        <v>0</v>
      </c>
    </row>
    <row r="1058" spans="1:43" x14ac:dyDescent="0.25">
      <c r="A1058" t="s">
        <v>1245</v>
      </c>
      <c r="B1058" t="s">
        <v>1244</v>
      </c>
      <c r="C1058" t="s">
        <v>1243</v>
      </c>
      <c r="D1058" s="1">
        <v>45981</v>
      </c>
      <c r="E1058" t="s">
        <v>68</v>
      </c>
      <c r="F1058" t="s">
        <v>1242</v>
      </c>
      <c r="G1058" t="s">
        <v>30</v>
      </c>
      <c r="H1058" t="s">
        <v>16</v>
      </c>
      <c r="I1058" t="s">
        <v>15</v>
      </c>
      <c r="J1058" t="s">
        <v>55</v>
      </c>
      <c r="K1058" t="s">
        <v>54</v>
      </c>
      <c r="L1058" t="s">
        <v>117</v>
      </c>
      <c r="M1058" t="s">
        <v>53</v>
      </c>
      <c r="N1058" t="s">
        <v>52</v>
      </c>
      <c r="O1058" t="s">
        <v>101</v>
      </c>
      <c r="P1058" t="s">
        <v>63</v>
      </c>
      <c r="Q1058" t="s">
        <v>7</v>
      </c>
      <c r="R1058" t="s">
        <v>6</v>
      </c>
      <c r="S1058">
        <v>4</v>
      </c>
      <c r="T1058">
        <v>4</v>
      </c>
      <c r="U1058">
        <v>97</v>
      </c>
      <c r="V1058" t="s">
        <v>0</v>
      </c>
      <c r="W1058" t="s">
        <v>5</v>
      </c>
      <c r="X1058" t="s">
        <v>0</v>
      </c>
      <c r="Y1058" t="s">
        <v>4</v>
      </c>
      <c r="Z1058" t="s">
        <v>5</v>
      </c>
      <c r="AA1058">
        <v>37.4</v>
      </c>
      <c r="AB1058">
        <v>0.45</v>
      </c>
      <c r="AC1058">
        <v>0.17</v>
      </c>
      <c r="AD1058" t="s">
        <v>3</v>
      </c>
      <c r="AE1058" t="s">
        <v>0</v>
      </c>
      <c r="AF1058" t="s">
        <v>3</v>
      </c>
      <c r="AG1058" t="s">
        <v>2</v>
      </c>
      <c r="AI1058" t="s">
        <v>23</v>
      </c>
      <c r="AJ1058">
        <v>3</v>
      </c>
      <c r="AK1058">
        <v>2</v>
      </c>
      <c r="AL1058">
        <v>0</v>
      </c>
      <c r="AM1058" t="s">
        <v>5</v>
      </c>
      <c r="AN1058">
        <v>1</v>
      </c>
      <c r="AO1058">
        <v>1</v>
      </c>
      <c r="AP1058">
        <v>0</v>
      </c>
      <c r="AQ1058">
        <v>1</v>
      </c>
    </row>
    <row r="1059" spans="1:43" x14ac:dyDescent="0.25">
      <c r="A1059" t="s">
        <v>1241</v>
      </c>
      <c r="B1059" t="s">
        <v>1240</v>
      </c>
      <c r="C1059" t="s">
        <v>1239</v>
      </c>
      <c r="D1059" s="1">
        <v>46067</v>
      </c>
      <c r="E1059" t="s">
        <v>68</v>
      </c>
      <c r="F1059" t="s">
        <v>67</v>
      </c>
      <c r="G1059" t="s">
        <v>83</v>
      </c>
      <c r="H1059" t="s">
        <v>77</v>
      </c>
      <c r="I1059" t="s">
        <v>15</v>
      </c>
      <c r="J1059" t="s">
        <v>146</v>
      </c>
      <c r="K1059" t="s">
        <v>145</v>
      </c>
      <c r="L1059" t="s">
        <v>12</v>
      </c>
      <c r="M1059" t="s">
        <v>11</v>
      </c>
      <c r="N1059" t="s">
        <v>52</v>
      </c>
      <c r="O1059" t="s">
        <v>101</v>
      </c>
      <c r="P1059" t="s">
        <v>39</v>
      </c>
      <c r="Q1059" t="s">
        <v>7</v>
      </c>
      <c r="R1059" t="s">
        <v>6</v>
      </c>
      <c r="S1059">
        <v>4</v>
      </c>
      <c r="T1059">
        <v>4</v>
      </c>
      <c r="U1059">
        <v>108</v>
      </c>
      <c r="V1059" t="s">
        <v>0</v>
      </c>
      <c r="W1059" t="s">
        <v>5</v>
      </c>
      <c r="X1059" t="s">
        <v>0</v>
      </c>
      <c r="Y1059" t="s">
        <v>4</v>
      </c>
      <c r="Z1059" t="s">
        <v>5</v>
      </c>
      <c r="AA1059">
        <v>19.64</v>
      </c>
      <c r="AB1059">
        <v>0.56999999999999995</v>
      </c>
      <c r="AC1059">
        <v>0</v>
      </c>
      <c r="AD1059" t="s">
        <v>3</v>
      </c>
      <c r="AE1059" t="s">
        <v>0</v>
      </c>
      <c r="AF1059" t="s">
        <v>3</v>
      </c>
      <c r="AG1059" t="s">
        <v>2</v>
      </c>
      <c r="AI1059" t="s">
        <v>23</v>
      </c>
      <c r="AJ1059">
        <v>5</v>
      </c>
      <c r="AK1059">
        <v>35</v>
      </c>
      <c r="AL1059">
        <v>29</v>
      </c>
      <c r="AM1059" t="s">
        <v>5</v>
      </c>
      <c r="AN1059">
        <v>1</v>
      </c>
      <c r="AO1059">
        <v>1</v>
      </c>
      <c r="AP1059">
        <v>0</v>
      </c>
      <c r="AQ1059">
        <v>1</v>
      </c>
    </row>
    <row r="1060" spans="1:43" x14ac:dyDescent="0.25">
      <c r="A1060" t="s">
        <v>1238</v>
      </c>
      <c r="B1060" t="s">
        <v>1237</v>
      </c>
      <c r="C1060" t="s">
        <v>1236</v>
      </c>
      <c r="D1060" s="1">
        <v>45855</v>
      </c>
      <c r="E1060" t="s">
        <v>45</v>
      </c>
      <c r="F1060" t="s">
        <v>44</v>
      </c>
      <c r="G1060" t="s">
        <v>83</v>
      </c>
      <c r="H1060" t="s">
        <v>66</v>
      </c>
      <c r="I1060" t="s">
        <v>28</v>
      </c>
      <c r="J1060" t="s">
        <v>55</v>
      </c>
      <c r="K1060" t="s">
        <v>54</v>
      </c>
      <c r="L1060" t="s">
        <v>117</v>
      </c>
      <c r="M1060" t="s">
        <v>11</v>
      </c>
      <c r="N1060" t="s">
        <v>269</v>
      </c>
      <c r="O1060" t="s">
        <v>130</v>
      </c>
      <c r="P1060" t="s">
        <v>39</v>
      </c>
      <c r="Q1060" t="s">
        <v>172</v>
      </c>
      <c r="R1060" t="s">
        <v>6</v>
      </c>
      <c r="S1060">
        <v>5</v>
      </c>
      <c r="T1060">
        <v>5</v>
      </c>
      <c r="U1060">
        <v>93</v>
      </c>
      <c r="V1060" t="s">
        <v>0</v>
      </c>
      <c r="W1060" t="s">
        <v>5</v>
      </c>
      <c r="X1060" t="s">
        <v>0</v>
      </c>
      <c r="Y1060" t="s">
        <v>4</v>
      </c>
      <c r="Z1060" t="s">
        <v>5</v>
      </c>
      <c r="AA1060">
        <v>76.349999999999994</v>
      </c>
      <c r="AB1060">
        <v>0</v>
      </c>
      <c r="AC1060">
        <v>0</v>
      </c>
      <c r="AD1060" t="s">
        <v>3</v>
      </c>
      <c r="AE1060" t="s">
        <v>0</v>
      </c>
      <c r="AF1060" t="s">
        <v>3</v>
      </c>
      <c r="AG1060" t="s">
        <v>2</v>
      </c>
      <c r="AI1060" t="s">
        <v>23</v>
      </c>
      <c r="AJ1060">
        <v>5</v>
      </c>
      <c r="AK1060">
        <v>-12</v>
      </c>
      <c r="AL1060">
        <v>37</v>
      </c>
      <c r="AM1060" t="s">
        <v>5</v>
      </c>
      <c r="AN1060">
        <v>1</v>
      </c>
      <c r="AO1060">
        <v>1</v>
      </c>
      <c r="AP1060">
        <v>0</v>
      </c>
      <c r="AQ1060">
        <v>1</v>
      </c>
    </row>
    <row r="1061" spans="1:43" x14ac:dyDescent="0.25">
      <c r="A1061" t="s">
        <v>1235</v>
      </c>
      <c r="B1061" t="s">
        <v>1234</v>
      </c>
      <c r="C1061" t="s">
        <v>1233</v>
      </c>
      <c r="D1061" s="1">
        <v>45912</v>
      </c>
      <c r="E1061" t="s">
        <v>162</v>
      </c>
      <c r="F1061" t="s">
        <v>200</v>
      </c>
      <c r="G1061" t="s">
        <v>110</v>
      </c>
      <c r="H1061" t="s">
        <v>77</v>
      </c>
      <c r="I1061" t="s">
        <v>28</v>
      </c>
      <c r="J1061" t="s">
        <v>14</v>
      </c>
      <c r="K1061" t="s">
        <v>13</v>
      </c>
      <c r="L1061" t="s">
        <v>88</v>
      </c>
      <c r="M1061" t="s">
        <v>53</v>
      </c>
      <c r="N1061" t="s">
        <v>10</v>
      </c>
      <c r="O1061" t="s">
        <v>199</v>
      </c>
      <c r="P1061" t="s">
        <v>63</v>
      </c>
      <c r="Q1061" t="s">
        <v>7</v>
      </c>
      <c r="R1061" t="s">
        <v>6</v>
      </c>
      <c r="S1061" t="s">
        <v>277</v>
      </c>
      <c r="T1061">
        <v>4</v>
      </c>
      <c r="U1061">
        <v>250</v>
      </c>
      <c r="V1061" t="s">
        <v>5</v>
      </c>
      <c r="W1061" t="s">
        <v>5</v>
      </c>
      <c r="X1061" t="s">
        <v>0</v>
      </c>
      <c r="Y1061" t="s">
        <v>4</v>
      </c>
      <c r="Z1061" t="s">
        <v>5</v>
      </c>
      <c r="AA1061">
        <v>104.1</v>
      </c>
      <c r="AB1061">
        <v>0</v>
      </c>
      <c r="AC1061">
        <v>0.17</v>
      </c>
      <c r="AD1061" t="s">
        <v>3</v>
      </c>
      <c r="AE1061" t="s">
        <v>0</v>
      </c>
      <c r="AF1061" t="s">
        <v>3</v>
      </c>
      <c r="AG1061" t="s">
        <v>2</v>
      </c>
      <c r="AI1061" t="s">
        <v>23</v>
      </c>
      <c r="AJ1061">
        <v>4</v>
      </c>
      <c r="AK1061">
        <v>-7</v>
      </c>
      <c r="AL1061">
        <v>0</v>
      </c>
      <c r="AM1061" t="s">
        <v>5</v>
      </c>
      <c r="AN1061">
        <v>1</v>
      </c>
      <c r="AO1061">
        <v>1</v>
      </c>
      <c r="AP1061">
        <v>0</v>
      </c>
      <c r="AQ1061">
        <v>1</v>
      </c>
    </row>
    <row r="1062" spans="1:43" x14ac:dyDescent="0.25">
      <c r="A1062" t="s">
        <v>1232</v>
      </c>
      <c r="B1062" t="s">
        <v>1231</v>
      </c>
      <c r="C1062" t="s">
        <v>1230</v>
      </c>
      <c r="D1062" s="1">
        <v>45802</v>
      </c>
      <c r="E1062" t="s">
        <v>149</v>
      </c>
      <c r="F1062" t="s">
        <v>589</v>
      </c>
      <c r="G1062" t="s">
        <v>110</v>
      </c>
      <c r="H1062" t="s">
        <v>29</v>
      </c>
      <c r="I1062" t="s">
        <v>15</v>
      </c>
      <c r="J1062" t="s">
        <v>146</v>
      </c>
      <c r="K1062" t="s">
        <v>145</v>
      </c>
      <c r="L1062" t="s">
        <v>64</v>
      </c>
      <c r="M1062" t="s">
        <v>11</v>
      </c>
      <c r="N1062" t="s">
        <v>10</v>
      </c>
      <c r="O1062" t="s">
        <v>101</v>
      </c>
      <c r="P1062" t="s">
        <v>39</v>
      </c>
      <c r="Q1062" t="s">
        <v>24</v>
      </c>
      <c r="R1062" t="s">
        <v>6</v>
      </c>
      <c r="S1062">
        <v>4</v>
      </c>
      <c r="T1062">
        <v>3</v>
      </c>
      <c r="U1062">
        <v>197</v>
      </c>
      <c r="V1062" t="s">
        <v>5</v>
      </c>
      <c r="W1062" t="s">
        <v>0</v>
      </c>
      <c r="X1062" t="s">
        <v>0</v>
      </c>
      <c r="Y1062" t="s">
        <v>4</v>
      </c>
      <c r="Z1062" t="s">
        <v>0</v>
      </c>
      <c r="AA1062">
        <v>0</v>
      </c>
      <c r="AB1062">
        <v>0</v>
      </c>
      <c r="AC1062">
        <v>0</v>
      </c>
      <c r="AD1062" t="s">
        <v>3</v>
      </c>
      <c r="AE1062" t="s">
        <v>0</v>
      </c>
      <c r="AF1062" t="s">
        <v>3</v>
      </c>
      <c r="AG1062" t="s">
        <v>2</v>
      </c>
      <c r="AI1062" t="s">
        <v>191</v>
      </c>
      <c r="AJ1062">
        <v>3</v>
      </c>
      <c r="AK1062">
        <v>-26</v>
      </c>
      <c r="AL1062">
        <v>32</v>
      </c>
      <c r="AM1062" t="s">
        <v>0</v>
      </c>
      <c r="AN1062">
        <v>0</v>
      </c>
      <c r="AO1062">
        <v>0</v>
      </c>
      <c r="AP1062">
        <v>0</v>
      </c>
      <c r="AQ1062">
        <v>0</v>
      </c>
    </row>
    <row r="1063" spans="1:43" x14ac:dyDescent="0.25">
      <c r="A1063" t="s">
        <v>1229</v>
      </c>
      <c r="B1063" t="s">
        <v>1228</v>
      </c>
      <c r="C1063" t="s">
        <v>1227</v>
      </c>
      <c r="D1063" s="1">
        <v>45942</v>
      </c>
      <c r="E1063" t="s">
        <v>45</v>
      </c>
      <c r="F1063" t="s">
        <v>348</v>
      </c>
      <c r="G1063" t="s">
        <v>56</v>
      </c>
      <c r="H1063" t="s">
        <v>43</v>
      </c>
      <c r="I1063" t="s">
        <v>15</v>
      </c>
      <c r="J1063" t="s">
        <v>146</v>
      </c>
      <c r="K1063" t="s">
        <v>176</v>
      </c>
      <c r="L1063" t="s">
        <v>117</v>
      </c>
      <c r="M1063" t="s">
        <v>11</v>
      </c>
      <c r="N1063" t="s">
        <v>93</v>
      </c>
      <c r="O1063" t="s">
        <v>199</v>
      </c>
      <c r="P1063" t="s">
        <v>25</v>
      </c>
      <c r="Q1063" t="s">
        <v>100</v>
      </c>
      <c r="R1063" t="s">
        <v>38</v>
      </c>
      <c r="S1063">
        <v>5</v>
      </c>
      <c r="T1063">
        <v>5</v>
      </c>
      <c r="U1063">
        <v>131</v>
      </c>
      <c r="V1063" t="s">
        <v>0</v>
      </c>
      <c r="W1063" t="s">
        <v>5</v>
      </c>
      <c r="X1063" t="s">
        <v>0</v>
      </c>
      <c r="Y1063" t="s">
        <v>4</v>
      </c>
      <c r="Z1063" t="s">
        <v>5</v>
      </c>
      <c r="AA1063">
        <v>21.61</v>
      </c>
      <c r="AB1063">
        <v>0</v>
      </c>
      <c r="AC1063">
        <v>0</v>
      </c>
      <c r="AD1063" t="s">
        <v>3</v>
      </c>
      <c r="AE1063" t="s">
        <v>0</v>
      </c>
      <c r="AF1063" t="s">
        <v>3</v>
      </c>
      <c r="AG1063" t="s">
        <v>2</v>
      </c>
      <c r="AI1063" t="s">
        <v>23</v>
      </c>
      <c r="AJ1063">
        <v>5</v>
      </c>
      <c r="AK1063">
        <v>43</v>
      </c>
      <c r="AL1063">
        <v>21</v>
      </c>
      <c r="AM1063" t="s">
        <v>5</v>
      </c>
      <c r="AN1063">
        <v>1</v>
      </c>
      <c r="AO1063">
        <v>1</v>
      </c>
      <c r="AP1063">
        <v>0</v>
      </c>
      <c r="AQ1063">
        <v>1</v>
      </c>
    </row>
    <row r="1064" spans="1:43" x14ac:dyDescent="0.25">
      <c r="A1064" t="s">
        <v>1226</v>
      </c>
      <c r="B1064" t="s">
        <v>1070</v>
      </c>
      <c r="C1064" t="s">
        <v>1225</v>
      </c>
      <c r="D1064" s="1">
        <v>46051</v>
      </c>
      <c r="E1064" t="s">
        <v>32</v>
      </c>
      <c r="F1064" t="s">
        <v>31</v>
      </c>
      <c r="G1064" t="s">
        <v>83</v>
      </c>
      <c r="H1064" t="s">
        <v>16</v>
      </c>
      <c r="I1064" t="s">
        <v>28</v>
      </c>
      <c r="J1064" t="s">
        <v>55</v>
      </c>
      <c r="K1064" t="s">
        <v>54</v>
      </c>
      <c r="L1064" t="s">
        <v>88</v>
      </c>
      <c r="M1064" t="s">
        <v>27</v>
      </c>
      <c r="N1064" t="s">
        <v>52</v>
      </c>
      <c r="O1064" t="s">
        <v>9</v>
      </c>
      <c r="P1064" t="s">
        <v>39</v>
      </c>
      <c r="Q1064" t="s">
        <v>7</v>
      </c>
      <c r="R1064" t="s">
        <v>6</v>
      </c>
      <c r="S1064">
        <v>7</v>
      </c>
      <c r="T1064">
        <v>4</v>
      </c>
      <c r="U1064">
        <v>382</v>
      </c>
      <c r="V1064" t="s">
        <v>5</v>
      </c>
      <c r="W1064" t="s">
        <v>0</v>
      </c>
      <c r="X1064" t="s">
        <v>247</v>
      </c>
      <c r="Y1064" t="s">
        <v>228</v>
      </c>
      <c r="Z1064" t="s">
        <v>0</v>
      </c>
      <c r="AA1064">
        <v>0</v>
      </c>
      <c r="AB1064">
        <v>0</v>
      </c>
      <c r="AC1064">
        <v>0</v>
      </c>
      <c r="AD1064" t="s">
        <v>61</v>
      </c>
      <c r="AE1064" t="s">
        <v>5</v>
      </c>
      <c r="AF1064" t="s">
        <v>61</v>
      </c>
      <c r="AG1064" t="s">
        <v>139</v>
      </c>
      <c r="AH1064">
        <v>31</v>
      </c>
      <c r="AI1064" t="s">
        <v>1</v>
      </c>
      <c r="AJ1064">
        <v>1</v>
      </c>
      <c r="AK1064">
        <v>-17</v>
      </c>
      <c r="AL1064">
        <v>1</v>
      </c>
      <c r="AM1064" t="s">
        <v>5</v>
      </c>
      <c r="AN1064">
        <v>0</v>
      </c>
      <c r="AO1064">
        <v>0</v>
      </c>
      <c r="AP1064">
        <v>0</v>
      </c>
      <c r="AQ1064">
        <v>1</v>
      </c>
    </row>
    <row r="1065" spans="1:43" x14ac:dyDescent="0.25">
      <c r="A1065" t="s">
        <v>1224</v>
      </c>
      <c r="B1065" t="s">
        <v>1223</v>
      </c>
      <c r="C1065" t="s">
        <v>1222</v>
      </c>
      <c r="D1065" s="1">
        <v>45784</v>
      </c>
      <c r="E1065" t="s">
        <v>156</v>
      </c>
      <c r="F1065" t="s">
        <v>325</v>
      </c>
      <c r="G1065" t="s">
        <v>17</v>
      </c>
      <c r="H1065" t="s">
        <v>77</v>
      </c>
      <c r="I1065" t="s">
        <v>15</v>
      </c>
      <c r="J1065" t="s">
        <v>55</v>
      </c>
      <c r="K1065" t="s">
        <v>54</v>
      </c>
      <c r="L1065" t="s">
        <v>42</v>
      </c>
      <c r="M1065" t="s">
        <v>11</v>
      </c>
      <c r="N1065" t="s">
        <v>247</v>
      </c>
      <c r="O1065" t="s">
        <v>101</v>
      </c>
      <c r="P1065" t="s">
        <v>39</v>
      </c>
      <c r="Q1065" t="s">
        <v>7</v>
      </c>
      <c r="R1065" t="s">
        <v>6</v>
      </c>
      <c r="S1065" t="s">
        <v>99</v>
      </c>
      <c r="T1065">
        <v>4</v>
      </c>
      <c r="U1065">
        <v>100</v>
      </c>
      <c r="V1065" t="s">
        <v>247</v>
      </c>
      <c r="W1065" t="s">
        <v>5</v>
      </c>
      <c r="X1065" t="s">
        <v>0</v>
      </c>
      <c r="Y1065" t="s">
        <v>4</v>
      </c>
      <c r="Z1065" t="s">
        <v>5</v>
      </c>
      <c r="AA1065">
        <v>92.48</v>
      </c>
      <c r="AB1065">
        <v>0.46</v>
      </c>
      <c r="AC1065">
        <v>0</v>
      </c>
      <c r="AD1065" t="s">
        <v>3</v>
      </c>
      <c r="AE1065" t="s">
        <v>0</v>
      </c>
      <c r="AF1065" t="s">
        <v>3</v>
      </c>
      <c r="AG1065" t="s">
        <v>2</v>
      </c>
      <c r="AI1065" t="s">
        <v>23</v>
      </c>
      <c r="AJ1065">
        <v>5</v>
      </c>
      <c r="AK1065">
        <v>26</v>
      </c>
      <c r="AL1065">
        <v>41</v>
      </c>
      <c r="AM1065" t="s">
        <v>247</v>
      </c>
      <c r="AN1065">
        <v>1</v>
      </c>
      <c r="AO1065">
        <v>1</v>
      </c>
      <c r="AP1065">
        <v>0</v>
      </c>
      <c r="AQ1065">
        <v>0</v>
      </c>
    </row>
    <row r="1066" spans="1:43" x14ac:dyDescent="0.25">
      <c r="A1066" t="s">
        <v>1221</v>
      </c>
      <c r="B1066" t="s">
        <v>1113</v>
      </c>
      <c r="C1066" t="s">
        <v>1220</v>
      </c>
      <c r="D1066" s="1">
        <v>46125</v>
      </c>
      <c r="E1066" t="s">
        <v>125</v>
      </c>
      <c r="F1066" t="s">
        <v>132</v>
      </c>
      <c r="G1066" t="s">
        <v>30</v>
      </c>
      <c r="H1066" t="s">
        <v>16</v>
      </c>
      <c r="I1066" t="s">
        <v>28</v>
      </c>
      <c r="J1066" t="s">
        <v>55</v>
      </c>
      <c r="K1066" t="s">
        <v>65</v>
      </c>
      <c r="L1066" t="s">
        <v>42</v>
      </c>
      <c r="M1066" t="s">
        <v>11</v>
      </c>
      <c r="N1066" t="s">
        <v>93</v>
      </c>
      <c r="O1066" t="s">
        <v>26</v>
      </c>
      <c r="P1066" t="s">
        <v>25</v>
      </c>
      <c r="Q1066" t="s">
        <v>7</v>
      </c>
      <c r="R1066" t="s">
        <v>6</v>
      </c>
      <c r="S1066">
        <v>4</v>
      </c>
      <c r="T1066">
        <v>4</v>
      </c>
      <c r="U1066">
        <v>107</v>
      </c>
      <c r="V1066" t="s">
        <v>0</v>
      </c>
      <c r="W1066" t="s">
        <v>0</v>
      </c>
      <c r="X1066" t="s">
        <v>0</v>
      </c>
      <c r="Y1066" t="s">
        <v>4</v>
      </c>
      <c r="Z1066" t="s">
        <v>5</v>
      </c>
      <c r="AA1066">
        <v>164.47</v>
      </c>
      <c r="AB1066">
        <v>0.22</v>
      </c>
      <c r="AC1066">
        <v>0</v>
      </c>
      <c r="AD1066" t="s">
        <v>187</v>
      </c>
      <c r="AE1066" t="s">
        <v>5</v>
      </c>
      <c r="AF1066" t="s">
        <v>187</v>
      </c>
      <c r="AG1066" t="s">
        <v>36</v>
      </c>
      <c r="AH1066">
        <v>38</v>
      </c>
      <c r="AI1066" t="s">
        <v>23</v>
      </c>
      <c r="AJ1066">
        <v>4</v>
      </c>
      <c r="AK1066">
        <v>59</v>
      </c>
      <c r="AL1066">
        <v>46</v>
      </c>
      <c r="AM1066" t="s">
        <v>5</v>
      </c>
      <c r="AN1066">
        <v>0</v>
      </c>
      <c r="AO1066">
        <v>1</v>
      </c>
      <c r="AP1066">
        <v>0</v>
      </c>
      <c r="AQ1066">
        <v>1</v>
      </c>
    </row>
    <row r="1067" spans="1:43" x14ac:dyDescent="0.25">
      <c r="A1067" t="s">
        <v>1219</v>
      </c>
      <c r="B1067" t="s">
        <v>1218</v>
      </c>
      <c r="C1067" t="s">
        <v>1217</v>
      </c>
      <c r="D1067" s="1">
        <v>46034</v>
      </c>
      <c r="E1067" t="s">
        <v>168</v>
      </c>
      <c r="F1067" t="s">
        <v>283</v>
      </c>
      <c r="G1067" t="s">
        <v>17</v>
      </c>
      <c r="H1067" t="s">
        <v>29</v>
      </c>
      <c r="I1067" t="s">
        <v>147</v>
      </c>
      <c r="J1067" t="s">
        <v>55</v>
      </c>
      <c r="K1067" t="s">
        <v>54</v>
      </c>
      <c r="L1067" t="s">
        <v>64</v>
      </c>
      <c r="M1067" t="s">
        <v>27</v>
      </c>
      <c r="N1067" t="s">
        <v>75</v>
      </c>
      <c r="O1067" t="s">
        <v>74</v>
      </c>
      <c r="P1067" t="s">
        <v>63</v>
      </c>
      <c r="Q1067" t="s">
        <v>7</v>
      </c>
      <c r="R1067" t="s">
        <v>6</v>
      </c>
      <c r="S1067">
        <v>6</v>
      </c>
      <c r="T1067">
        <v>6</v>
      </c>
      <c r="U1067">
        <v>144</v>
      </c>
      <c r="V1067" t="s">
        <v>0</v>
      </c>
      <c r="W1067" t="s">
        <v>5</v>
      </c>
      <c r="X1067" t="s">
        <v>0</v>
      </c>
      <c r="Y1067" t="s">
        <v>4</v>
      </c>
      <c r="Z1067" t="s">
        <v>5</v>
      </c>
      <c r="AA1067">
        <v>11.54</v>
      </c>
      <c r="AB1067">
        <v>0</v>
      </c>
      <c r="AC1067">
        <v>0.37</v>
      </c>
      <c r="AD1067" t="s">
        <v>3</v>
      </c>
      <c r="AE1067" t="s">
        <v>0</v>
      </c>
      <c r="AF1067" t="s">
        <v>3</v>
      </c>
      <c r="AG1067" t="s">
        <v>2</v>
      </c>
      <c r="AI1067" t="s">
        <v>23</v>
      </c>
      <c r="AJ1067">
        <v>4</v>
      </c>
      <c r="AK1067">
        <v>13</v>
      </c>
      <c r="AL1067">
        <v>0</v>
      </c>
      <c r="AM1067" t="s">
        <v>0</v>
      </c>
      <c r="AN1067">
        <v>1</v>
      </c>
      <c r="AO1067">
        <v>1</v>
      </c>
      <c r="AP1067">
        <v>0</v>
      </c>
      <c r="AQ1067">
        <v>0</v>
      </c>
    </row>
    <row r="1068" spans="1:43" x14ac:dyDescent="0.25">
      <c r="A1068" t="s">
        <v>1216</v>
      </c>
      <c r="B1068" t="s">
        <v>260</v>
      </c>
      <c r="C1068" t="s">
        <v>1215</v>
      </c>
      <c r="D1068" s="1">
        <v>46116</v>
      </c>
      <c r="E1068" t="s">
        <v>32</v>
      </c>
      <c r="F1068" t="s">
        <v>382</v>
      </c>
      <c r="G1068" t="s">
        <v>110</v>
      </c>
      <c r="H1068" t="s">
        <v>29</v>
      </c>
      <c r="I1068" t="s">
        <v>28</v>
      </c>
      <c r="J1068" t="s">
        <v>14</v>
      </c>
      <c r="K1068" t="s">
        <v>13</v>
      </c>
      <c r="L1068" t="s">
        <v>88</v>
      </c>
      <c r="M1068" t="s">
        <v>11</v>
      </c>
      <c r="N1068" t="s">
        <v>52</v>
      </c>
      <c r="O1068" t="s">
        <v>199</v>
      </c>
      <c r="P1068" t="s">
        <v>8</v>
      </c>
      <c r="Q1068" t="s">
        <v>24</v>
      </c>
      <c r="R1068" t="s">
        <v>6</v>
      </c>
      <c r="S1068" t="s">
        <v>277</v>
      </c>
      <c r="T1068">
        <v>3</v>
      </c>
      <c r="U1068">
        <v>211</v>
      </c>
      <c r="V1068" t="s">
        <v>5</v>
      </c>
      <c r="W1068" t="s">
        <v>0</v>
      </c>
      <c r="X1068" t="s">
        <v>0</v>
      </c>
      <c r="Y1068" t="s">
        <v>4</v>
      </c>
      <c r="Z1068" t="s">
        <v>5</v>
      </c>
      <c r="AA1068">
        <v>34.78</v>
      </c>
      <c r="AB1068">
        <v>0</v>
      </c>
      <c r="AC1068">
        <v>0</v>
      </c>
      <c r="AD1068" t="s">
        <v>3</v>
      </c>
      <c r="AE1068" t="s">
        <v>0</v>
      </c>
      <c r="AF1068" t="s">
        <v>3</v>
      </c>
      <c r="AG1068" t="s">
        <v>2</v>
      </c>
      <c r="AI1068" t="s">
        <v>332</v>
      </c>
      <c r="AJ1068">
        <v>4</v>
      </c>
      <c r="AK1068">
        <v>-29</v>
      </c>
      <c r="AL1068">
        <v>36</v>
      </c>
      <c r="AM1068" t="s">
        <v>5</v>
      </c>
      <c r="AN1068">
        <v>0</v>
      </c>
      <c r="AO1068">
        <v>1</v>
      </c>
      <c r="AP1068">
        <v>0</v>
      </c>
      <c r="AQ1068">
        <v>1</v>
      </c>
    </row>
    <row r="1069" spans="1:43" x14ac:dyDescent="0.25">
      <c r="A1069" t="s">
        <v>1214</v>
      </c>
      <c r="B1069" t="s">
        <v>1213</v>
      </c>
      <c r="C1069" t="s">
        <v>1212</v>
      </c>
      <c r="D1069" s="1">
        <v>45713</v>
      </c>
      <c r="E1069" t="s">
        <v>79</v>
      </c>
      <c r="F1069" t="s">
        <v>1211</v>
      </c>
      <c r="G1069" t="s">
        <v>30</v>
      </c>
      <c r="H1069" t="s">
        <v>66</v>
      </c>
      <c r="I1069" t="s">
        <v>28</v>
      </c>
      <c r="J1069" t="s">
        <v>14</v>
      </c>
      <c r="K1069" t="s">
        <v>13</v>
      </c>
      <c r="L1069" t="s">
        <v>42</v>
      </c>
      <c r="M1069" t="s">
        <v>27</v>
      </c>
      <c r="N1069" t="s">
        <v>10</v>
      </c>
      <c r="O1069" t="s">
        <v>51</v>
      </c>
      <c r="P1069" t="s">
        <v>39</v>
      </c>
      <c r="Q1069" t="s">
        <v>7</v>
      </c>
      <c r="R1069" t="s">
        <v>6</v>
      </c>
      <c r="S1069">
        <v>6</v>
      </c>
      <c r="T1069">
        <v>6</v>
      </c>
      <c r="U1069">
        <v>189</v>
      </c>
      <c r="V1069" t="s">
        <v>0</v>
      </c>
      <c r="W1069" t="s">
        <v>135</v>
      </c>
      <c r="X1069" t="s">
        <v>0</v>
      </c>
      <c r="Y1069" t="s">
        <v>4</v>
      </c>
      <c r="Z1069" t="s">
        <v>0</v>
      </c>
      <c r="AA1069">
        <v>0</v>
      </c>
      <c r="AB1069">
        <v>0</v>
      </c>
      <c r="AC1069">
        <v>0</v>
      </c>
      <c r="AD1069" t="s">
        <v>3</v>
      </c>
      <c r="AE1069" t="s">
        <v>0</v>
      </c>
      <c r="AF1069" t="s">
        <v>3</v>
      </c>
      <c r="AG1069" t="s">
        <v>2</v>
      </c>
      <c r="AI1069" t="s">
        <v>1</v>
      </c>
      <c r="AJ1069">
        <v>3</v>
      </c>
      <c r="AK1069">
        <v>34</v>
      </c>
      <c r="AL1069">
        <v>20</v>
      </c>
      <c r="AM1069" t="s">
        <v>0</v>
      </c>
      <c r="AN1069">
        <v>0</v>
      </c>
      <c r="AO1069">
        <v>0</v>
      </c>
      <c r="AP1069">
        <v>0</v>
      </c>
      <c r="AQ1069">
        <v>0</v>
      </c>
    </row>
    <row r="1070" spans="1:43" x14ac:dyDescent="0.25">
      <c r="A1070" t="s">
        <v>1210</v>
      </c>
      <c r="B1070" t="s">
        <v>729</v>
      </c>
      <c r="C1070" t="s">
        <v>1209</v>
      </c>
      <c r="D1070" s="1">
        <v>46193</v>
      </c>
      <c r="E1070" t="s">
        <v>19</v>
      </c>
      <c r="F1070" t="s">
        <v>575</v>
      </c>
      <c r="G1070" t="s">
        <v>123</v>
      </c>
      <c r="H1070" t="s">
        <v>237</v>
      </c>
      <c r="I1070" t="s">
        <v>15</v>
      </c>
      <c r="J1070" t="s">
        <v>55</v>
      </c>
      <c r="K1070" t="s">
        <v>54</v>
      </c>
      <c r="L1070" t="s">
        <v>117</v>
      </c>
      <c r="M1070" t="s">
        <v>11</v>
      </c>
      <c r="N1070" t="s">
        <v>52</v>
      </c>
      <c r="O1070" t="s">
        <v>9</v>
      </c>
      <c r="P1070" t="s">
        <v>39</v>
      </c>
      <c r="Q1070" t="s">
        <v>198</v>
      </c>
      <c r="R1070" t="s">
        <v>6</v>
      </c>
      <c r="S1070">
        <v>7</v>
      </c>
      <c r="T1070">
        <v>7</v>
      </c>
      <c r="U1070">
        <v>194</v>
      </c>
      <c r="V1070" t="s">
        <v>0</v>
      </c>
      <c r="W1070" t="s">
        <v>0</v>
      </c>
      <c r="X1070" t="s">
        <v>0</v>
      </c>
      <c r="Y1070" t="s">
        <v>4</v>
      </c>
      <c r="Z1070" t="s">
        <v>0</v>
      </c>
      <c r="AA1070">
        <v>0</v>
      </c>
      <c r="AB1070">
        <v>0</v>
      </c>
      <c r="AC1070">
        <v>0</v>
      </c>
      <c r="AD1070" t="s">
        <v>3</v>
      </c>
      <c r="AE1070" t="s">
        <v>0</v>
      </c>
      <c r="AF1070" t="s">
        <v>3</v>
      </c>
      <c r="AG1070" t="s">
        <v>2</v>
      </c>
      <c r="AI1070" t="s">
        <v>1001</v>
      </c>
      <c r="AJ1070">
        <v>2</v>
      </c>
      <c r="AK1070">
        <v>-8</v>
      </c>
      <c r="AL1070">
        <v>46</v>
      </c>
      <c r="AM1070" t="s">
        <v>5</v>
      </c>
      <c r="AN1070">
        <v>0</v>
      </c>
      <c r="AO1070">
        <v>0</v>
      </c>
      <c r="AP1070">
        <v>0</v>
      </c>
      <c r="AQ1070">
        <v>1</v>
      </c>
    </row>
    <row r="1071" spans="1:43" x14ac:dyDescent="0.25">
      <c r="A1071" t="s">
        <v>1208</v>
      </c>
      <c r="B1071" t="s">
        <v>1207</v>
      </c>
      <c r="C1071" t="s">
        <v>1206</v>
      </c>
      <c r="D1071" s="1">
        <v>45823</v>
      </c>
      <c r="E1071" t="s">
        <v>32</v>
      </c>
      <c r="F1071" t="s">
        <v>107</v>
      </c>
      <c r="G1071" t="s">
        <v>17</v>
      </c>
      <c r="H1071" t="s">
        <v>66</v>
      </c>
      <c r="I1071" t="s">
        <v>28</v>
      </c>
      <c r="J1071" t="s">
        <v>55</v>
      </c>
      <c r="K1071" t="s">
        <v>54</v>
      </c>
      <c r="L1071" t="s">
        <v>64</v>
      </c>
      <c r="M1071" t="s">
        <v>11</v>
      </c>
      <c r="N1071" t="s">
        <v>52</v>
      </c>
      <c r="O1071" t="s">
        <v>199</v>
      </c>
      <c r="P1071" t="s">
        <v>39</v>
      </c>
      <c r="Q1071" t="s">
        <v>7</v>
      </c>
      <c r="R1071" t="s">
        <v>6</v>
      </c>
      <c r="S1071">
        <v>5</v>
      </c>
      <c r="T1071" t="s">
        <v>277</v>
      </c>
      <c r="U1071">
        <v>115</v>
      </c>
      <c r="V1071" t="s">
        <v>0</v>
      </c>
      <c r="W1071" t="s">
        <v>5</v>
      </c>
      <c r="X1071" t="s">
        <v>0</v>
      </c>
      <c r="Y1071" t="s">
        <v>4</v>
      </c>
      <c r="Z1071" t="s">
        <v>5</v>
      </c>
      <c r="AA1071">
        <v>18.89</v>
      </c>
      <c r="AB1071">
        <v>0</v>
      </c>
      <c r="AC1071">
        <v>0</v>
      </c>
      <c r="AD1071" t="s">
        <v>3</v>
      </c>
      <c r="AE1071" t="s">
        <v>0</v>
      </c>
      <c r="AF1071" t="s">
        <v>3</v>
      </c>
      <c r="AG1071" t="s">
        <v>2</v>
      </c>
      <c r="AI1071" t="s">
        <v>23</v>
      </c>
      <c r="AJ1071">
        <v>4</v>
      </c>
      <c r="AK1071">
        <v>75</v>
      </c>
      <c r="AL1071">
        <v>25</v>
      </c>
      <c r="AM1071" t="s">
        <v>5</v>
      </c>
      <c r="AN1071">
        <v>1</v>
      </c>
      <c r="AO1071">
        <v>1</v>
      </c>
      <c r="AP1071">
        <v>0</v>
      </c>
      <c r="AQ1071">
        <v>1</v>
      </c>
    </row>
    <row r="1072" spans="1:43" x14ac:dyDescent="0.25">
      <c r="A1072" t="s">
        <v>1205</v>
      </c>
      <c r="B1072" t="s">
        <v>1204</v>
      </c>
      <c r="C1072" t="s">
        <v>1203</v>
      </c>
      <c r="D1072" s="1">
        <v>45662</v>
      </c>
      <c r="E1072" t="s">
        <v>156</v>
      </c>
      <c r="F1072" t="s">
        <v>155</v>
      </c>
      <c r="G1072" t="s">
        <v>30</v>
      </c>
      <c r="H1072" t="s">
        <v>16</v>
      </c>
      <c r="I1072" t="s">
        <v>28</v>
      </c>
      <c r="J1072" t="s">
        <v>55</v>
      </c>
      <c r="K1072" t="s">
        <v>54</v>
      </c>
      <c r="L1072" t="s">
        <v>64</v>
      </c>
      <c r="M1072" t="s">
        <v>11</v>
      </c>
      <c r="N1072" t="s">
        <v>52</v>
      </c>
      <c r="O1072" t="s">
        <v>40</v>
      </c>
      <c r="P1072" t="s">
        <v>39</v>
      </c>
      <c r="Q1072" t="s">
        <v>7</v>
      </c>
      <c r="R1072" t="s">
        <v>6</v>
      </c>
      <c r="S1072">
        <v>8</v>
      </c>
      <c r="T1072" t="s">
        <v>106</v>
      </c>
      <c r="U1072">
        <v>195</v>
      </c>
      <c r="V1072" t="s">
        <v>0</v>
      </c>
      <c r="W1072" t="s">
        <v>0</v>
      </c>
      <c r="X1072" t="s">
        <v>0</v>
      </c>
      <c r="Y1072" t="s">
        <v>4</v>
      </c>
      <c r="Z1072" t="s">
        <v>0</v>
      </c>
      <c r="AA1072">
        <v>0</v>
      </c>
      <c r="AB1072">
        <v>0</v>
      </c>
      <c r="AC1072">
        <v>0</v>
      </c>
      <c r="AD1072" t="s">
        <v>3</v>
      </c>
      <c r="AE1072" t="s">
        <v>0</v>
      </c>
      <c r="AF1072" t="s">
        <v>3</v>
      </c>
      <c r="AG1072" t="s">
        <v>2</v>
      </c>
      <c r="AI1072" t="s">
        <v>332</v>
      </c>
      <c r="AJ1072">
        <v>2</v>
      </c>
      <c r="AK1072">
        <v>-38</v>
      </c>
      <c r="AL1072">
        <v>19</v>
      </c>
      <c r="AM1072" t="s">
        <v>5</v>
      </c>
      <c r="AN1072">
        <v>0</v>
      </c>
      <c r="AO1072">
        <v>0</v>
      </c>
      <c r="AP1072">
        <v>0</v>
      </c>
      <c r="AQ1072">
        <v>1</v>
      </c>
    </row>
    <row r="1073" spans="1:43" x14ac:dyDescent="0.25">
      <c r="A1073" t="s">
        <v>1202</v>
      </c>
      <c r="B1073" t="s">
        <v>1201</v>
      </c>
      <c r="C1073" t="s">
        <v>1200</v>
      </c>
      <c r="D1073" s="1">
        <v>45867</v>
      </c>
      <c r="E1073" t="s">
        <v>162</v>
      </c>
      <c r="F1073" t="s">
        <v>200</v>
      </c>
      <c r="G1073" t="s">
        <v>56</v>
      </c>
      <c r="H1073" t="s">
        <v>77</v>
      </c>
      <c r="I1073" t="s">
        <v>28</v>
      </c>
      <c r="J1073" t="s">
        <v>14</v>
      </c>
      <c r="K1073" t="s">
        <v>13</v>
      </c>
      <c r="L1073" t="s">
        <v>42</v>
      </c>
      <c r="M1073" t="s">
        <v>11</v>
      </c>
      <c r="N1073" t="s">
        <v>75</v>
      </c>
      <c r="O1073" t="s">
        <v>9</v>
      </c>
      <c r="P1073" t="s">
        <v>39</v>
      </c>
      <c r="Q1073" t="s">
        <v>100</v>
      </c>
      <c r="R1073" t="s">
        <v>38</v>
      </c>
      <c r="S1073">
        <v>7</v>
      </c>
      <c r="T1073">
        <v>6</v>
      </c>
      <c r="U1073">
        <v>291</v>
      </c>
      <c r="V1073" t="s">
        <v>5</v>
      </c>
      <c r="W1073" t="s">
        <v>0</v>
      </c>
      <c r="X1073" t="s">
        <v>0</v>
      </c>
      <c r="Y1073" t="s">
        <v>4</v>
      </c>
      <c r="Z1073" t="s">
        <v>0</v>
      </c>
      <c r="AA1073">
        <v>0</v>
      </c>
      <c r="AB1073">
        <v>0</v>
      </c>
      <c r="AC1073">
        <v>0</v>
      </c>
      <c r="AD1073" t="s">
        <v>187</v>
      </c>
      <c r="AE1073" t="s">
        <v>5</v>
      </c>
      <c r="AF1073" t="s">
        <v>187</v>
      </c>
      <c r="AG1073" t="s">
        <v>139</v>
      </c>
      <c r="AH1073">
        <v>19</v>
      </c>
      <c r="AI1073" t="s">
        <v>332</v>
      </c>
      <c r="AJ1073">
        <v>2</v>
      </c>
      <c r="AK1073">
        <v>20</v>
      </c>
      <c r="AL1073">
        <v>2</v>
      </c>
      <c r="AM1073" t="s">
        <v>5</v>
      </c>
      <c r="AN1073">
        <v>0</v>
      </c>
      <c r="AO1073">
        <v>0</v>
      </c>
      <c r="AP1073">
        <v>0</v>
      </c>
      <c r="AQ1073">
        <v>1</v>
      </c>
    </row>
    <row r="1074" spans="1:43" x14ac:dyDescent="0.25">
      <c r="A1074" t="s">
        <v>1199</v>
      </c>
      <c r="B1074" t="s">
        <v>1132</v>
      </c>
      <c r="C1074" t="s">
        <v>1198</v>
      </c>
      <c r="D1074" s="1">
        <v>45716</v>
      </c>
      <c r="E1074" t="s">
        <v>32</v>
      </c>
      <c r="F1074" t="s">
        <v>107</v>
      </c>
      <c r="G1074" t="s">
        <v>83</v>
      </c>
      <c r="H1074" t="s">
        <v>16</v>
      </c>
      <c r="I1074" t="s">
        <v>28</v>
      </c>
      <c r="J1074" t="s">
        <v>14</v>
      </c>
      <c r="K1074" t="s">
        <v>13</v>
      </c>
      <c r="L1074" t="s">
        <v>117</v>
      </c>
      <c r="M1074" t="s">
        <v>299</v>
      </c>
      <c r="N1074" t="s">
        <v>93</v>
      </c>
      <c r="O1074" t="s">
        <v>199</v>
      </c>
      <c r="P1074" t="s">
        <v>8</v>
      </c>
      <c r="Q1074" t="s">
        <v>198</v>
      </c>
      <c r="R1074" t="s">
        <v>38</v>
      </c>
      <c r="S1074">
        <v>5</v>
      </c>
      <c r="T1074">
        <v>3</v>
      </c>
      <c r="U1074">
        <v>233</v>
      </c>
      <c r="V1074" t="s">
        <v>182</v>
      </c>
      <c r="W1074" t="s">
        <v>5</v>
      </c>
      <c r="X1074" t="s">
        <v>0</v>
      </c>
      <c r="Y1074" t="s">
        <v>4</v>
      </c>
      <c r="Z1074" t="s">
        <v>5</v>
      </c>
      <c r="AA1074">
        <v>17.809999999999999</v>
      </c>
      <c r="AB1074">
        <v>0</v>
      </c>
      <c r="AC1074">
        <v>0</v>
      </c>
      <c r="AD1074" t="s">
        <v>3</v>
      </c>
      <c r="AE1074" t="s">
        <v>0</v>
      </c>
      <c r="AF1074" t="s">
        <v>3</v>
      </c>
      <c r="AG1074" t="s">
        <v>2</v>
      </c>
      <c r="AI1074" t="s">
        <v>23</v>
      </c>
      <c r="AJ1074">
        <v>4</v>
      </c>
      <c r="AK1074">
        <v>26</v>
      </c>
      <c r="AL1074">
        <v>14</v>
      </c>
      <c r="AM1074" t="s">
        <v>0</v>
      </c>
      <c r="AN1074">
        <v>1</v>
      </c>
      <c r="AO1074">
        <v>1</v>
      </c>
      <c r="AP1074">
        <v>0</v>
      </c>
      <c r="AQ1074">
        <v>0</v>
      </c>
    </row>
    <row r="1075" spans="1:43" x14ac:dyDescent="0.25">
      <c r="A1075" t="s">
        <v>1197</v>
      </c>
      <c r="B1075" t="s">
        <v>422</v>
      </c>
      <c r="C1075" t="s">
        <v>1196</v>
      </c>
      <c r="D1075" s="1">
        <v>46296</v>
      </c>
      <c r="E1075" t="s">
        <v>156</v>
      </c>
      <c r="F1075" t="s">
        <v>325</v>
      </c>
      <c r="G1075" t="s">
        <v>30</v>
      </c>
      <c r="H1075" t="s">
        <v>77</v>
      </c>
      <c r="I1075" t="s">
        <v>28</v>
      </c>
      <c r="J1075" t="s">
        <v>146</v>
      </c>
      <c r="K1075" t="s">
        <v>145</v>
      </c>
      <c r="L1075" t="s">
        <v>117</v>
      </c>
      <c r="M1075" t="s">
        <v>11</v>
      </c>
      <c r="N1075" t="s">
        <v>93</v>
      </c>
      <c r="O1075" t="s">
        <v>9</v>
      </c>
      <c r="P1075" t="s">
        <v>39</v>
      </c>
      <c r="Q1075" t="s">
        <v>198</v>
      </c>
      <c r="R1075" t="s">
        <v>38</v>
      </c>
      <c r="S1075">
        <v>7</v>
      </c>
      <c r="T1075">
        <v>7</v>
      </c>
      <c r="U1075">
        <v>221</v>
      </c>
      <c r="V1075" t="s">
        <v>0</v>
      </c>
      <c r="W1075" t="s">
        <v>5</v>
      </c>
      <c r="X1075" t="s">
        <v>0</v>
      </c>
      <c r="Y1075" t="s">
        <v>4</v>
      </c>
      <c r="Z1075" t="s">
        <v>0</v>
      </c>
      <c r="AA1075">
        <v>0</v>
      </c>
      <c r="AB1075">
        <v>0</v>
      </c>
      <c r="AC1075">
        <v>0</v>
      </c>
      <c r="AD1075" t="s">
        <v>3</v>
      </c>
      <c r="AE1075" t="s">
        <v>0</v>
      </c>
      <c r="AF1075" t="s">
        <v>3</v>
      </c>
      <c r="AG1075" t="s">
        <v>2</v>
      </c>
      <c r="AI1075" t="s">
        <v>23</v>
      </c>
      <c r="AJ1075">
        <v>4</v>
      </c>
      <c r="AK1075">
        <v>7</v>
      </c>
      <c r="AL1075">
        <v>16</v>
      </c>
      <c r="AM1075" t="s">
        <v>0</v>
      </c>
      <c r="AN1075">
        <v>1</v>
      </c>
      <c r="AO1075">
        <v>0</v>
      </c>
      <c r="AP1075">
        <v>0</v>
      </c>
      <c r="AQ1075">
        <v>0</v>
      </c>
    </row>
    <row r="1076" spans="1:43" x14ac:dyDescent="0.25">
      <c r="A1076" t="s">
        <v>1195</v>
      </c>
      <c r="B1076" t="s">
        <v>1194</v>
      </c>
      <c r="C1076" t="s">
        <v>1193</v>
      </c>
      <c r="D1076" s="1">
        <v>45995</v>
      </c>
      <c r="E1076" t="s">
        <v>19</v>
      </c>
      <c r="F1076" t="s">
        <v>575</v>
      </c>
      <c r="G1076" t="s">
        <v>30</v>
      </c>
      <c r="H1076" t="s">
        <v>29</v>
      </c>
      <c r="I1076" t="s">
        <v>15</v>
      </c>
      <c r="J1076" t="s">
        <v>55</v>
      </c>
      <c r="K1076" t="s">
        <v>54</v>
      </c>
      <c r="L1076" t="s">
        <v>64</v>
      </c>
      <c r="M1076" t="s">
        <v>11</v>
      </c>
      <c r="N1076" t="s">
        <v>10</v>
      </c>
      <c r="O1076" t="s">
        <v>40</v>
      </c>
      <c r="P1076" t="s">
        <v>39</v>
      </c>
      <c r="Q1076" t="s">
        <v>7</v>
      </c>
      <c r="R1076" t="s">
        <v>6</v>
      </c>
      <c r="S1076">
        <v>8</v>
      </c>
      <c r="T1076">
        <v>5</v>
      </c>
      <c r="U1076">
        <v>232</v>
      </c>
      <c r="V1076" t="s">
        <v>5</v>
      </c>
      <c r="W1076" t="s">
        <v>0</v>
      </c>
      <c r="X1076" t="s">
        <v>0</v>
      </c>
      <c r="Y1076" t="s">
        <v>4</v>
      </c>
      <c r="Z1076" t="s">
        <v>0</v>
      </c>
      <c r="AA1076">
        <v>0</v>
      </c>
      <c r="AB1076">
        <v>0</v>
      </c>
      <c r="AC1076">
        <v>0</v>
      </c>
      <c r="AD1076" t="s">
        <v>3</v>
      </c>
      <c r="AE1076" t="s">
        <v>0</v>
      </c>
      <c r="AF1076" t="s">
        <v>3</v>
      </c>
      <c r="AG1076" t="s">
        <v>2</v>
      </c>
      <c r="AI1076" t="s">
        <v>1</v>
      </c>
      <c r="AJ1076">
        <v>3</v>
      </c>
      <c r="AK1076">
        <v>-26</v>
      </c>
      <c r="AL1076">
        <v>24</v>
      </c>
      <c r="AM1076" t="s">
        <v>5</v>
      </c>
      <c r="AN1076">
        <v>0</v>
      </c>
      <c r="AO1076">
        <v>0</v>
      </c>
      <c r="AP1076">
        <v>0</v>
      </c>
      <c r="AQ1076">
        <v>1</v>
      </c>
    </row>
    <row r="1077" spans="1:43" x14ac:dyDescent="0.25">
      <c r="A1077" t="s">
        <v>1192</v>
      </c>
      <c r="B1077" t="s">
        <v>1191</v>
      </c>
      <c r="C1077" t="s">
        <v>1190</v>
      </c>
      <c r="D1077" s="1">
        <v>45917</v>
      </c>
      <c r="E1077" t="s">
        <v>125</v>
      </c>
      <c r="F1077" t="s">
        <v>132</v>
      </c>
      <c r="G1077" t="s">
        <v>110</v>
      </c>
      <c r="H1077" t="s">
        <v>16</v>
      </c>
      <c r="I1077" t="s">
        <v>15</v>
      </c>
      <c r="J1077" t="s">
        <v>55</v>
      </c>
      <c r="K1077" t="s">
        <v>54</v>
      </c>
      <c r="L1077" t="s">
        <v>42</v>
      </c>
      <c r="M1077" t="s">
        <v>53</v>
      </c>
      <c r="N1077" t="s">
        <v>116</v>
      </c>
      <c r="O1077" t="s">
        <v>26</v>
      </c>
      <c r="P1077" t="s">
        <v>63</v>
      </c>
      <c r="Q1077" t="s">
        <v>100</v>
      </c>
      <c r="R1077" t="s">
        <v>38</v>
      </c>
      <c r="S1077">
        <v>4</v>
      </c>
      <c r="T1077">
        <v>4</v>
      </c>
      <c r="U1077">
        <v>83</v>
      </c>
      <c r="V1077" t="s">
        <v>0</v>
      </c>
      <c r="W1077" t="s">
        <v>5</v>
      </c>
      <c r="X1077" t="s">
        <v>0</v>
      </c>
      <c r="Y1077" t="s">
        <v>4</v>
      </c>
      <c r="Z1077" t="s">
        <v>5</v>
      </c>
      <c r="AA1077">
        <v>178.58</v>
      </c>
      <c r="AB1077">
        <v>0.21</v>
      </c>
      <c r="AC1077">
        <v>0.17</v>
      </c>
      <c r="AD1077" t="s">
        <v>3</v>
      </c>
      <c r="AE1077" t="s">
        <v>0</v>
      </c>
      <c r="AF1077" t="s">
        <v>3</v>
      </c>
      <c r="AG1077" t="s">
        <v>2</v>
      </c>
      <c r="AI1077" t="s">
        <v>23</v>
      </c>
      <c r="AJ1077">
        <v>5</v>
      </c>
      <c r="AK1077">
        <v>73</v>
      </c>
      <c r="AL1077">
        <v>0</v>
      </c>
      <c r="AM1077" t="s">
        <v>5</v>
      </c>
      <c r="AN1077">
        <v>1</v>
      </c>
      <c r="AO1077">
        <v>1</v>
      </c>
      <c r="AP1077">
        <v>0</v>
      </c>
      <c r="AQ1077">
        <v>1</v>
      </c>
    </row>
    <row r="1078" spans="1:43" x14ac:dyDescent="0.25">
      <c r="A1078" t="s">
        <v>1189</v>
      </c>
      <c r="B1078" t="s">
        <v>1188</v>
      </c>
      <c r="C1078" t="s">
        <v>1187</v>
      </c>
      <c r="D1078" s="1">
        <v>46076</v>
      </c>
      <c r="E1078" t="s">
        <v>168</v>
      </c>
      <c r="F1078" t="s">
        <v>233</v>
      </c>
      <c r="G1078" t="s">
        <v>17</v>
      </c>
      <c r="H1078" t="s">
        <v>77</v>
      </c>
      <c r="I1078" t="s">
        <v>15</v>
      </c>
      <c r="J1078" t="s">
        <v>55</v>
      </c>
      <c r="K1078" t="s">
        <v>54</v>
      </c>
      <c r="L1078" t="s">
        <v>117</v>
      </c>
      <c r="M1078" t="s">
        <v>11</v>
      </c>
      <c r="N1078" t="s">
        <v>75</v>
      </c>
      <c r="O1078" t="s">
        <v>51</v>
      </c>
      <c r="P1078" t="s">
        <v>63</v>
      </c>
      <c r="Q1078" t="s">
        <v>172</v>
      </c>
      <c r="R1078" t="s">
        <v>38</v>
      </c>
      <c r="S1078">
        <v>6</v>
      </c>
      <c r="T1078">
        <v>6</v>
      </c>
      <c r="U1078">
        <v>133</v>
      </c>
      <c r="V1078" t="s">
        <v>0</v>
      </c>
      <c r="W1078" t="s">
        <v>5</v>
      </c>
      <c r="X1078" t="s">
        <v>0</v>
      </c>
      <c r="Y1078" t="s">
        <v>4</v>
      </c>
      <c r="Z1078" t="s">
        <v>5</v>
      </c>
      <c r="AA1078">
        <v>0</v>
      </c>
      <c r="AB1078">
        <v>0.11</v>
      </c>
      <c r="AC1078">
        <v>0</v>
      </c>
      <c r="AD1078" t="s">
        <v>3</v>
      </c>
      <c r="AE1078" t="s">
        <v>0</v>
      </c>
      <c r="AF1078" t="s">
        <v>3</v>
      </c>
      <c r="AG1078" t="s">
        <v>2</v>
      </c>
      <c r="AI1078" t="s">
        <v>23</v>
      </c>
      <c r="AJ1078">
        <v>4</v>
      </c>
      <c r="AK1078">
        <v>-5</v>
      </c>
      <c r="AL1078">
        <v>0</v>
      </c>
      <c r="AM1078" t="s">
        <v>0</v>
      </c>
      <c r="AN1078">
        <v>1</v>
      </c>
      <c r="AO1078">
        <v>1</v>
      </c>
      <c r="AP1078">
        <v>0</v>
      </c>
      <c r="AQ1078">
        <v>0</v>
      </c>
    </row>
    <row r="1079" spans="1:43" x14ac:dyDescent="0.25">
      <c r="A1079" t="s">
        <v>1186</v>
      </c>
      <c r="B1079" t="s">
        <v>1185</v>
      </c>
      <c r="C1079" t="s">
        <v>1184</v>
      </c>
      <c r="D1079" s="1">
        <v>45890</v>
      </c>
      <c r="E1079" t="s">
        <v>112</v>
      </c>
      <c r="F1079" t="s">
        <v>111</v>
      </c>
      <c r="G1079" t="s">
        <v>131</v>
      </c>
      <c r="H1079" t="s">
        <v>43</v>
      </c>
      <c r="I1079" t="s">
        <v>28</v>
      </c>
      <c r="J1079" t="s">
        <v>55</v>
      </c>
      <c r="K1079" t="s">
        <v>54</v>
      </c>
      <c r="L1079" t="s">
        <v>88</v>
      </c>
      <c r="M1079" t="s">
        <v>11</v>
      </c>
      <c r="N1079" t="s">
        <v>10</v>
      </c>
      <c r="O1079" t="s">
        <v>40</v>
      </c>
      <c r="P1079" t="s">
        <v>39</v>
      </c>
      <c r="Q1079" t="s">
        <v>24</v>
      </c>
      <c r="R1079" t="s">
        <v>6</v>
      </c>
      <c r="S1079">
        <v>8</v>
      </c>
      <c r="T1079">
        <v>8</v>
      </c>
      <c r="U1079">
        <v>161</v>
      </c>
      <c r="V1079" t="s">
        <v>0</v>
      </c>
      <c r="W1079" t="s">
        <v>5</v>
      </c>
      <c r="X1079" t="s">
        <v>135</v>
      </c>
      <c r="Y1079" t="s">
        <v>4</v>
      </c>
      <c r="Z1079" t="s">
        <v>5</v>
      </c>
      <c r="AA1079">
        <v>412.23</v>
      </c>
      <c r="AB1079">
        <v>2.8</v>
      </c>
      <c r="AC1079">
        <v>0</v>
      </c>
      <c r="AD1079" t="s">
        <v>61</v>
      </c>
      <c r="AE1079" t="s">
        <v>5</v>
      </c>
      <c r="AF1079" t="s">
        <v>61</v>
      </c>
      <c r="AG1079" t="s">
        <v>36</v>
      </c>
      <c r="AH1079">
        <v>32</v>
      </c>
      <c r="AI1079" t="s">
        <v>23</v>
      </c>
      <c r="AJ1079">
        <v>3</v>
      </c>
      <c r="AK1079">
        <v>23</v>
      </c>
      <c r="AL1079">
        <v>61</v>
      </c>
      <c r="AM1079" t="s">
        <v>5</v>
      </c>
      <c r="AN1079">
        <v>1</v>
      </c>
      <c r="AO1079">
        <v>1</v>
      </c>
      <c r="AP1079">
        <v>0</v>
      </c>
      <c r="AQ1079">
        <v>1</v>
      </c>
    </row>
    <row r="1080" spans="1:43" x14ac:dyDescent="0.25">
      <c r="A1080" t="s">
        <v>1183</v>
      </c>
      <c r="B1080" t="s">
        <v>1182</v>
      </c>
      <c r="C1080" t="s">
        <v>1181</v>
      </c>
      <c r="D1080" s="1">
        <v>45820</v>
      </c>
      <c r="E1080" t="s">
        <v>125</v>
      </c>
      <c r="F1080" t="s">
        <v>265</v>
      </c>
      <c r="G1080" t="s">
        <v>17</v>
      </c>
      <c r="H1080" t="s">
        <v>77</v>
      </c>
      <c r="I1080" t="s">
        <v>28</v>
      </c>
      <c r="J1080" t="s">
        <v>14</v>
      </c>
      <c r="K1080" t="s">
        <v>13</v>
      </c>
      <c r="L1080" t="s">
        <v>42</v>
      </c>
      <c r="M1080" t="s">
        <v>11</v>
      </c>
      <c r="N1080" t="s">
        <v>75</v>
      </c>
      <c r="O1080" t="s">
        <v>51</v>
      </c>
      <c r="P1080" t="s">
        <v>63</v>
      </c>
      <c r="Q1080" t="s">
        <v>100</v>
      </c>
      <c r="R1080" t="s">
        <v>6</v>
      </c>
      <c r="S1080">
        <v>6</v>
      </c>
      <c r="T1080">
        <v>6</v>
      </c>
      <c r="U1080">
        <v>118</v>
      </c>
      <c r="V1080" t="s">
        <v>0</v>
      </c>
      <c r="W1080" t="s">
        <v>0</v>
      </c>
      <c r="X1080" t="s">
        <v>0</v>
      </c>
      <c r="Y1080" t="s">
        <v>4</v>
      </c>
      <c r="Z1080" t="s">
        <v>0</v>
      </c>
      <c r="AA1080">
        <v>0</v>
      </c>
      <c r="AB1080">
        <v>0</v>
      </c>
      <c r="AC1080">
        <v>0</v>
      </c>
      <c r="AD1080" t="s">
        <v>3</v>
      </c>
      <c r="AE1080" t="s">
        <v>0</v>
      </c>
      <c r="AF1080" t="s">
        <v>3</v>
      </c>
      <c r="AG1080" t="s">
        <v>2</v>
      </c>
      <c r="AI1080" t="s">
        <v>1</v>
      </c>
      <c r="AJ1080">
        <v>3</v>
      </c>
      <c r="AK1080">
        <v>-24</v>
      </c>
      <c r="AL1080">
        <v>0</v>
      </c>
      <c r="AM1080" t="s">
        <v>5</v>
      </c>
      <c r="AN1080">
        <v>0</v>
      </c>
      <c r="AO1080">
        <v>0</v>
      </c>
      <c r="AP1080">
        <v>0</v>
      </c>
      <c r="AQ1080">
        <v>1</v>
      </c>
    </row>
    <row r="1081" spans="1:43" x14ac:dyDescent="0.25">
      <c r="A1081" t="s">
        <v>1180</v>
      </c>
      <c r="B1081" t="s">
        <v>1179</v>
      </c>
      <c r="C1081" t="s">
        <v>1178</v>
      </c>
      <c r="D1081" s="1">
        <v>45691</v>
      </c>
      <c r="E1081" t="s">
        <v>162</v>
      </c>
      <c r="F1081" t="s">
        <v>200</v>
      </c>
      <c r="G1081" t="s">
        <v>56</v>
      </c>
      <c r="H1081" t="s">
        <v>16</v>
      </c>
      <c r="I1081" t="s">
        <v>28</v>
      </c>
      <c r="J1081" t="s">
        <v>55</v>
      </c>
      <c r="K1081" t="s">
        <v>54</v>
      </c>
      <c r="L1081" t="s">
        <v>12</v>
      </c>
      <c r="M1081" t="s">
        <v>299</v>
      </c>
      <c r="N1081" t="s">
        <v>75</v>
      </c>
      <c r="O1081" t="s">
        <v>40</v>
      </c>
      <c r="P1081" t="s">
        <v>63</v>
      </c>
      <c r="Q1081" t="s">
        <v>7</v>
      </c>
      <c r="R1081" t="s">
        <v>6</v>
      </c>
      <c r="S1081">
        <v>8</v>
      </c>
      <c r="T1081">
        <v>8</v>
      </c>
      <c r="U1081">
        <v>175</v>
      </c>
      <c r="V1081" t="s">
        <v>0</v>
      </c>
      <c r="W1081" t="s">
        <v>5</v>
      </c>
      <c r="X1081" t="s">
        <v>0</v>
      </c>
      <c r="Y1081" t="s">
        <v>4</v>
      </c>
      <c r="Z1081" t="s">
        <v>0</v>
      </c>
      <c r="AA1081">
        <v>0</v>
      </c>
      <c r="AB1081">
        <v>0</v>
      </c>
      <c r="AC1081">
        <v>0</v>
      </c>
      <c r="AD1081" t="s">
        <v>3</v>
      </c>
      <c r="AE1081" t="s">
        <v>0</v>
      </c>
      <c r="AF1081" t="s">
        <v>3</v>
      </c>
      <c r="AG1081" t="s">
        <v>2</v>
      </c>
      <c r="AI1081" t="s">
        <v>23</v>
      </c>
      <c r="AJ1081">
        <v>4</v>
      </c>
      <c r="AK1081">
        <v>55</v>
      </c>
      <c r="AL1081">
        <v>0</v>
      </c>
      <c r="AM1081" t="s">
        <v>5</v>
      </c>
      <c r="AN1081">
        <v>1</v>
      </c>
      <c r="AO1081">
        <v>0</v>
      </c>
      <c r="AP1081">
        <v>0</v>
      </c>
      <c r="AQ1081">
        <v>1</v>
      </c>
    </row>
    <row r="1082" spans="1:43" x14ac:dyDescent="0.25">
      <c r="A1082" t="s">
        <v>1177</v>
      </c>
      <c r="B1082" t="s">
        <v>1176</v>
      </c>
      <c r="C1082" t="s">
        <v>1175</v>
      </c>
      <c r="D1082" s="1">
        <v>45883</v>
      </c>
      <c r="E1082" t="s">
        <v>79</v>
      </c>
      <c r="F1082" t="s">
        <v>206</v>
      </c>
      <c r="G1082" t="s">
        <v>30</v>
      </c>
      <c r="H1082" t="s">
        <v>16</v>
      </c>
      <c r="I1082" t="s">
        <v>15</v>
      </c>
      <c r="J1082" t="s">
        <v>55</v>
      </c>
      <c r="K1082" t="s">
        <v>54</v>
      </c>
      <c r="L1082" t="s">
        <v>88</v>
      </c>
      <c r="M1082" t="s">
        <v>11</v>
      </c>
      <c r="N1082" t="s">
        <v>116</v>
      </c>
      <c r="O1082" t="s">
        <v>130</v>
      </c>
      <c r="P1082" t="s">
        <v>25</v>
      </c>
      <c r="Q1082" t="s">
        <v>24</v>
      </c>
      <c r="R1082" t="s">
        <v>6</v>
      </c>
      <c r="S1082">
        <v>5</v>
      </c>
      <c r="T1082">
        <v>5</v>
      </c>
      <c r="U1082">
        <v>135</v>
      </c>
      <c r="V1082" t="s">
        <v>0</v>
      </c>
      <c r="W1082" t="s">
        <v>5</v>
      </c>
      <c r="X1082" t="s">
        <v>0</v>
      </c>
      <c r="Y1082" t="s">
        <v>4</v>
      </c>
      <c r="Z1082" t="s">
        <v>5</v>
      </c>
      <c r="AA1082">
        <v>0</v>
      </c>
      <c r="AB1082">
        <v>0</v>
      </c>
      <c r="AC1082">
        <v>0</v>
      </c>
      <c r="AD1082" t="s">
        <v>3</v>
      </c>
      <c r="AE1082" t="s">
        <v>0</v>
      </c>
      <c r="AF1082" t="s">
        <v>3</v>
      </c>
      <c r="AG1082" t="s">
        <v>2</v>
      </c>
      <c r="AI1082" t="s">
        <v>23</v>
      </c>
      <c r="AJ1082">
        <v>4</v>
      </c>
      <c r="AK1082">
        <v>47</v>
      </c>
      <c r="AL1082">
        <v>44</v>
      </c>
      <c r="AM1082" t="s">
        <v>5</v>
      </c>
      <c r="AN1082">
        <v>1</v>
      </c>
      <c r="AO1082">
        <v>1</v>
      </c>
      <c r="AP1082">
        <v>0</v>
      </c>
      <c r="AQ1082">
        <v>1</v>
      </c>
    </row>
    <row r="1083" spans="1:43" x14ac:dyDescent="0.25">
      <c r="A1083" t="s">
        <v>1174</v>
      </c>
      <c r="B1083" t="s">
        <v>1173</v>
      </c>
      <c r="C1083" t="s">
        <v>1172</v>
      </c>
      <c r="D1083" s="1">
        <v>46195</v>
      </c>
      <c r="E1083" t="s">
        <v>156</v>
      </c>
      <c r="F1083" t="s">
        <v>238</v>
      </c>
      <c r="G1083" t="s">
        <v>110</v>
      </c>
      <c r="H1083" t="s">
        <v>29</v>
      </c>
      <c r="I1083" t="s">
        <v>28</v>
      </c>
      <c r="J1083" t="s">
        <v>146</v>
      </c>
      <c r="K1083" t="s">
        <v>145</v>
      </c>
      <c r="L1083" t="s">
        <v>12</v>
      </c>
      <c r="M1083" t="s">
        <v>11</v>
      </c>
      <c r="N1083" t="s">
        <v>10</v>
      </c>
      <c r="O1083" t="s">
        <v>40</v>
      </c>
      <c r="P1083" t="s">
        <v>63</v>
      </c>
      <c r="Q1083" t="s">
        <v>172</v>
      </c>
      <c r="R1083" t="s">
        <v>6</v>
      </c>
      <c r="S1083">
        <v>8</v>
      </c>
      <c r="T1083">
        <v>8</v>
      </c>
      <c r="U1083">
        <v>195</v>
      </c>
      <c r="V1083" t="s">
        <v>0</v>
      </c>
      <c r="W1083" t="s">
        <v>0</v>
      </c>
      <c r="X1083" t="s">
        <v>0</v>
      </c>
      <c r="Y1083" t="s">
        <v>4</v>
      </c>
      <c r="Z1083" t="s">
        <v>0</v>
      </c>
      <c r="AA1083">
        <v>0</v>
      </c>
      <c r="AB1083">
        <v>0</v>
      </c>
      <c r="AC1083">
        <v>0</v>
      </c>
      <c r="AD1083" t="s">
        <v>61</v>
      </c>
      <c r="AE1083" t="s">
        <v>5</v>
      </c>
      <c r="AF1083" t="s">
        <v>61</v>
      </c>
      <c r="AG1083" t="s">
        <v>36</v>
      </c>
      <c r="AH1083">
        <v>22</v>
      </c>
      <c r="AI1083" t="s">
        <v>129</v>
      </c>
      <c r="AJ1083">
        <v>2</v>
      </c>
      <c r="AK1083">
        <v>15</v>
      </c>
      <c r="AL1083">
        <v>0</v>
      </c>
      <c r="AM1083" t="s">
        <v>5</v>
      </c>
      <c r="AN1083">
        <v>0</v>
      </c>
      <c r="AO1083">
        <v>0</v>
      </c>
      <c r="AP1083">
        <v>0</v>
      </c>
      <c r="AQ1083">
        <v>1</v>
      </c>
    </row>
    <row r="1084" spans="1:43" x14ac:dyDescent="0.25">
      <c r="A1084" t="s">
        <v>1171</v>
      </c>
      <c r="B1084" t="s">
        <v>672</v>
      </c>
      <c r="C1084" t="s">
        <v>1170</v>
      </c>
      <c r="D1084" s="1">
        <v>45677</v>
      </c>
      <c r="E1084" t="s">
        <v>112</v>
      </c>
      <c r="F1084" t="s">
        <v>111</v>
      </c>
      <c r="G1084" t="s">
        <v>30</v>
      </c>
      <c r="H1084" t="s">
        <v>43</v>
      </c>
      <c r="I1084" t="s">
        <v>147</v>
      </c>
      <c r="J1084" t="s">
        <v>14</v>
      </c>
      <c r="K1084" t="s">
        <v>13</v>
      </c>
      <c r="L1084" t="s">
        <v>42</v>
      </c>
      <c r="M1084" t="s">
        <v>11</v>
      </c>
      <c r="N1084" t="s">
        <v>154</v>
      </c>
      <c r="O1084" t="s">
        <v>74</v>
      </c>
      <c r="P1084" t="s">
        <v>39</v>
      </c>
      <c r="Q1084" t="s">
        <v>24</v>
      </c>
      <c r="R1084" t="s">
        <v>6</v>
      </c>
      <c r="S1084">
        <v>6</v>
      </c>
      <c r="T1084">
        <v>6</v>
      </c>
      <c r="U1084">
        <v>138</v>
      </c>
      <c r="V1084" t="s">
        <v>0</v>
      </c>
      <c r="W1084" t="s">
        <v>5</v>
      </c>
      <c r="X1084" t="s">
        <v>0</v>
      </c>
      <c r="Y1084" t="s">
        <v>4</v>
      </c>
      <c r="Z1084" t="s">
        <v>5</v>
      </c>
      <c r="AA1084">
        <v>41.14</v>
      </c>
      <c r="AB1084">
        <v>0</v>
      </c>
      <c r="AC1084">
        <v>0</v>
      </c>
      <c r="AD1084" t="s">
        <v>3</v>
      </c>
      <c r="AE1084" t="s">
        <v>0</v>
      </c>
      <c r="AF1084" t="s">
        <v>3</v>
      </c>
      <c r="AG1084" t="s">
        <v>2</v>
      </c>
      <c r="AI1084" t="s">
        <v>23</v>
      </c>
      <c r="AJ1084">
        <v>3</v>
      </c>
      <c r="AK1084">
        <v>57</v>
      </c>
      <c r="AL1084">
        <v>12</v>
      </c>
      <c r="AM1084" t="s">
        <v>5</v>
      </c>
      <c r="AN1084">
        <v>1</v>
      </c>
      <c r="AO1084">
        <v>1</v>
      </c>
      <c r="AP1084">
        <v>0</v>
      </c>
      <c r="AQ1084">
        <v>1</v>
      </c>
    </row>
    <row r="1085" spans="1:43" x14ac:dyDescent="0.25">
      <c r="A1085" t="s">
        <v>1169</v>
      </c>
      <c r="B1085" t="s">
        <v>1168</v>
      </c>
      <c r="C1085" t="s">
        <v>1167</v>
      </c>
      <c r="D1085" s="1">
        <v>45731</v>
      </c>
      <c r="E1085" t="s">
        <v>45</v>
      </c>
      <c r="F1085" t="s">
        <v>348</v>
      </c>
      <c r="G1085" t="s">
        <v>83</v>
      </c>
      <c r="H1085" t="s">
        <v>43</v>
      </c>
      <c r="I1085" t="s">
        <v>28</v>
      </c>
      <c r="J1085" t="s">
        <v>14</v>
      </c>
      <c r="K1085" t="s">
        <v>13</v>
      </c>
      <c r="L1085" t="s">
        <v>88</v>
      </c>
      <c r="M1085" t="s">
        <v>11</v>
      </c>
      <c r="N1085" t="s">
        <v>75</v>
      </c>
      <c r="O1085" t="s">
        <v>51</v>
      </c>
      <c r="P1085" t="s">
        <v>8</v>
      </c>
      <c r="Q1085" t="s">
        <v>172</v>
      </c>
      <c r="R1085" t="s">
        <v>6</v>
      </c>
      <c r="S1085">
        <v>6</v>
      </c>
      <c r="T1085">
        <v>4</v>
      </c>
      <c r="U1085">
        <v>237</v>
      </c>
      <c r="V1085" t="s">
        <v>5</v>
      </c>
      <c r="W1085" t="s">
        <v>5</v>
      </c>
      <c r="X1085" t="s">
        <v>0</v>
      </c>
      <c r="Y1085" t="s">
        <v>4</v>
      </c>
      <c r="Z1085" t="s">
        <v>5</v>
      </c>
      <c r="AA1085">
        <v>46.34</v>
      </c>
      <c r="AB1085">
        <v>0.11</v>
      </c>
      <c r="AC1085">
        <v>0</v>
      </c>
      <c r="AD1085" t="s">
        <v>3</v>
      </c>
      <c r="AE1085" t="s">
        <v>0</v>
      </c>
      <c r="AF1085" t="s">
        <v>3</v>
      </c>
      <c r="AG1085" t="s">
        <v>2</v>
      </c>
      <c r="AI1085" t="s">
        <v>23</v>
      </c>
      <c r="AJ1085">
        <v>4</v>
      </c>
      <c r="AK1085">
        <v>-19</v>
      </c>
      <c r="AL1085">
        <v>45</v>
      </c>
      <c r="AM1085" t="s">
        <v>5</v>
      </c>
      <c r="AN1085">
        <v>1</v>
      </c>
      <c r="AO1085">
        <v>1</v>
      </c>
      <c r="AP1085">
        <v>0</v>
      </c>
      <c r="AQ1085">
        <v>1</v>
      </c>
    </row>
    <row r="1086" spans="1:43" x14ac:dyDescent="0.25">
      <c r="A1086" t="s">
        <v>1166</v>
      </c>
      <c r="B1086" t="s">
        <v>1165</v>
      </c>
      <c r="C1086" t="s">
        <v>1164</v>
      </c>
      <c r="D1086" s="1">
        <v>46131</v>
      </c>
      <c r="E1086" t="s">
        <v>162</v>
      </c>
      <c r="F1086" t="s">
        <v>200</v>
      </c>
      <c r="G1086" t="s">
        <v>123</v>
      </c>
      <c r="H1086" t="s">
        <v>77</v>
      </c>
      <c r="I1086" t="s">
        <v>28</v>
      </c>
      <c r="J1086" t="s">
        <v>55</v>
      </c>
      <c r="K1086" t="s">
        <v>54</v>
      </c>
      <c r="L1086" t="s">
        <v>88</v>
      </c>
      <c r="M1086" t="s">
        <v>11</v>
      </c>
      <c r="N1086" t="s">
        <v>52</v>
      </c>
      <c r="O1086" t="s">
        <v>101</v>
      </c>
      <c r="P1086" t="s">
        <v>39</v>
      </c>
      <c r="Q1086" t="s">
        <v>50</v>
      </c>
      <c r="R1086" t="s">
        <v>38</v>
      </c>
      <c r="S1086">
        <v>4</v>
      </c>
      <c r="T1086">
        <v>4</v>
      </c>
      <c r="U1086">
        <v>104</v>
      </c>
      <c r="V1086" t="s">
        <v>0</v>
      </c>
      <c r="W1086" t="s">
        <v>5</v>
      </c>
      <c r="X1086" t="s">
        <v>5</v>
      </c>
      <c r="Y1086" t="s">
        <v>1163</v>
      </c>
      <c r="Z1086" t="s">
        <v>5</v>
      </c>
      <c r="AA1086">
        <v>84.39</v>
      </c>
      <c r="AB1086">
        <v>0.48</v>
      </c>
      <c r="AC1086">
        <v>0</v>
      </c>
      <c r="AD1086" t="s">
        <v>3</v>
      </c>
      <c r="AE1086" t="s">
        <v>0</v>
      </c>
      <c r="AF1086" t="s">
        <v>3</v>
      </c>
      <c r="AG1086" t="s">
        <v>2</v>
      </c>
      <c r="AI1086" t="s">
        <v>23</v>
      </c>
      <c r="AJ1086">
        <v>3</v>
      </c>
      <c r="AK1086">
        <v>-38</v>
      </c>
      <c r="AL1086">
        <v>11</v>
      </c>
      <c r="AM1086" t="s">
        <v>5</v>
      </c>
      <c r="AN1086">
        <v>1</v>
      </c>
      <c r="AO1086">
        <v>1</v>
      </c>
      <c r="AP1086">
        <v>1</v>
      </c>
      <c r="AQ1086">
        <v>1</v>
      </c>
    </row>
    <row r="1087" spans="1:43" x14ac:dyDescent="0.25">
      <c r="A1087" t="s">
        <v>1162</v>
      </c>
      <c r="B1087" t="s">
        <v>1070</v>
      </c>
      <c r="C1087" t="s">
        <v>1161</v>
      </c>
      <c r="D1087" s="1">
        <v>45818</v>
      </c>
      <c r="E1087" t="s">
        <v>32</v>
      </c>
      <c r="F1087" t="s">
        <v>31</v>
      </c>
      <c r="G1087" t="s">
        <v>56</v>
      </c>
      <c r="H1087" t="s">
        <v>66</v>
      </c>
      <c r="I1087" t="s">
        <v>28</v>
      </c>
      <c r="J1087" t="s">
        <v>14</v>
      </c>
      <c r="K1087" t="s">
        <v>13</v>
      </c>
      <c r="L1087" t="s">
        <v>117</v>
      </c>
      <c r="M1087" t="s">
        <v>11</v>
      </c>
      <c r="N1087" t="s">
        <v>116</v>
      </c>
      <c r="O1087" t="s">
        <v>51</v>
      </c>
      <c r="P1087" t="s">
        <v>39</v>
      </c>
      <c r="Q1087" t="s">
        <v>172</v>
      </c>
      <c r="R1087" t="s">
        <v>38</v>
      </c>
      <c r="S1087">
        <v>6</v>
      </c>
      <c r="T1087">
        <v>5</v>
      </c>
      <c r="U1087">
        <v>183</v>
      </c>
      <c r="V1087" t="s">
        <v>5</v>
      </c>
      <c r="W1087" t="s">
        <v>5</v>
      </c>
      <c r="X1087" t="s">
        <v>0</v>
      </c>
      <c r="Y1087" t="s">
        <v>4</v>
      </c>
      <c r="Z1087" t="s">
        <v>0</v>
      </c>
      <c r="AA1087">
        <v>0</v>
      </c>
      <c r="AB1087">
        <v>0</v>
      </c>
      <c r="AC1087">
        <v>0</v>
      </c>
      <c r="AD1087" t="s">
        <v>3</v>
      </c>
      <c r="AE1087" t="s">
        <v>0</v>
      </c>
      <c r="AF1087" t="s">
        <v>3</v>
      </c>
      <c r="AG1087" t="s">
        <v>2</v>
      </c>
      <c r="AI1087" t="s">
        <v>23</v>
      </c>
      <c r="AJ1087">
        <v>4</v>
      </c>
      <c r="AK1087">
        <v>35</v>
      </c>
      <c r="AL1087">
        <v>27</v>
      </c>
      <c r="AM1087" t="s">
        <v>5</v>
      </c>
      <c r="AN1087">
        <v>1</v>
      </c>
      <c r="AO1087">
        <v>0</v>
      </c>
      <c r="AP1087">
        <v>0</v>
      </c>
      <c r="AQ1087">
        <v>1</v>
      </c>
    </row>
    <row r="1088" spans="1:43" x14ac:dyDescent="0.25">
      <c r="A1088" t="s">
        <v>1160</v>
      </c>
      <c r="B1088" t="s">
        <v>442</v>
      </c>
      <c r="C1088" t="s">
        <v>1159</v>
      </c>
      <c r="D1088" s="1">
        <v>46184</v>
      </c>
      <c r="E1088" t="s">
        <v>32</v>
      </c>
      <c r="F1088" t="s">
        <v>107</v>
      </c>
      <c r="G1088" t="s">
        <v>56</v>
      </c>
      <c r="H1088" t="s">
        <v>29</v>
      </c>
      <c r="I1088" t="s">
        <v>15</v>
      </c>
      <c r="J1088" t="s">
        <v>14</v>
      </c>
      <c r="K1088" t="s">
        <v>13</v>
      </c>
      <c r="L1088" t="s">
        <v>64</v>
      </c>
      <c r="M1088" t="s">
        <v>11</v>
      </c>
      <c r="N1088" t="s">
        <v>10</v>
      </c>
      <c r="O1088" t="s">
        <v>26</v>
      </c>
      <c r="P1088" t="s">
        <v>63</v>
      </c>
      <c r="Q1088" t="s">
        <v>24</v>
      </c>
      <c r="R1088" t="s">
        <v>38</v>
      </c>
      <c r="S1088">
        <v>4</v>
      </c>
      <c r="T1088">
        <v>4</v>
      </c>
      <c r="U1088">
        <v>139</v>
      </c>
      <c r="V1088" t="s">
        <v>0</v>
      </c>
      <c r="W1088" t="s">
        <v>5</v>
      </c>
      <c r="X1088" t="s">
        <v>5</v>
      </c>
      <c r="Y1088" t="s">
        <v>144</v>
      </c>
      <c r="Z1088" t="s">
        <v>5</v>
      </c>
      <c r="AA1088">
        <v>111.79</v>
      </c>
      <c r="AB1088">
        <v>0.18</v>
      </c>
      <c r="AC1088">
        <v>0</v>
      </c>
      <c r="AD1088" t="s">
        <v>3</v>
      </c>
      <c r="AE1088" t="s">
        <v>0</v>
      </c>
      <c r="AF1088" t="s">
        <v>3</v>
      </c>
      <c r="AG1088" t="s">
        <v>2</v>
      </c>
      <c r="AI1088" t="s">
        <v>23</v>
      </c>
      <c r="AJ1088">
        <v>5</v>
      </c>
      <c r="AK1088">
        <v>-10</v>
      </c>
      <c r="AL1088">
        <v>0</v>
      </c>
      <c r="AM1088" t="s">
        <v>0</v>
      </c>
      <c r="AN1088">
        <v>1</v>
      </c>
      <c r="AO1088">
        <v>1</v>
      </c>
      <c r="AP1088">
        <v>1</v>
      </c>
      <c r="AQ1088">
        <v>0</v>
      </c>
    </row>
    <row r="1089" spans="1:43" x14ac:dyDescent="0.25">
      <c r="A1089" t="s">
        <v>1158</v>
      </c>
      <c r="B1089" t="s">
        <v>1157</v>
      </c>
      <c r="C1089" t="s">
        <v>1156</v>
      </c>
      <c r="D1089" s="1">
        <v>45742</v>
      </c>
      <c r="E1089" t="s">
        <v>125</v>
      </c>
      <c r="F1089" t="s">
        <v>132</v>
      </c>
      <c r="G1089" t="s">
        <v>56</v>
      </c>
      <c r="H1089" t="s">
        <v>43</v>
      </c>
      <c r="I1089" t="s">
        <v>15</v>
      </c>
      <c r="J1089" t="s">
        <v>14</v>
      </c>
      <c r="K1089" t="s">
        <v>13</v>
      </c>
      <c r="L1089" t="s">
        <v>88</v>
      </c>
      <c r="M1089" t="s">
        <v>53</v>
      </c>
      <c r="N1089" t="s">
        <v>52</v>
      </c>
      <c r="O1089" t="s">
        <v>26</v>
      </c>
      <c r="P1089" t="s">
        <v>63</v>
      </c>
      <c r="Q1089" t="s">
        <v>172</v>
      </c>
      <c r="R1089" t="s">
        <v>38</v>
      </c>
      <c r="S1089">
        <v>4</v>
      </c>
      <c r="T1089">
        <v>4</v>
      </c>
      <c r="U1089">
        <v>84</v>
      </c>
      <c r="V1089" t="s">
        <v>0</v>
      </c>
      <c r="W1089" t="s">
        <v>5</v>
      </c>
      <c r="X1089" t="s">
        <v>0</v>
      </c>
      <c r="Y1089" t="s">
        <v>4</v>
      </c>
      <c r="Z1089" t="s">
        <v>5</v>
      </c>
      <c r="AA1089">
        <v>-10</v>
      </c>
      <c r="AB1089">
        <v>0.2</v>
      </c>
      <c r="AC1089">
        <v>0.17</v>
      </c>
      <c r="AD1089" t="s">
        <v>3</v>
      </c>
      <c r="AE1089" t="s">
        <v>0</v>
      </c>
      <c r="AF1089" t="s">
        <v>3</v>
      </c>
      <c r="AG1089" t="s">
        <v>2</v>
      </c>
      <c r="AI1089" t="s">
        <v>23</v>
      </c>
      <c r="AJ1089">
        <v>5</v>
      </c>
      <c r="AK1089">
        <v>52</v>
      </c>
      <c r="AL1089">
        <v>0</v>
      </c>
      <c r="AM1089" t="s">
        <v>5</v>
      </c>
      <c r="AN1089">
        <v>1</v>
      </c>
      <c r="AO1089">
        <v>1</v>
      </c>
      <c r="AP1089">
        <v>0</v>
      </c>
      <c r="AQ1089">
        <v>1</v>
      </c>
    </row>
    <row r="1090" spans="1:43" x14ac:dyDescent="0.25">
      <c r="A1090" t="s">
        <v>1155</v>
      </c>
      <c r="B1090" t="s">
        <v>1154</v>
      </c>
      <c r="C1090" t="s">
        <v>1153</v>
      </c>
      <c r="D1090" s="1">
        <v>45804</v>
      </c>
      <c r="E1090" t="s">
        <v>156</v>
      </c>
      <c r="F1090" t="s">
        <v>550</v>
      </c>
      <c r="G1090" t="s">
        <v>110</v>
      </c>
      <c r="H1090" t="s">
        <v>43</v>
      </c>
      <c r="I1090" t="s">
        <v>15</v>
      </c>
      <c r="J1090" t="s">
        <v>146</v>
      </c>
      <c r="K1090" t="s">
        <v>145</v>
      </c>
      <c r="L1090" t="s">
        <v>64</v>
      </c>
      <c r="M1090" t="s">
        <v>11</v>
      </c>
      <c r="N1090" t="s">
        <v>41</v>
      </c>
      <c r="O1090" t="s">
        <v>74</v>
      </c>
      <c r="P1090" t="s">
        <v>39</v>
      </c>
      <c r="Q1090" t="s">
        <v>7</v>
      </c>
      <c r="R1090" t="s">
        <v>6</v>
      </c>
      <c r="S1090">
        <v>6</v>
      </c>
      <c r="T1090">
        <v>6</v>
      </c>
      <c r="U1090">
        <v>151</v>
      </c>
      <c r="V1090" t="s">
        <v>0</v>
      </c>
      <c r="W1090" t="s">
        <v>5</v>
      </c>
      <c r="X1090" t="s">
        <v>0</v>
      </c>
      <c r="Y1090" t="s">
        <v>4</v>
      </c>
      <c r="Z1090" t="s">
        <v>5</v>
      </c>
      <c r="AA1090">
        <v>0</v>
      </c>
      <c r="AB1090">
        <v>0</v>
      </c>
      <c r="AC1090">
        <v>0</v>
      </c>
      <c r="AD1090" t="s">
        <v>3</v>
      </c>
      <c r="AE1090" t="s">
        <v>0</v>
      </c>
      <c r="AF1090" t="s">
        <v>3</v>
      </c>
      <c r="AG1090" t="s">
        <v>2</v>
      </c>
      <c r="AI1090" t="s">
        <v>23</v>
      </c>
      <c r="AJ1090">
        <v>4</v>
      </c>
      <c r="AK1090">
        <v>32</v>
      </c>
      <c r="AL1090">
        <v>14</v>
      </c>
      <c r="AM1090" t="s">
        <v>5</v>
      </c>
      <c r="AN1090">
        <v>1</v>
      </c>
      <c r="AO1090">
        <v>1</v>
      </c>
      <c r="AP1090">
        <v>0</v>
      </c>
      <c r="AQ1090">
        <v>1</v>
      </c>
    </row>
    <row r="1091" spans="1:43" x14ac:dyDescent="0.25">
      <c r="A1091" t="s">
        <v>1152</v>
      </c>
      <c r="B1091" t="s">
        <v>428</v>
      </c>
      <c r="C1091" t="s">
        <v>1151</v>
      </c>
      <c r="D1091" s="1">
        <v>46051</v>
      </c>
      <c r="E1091" t="s">
        <v>162</v>
      </c>
      <c r="F1091" t="s">
        <v>161</v>
      </c>
      <c r="G1091" t="s">
        <v>17</v>
      </c>
      <c r="H1091" t="s">
        <v>77</v>
      </c>
      <c r="I1091" t="s">
        <v>28</v>
      </c>
      <c r="J1091" t="s">
        <v>14</v>
      </c>
      <c r="K1091" t="s">
        <v>13</v>
      </c>
      <c r="L1091" t="s">
        <v>64</v>
      </c>
      <c r="M1091" t="s">
        <v>11</v>
      </c>
      <c r="N1091" t="s">
        <v>154</v>
      </c>
      <c r="O1091" t="s">
        <v>199</v>
      </c>
      <c r="P1091" t="s">
        <v>25</v>
      </c>
      <c r="Q1091" t="s">
        <v>7</v>
      </c>
      <c r="R1091" t="s">
        <v>6</v>
      </c>
      <c r="S1091">
        <v>5</v>
      </c>
      <c r="T1091">
        <v>5</v>
      </c>
      <c r="U1091">
        <v>102</v>
      </c>
      <c r="V1091" t="s">
        <v>247</v>
      </c>
      <c r="W1091" t="s">
        <v>5</v>
      </c>
      <c r="X1091" t="s">
        <v>0</v>
      </c>
      <c r="Y1091" t="s">
        <v>4</v>
      </c>
      <c r="Z1091" t="s">
        <v>5</v>
      </c>
      <c r="AA1091">
        <v>138.34</v>
      </c>
      <c r="AB1091">
        <v>0</v>
      </c>
      <c r="AC1091">
        <v>0</v>
      </c>
      <c r="AD1091" t="s">
        <v>436</v>
      </c>
      <c r="AE1091" t="s">
        <v>5</v>
      </c>
      <c r="AF1091" t="s">
        <v>436</v>
      </c>
      <c r="AG1091" t="s">
        <v>36</v>
      </c>
      <c r="AH1091">
        <v>14</v>
      </c>
      <c r="AI1091" t="s">
        <v>23</v>
      </c>
      <c r="AJ1091">
        <v>4</v>
      </c>
      <c r="AK1091">
        <v>4</v>
      </c>
      <c r="AL1091">
        <v>30</v>
      </c>
      <c r="AM1091" t="s">
        <v>5</v>
      </c>
      <c r="AN1091">
        <v>1</v>
      </c>
      <c r="AO1091">
        <v>1</v>
      </c>
      <c r="AP1091">
        <v>0</v>
      </c>
      <c r="AQ1091">
        <v>1</v>
      </c>
    </row>
    <row r="1092" spans="1:43" x14ac:dyDescent="0.25">
      <c r="A1092" t="s">
        <v>1150</v>
      </c>
      <c r="B1092" t="s">
        <v>1149</v>
      </c>
      <c r="C1092" t="s">
        <v>1148</v>
      </c>
      <c r="D1092" s="1">
        <v>46003</v>
      </c>
      <c r="E1092" t="s">
        <v>32</v>
      </c>
      <c r="F1092" t="s">
        <v>356</v>
      </c>
      <c r="G1092" t="s">
        <v>56</v>
      </c>
      <c r="H1092" t="s">
        <v>66</v>
      </c>
      <c r="I1092" t="s">
        <v>15</v>
      </c>
      <c r="J1092" t="s">
        <v>146</v>
      </c>
      <c r="K1092" t="s">
        <v>145</v>
      </c>
      <c r="L1092" t="s">
        <v>117</v>
      </c>
      <c r="M1092" t="s">
        <v>11</v>
      </c>
      <c r="N1092" t="s">
        <v>154</v>
      </c>
      <c r="O1092" t="s">
        <v>40</v>
      </c>
      <c r="P1092" t="s">
        <v>39</v>
      </c>
      <c r="Q1092" t="s">
        <v>7</v>
      </c>
      <c r="R1092" t="s">
        <v>6</v>
      </c>
      <c r="S1092">
        <v>8</v>
      </c>
      <c r="T1092" t="s">
        <v>106</v>
      </c>
      <c r="U1092">
        <v>239</v>
      </c>
      <c r="V1092" t="s">
        <v>0</v>
      </c>
      <c r="W1092" t="s">
        <v>0</v>
      </c>
      <c r="X1092" t="s">
        <v>0</v>
      </c>
      <c r="Y1092" t="s">
        <v>4</v>
      </c>
      <c r="Z1092" t="s">
        <v>0</v>
      </c>
      <c r="AA1092">
        <v>0</v>
      </c>
      <c r="AB1092">
        <v>0</v>
      </c>
      <c r="AC1092">
        <v>0</v>
      </c>
      <c r="AD1092" t="s">
        <v>3</v>
      </c>
      <c r="AE1092" t="s">
        <v>0</v>
      </c>
      <c r="AF1092" t="s">
        <v>3</v>
      </c>
      <c r="AG1092" t="s">
        <v>2</v>
      </c>
      <c r="AI1092" t="s">
        <v>23</v>
      </c>
      <c r="AJ1092">
        <v>3</v>
      </c>
      <c r="AK1092">
        <v>-31</v>
      </c>
      <c r="AL1092">
        <v>8</v>
      </c>
      <c r="AM1092" t="s">
        <v>0</v>
      </c>
      <c r="AN1092">
        <v>0</v>
      </c>
      <c r="AO1092">
        <v>0</v>
      </c>
      <c r="AP1092">
        <v>0</v>
      </c>
      <c r="AQ1092">
        <v>0</v>
      </c>
    </row>
    <row r="1093" spans="1:43" x14ac:dyDescent="0.25">
      <c r="A1093" t="s">
        <v>1147</v>
      </c>
      <c r="B1093" t="s">
        <v>211</v>
      </c>
      <c r="C1093" t="s">
        <v>1146</v>
      </c>
      <c r="D1093" s="1">
        <v>45694</v>
      </c>
      <c r="E1093" t="s">
        <v>149</v>
      </c>
      <c r="F1093" t="s">
        <v>183</v>
      </c>
      <c r="G1093" t="s">
        <v>56</v>
      </c>
      <c r="H1093" t="s">
        <v>77</v>
      </c>
      <c r="I1093" t="s">
        <v>147</v>
      </c>
      <c r="J1093" t="s">
        <v>55</v>
      </c>
      <c r="K1093" t="s">
        <v>54</v>
      </c>
      <c r="L1093" t="s">
        <v>12</v>
      </c>
      <c r="M1093" t="s">
        <v>11</v>
      </c>
      <c r="N1093" t="s">
        <v>10</v>
      </c>
      <c r="O1093" t="s">
        <v>101</v>
      </c>
      <c r="P1093" t="s">
        <v>39</v>
      </c>
      <c r="Q1093" t="s">
        <v>7</v>
      </c>
      <c r="R1093" t="s">
        <v>6</v>
      </c>
      <c r="S1093">
        <v>4</v>
      </c>
      <c r="T1093">
        <v>4</v>
      </c>
      <c r="U1093">
        <v>106</v>
      </c>
      <c r="V1093" t="s">
        <v>0</v>
      </c>
      <c r="W1093" t="s">
        <v>5</v>
      </c>
      <c r="X1093" t="s">
        <v>0</v>
      </c>
      <c r="Y1093" t="s">
        <v>4</v>
      </c>
      <c r="Z1093" t="s">
        <v>5</v>
      </c>
      <c r="AA1093">
        <v>28.12</v>
      </c>
      <c r="AB1093">
        <v>0.47</v>
      </c>
      <c r="AC1093">
        <v>0</v>
      </c>
      <c r="AD1093" t="s">
        <v>187</v>
      </c>
      <c r="AE1093" t="s">
        <v>5</v>
      </c>
      <c r="AF1093" t="s">
        <v>187</v>
      </c>
      <c r="AG1093" t="s">
        <v>36</v>
      </c>
      <c r="AH1093">
        <v>16</v>
      </c>
      <c r="AI1093" t="s">
        <v>23</v>
      </c>
      <c r="AJ1093">
        <v>5</v>
      </c>
      <c r="AK1093">
        <v>29</v>
      </c>
      <c r="AL1093">
        <v>37</v>
      </c>
      <c r="AM1093" t="s">
        <v>0</v>
      </c>
      <c r="AN1093">
        <v>1</v>
      </c>
      <c r="AO1093">
        <v>1</v>
      </c>
      <c r="AP1093">
        <v>0</v>
      </c>
      <c r="AQ1093">
        <v>0</v>
      </c>
    </row>
    <row r="1094" spans="1:43" x14ac:dyDescent="0.25">
      <c r="A1094" t="s">
        <v>1145</v>
      </c>
      <c r="B1094" t="s">
        <v>1144</v>
      </c>
      <c r="C1094" t="s">
        <v>1143</v>
      </c>
      <c r="D1094" s="1">
        <v>45682</v>
      </c>
      <c r="E1094" t="s">
        <v>162</v>
      </c>
      <c r="F1094" t="s">
        <v>200</v>
      </c>
      <c r="G1094" t="s">
        <v>17</v>
      </c>
      <c r="H1094" t="s">
        <v>77</v>
      </c>
      <c r="I1094" t="s">
        <v>15</v>
      </c>
      <c r="J1094" t="s">
        <v>14</v>
      </c>
      <c r="K1094" t="s">
        <v>13</v>
      </c>
      <c r="L1094" t="s">
        <v>12</v>
      </c>
      <c r="M1094" t="s">
        <v>11</v>
      </c>
      <c r="N1094" t="s">
        <v>10</v>
      </c>
      <c r="O1094" t="s">
        <v>101</v>
      </c>
      <c r="P1094" t="s">
        <v>39</v>
      </c>
      <c r="Q1094" t="s">
        <v>7</v>
      </c>
      <c r="R1094" t="s">
        <v>6</v>
      </c>
      <c r="S1094">
        <v>4</v>
      </c>
      <c r="T1094">
        <v>4</v>
      </c>
      <c r="U1094">
        <v>99</v>
      </c>
      <c r="V1094" t="s">
        <v>0</v>
      </c>
      <c r="W1094" t="s">
        <v>5</v>
      </c>
      <c r="X1094" t="s">
        <v>0</v>
      </c>
      <c r="Y1094" t="s">
        <v>4</v>
      </c>
      <c r="Z1094" t="s">
        <v>5</v>
      </c>
      <c r="AA1094">
        <v>91.11</v>
      </c>
      <c r="AB1094">
        <v>0.51</v>
      </c>
      <c r="AC1094">
        <v>0</v>
      </c>
      <c r="AD1094" t="s">
        <v>3</v>
      </c>
      <c r="AE1094" t="s">
        <v>0</v>
      </c>
      <c r="AF1094" t="s">
        <v>3</v>
      </c>
      <c r="AG1094" t="s">
        <v>479</v>
      </c>
      <c r="AI1094" t="s">
        <v>23</v>
      </c>
      <c r="AJ1094">
        <v>5</v>
      </c>
      <c r="AK1094">
        <v>24</v>
      </c>
      <c r="AL1094">
        <v>37</v>
      </c>
      <c r="AM1094" t="s">
        <v>5</v>
      </c>
      <c r="AN1094">
        <v>1</v>
      </c>
      <c r="AO1094">
        <v>1</v>
      </c>
      <c r="AP1094">
        <v>0</v>
      </c>
      <c r="AQ1094">
        <v>1</v>
      </c>
    </row>
    <row r="1095" spans="1:43" x14ac:dyDescent="0.25">
      <c r="A1095" t="s">
        <v>1142</v>
      </c>
      <c r="B1095" t="s">
        <v>1141</v>
      </c>
      <c r="C1095" t="s">
        <v>1140</v>
      </c>
      <c r="D1095" s="1">
        <v>45671</v>
      </c>
      <c r="E1095" t="s">
        <v>112</v>
      </c>
      <c r="F1095" t="s">
        <v>111</v>
      </c>
      <c r="G1095" t="s">
        <v>30</v>
      </c>
      <c r="H1095" t="s">
        <v>16</v>
      </c>
      <c r="I1095" t="s">
        <v>15</v>
      </c>
      <c r="J1095" t="s">
        <v>55</v>
      </c>
      <c r="K1095" t="s">
        <v>54</v>
      </c>
      <c r="L1095" t="s">
        <v>12</v>
      </c>
      <c r="M1095" t="s">
        <v>11</v>
      </c>
      <c r="N1095" t="s">
        <v>116</v>
      </c>
      <c r="O1095" t="s">
        <v>130</v>
      </c>
      <c r="P1095" t="s">
        <v>8</v>
      </c>
      <c r="Q1095" t="s">
        <v>7</v>
      </c>
      <c r="R1095" t="s">
        <v>6</v>
      </c>
      <c r="S1095" t="s">
        <v>277</v>
      </c>
      <c r="T1095">
        <v>5</v>
      </c>
      <c r="U1095">
        <v>150</v>
      </c>
      <c r="V1095" t="s">
        <v>0</v>
      </c>
      <c r="W1095" t="s">
        <v>5</v>
      </c>
      <c r="X1095" t="s">
        <v>0</v>
      </c>
      <c r="Y1095" t="s">
        <v>4</v>
      </c>
      <c r="Z1095" t="s">
        <v>5</v>
      </c>
      <c r="AA1095">
        <v>0</v>
      </c>
      <c r="AB1095">
        <v>0</v>
      </c>
      <c r="AC1095">
        <v>0</v>
      </c>
      <c r="AD1095" t="s">
        <v>3</v>
      </c>
      <c r="AE1095" t="s">
        <v>0</v>
      </c>
      <c r="AF1095" t="s">
        <v>3</v>
      </c>
      <c r="AG1095" t="s">
        <v>2</v>
      </c>
      <c r="AI1095" t="s">
        <v>23</v>
      </c>
      <c r="AJ1095">
        <v>5</v>
      </c>
      <c r="AK1095">
        <v>42</v>
      </c>
      <c r="AL1095">
        <v>32</v>
      </c>
      <c r="AM1095" t="s">
        <v>0</v>
      </c>
      <c r="AN1095">
        <v>1</v>
      </c>
      <c r="AO1095">
        <v>1</v>
      </c>
      <c r="AP1095">
        <v>0</v>
      </c>
      <c r="AQ1095">
        <v>0</v>
      </c>
    </row>
    <row r="1096" spans="1:43" x14ac:dyDescent="0.25">
      <c r="A1096" t="s">
        <v>1139</v>
      </c>
      <c r="B1096" t="s">
        <v>1138</v>
      </c>
      <c r="C1096" t="s">
        <v>1137</v>
      </c>
      <c r="D1096" s="1">
        <v>46016</v>
      </c>
      <c r="E1096" t="s">
        <v>95</v>
      </c>
      <c r="F1096" t="s">
        <v>270</v>
      </c>
      <c r="G1096" t="s">
        <v>30</v>
      </c>
      <c r="H1096" t="s">
        <v>29</v>
      </c>
      <c r="I1096" t="s">
        <v>28</v>
      </c>
      <c r="J1096" t="s">
        <v>55</v>
      </c>
      <c r="K1096" t="s">
        <v>54</v>
      </c>
      <c r="L1096" t="s">
        <v>64</v>
      </c>
      <c r="M1096" t="s">
        <v>11</v>
      </c>
      <c r="N1096" t="s">
        <v>52</v>
      </c>
      <c r="O1096" t="s">
        <v>101</v>
      </c>
      <c r="P1096" t="s">
        <v>63</v>
      </c>
      <c r="Q1096" t="s">
        <v>24</v>
      </c>
      <c r="R1096" t="s">
        <v>6</v>
      </c>
      <c r="S1096">
        <v>4</v>
      </c>
      <c r="T1096">
        <v>4</v>
      </c>
      <c r="U1096">
        <v>91</v>
      </c>
      <c r="V1096" t="s">
        <v>0</v>
      </c>
      <c r="W1096" t="s">
        <v>5</v>
      </c>
      <c r="X1096" t="s">
        <v>0</v>
      </c>
      <c r="Y1096" t="s">
        <v>4</v>
      </c>
      <c r="Z1096" t="s">
        <v>5</v>
      </c>
      <c r="AA1096">
        <v>72.84</v>
      </c>
      <c r="AB1096">
        <v>0.51</v>
      </c>
      <c r="AC1096">
        <v>0</v>
      </c>
      <c r="AD1096" t="s">
        <v>37</v>
      </c>
      <c r="AE1096" t="s">
        <v>5</v>
      </c>
      <c r="AF1096" t="s">
        <v>37</v>
      </c>
      <c r="AG1096" t="s">
        <v>36</v>
      </c>
      <c r="AH1096">
        <v>48</v>
      </c>
      <c r="AI1096" t="s">
        <v>23</v>
      </c>
      <c r="AJ1096">
        <v>5</v>
      </c>
      <c r="AK1096">
        <v>62</v>
      </c>
      <c r="AL1096">
        <v>0</v>
      </c>
      <c r="AM1096" t="s">
        <v>5</v>
      </c>
      <c r="AN1096">
        <v>1</v>
      </c>
      <c r="AO1096">
        <v>1</v>
      </c>
      <c r="AP1096">
        <v>0</v>
      </c>
      <c r="AQ1096">
        <v>1</v>
      </c>
    </row>
    <row r="1097" spans="1:43" x14ac:dyDescent="0.25">
      <c r="A1097" t="s">
        <v>1136</v>
      </c>
      <c r="B1097" t="s">
        <v>1135</v>
      </c>
      <c r="C1097" t="s">
        <v>1134</v>
      </c>
      <c r="D1097" s="1">
        <v>45926</v>
      </c>
      <c r="E1097" t="s">
        <v>168</v>
      </c>
      <c r="F1097" t="s">
        <v>233</v>
      </c>
      <c r="G1097" t="s">
        <v>56</v>
      </c>
      <c r="H1097" t="s">
        <v>77</v>
      </c>
      <c r="I1097" t="s">
        <v>28</v>
      </c>
      <c r="J1097" t="s">
        <v>14</v>
      </c>
      <c r="K1097" t="s">
        <v>13</v>
      </c>
      <c r="L1097" t="s">
        <v>42</v>
      </c>
      <c r="M1097" t="s">
        <v>11</v>
      </c>
      <c r="N1097" t="s">
        <v>75</v>
      </c>
      <c r="O1097" t="s">
        <v>193</v>
      </c>
      <c r="P1097" t="s">
        <v>39</v>
      </c>
      <c r="Q1097" t="s">
        <v>7</v>
      </c>
      <c r="R1097" t="s">
        <v>6</v>
      </c>
      <c r="S1097">
        <v>9</v>
      </c>
      <c r="T1097">
        <v>9</v>
      </c>
      <c r="U1097">
        <v>182</v>
      </c>
      <c r="V1097" t="s">
        <v>0</v>
      </c>
      <c r="W1097" t="s">
        <v>181</v>
      </c>
      <c r="X1097" t="s">
        <v>0</v>
      </c>
      <c r="Y1097" t="s">
        <v>4</v>
      </c>
      <c r="Z1097" t="s">
        <v>0</v>
      </c>
      <c r="AA1097">
        <v>0</v>
      </c>
      <c r="AB1097">
        <v>0</v>
      </c>
      <c r="AC1097">
        <v>0</v>
      </c>
      <c r="AD1097" t="s">
        <v>3</v>
      </c>
      <c r="AE1097" t="s">
        <v>0</v>
      </c>
      <c r="AF1097" t="s">
        <v>3</v>
      </c>
      <c r="AG1097" t="s">
        <v>2</v>
      </c>
      <c r="AI1097" t="s">
        <v>129</v>
      </c>
      <c r="AJ1097">
        <v>2</v>
      </c>
      <c r="AK1097">
        <v>-4</v>
      </c>
      <c r="AL1097">
        <v>1</v>
      </c>
      <c r="AM1097" t="s">
        <v>0</v>
      </c>
      <c r="AN1097">
        <v>0</v>
      </c>
      <c r="AO1097">
        <v>0</v>
      </c>
      <c r="AP1097">
        <v>0</v>
      </c>
      <c r="AQ1097">
        <v>0</v>
      </c>
    </row>
    <row r="1098" spans="1:43" x14ac:dyDescent="0.25">
      <c r="A1098" t="s">
        <v>1133</v>
      </c>
      <c r="B1098" t="s">
        <v>1132</v>
      </c>
      <c r="C1098" t="s">
        <v>1131</v>
      </c>
      <c r="D1098" s="1">
        <v>45899</v>
      </c>
      <c r="E1098" t="s">
        <v>168</v>
      </c>
      <c r="F1098" t="s">
        <v>233</v>
      </c>
      <c r="G1098" t="s">
        <v>131</v>
      </c>
      <c r="H1098" t="s">
        <v>77</v>
      </c>
      <c r="I1098" t="s">
        <v>28</v>
      </c>
      <c r="J1098" t="s">
        <v>14</v>
      </c>
      <c r="K1098" t="s">
        <v>13</v>
      </c>
      <c r="L1098" t="s">
        <v>42</v>
      </c>
      <c r="M1098" t="s">
        <v>11</v>
      </c>
      <c r="N1098" t="s">
        <v>93</v>
      </c>
      <c r="O1098" t="s">
        <v>40</v>
      </c>
      <c r="P1098" t="s">
        <v>63</v>
      </c>
      <c r="Q1098" t="s">
        <v>198</v>
      </c>
      <c r="R1098" t="s">
        <v>38</v>
      </c>
      <c r="S1098">
        <v>8</v>
      </c>
      <c r="T1098">
        <v>8</v>
      </c>
      <c r="U1098">
        <v>190</v>
      </c>
      <c r="V1098" t="s">
        <v>0</v>
      </c>
      <c r="W1098" t="s">
        <v>5</v>
      </c>
      <c r="X1098" t="s">
        <v>0</v>
      </c>
      <c r="Y1098" t="s">
        <v>4</v>
      </c>
      <c r="Z1098" t="s">
        <v>5</v>
      </c>
      <c r="AA1098">
        <v>358.75</v>
      </c>
      <c r="AB1098">
        <v>2.31</v>
      </c>
      <c r="AC1098">
        <v>0</v>
      </c>
      <c r="AD1098" t="s">
        <v>3</v>
      </c>
      <c r="AE1098" t="s">
        <v>0</v>
      </c>
      <c r="AF1098" t="s">
        <v>3</v>
      </c>
      <c r="AG1098" t="s">
        <v>2</v>
      </c>
      <c r="AI1098" t="s">
        <v>23</v>
      </c>
      <c r="AJ1098">
        <v>4</v>
      </c>
      <c r="AK1098">
        <v>-10</v>
      </c>
      <c r="AL1098">
        <v>0</v>
      </c>
      <c r="AM1098" t="s">
        <v>0</v>
      </c>
      <c r="AN1098">
        <v>1</v>
      </c>
      <c r="AO1098">
        <v>1</v>
      </c>
      <c r="AP1098">
        <v>0</v>
      </c>
      <c r="AQ1098">
        <v>0</v>
      </c>
    </row>
    <row r="1099" spans="1:43" x14ac:dyDescent="0.25">
      <c r="A1099" t="s">
        <v>1130</v>
      </c>
      <c r="B1099" t="s">
        <v>1129</v>
      </c>
      <c r="C1099" t="s">
        <v>1128</v>
      </c>
      <c r="D1099" s="1">
        <v>45698</v>
      </c>
      <c r="E1099" t="s">
        <v>32</v>
      </c>
      <c r="F1099" t="s">
        <v>1127</v>
      </c>
      <c r="G1099" t="s">
        <v>110</v>
      </c>
      <c r="H1099" t="s">
        <v>77</v>
      </c>
      <c r="I1099" t="s">
        <v>28</v>
      </c>
      <c r="J1099" t="s">
        <v>146</v>
      </c>
      <c r="K1099" t="s">
        <v>460</v>
      </c>
      <c r="L1099" t="s">
        <v>117</v>
      </c>
      <c r="M1099" t="s">
        <v>11</v>
      </c>
      <c r="N1099" t="s">
        <v>41</v>
      </c>
      <c r="O1099" t="s">
        <v>193</v>
      </c>
      <c r="P1099" t="s">
        <v>39</v>
      </c>
      <c r="Q1099" t="s">
        <v>7</v>
      </c>
      <c r="R1099" t="s">
        <v>6</v>
      </c>
      <c r="S1099">
        <v>9</v>
      </c>
      <c r="T1099">
        <v>9</v>
      </c>
      <c r="U1099">
        <v>210</v>
      </c>
      <c r="V1099" t="s">
        <v>0</v>
      </c>
      <c r="W1099" t="s">
        <v>0</v>
      </c>
      <c r="X1099" t="s">
        <v>0</v>
      </c>
      <c r="Y1099" t="s">
        <v>4</v>
      </c>
      <c r="Z1099" t="s">
        <v>0</v>
      </c>
      <c r="AA1099">
        <v>0</v>
      </c>
      <c r="AB1099">
        <v>0</v>
      </c>
      <c r="AC1099">
        <v>0</v>
      </c>
      <c r="AD1099" t="s">
        <v>3</v>
      </c>
      <c r="AE1099" t="s">
        <v>0</v>
      </c>
      <c r="AF1099" t="s">
        <v>3</v>
      </c>
      <c r="AG1099" t="s">
        <v>2</v>
      </c>
      <c r="AI1099" t="s">
        <v>332</v>
      </c>
      <c r="AJ1099">
        <v>3</v>
      </c>
      <c r="AK1099">
        <v>-12</v>
      </c>
      <c r="AL1099">
        <v>33</v>
      </c>
      <c r="AM1099" t="s">
        <v>0</v>
      </c>
      <c r="AN1099">
        <v>0</v>
      </c>
      <c r="AO1099">
        <v>0</v>
      </c>
      <c r="AP1099">
        <v>0</v>
      </c>
      <c r="AQ1099">
        <v>0</v>
      </c>
    </row>
    <row r="1100" spans="1:43" x14ac:dyDescent="0.25">
      <c r="A1100" t="s">
        <v>1126</v>
      </c>
      <c r="B1100" t="s">
        <v>1125</v>
      </c>
      <c r="C1100" t="s">
        <v>1124</v>
      </c>
      <c r="D1100" s="1">
        <v>45751</v>
      </c>
      <c r="E1100" t="s">
        <v>112</v>
      </c>
      <c r="F1100" t="s">
        <v>642</v>
      </c>
      <c r="G1100" t="s">
        <v>56</v>
      </c>
      <c r="H1100" t="s">
        <v>77</v>
      </c>
      <c r="I1100" t="s">
        <v>15</v>
      </c>
      <c r="J1100" t="s">
        <v>55</v>
      </c>
      <c r="K1100" t="s">
        <v>54</v>
      </c>
      <c r="L1100" t="s">
        <v>64</v>
      </c>
      <c r="M1100" t="s">
        <v>11</v>
      </c>
      <c r="N1100" t="s">
        <v>52</v>
      </c>
      <c r="O1100" t="s">
        <v>199</v>
      </c>
      <c r="P1100" t="s">
        <v>39</v>
      </c>
      <c r="Q1100" t="s">
        <v>24</v>
      </c>
      <c r="R1100" t="s">
        <v>6</v>
      </c>
      <c r="S1100">
        <v>5</v>
      </c>
      <c r="T1100">
        <v>5</v>
      </c>
      <c r="U1100">
        <v>131</v>
      </c>
      <c r="V1100" t="s">
        <v>0</v>
      </c>
      <c r="W1100" t="s">
        <v>5</v>
      </c>
      <c r="X1100" t="s">
        <v>5</v>
      </c>
      <c r="Y1100" t="s">
        <v>282</v>
      </c>
      <c r="Z1100" t="s">
        <v>5</v>
      </c>
      <c r="AA1100">
        <v>52.53</v>
      </c>
      <c r="AB1100">
        <v>0</v>
      </c>
      <c r="AC1100">
        <v>0</v>
      </c>
      <c r="AD1100" t="s">
        <v>3</v>
      </c>
      <c r="AE1100" t="s">
        <v>0</v>
      </c>
      <c r="AF1100" t="s">
        <v>3</v>
      </c>
      <c r="AG1100" t="s">
        <v>2</v>
      </c>
      <c r="AI1100" t="s">
        <v>23</v>
      </c>
      <c r="AJ1100">
        <v>3</v>
      </c>
      <c r="AK1100">
        <v>6</v>
      </c>
      <c r="AL1100">
        <v>11</v>
      </c>
      <c r="AM1100" t="s">
        <v>5</v>
      </c>
      <c r="AN1100">
        <v>1</v>
      </c>
      <c r="AO1100">
        <v>1</v>
      </c>
      <c r="AP1100">
        <v>1</v>
      </c>
      <c r="AQ1100">
        <v>1</v>
      </c>
    </row>
    <row r="1101" spans="1:43" x14ac:dyDescent="0.25">
      <c r="A1101" t="s">
        <v>1123</v>
      </c>
      <c r="B1101" t="s">
        <v>1122</v>
      </c>
      <c r="C1101" t="s">
        <v>1121</v>
      </c>
      <c r="D1101" s="1">
        <v>46203</v>
      </c>
      <c r="E1101" t="s">
        <v>32</v>
      </c>
      <c r="F1101" t="s">
        <v>31</v>
      </c>
      <c r="G1101" t="s">
        <v>30</v>
      </c>
      <c r="H1101" t="s">
        <v>29</v>
      </c>
      <c r="I1101" t="s">
        <v>15</v>
      </c>
      <c r="J1101" t="s">
        <v>14</v>
      </c>
      <c r="K1101" t="s">
        <v>13</v>
      </c>
      <c r="L1101" t="s">
        <v>117</v>
      </c>
      <c r="M1101" t="s">
        <v>11</v>
      </c>
      <c r="N1101" t="s">
        <v>75</v>
      </c>
      <c r="O1101" t="s">
        <v>26</v>
      </c>
      <c r="P1101" t="s">
        <v>63</v>
      </c>
      <c r="Q1101" t="s">
        <v>7</v>
      </c>
      <c r="R1101" t="s">
        <v>6</v>
      </c>
      <c r="S1101">
        <v>4</v>
      </c>
      <c r="T1101">
        <v>4</v>
      </c>
      <c r="U1101">
        <v>85</v>
      </c>
      <c r="V1101" t="s">
        <v>0</v>
      </c>
      <c r="W1101" t="s">
        <v>5</v>
      </c>
      <c r="X1101" t="s">
        <v>0</v>
      </c>
      <c r="Y1101" t="s">
        <v>4</v>
      </c>
      <c r="Z1101" t="s">
        <v>5</v>
      </c>
      <c r="AA1101">
        <v>106.47</v>
      </c>
      <c r="AB1101">
        <v>0.2</v>
      </c>
      <c r="AC1101">
        <v>0</v>
      </c>
      <c r="AD1101" t="s">
        <v>3</v>
      </c>
      <c r="AE1101" t="s">
        <v>0</v>
      </c>
      <c r="AF1101" t="s">
        <v>3</v>
      </c>
      <c r="AG1101" t="s">
        <v>2</v>
      </c>
      <c r="AI1101" t="s">
        <v>23</v>
      </c>
      <c r="AJ1101">
        <v>4</v>
      </c>
      <c r="AK1101">
        <v>23</v>
      </c>
      <c r="AL1101" t="s">
        <v>347</v>
      </c>
      <c r="AM1101" t="s">
        <v>5</v>
      </c>
      <c r="AN1101">
        <v>1</v>
      </c>
      <c r="AO1101">
        <v>1</v>
      </c>
      <c r="AP1101">
        <v>0</v>
      </c>
      <c r="AQ1101">
        <v>1</v>
      </c>
    </row>
    <row r="1102" spans="1:43" x14ac:dyDescent="0.25">
      <c r="A1102" t="s">
        <v>1120</v>
      </c>
      <c r="B1102" t="s">
        <v>1119</v>
      </c>
      <c r="C1102" t="s">
        <v>1118</v>
      </c>
      <c r="D1102" s="1">
        <v>45699</v>
      </c>
      <c r="E1102" t="s">
        <v>32</v>
      </c>
      <c r="F1102" t="s">
        <v>382</v>
      </c>
      <c r="G1102" t="s">
        <v>131</v>
      </c>
      <c r="H1102" t="s">
        <v>77</v>
      </c>
      <c r="I1102" t="s">
        <v>15</v>
      </c>
      <c r="J1102" t="s">
        <v>14</v>
      </c>
      <c r="K1102" t="s">
        <v>13</v>
      </c>
      <c r="L1102" t="s">
        <v>64</v>
      </c>
      <c r="M1102" t="s">
        <v>11</v>
      </c>
      <c r="N1102" t="s">
        <v>154</v>
      </c>
      <c r="O1102" t="s">
        <v>40</v>
      </c>
      <c r="P1102" t="s">
        <v>39</v>
      </c>
      <c r="Q1102" t="s">
        <v>24</v>
      </c>
      <c r="R1102" t="s">
        <v>38</v>
      </c>
      <c r="S1102">
        <v>8</v>
      </c>
      <c r="T1102">
        <v>6</v>
      </c>
      <c r="U1102">
        <v>313</v>
      </c>
      <c r="V1102" t="s">
        <v>5</v>
      </c>
      <c r="W1102" t="s">
        <v>5</v>
      </c>
      <c r="X1102" t="s">
        <v>0</v>
      </c>
      <c r="Y1102" t="s">
        <v>4</v>
      </c>
      <c r="Z1102" t="s">
        <v>5</v>
      </c>
      <c r="AA1102">
        <v>399.08</v>
      </c>
      <c r="AB1102">
        <v>2.81</v>
      </c>
      <c r="AC1102">
        <v>0</v>
      </c>
      <c r="AD1102" t="s">
        <v>3</v>
      </c>
      <c r="AE1102" t="s">
        <v>0</v>
      </c>
      <c r="AF1102" t="s">
        <v>3</v>
      </c>
      <c r="AG1102" t="s">
        <v>2</v>
      </c>
      <c r="AI1102" t="s">
        <v>23</v>
      </c>
      <c r="AJ1102">
        <v>3</v>
      </c>
      <c r="AK1102">
        <v>5</v>
      </c>
      <c r="AL1102">
        <v>29</v>
      </c>
      <c r="AM1102" t="s">
        <v>5</v>
      </c>
      <c r="AN1102">
        <v>1</v>
      </c>
      <c r="AO1102">
        <v>1</v>
      </c>
      <c r="AP1102">
        <v>0</v>
      </c>
      <c r="AQ1102">
        <v>1</v>
      </c>
    </row>
    <row r="1103" spans="1:43" x14ac:dyDescent="0.25">
      <c r="A1103" t="s">
        <v>1117</v>
      </c>
      <c r="B1103" t="s">
        <v>1116</v>
      </c>
      <c r="C1103" t="s">
        <v>1115</v>
      </c>
      <c r="D1103" s="1">
        <v>46089</v>
      </c>
      <c r="E1103" t="s">
        <v>162</v>
      </c>
      <c r="F1103" t="s">
        <v>161</v>
      </c>
      <c r="G1103" t="s">
        <v>17</v>
      </c>
      <c r="H1103" t="s">
        <v>29</v>
      </c>
      <c r="I1103" t="s">
        <v>15</v>
      </c>
      <c r="J1103" t="s">
        <v>14</v>
      </c>
      <c r="K1103" t="s">
        <v>13</v>
      </c>
      <c r="L1103" t="s">
        <v>64</v>
      </c>
      <c r="M1103" t="s">
        <v>27</v>
      </c>
      <c r="N1103" t="s">
        <v>52</v>
      </c>
      <c r="O1103" t="s">
        <v>51</v>
      </c>
      <c r="P1103" t="s">
        <v>39</v>
      </c>
      <c r="Q1103" t="s">
        <v>50</v>
      </c>
      <c r="R1103" t="s">
        <v>6</v>
      </c>
      <c r="S1103">
        <v>6</v>
      </c>
      <c r="T1103">
        <v>6</v>
      </c>
      <c r="U1103">
        <v>139</v>
      </c>
      <c r="V1103" t="s">
        <v>0</v>
      </c>
      <c r="W1103" t="s">
        <v>5</v>
      </c>
      <c r="X1103" t="s">
        <v>0</v>
      </c>
      <c r="Y1103" t="s">
        <v>4</v>
      </c>
      <c r="Z1103" t="s">
        <v>5</v>
      </c>
      <c r="AA1103">
        <v>18.57</v>
      </c>
      <c r="AB1103">
        <v>0.11</v>
      </c>
      <c r="AC1103">
        <v>0.37</v>
      </c>
      <c r="AD1103" t="s">
        <v>3</v>
      </c>
      <c r="AE1103" t="s">
        <v>0</v>
      </c>
      <c r="AF1103" t="s">
        <v>3</v>
      </c>
      <c r="AG1103" t="s">
        <v>2</v>
      </c>
      <c r="AI1103" t="s">
        <v>23</v>
      </c>
      <c r="AJ1103">
        <v>5</v>
      </c>
      <c r="AK1103">
        <v>-38</v>
      </c>
      <c r="AL1103">
        <v>42</v>
      </c>
      <c r="AM1103" t="s">
        <v>0</v>
      </c>
      <c r="AN1103">
        <v>1</v>
      </c>
      <c r="AO1103">
        <v>1</v>
      </c>
      <c r="AP1103">
        <v>0</v>
      </c>
      <c r="AQ1103">
        <v>0</v>
      </c>
    </row>
    <row r="1104" spans="1:43" x14ac:dyDescent="0.25">
      <c r="A1104" t="s">
        <v>1114</v>
      </c>
      <c r="B1104" t="s">
        <v>1113</v>
      </c>
      <c r="C1104" t="s">
        <v>1112</v>
      </c>
      <c r="D1104" s="1">
        <v>45776</v>
      </c>
      <c r="E1104" t="s">
        <v>45</v>
      </c>
      <c r="F1104" t="s">
        <v>44</v>
      </c>
      <c r="G1104" t="s">
        <v>123</v>
      </c>
      <c r="H1104" t="s">
        <v>43</v>
      </c>
      <c r="I1104" t="s">
        <v>28</v>
      </c>
      <c r="J1104" t="s">
        <v>55</v>
      </c>
      <c r="K1104" t="s">
        <v>65</v>
      </c>
      <c r="L1104" t="s">
        <v>64</v>
      </c>
      <c r="M1104" t="s">
        <v>11</v>
      </c>
      <c r="N1104" t="s">
        <v>52</v>
      </c>
      <c r="O1104" t="s">
        <v>101</v>
      </c>
      <c r="P1104" t="s">
        <v>8</v>
      </c>
      <c r="Q1104" t="s">
        <v>198</v>
      </c>
      <c r="R1104" t="s">
        <v>6</v>
      </c>
      <c r="S1104">
        <v>4</v>
      </c>
      <c r="T1104">
        <v>3</v>
      </c>
      <c r="U1104">
        <v>205</v>
      </c>
      <c r="V1104" t="s">
        <v>5</v>
      </c>
      <c r="W1104" t="s">
        <v>0</v>
      </c>
      <c r="X1104" t="s">
        <v>0</v>
      </c>
      <c r="Y1104" t="s">
        <v>4</v>
      </c>
      <c r="Z1104" t="s">
        <v>5</v>
      </c>
      <c r="AA1104">
        <v>60.91</v>
      </c>
      <c r="AB1104">
        <v>0.56000000000000005</v>
      </c>
      <c r="AC1104">
        <v>0</v>
      </c>
      <c r="AD1104" t="s">
        <v>3</v>
      </c>
      <c r="AE1104" t="s">
        <v>0</v>
      </c>
      <c r="AF1104" t="s">
        <v>3</v>
      </c>
      <c r="AG1104" t="s">
        <v>2</v>
      </c>
      <c r="AI1104" t="s">
        <v>129</v>
      </c>
      <c r="AJ1104">
        <v>2</v>
      </c>
      <c r="AK1104">
        <v>-5</v>
      </c>
      <c r="AL1104">
        <v>60</v>
      </c>
      <c r="AM1104" t="s">
        <v>5</v>
      </c>
      <c r="AN1104">
        <v>0</v>
      </c>
      <c r="AO1104">
        <v>1</v>
      </c>
      <c r="AP1104">
        <v>0</v>
      </c>
      <c r="AQ1104">
        <v>1</v>
      </c>
    </row>
    <row r="1105" spans="1:43" x14ac:dyDescent="0.25">
      <c r="A1105" t="s">
        <v>1111</v>
      </c>
      <c r="B1105" t="s">
        <v>1110</v>
      </c>
      <c r="C1105" t="s">
        <v>1109</v>
      </c>
      <c r="D1105" s="1">
        <v>45827</v>
      </c>
      <c r="E1105" t="s">
        <v>156</v>
      </c>
      <c r="F1105" t="s">
        <v>325</v>
      </c>
      <c r="G1105" t="s">
        <v>123</v>
      </c>
      <c r="H1105" t="s">
        <v>16</v>
      </c>
      <c r="I1105" t="s">
        <v>15</v>
      </c>
      <c r="J1105" t="s">
        <v>146</v>
      </c>
      <c r="K1105" t="s">
        <v>176</v>
      </c>
      <c r="L1105" t="s">
        <v>88</v>
      </c>
      <c r="M1105" t="s">
        <v>53</v>
      </c>
      <c r="N1105" t="s">
        <v>75</v>
      </c>
      <c r="O1105" t="s">
        <v>9</v>
      </c>
      <c r="P1105" t="s">
        <v>63</v>
      </c>
      <c r="Q1105" t="s">
        <v>7</v>
      </c>
      <c r="R1105" t="s">
        <v>6</v>
      </c>
      <c r="S1105">
        <v>7</v>
      </c>
      <c r="T1105">
        <v>7</v>
      </c>
      <c r="U1105">
        <v>132</v>
      </c>
      <c r="V1105" t="s">
        <v>0</v>
      </c>
      <c r="W1105" t="s">
        <v>5</v>
      </c>
      <c r="X1105" t="s">
        <v>0</v>
      </c>
      <c r="Y1105" t="s">
        <v>4</v>
      </c>
      <c r="Z1105" t="s">
        <v>5</v>
      </c>
      <c r="AA1105">
        <v>0</v>
      </c>
      <c r="AB1105">
        <v>0</v>
      </c>
      <c r="AC1105">
        <v>0.17</v>
      </c>
      <c r="AD1105" t="s">
        <v>3</v>
      </c>
      <c r="AE1105" t="s">
        <v>0</v>
      </c>
      <c r="AF1105" t="s">
        <v>3</v>
      </c>
      <c r="AG1105" t="s">
        <v>2</v>
      </c>
      <c r="AI1105" t="s">
        <v>23</v>
      </c>
      <c r="AJ1105">
        <v>4</v>
      </c>
      <c r="AK1105">
        <v>8</v>
      </c>
      <c r="AL1105">
        <v>0</v>
      </c>
      <c r="AM1105" t="s">
        <v>5</v>
      </c>
      <c r="AN1105">
        <v>1</v>
      </c>
      <c r="AO1105">
        <v>1</v>
      </c>
      <c r="AP1105">
        <v>0</v>
      </c>
      <c r="AQ1105">
        <v>1</v>
      </c>
    </row>
    <row r="1106" spans="1:43" x14ac:dyDescent="0.25">
      <c r="A1106" t="s">
        <v>1108</v>
      </c>
      <c r="B1106" t="s">
        <v>1107</v>
      </c>
      <c r="C1106" t="s">
        <v>1106</v>
      </c>
      <c r="D1106" s="1">
        <v>45725</v>
      </c>
      <c r="E1106" t="s">
        <v>79</v>
      </c>
      <c r="F1106" t="s">
        <v>223</v>
      </c>
      <c r="G1106" t="s">
        <v>30</v>
      </c>
      <c r="H1106" t="s">
        <v>29</v>
      </c>
      <c r="I1106" t="s">
        <v>15</v>
      </c>
      <c r="J1106" t="s">
        <v>55</v>
      </c>
      <c r="K1106" t="s">
        <v>54</v>
      </c>
      <c r="L1106" t="s">
        <v>88</v>
      </c>
      <c r="M1106" t="s">
        <v>53</v>
      </c>
      <c r="N1106" t="s">
        <v>75</v>
      </c>
      <c r="O1106" t="s">
        <v>199</v>
      </c>
      <c r="P1106" t="s">
        <v>25</v>
      </c>
      <c r="Q1106" t="s">
        <v>198</v>
      </c>
      <c r="R1106" t="s">
        <v>6</v>
      </c>
      <c r="S1106">
        <v>5</v>
      </c>
      <c r="T1106">
        <v>5</v>
      </c>
      <c r="U1106">
        <v>127</v>
      </c>
      <c r="V1106" t="s">
        <v>0</v>
      </c>
      <c r="W1106" t="s">
        <v>5</v>
      </c>
      <c r="X1106" t="s">
        <v>0</v>
      </c>
      <c r="Y1106" t="s">
        <v>4</v>
      </c>
      <c r="Z1106" t="s">
        <v>0</v>
      </c>
      <c r="AA1106">
        <v>0</v>
      </c>
      <c r="AB1106">
        <v>0</v>
      </c>
      <c r="AC1106">
        <v>0</v>
      </c>
      <c r="AD1106" t="s">
        <v>3</v>
      </c>
      <c r="AE1106" t="s">
        <v>0</v>
      </c>
      <c r="AF1106" t="s">
        <v>3</v>
      </c>
      <c r="AG1106" t="s">
        <v>2</v>
      </c>
      <c r="AI1106" t="s">
        <v>23</v>
      </c>
      <c r="AJ1106">
        <v>4</v>
      </c>
      <c r="AK1106">
        <v>46</v>
      </c>
      <c r="AL1106">
        <v>24</v>
      </c>
      <c r="AM1106" t="s">
        <v>0</v>
      </c>
      <c r="AN1106">
        <v>1</v>
      </c>
      <c r="AO1106">
        <v>0</v>
      </c>
      <c r="AP1106">
        <v>0</v>
      </c>
      <c r="AQ1106">
        <v>0</v>
      </c>
    </row>
    <row r="1107" spans="1:43" x14ac:dyDescent="0.25">
      <c r="A1107" t="s">
        <v>1105</v>
      </c>
      <c r="B1107" t="s">
        <v>935</v>
      </c>
      <c r="C1107" t="s">
        <v>1104</v>
      </c>
      <c r="D1107" s="1">
        <v>45659</v>
      </c>
      <c r="E1107" t="s">
        <v>149</v>
      </c>
      <c r="F1107" t="s">
        <v>248</v>
      </c>
      <c r="G1107" t="s">
        <v>30</v>
      </c>
      <c r="H1107" t="s">
        <v>29</v>
      </c>
      <c r="I1107" t="s">
        <v>15</v>
      </c>
      <c r="J1107" t="s">
        <v>146</v>
      </c>
      <c r="K1107" t="s">
        <v>145</v>
      </c>
      <c r="L1107" t="s">
        <v>42</v>
      </c>
      <c r="M1107" t="s">
        <v>11</v>
      </c>
      <c r="N1107" t="s">
        <v>52</v>
      </c>
      <c r="O1107" t="s">
        <v>26</v>
      </c>
      <c r="P1107" t="s">
        <v>63</v>
      </c>
      <c r="Q1107" t="s">
        <v>7</v>
      </c>
      <c r="R1107" t="s">
        <v>6</v>
      </c>
      <c r="S1107" t="s">
        <v>99</v>
      </c>
      <c r="T1107" t="s">
        <v>99</v>
      </c>
      <c r="U1107">
        <v>120</v>
      </c>
      <c r="V1107" t="s">
        <v>0</v>
      </c>
      <c r="W1107" t="s">
        <v>5</v>
      </c>
      <c r="X1107" t="s">
        <v>0</v>
      </c>
      <c r="Y1107" t="s">
        <v>4</v>
      </c>
      <c r="Z1107" t="s">
        <v>5</v>
      </c>
      <c r="AA1107">
        <v>147.80000000000001</v>
      </c>
      <c r="AB1107">
        <v>0.2</v>
      </c>
      <c r="AC1107">
        <v>0</v>
      </c>
      <c r="AD1107" t="s">
        <v>3</v>
      </c>
      <c r="AE1107" t="s">
        <v>0</v>
      </c>
      <c r="AF1107" t="s">
        <v>3</v>
      </c>
      <c r="AG1107" t="s">
        <v>2</v>
      </c>
      <c r="AI1107" t="s">
        <v>23</v>
      </c>
      <c r="AJ1107">
        <v>4</v>
      </c>
      <c r="AK1107">
        <v>36</v>
      </c>
      <c r="AL1107">
        <v>0</v>
      </c>
      <c r="AM1107" t="s">
        <v>5</v>
      </c>
      <c r="AN1107">
        <v>1</v>
      </c>
      <c r="AO1107">
        <v>1</v>
      </c>
      <c r="AP1107">
        <v>0</v>
      </c>
      <c r="AQ1107">
        <v>1</v>
      </c>
    </row>
    <row r="1108" spans="1:43" x14ac:dyDescent="0.25">
      <c r="A1108" t="s">
        <v>1103</v>
      </c>
      <c r="B1108" t="s">
        <v>1102</v>
      </c>
      <c r="C1108" t="s">
        <v>1101</v>
      </c>
      <c r="D1108" s="1">
        <v>46190</v>
      </c>
      <c r="E1108" t="s">
        <v>68</v>
      </c>
      <c r="F1108" t="s">
        <v>278</v>
      </c>
      <c r="G1108" t="s">
        <v>123</v>
      </c>
      <c r="H1108" t="s">
        <v>43</v>
      </c>
      <c r="I1108" t="s">
        <v>28</v>
      </c>
      <c r="J1108" t="s">
        <v>55</v>
      </c>
      <c r="K1108" t="s">
        <v>54</v>
      </c>
      <c r="L1108" t="s">
        <v>64</v>
      </c>
      <c r="M1108" t="s">
        <v>53</v>
      </c>
      <c r="N1108" t="s">
        <v>10</v>
      </c>
      <c r="O1108" t="s">
        <v>193</v>
      </c>
      <c r="P1108" t="s">
        <v>39</v>
      </c>
      <c r="Q1108" t="s">
        <v>50</v>
      </c>
      <c r="R1108" t="s">
        <v>6</v>
      </c>
      <c r="S1108">
        <v>9</v>
      </c>
      <c r="T1108">
        <v>6</v>
      </c>
      <c r="U1108">
        <v>280</v>
      </c>
      <c r="V1108" t="s">
        <v>5</v>
      </c>
      <c r="W1108" t="s">
        <v>0</v>
      </c>
      <c r="X1108" t="s">
        <v>0</v>
      </c>
      <c r="Y1108" t="s">
        <v>4</v>
      </c>
      <c r="Z1108" t="s">
        <v>0</v>
      </c>
      <c r="AA1108">
        <v>0</v>
      </c>
      <c r="AB1108">
        <v>0</v>
      </c>
      <c r="AC1108">
        <v>0</v>
      </c>
      <c r="AD1108" t="s">
        <v>3</v>
      </c>
      <c r="AE1108" t="s">
        <v>0</v>
      </c>
      <c r="AF1108" t="s">
        <v>3</v>
      </c>
      <c r="AG1108" t="s">
        <v>2</v>
      </c>
      <c r="AI1108" t="s">
        <v>1</v>
      </c>
      <c r="AJ1108">
        <v>1</v>
      </c>
      <c r="AK1108">
        <v>-66</v>
      </c>
      <c r="AL1108" t="s">
        <v>1100</v>
      </c>
      <c r="AM1108" t="s">
        <v>0</v>
      </c>
      <c r="AN1108">
        <v>0</v>
      </c>
      <c r="AO1108">
        <v>0</v>
      </c>
      <c r="AP1108">
        <v>0</v>
      </c>
      <c r="AQ1108">
        <v>0</v>
      </c>
    </row>
    <row r="1109" spans="1:43" x14ac:dyDescent="0.25">
      <c r="A1109" t="s">
        <v>1099</v>
      </c>
      <c r="B1109" t="s">
        <v>1098</v>
      </c>
      <c r="C1109" t="s">
        <v>1097</v>
      </c>
      <c r="D1109" s="1">
        <v>45676</v>
      </c>
      <c r="E1109" t="s">
        <v>149</v>
      </c>
      <c r="F1109" t="s">
        <v>148</v>
      </c>
      <c r="G1109" t="s">
        <v>83</v>
      </c>
      <c r="H1109" t="s">
        <v>29</v>
      </c>
      <c r="I1109" t="s">
        <v>15</v>
      </c>
      <c r="J1109" t="s">
        <v>14</v>
      </c>
      <c r="K1109" t="s">
        <v>13</v>
      </c>
      <c r="L1109" t="s">
        <v>117</v>
      </c>
      <c r="M1109" t="s">
        <v>27</v>
      </c>
      <c r="N1109" t="s">
        <v>10</v>
      </c>
      <c r="O1109" t="s">
        <v>199</v>
      </c>
      <c r="P1109" t="s">
        <v>63</v>
      </c>
      <c r="Q1109" t="s">
        <v>198</v>
      </c>
      <c r="R1109" t="s">
        <v>6</v>
      </c>
      <c r="S1109">
        <v>5</v>
      </c>
      <c r="T1109">
        <v>3</v>
      </c>
      <c r="U1109">
        <v>209</v>
      </c>
      <c r="V1109" t="s">
        <v>5</v>
      </c>
      <c r="W1109" t="s">
        <v>5</v>
      </c>
      <c r="X1109" t="s">
        <v>0</v>
      </c>
      <c r="Y1109" t="s">
        <v>4</v>
      </c>
      <c r="Z1109" t="s">
        <v>0</v>
      </c>
      <c r="AA1109">
        <v>0</v>
      </c>
      <c r="AB1109">
        <v>0</v>
      </c>
      <c r="AC1109">
        <v>0</v>
      </c>
      <c r="AD1109" t="s">
        <v>37</v>
      </c>
      <c r="AE1109" t="s">
        <v>5</v>
      </c>
      <c r="AF1109" t="s">
        <v>37</v>
      </c>
      <c r="AG1109" t="s">
        <v>36</v>
      </c>
      <c r="AH1109">
        <v>22</v>
      </c>
      <c r="AI1109" t="s">
        <v>23</v>
      </c>
      <c r="AJ1109">
        <v>3</v>
      </c>
      <c r="AK1109">
        <v>-25</v>
      </c>
      <c r="AL1109">
        <v>0</v>
      </c>
      <c r="AM1109" t="s">
        <v>5</v>
      </c>
      <c r="AN1109">
        <v>1</v>
      </c>
      <c r="AO1109">
        <v>0</v>
      </c>
      <c r="AP1109">
        <v>0</v>
      </c>
      <c r="AQ1109">
        <v>1</v>
      </c>
    </row>
    <row r="1110" spans="1:43" x14ac:dyDescent="0.25">
      <c r="A1110" t="s">
        <v>1096</v>
      </c>
      <c r="B1110" t="s">
        <v>445</v>
      </c>
      <c r="C1110" t="s">
        <v>1095</v>
      </c>
      <c r="D1110" s="1">
        <v>45737</v>
      </c>
      <c r="E1110" t="s">
        <v>19</v>
      </c>
      <c r="F1110" t="s">
        <v>18</v>
      </c>
      <c r="G1110" t="s">
        <v>131</v>
      </c>
      <c r="H1110" t="s">
        <v>77</v>
      </c>
      <c r="I1110" t="s">
        <v>28</v>
      </c>
      <c r="J1110" t="s">
        <v>55</v>
      </c>
      <c r="K1110" t="s">
        <v>54</v>
      </c>
      <c r="L1110" t="s">
        <v>64</v>
      </c>
      <c r="M1110" t="s">
        <v>11</v>
      </c>
      <c r="N1110" t="s">
        <v>10</v>
      </c>
      <c r="O1110" t="s">
        <v>26</v>
      </c>
      <c r="P1110" t="s">
        <v>39</v>
      </c>
      <c r="Q1110" t="s">
        <v>24</v>
      </c>
      <c r="R1110" t="s">
        <v>6</v>
      </c>
      <c r="S1110">
        <v>4</v>
      </c>
      <c r="T1110">
        <v>4</v>
      </c>
      <c r="U1110">
        <v>72</v>
      </c>
      <c r="V1110" t="s">
        <v>0</v>
      </c>
      <c r="W1110" t="s">
        <v>0</v>
      </c>
      <c r="X1110" t="s">
        <v>0</v>
      </c>
      <c r="Y1110" t="s">
        <v>4</v>
      </c>
      <c r="Z1110" t="s">
        <v>0</v>
      </c>
      <c r="AA1110">
        <v>0</v>
      </c>
      <c r="AB1110">
        <v>0</v>
      </c>
      <c r="AC1110">
        <v>0</v>
      </c>
      <c r="AD1110" t="s">
        <v>3</v>
      </c>
      <c r="AE1110" t="s">
        <v>0</v>
      </c>
      <c r="AF1110" t="s">
        <v>3</v>
      </c>
      <c r="AG1110" t="s">
        <v>2</v>
      </c>
      <c r="AI1110" t="s">
        <v>23</v>
      </c>
      <c r="AJ1110">
        <v>3</v>
      </c>
      <c r="AK1110">
        <v>15</v>
      </c>
      <c r="AL1110">
        <v>7</v>
      </c>
      <c r="AM1110" t="s">
        <v>0</v>
      </c>
      <c r="AN1110">
        <v>0</v>
      </c>
      <c r="AO1110">
        <v>0</v>
      </c>
      <c r="AP1110">
        <v>0</v>
      </c>
      <c r="AQ1110">
        <v>0</v>
      </c>
    </row>
    <row r="1111" spans="1:43" x14ac:dyDescent="0.25">
      <c r="A1111" t="s">
        <v>1094</v>
      </c>
      <c r="B1111" t="s">
        <v>1093</v>
      </c>
      <c r="C1111" t="s">
        <v>1092</v>
      </c>
      <c r="D1111" s="1">
        <v>45780</v>
      </c>
      <c r="E1111" t="s">
        <v>162</v>
      </c>
      <c r="F1111" t="s">
        <v>540</v>
      </c>
      <c r="G1111" t="s">
        <v>17</v>
      </c>
      <c r="H1111" t="s">
        <v>77</v>
      </c>
      <c r="I1111" t="s">
        <v>28</v>
      </c>
      <c r="J1111" t="s">
        <v>14</v>
      </c>
      <c r="K1111" t="s">
        <v>13</v>
      </c>
      <c r="L1111" t="s">
        <v>12</v>
      </c>
      <c r="M1111" t="s">
        <v>53</v>
      </c>
      <c r="N1111" t="s">
        <v>10</v>
      </c>
      <c r="O1111" t="s">
        <v>199</v>
      </c>
      <c r="P1111" t="s">
        <v>39</v>
      </c>
      <c r="Q1111" t="s">
        <v>24</v>
      </c>
      <c r="R1111" t="s">
        <v>6</v>
      </c>
      <c r="S1111">
        <v>5</v>
      </c>
      <c r="T1111">
        <v>4</v>
      </c>
      <c r="U1111">
        <v>203</v>
      </c>
      <c r="V1111" t="s">
        <v>5</v>
      </c>
      <c r="W1111" t="s">
        <v>0</v>
      </c>
      <c r="X1111" t="s">
        <v>5</v>
      </c>
      <c r="Y1111" t="s">
        <v>197</v>
      </c>
      <c r="Z1111" t="s">
        <v>0</v>
      </c>
      <c r="AA1111">
        <v>0</v>
      </c>
      <c r="AB1111">
        <v>0</v>
      </c>
      <c r="AC1111">
        <v>0</v>
      </c>
      <c r="AD1111" t="s">
        <v>3</v>
      </c>
      <c r="AE1111" t="s">
        <v>0</v>
      </c>
      <c r="AF1111" t="s">
        <v>3</v>
      </c>
      <c r="AG1111" t="s">
        <v>2</v>
      </c>
      <c r="AI1111" t="s">
        <v>122</v>
      </c>
      <c r="AJ1111">
        <v>2</v>
      </c>
      <c r="AK1111">
        <v>-12</v>
      </c>
      <c r="AL1111">
        <v>38</v>
      </c>
      <c r="AM1111" t="s">
        <v>0</v>
      </c>
      <c r="AN1111">
        <v>0</v>
      </c>
      <c r="AO1111">
        <v>0</v>
      </c>
      <c r="AP1111">
        <v>1</v>
      </c>
      <c r="AQ1111">
        <v>0</v>
      </c>
    </row>
    <row r="1112" spans="1:43" x14ac:dyDescent="0.25">
      <c r="A1112" t="s">
        <v>1091</v>
      </c>
      <c r="B1112" t="s">
        <v>1090</v>
      </c>
      <c r="C1112" t="s">
        <v>1089</v>
      </c>
      <c r="D1112" s="1">
        <v>45922</v>
      </c>
      <c r="E1112" t="s">
        <v>149</v>
      </c>
      <c r="F1112" t="s">
        <v>589</v>
      </c>
      <c r="G1112" t="s">
        <v>17</v>
      </c>
      <c r="H1112" t="s">
        <v>77</v>
      </c>
      <c r="I1112" t="s">
        <v>28</v>
      </c>
      <c r="J1112" t="s">
        <v>14</v>
      </c>
      <c r="K1112" t="s">
        <v>13</v>
      </c>
      <c r="L1112" t="s">
        <v>117</v>
      </c>
      <c r="M1112" t="s">
        <v>11</v>
      </c>
      <c r="N1112" t="s">
        <v>52</v>
      </c>
      <c r="O1112" t="s">
        <v>101</v>
      </c>
      <c r="P1112" t="s">
        <v>39</v>
      </c>
      <c r="Q1112" t="s">
        <v>7</v>
      </c>
      <c r="R1112" t="s">
        <v>6</v>
      </c>
      <c r="S1112">
        <v>4</v>
      </c>
      <c r="T1112" t="s">
        <v>99</v>
      </c>
      <c r="U1112">
        <v>103</v>
      </c>
      <c r="V1112" t="s">
        <v>0</v>
      </c>
      <c r="W1112" t="s">
        <v>5</v>
      </c>
      <c r="X1112" t="s">
        <v>0</v>
      </c>
      <c r="Y1112" t="s">
        <v>4</v>
      </c>
      <c r="Z1112" t="s">
        <v>5</v>
      </c>
      <c r="AA1112">
        <v>70.63</v>
      </c>
      <c r="AB1112">
        <v>0.52</v>
      </c>
      <c r="AC1112">
        <v>0</v>
      </c>
      <c r="AD1112" t="s">
        <v>3</v>
      </c>
      <c r="AE1112" t="s">
        <v>0</v>
      </c>
      <c r="AF1112" t="s">
        <v>3</v>
      </c>
      <c r="AG1112" t="s">
        <v>2</v>
      </c>
      <c r="AI1112" t="s">
        <v>23</v>
      </c>
      <c r="AJ1112">
        <v>3</v>
      </c>
      <c r="AK1112">
        <v>34</v>
      </c>
      <c r="AL1112">
        <v>18</v>
      </c>
      <c r="AM1112" t="s">
        <v>5</v>
      </c>
      <c r="AN1112">
        <v>1</v>
      </c>
      <c r="AO1112">
        <v>1</v>
      </c>
      <c r="AP1112">
        <v>0</v>
      </c>
      <c r="AQ1112">
        <v>1</v>
      </c>
    </row>
    <row r="1113" spans="1:43" x14ac:dyDescent="0.25">
      <c r="A1113" t="s">
        <v>1088</v>
      </c>
      <c r="B1113" t="s">
        <v>599</v>
      </c>
      <c r="C1113" t="s">
        <v>1087</v>
      </c>
      <c r="D1113" s="1">
        <v>45738</v>
      </c>
      <c r="E1113" t="s">
        <v>149</v>
      </c>
      <c r="F1113" t="s">
        <v>148</v>
      </c>
      <c r="G1113" t="s">
        <v>110</v>
      </c>
      <c r="H1113" t="s">
        <v>16</v>
      </c>
      <c r="I1113" t="s">
        <v>15</v>
      </c>
      <c r="J1113" t="s">
        <v>14</v>
      </c>
      <c r="K1113" t="s">
        <v>13</v>
      </c>
      <c r="L1113" t="s">
        <v>117</v>
      </c>
      <c r="M1113" t="s">
        <v>567</v>
      </c>
      <c r="N1113" t="s">
        <v>75</v>
      </c>
      <c r="O1113" t="s">
        <v>130</v>
      </c>
      <c r="P1113" t="s">
        <v>39</v>
      </c>
      <c r="Q1113" t="s">
        <v>198</v>
      </c>
      <c r="R1113" t="s">
        <v>6</v>
      </c>
      <c r="S1113">
        <v>5</v>
      </c>
      <c r="T1113" t="s">
        <v>277</v>
      </c>
      <c r="U1113">
        <v>126</v>
      </c>
      <c r="V1113" t="s">
        <v>0</v>
      </c>
      <c r="W1113" t="s">
        <v>0</v>
      </c>
      <c r="X1113" t="s">
        <v>0</v>
      </c>
      <c r="Y1113" t="s">
        <v>4</v>
      </c>
      <c r="Z1113" t="s">
        <v>0</v>
      </c>
      <c r="AA1113">
        <v>0</v>
      </c>
      <c r="AB1113">
        <v>0</v>
      </c>
      <c r="AC1113">
        <v>0</v>
      </c>
      <c r="AD1113" t="s">
        <v>187</v>
      </c>
      <c r="AE1113" t="s">
        <v>5</v>
      </c>
      <c r="AF1113" t="s">
        <v>187</v>
      </c>
      <c r="AG1113" t="s">
        <v>139</v>
      </c>
      <c r="AH1113">
        <v>11</v>
      </c>
      <c r="AI1113" t="s">
        <v>23</v>
      </c>
      <c r="AJ1113">
        <v>3</v>
      </c>
      <c r="AK1113">
        <v>46</v>
      </c>
      <c r="AL1113">
        <v>27</v>
      </c>
      <c r="AM1113" t="s">
        <v>0</v>
      </c>
      <c r="AN1113">
        <v>0</v>
      </c>
      <c r="AO1113">
        <v>0</v>
      </c>
      <c r="AP1113">
        <v>0</v>
      </c>
      <c r="AQ1113">
        <v>0</v>
      </c>
    </row>
    <row r="1114" spans="1:43" x14ac:dyDescent="0.25">
      <c r="A1114" t="s">
        <v>1086</v>
      </c>
      <c r="B1114" t="s">
        <v>1085</v>
      </c>
      <c r="C1114" t="s">
        <v>1084</v>
      </c>
      <c r="D1114" s="1">
        <v>46082</v>
      </c>
      <c r="E1114" t="s">
        <v>112</v>
      </c>
      <c r="F1114" t="s">
        <v>307</v>
      </c>
      <c r="G1114" t="s">
        <v>17</v>
      </c>
      <c r="H1114" t="s">
        <v>29</v>
      </c>
      <c r="I1114" t="s">
        <v>15</v>
      </c>
      <c r="J1114" t="s">
        <v>14</v>
      </c>
      <c r="K1114" t="s">
        <v>76</v>
      </c>
      <c r="L1114" t="s">
        <v>88</v>
      </c>
      <c r="M1114" t="s">
        <v>11</v>
      </c>
      <c r="N1114" t="s">
        <v>52</v>
      </c>
      <c r="O1114" t="s">
        <v>51</v>
      </c>
      <c r="P1114" t="s">
        <v>63</v>
      </c>
      <c r="Q1114" t="s">
        <v>198</v>
      </c>
      <c r="R1114" t="s">
        <v>6</v>
      </c>
      <c r="S1114">
        <v>6</v>
      </c>
      <c r="T1114">
        <v>6</v>
      </c>
      <c r="U1114">
        <v>146</v>
      </c>
      <c r="V1114" t="s">
        <v>0</v>
      </c>
      <c r="W1114" t="s">
        <v>0</v>
      </c>
      <c r="X1114" t="s">
        <v>5</v>
      </c>
      <c r="Y1114" t="s">
        <v>153</v>
      </c>
      <c r="Z1114" t="s">
        <v>0</v>
      </c>
      <c r="AA1114">
        <v>0</v>
      </c>
      <c r="AB1114">
        <v>0</v>
      </c>
      <c r="AC1114">
        <v>0</v>
      </c>
      <c r="AD1114" t="s">
        <v>3</v>
      </c>
      <c r="AE1114" t="s">
        <v>0</v>
      </c>
      <c r="AF1114" t="s">
        <v>3</v>
      </c>
      <c r="AG1114" t="s">
        <v>2</v>
      </c>
      <c r="AI1114" t="s">
        <v>23</v>
      </c>
      <c r="AJ1114">
        <v>3</v>
      </c>
      <c r="AK1114">
        <v>-70</v>
      </c>
      <c r="AL1114">
        <v>0</v>
      </c>
      <c r="AM1114" t="s">
        <v>5</v>
      </c>
      <c r="AN1114">
        <v>0</v>
      </c>
      <c r="AO1114">
        <v>0</v>
      </c>
      <c r="AP1114">
        <v>1</v>
      </c>
      <c r="AQ1114">
        <v>1</v>
      </c>
    </row>
    <row r="1115" spans="1:43" x14ac:dyDescent="0.25">
      <c r="A1115" t="s">
        <v>1083</v>
      </c>
      <c r="B1115" t="s">
        <v>1082</v>
      </c>
      <c r="C1115" t="s">
        <v>1081</v>
      </c>
      <c r="D1115" s="1">
        <v>45778</v>
      </c>
      <c r="E1115" t="s">
        <v>112</v>
      </c>
      <c r="F1115" t="s">
        <v>111</v>
      </c>
      <c r="G1115" t="s">
        <v>83</v>
      </c>
      <c r="H1115" t="s">
        <v>77</v>
      </c>
      <c r="I1115" t="s">
        <v>28</v>
      </c>
      <c r="J1115" t="s">
        <v>55</v>
      </c>
      <c r="K1115" t="s">
        <v>54</v>
      </c>
      <c r="L1115" t="s">
        <v>88</v>
      </c>
      <c r="M1115" t="s">
        <v>11</v>
      </c>
      <c r="N1115" t="s">
        <v>154</v>
      </c>
      <c r="O1115" t="s">
        <v>101</v>
      </c>
      <c r="P1115" t="s">
        <v>8</v>
      </c>
      <c r="Q1115" t="s">
        <v>24</v>
      </c>
      <c r="R1115" t="s">
        <v>38</v>
      </c>
      <c r="S1115">
        <v>4</v>
      </c>
      <c r="T1115">
        <v>3</v>
      </c>
      <c r="U1115">
        <v>198</v>
      </c>
      <c r="V1115" t="s">
        <v>5</v>
      </c>
      <c r="W1115" t="s">
        <v>5</v>
      </c>
      <c r="X1115" t="s">
        <v>0</v>
      </c>
      <c r="Y1115" t="s">
        <v>4</v>
      </c>
      <c r="Z1115" t="s">
        <v>5</v>
      </c>
      <c r="AA1115">
        <v>77.92</v>
      </c>
      <c r="AB1115">
        <v>0.55000000000000004</v>
      </c>
      <c r="AC1115">
        <v>0</v>
      </c>
      <c r="AD1115" t="s">
        <v>3</v>
      </c>
      <c r="AE1115" t="s">
        <v>0</v>
      </c>
      <c r="AF1115" t="s">
        <v>3</v>
      </c>
      <c r="AG1115" t="s">
        <v>2</v>
      </c>
      <c r="AI1115" t="s">
        <v>23</v>
      </c>
      <c r="AJ1115">
        <v>4</v>
      </c>
      <c r="AK1115">
        <v>30</v>
      </c>
      <c r="AL1115">
        <v>40</v>
      </c>
      <c r="AM1115" t="s">
        <v>5</v>
      </c>
      <c r="AN1115">
        <v>1</v>
      </c>
      <c r="AO1115">
        <v>1</v>
      </c>
      <c r="AP1115">
        <v>0</v>
      </c>
      <c r="AQ1115">
        <v>1</v>
      </c>
    </row>
    <row r="1116" spans="1:43" x14ac:dyDescent="0.25">
      <c r="A1116" t="s">
        <v>1080</v>
      </c>
      <c r="B1116" t="s">
        <v>1079</v>
      </c>
      <c r="C1116" t="s">
        <v>1078</v>
      </c>
      <c r="D1116" s="1">
        <v>45714</v>
      </c>
      <c r="E1116" t="s">
        <v>32</v>
      </c>
      <c r="F1116" t="s">
        <v>31</v>
      </c>
      <c r="G1116" t="s">
        <v>56</v>
      </c>
      <c r="H1116" t="s">
        <v>16</v>
      </c>
      <c r="I1116" t="s">
        <v>28</v>
      </c>
      <c r="J1116" t="s">
        <v>14</v>
      </c>
      <c r="K1116" t="s">
        <v>13</v>
      </c>
      <c r="L1116" t="s">
        <v>117</v>
      </c>
      <c r="M1116" t="s">
        <v>53</v>
      </c>
      <c r="N1116" t="s">
        <v>154</v>
      </c>
      <c r="O1116" t="s">
        <v>26</v>
      </c>
      <c r="P1116" t="s">
        <v>25</v>
      </c>
      <c r="Q1116" t="s">
        <v>7</v>
      </c>
      <c r="R1116" t="s">
        <v>6</v>
      </c>
      <c r="S1116">
        <v>4</v>
      </c>
      <c r="T1116">
        <v>4</v>
      </c>
      <c r="U1116">
        <v>123</v>
      </c>
      <c r="V1116" t="s">
        <v>0</v>
      </c>
      <c r="W1116" t="s">
        <v>0</v>
      </c>
      <c r="X1116" t="s">
        <v>0</v>
      </c>
      <c r="Y1116" t="s">
        <v>4</v>
      </c>
      <c r="Z1116" t="s">
        <v>0</v>
      </c>
      <c r="AA1116">
        <v>0</v>
      </c>
      <c r="AB1116">
        <v>0</v>
      </c>
      <c r="AC1116">
        <v>0</v>
      </c>
      <c r="AD1116" t="s">
        <v>37</v>
      </c>
      <c r="AE1116" t="s">
        <v>5</v>
      </c>
      <c r="AF1116" t="s">
        <v>37</v>
      </c>
      <c r="AG1116" t="s">
        <v>36</v>
      </c>
      <c r="AH1116">
        <v>41</v>
      </c>
      <c r="AI1116" t="s">
        <v>23</v>
      </c>
      <c r="AJ1116">
        <v>4</v>
      </c>
      <c r="AK1116">
        <v>28</v>
      </c>
      <c r="AL1116">
        <v>22</v>
      </c>
      <c r="AM1116" t="s">
        <v>5</v>
      </c>
      <c r="AN1116">
        <v>0</v>
      </c>
      <c r="AO1116">
        <v>0</v>
      </c>
      <c r="AP1116">
        <v>0</v>
      </c>
      <c r="AQ1116">
        <v>1</v>
      </c>
    </row>
    <row r="1117" spans="1:43" x14ac:dyDescent="0.25">
      <c r="A1117" t="s">
        <v>1077</v>
      </c>
      <c r="B1117" t="s">
        <v>1076</v>
      </c>
      <c r="C1117" t="s">
        <v>1075</v>
      </c>
      <c r="D1117" s="1">
        <v>46055</v>
      </c>
      <c r="E1117" t="s">
        <v>162</v>
      </c>
      <c r="F1117" t="s">
        <v>200</v>
      </c>
      <c r="G1117" t="s">
        <v>17</v>
      </c>
      <c r="H1117" t="s">
        <v>29</v>
      </c>
      <c r="I1117" t="s">
        <v>15</v>
      </c>
      <c r="J1117" t="s">
        <v>55</v>
      </c>
      <c r="K1117" t="s">
        <v>54</v>
      </c>
      <c r="L1117" t="s">
        <v>117</v>
      </c>
      <c r="M1117" t="s">
        <v>11</v>
      </c>
      <c r="N1117" t="s">
        <v>10</v>
      </c>
      <c r="O1117" t="s">
        <v>26</v>
      </c>
      <c r="P1117" t="s">
        <v>63</v>
      </c>
      <c r="Q1117" t="s">
        <v>7</v>
      </c>
      <c r="R1117" t="s">
        <v>6</v>
      </c>
      <c r="S1117">
        <v>4</v>
      </c>
      <c r="T1117">
        <v>4</v>
      </c>
      <c r="U1117">
        <v>84</v>
      </c>
      <c r="V1117" t="s">
        <v>247</v>
      </c>
      <c r="W1117" t="s">
        <v>5</v>
      </c>
      <c r="X1117" t="s">
        <v>0</v>
      </c>
      <c r="Y1117" t="s">
        <v>4</v>
      </c>
      <c r="Z1117" t="s">
        <v>5</v>
      </c>
      <c r="AA1117">
        <v>132.97</v>
      </c>
      <c r="AB1117">
        <v>0.19</v>
      </c>
      <c r="AC1117">
        <v>0</v>
      </c>
      <c r="AD1117" t="s">
        <v>37</v>
      </c>
      <c r="AE1117" t="s">
        <v>5</v>
      </c>
      <c r="AF1117" t="s">
        <v>37</v>
      </c>
      <c r="AG1117" t="s">
        <v>36</v>
      </c>
      <c r="AH1117">
        <v>40</v>
      </c>
      <c r="AI1117" t="s">
        <v>23</v>
      </c>
      <c r="AJ1117">
        <v>5</v>
      </c>
      <c r="AK1117">
        <v>-19</v>
      </c>
      <c r="AL1117">
        <v>0</v>
      </c>
      <c r="AM1117" t="s">
        <v>5</v>
      </c>
      <c r="AN1117">
        <v>1</v>
      </c>
      <c r="AO1117">
        <v>1</v>
      </c>
      <c r="AP1117">
        <v>0</v>
      </c>
      <c r="AQ1117">
        <v>1</v>
      </c>
    </row>
    <row r="1118" spans="1:43" x14ac:dyDescent="0.25">
      <c r="A1118" t="s">
        <v>1074</v>
      </c>
      <c r="B1118" t="s">
        <v>1073</v>
      </c>
      <c r="C1118" t="s">
        <v>1072</v>
      </c>
      <c r="D1118" s="1">
        <v>45768</v>
      </c>
      <c r="E1118" t="s">
        <v>95</v>
      </c>
      <c r="F1118" t="s">
        <v>94</v>
      </c>
      <c r="G1118" t="s">
        <v>17</v>
      </c>
      <c r="H1118" t="s">
        <v>43</v>
      </c>
      <c r="I1118" t="s">
        <v>28</v>
      </c>
      <c r="J1118" t="s">
        <v>55</v>
      </c>
      <c r="K1118" t="s">
        <v>54</v>
      </c>
      <c r="L1118" t="s">
        <v>42</v>
      </c>
      <c r="M1118" t="s">
        <v>11</v>
      </c>
      <c r="N1118" t="s">
        <v>41</v>
      </c>
      <c r="O1118" t="s">
        <v>193</v>
      </c>
      <c r="P1118" t="s">
        <v>39</v>
      </c>
      <c r="Q1118" t="s">
        <v>7</v>
      </c>
      <c r="R1118" t="s">
        <v>6</v>
      </c>
      <c r="S1118">
        <v>9</v>
      </c>
      <c r="T1118">
        <v>9</v>
      </c>
      <c r="U1118">
        <v>175</v>
      </c>
      <c r="V1118" t="s">
        <v>0</v>
      </c>
      <c r="W1118" t="s">
        <v>5</v>
      </c>
      <c r="X1118" t="s">
        <v>0</v>
      </c>
      <c r="Y1118" t="s">
        <v>4</v>
      </c>
      <c r="Z1118" t="s">
        <v>5</v>
      </c>
      <c r="AA1118">
        <v>0</v>
      </c>
      <c r="AB1118">
        <v>0</v>
      </c>
      <c r="AC1118">
        <v>0</v>
      </c>
      <c r="AD1118" t="s">
        <v>3</v>
      </c>
      <c r="AE1118" t="s">
        <v>0</v>
      </c>
      <c r="AF1118" t="s">
        <v>3</v>
      </c>
      <c r="AG1118" t="s">
        <v>2</v>
      </c>
      <c r="AI1118" t="s">
        <v>23</v>
      </c>
      <c r="AJ1118">
        <v>4</v>
      </c>
      <c r="AK1118">
        <v>10</v>
      </c>
      <c r="AL1118">
        <v>30</v>
      </c>
      <c r="AM1118" t="s">
        <v>5</v>
      </c>
      <c r="AN1118">
        <v>1</v>
      </c>
      <c r="AO1118">
        <v>1</v>
      </c>
      <c r="AP1118">
        <v>0</v>
      </c>
      <c r="AQ1118">
        <v>1</v>
      </c>
    </row>
    <row r="1119" spans="1:43" x14ac:dyDescent="0.25">
      <c r="A1119" t="s">
        <v>1071</v>
      </c>
      <c r="B1119" t="s">
        <v>1070</v>
      </c>
      <c r="C1119" t="s">
        <v>1069</v>
      </c>
      <c r="D1119" s="1">
        <v>45883</v>
      </c>
      <c r="E1119" t="s">
        <v>168</v>
      </c>
      <c r="F1119" t="s">
        <v>177</v>
      </c>
      <c r="G1119" t="s">
        <v>17</v>
      </c>
      <c r="H1119" t="s">
        <v>16</v>
      </c>
      <c r="I1119" t="s">
        <v>28</v>
      </c>
      <c r="J1119" t="s">
        <v>55</v>
      </c>
      <c r="K1119" t="s">
        <v>54</v>
      </c>
      <c r="L1119" t="s">
        <v>12</v>
      </c>
      <c r="M1119" t="s">
        <v>53</v>
      </c>
      <c r="N1119" t="s">
        <v>10</v>
      </c>
      <c r="O1119" t="s">
        <v>26</v>
      </c>
      <c r="P1119" t="s">
        <v>63</v>
      </c>
      <c r="Q1119" t="s">
        <v>7</v>
      </c>
      <c r="R1119" t="s">
        <v>6</v>
      </c>
      <c r="S1119">
        <v>4</v>
      </c>
      <c r="T1119">
        <v>4</v>
      </c>
      <c r="U1119">
        <v>121</v>
      </c>
      <c r="V1119" t="s">
        <v>0</v>
      </c>
      <c r="W1119" t="s">
        <v>5</v>
      </c>
      <c r="X1119" t="s">
        <v>0</v>
      </c>
      <c r="Y1119" t="s">
        <v>4</v>
      </c>
      <c r="Z1119" t="s">
        <v>5</v>
      </c>
      <c r="AA1119">
        <v>115.14</v>
      </c>
      <c r="AB1119">
        <v>0.17</v>
      </c>
      <c r="AC1119">
        <v>0.17</v>
      </c>
      <c r="AD1119" t="s">
        <v>3</v>
      </c>
      <c r="AE1119" t="s">
        <v>0</v>
      </c>
      <c r="AF1119" t="s">
        <v>3</v>
      </c>
      <c r="AG1119" t="s">
        <v>2</v>
      </c>
      <c r="AI1119" t="s">
        <v>23</v>
      </c>
      <c r="AJ1119">
        <v>4</v>
      </c>
      <c r="AK1119">
        <v>12</v>
      </c>
      <c r="AL1119">
        <v>0</v>
      </c>
      <c r="AM1119" t="s">
        <v>5</v>
      </c>
      <c r="AN1119">
        <v>1</v>
      </c>
      <c r="AO1119">
        <v>1</v>
      </c>
      <c r="AP1119">
        <v>0</v>
      </c>
      <c r="AQ1119">
        <v>1</v>
      </c>
    </row>
    <row r="1120" spans="1:43" x14ac:dyDescent="0.25">
      <c r="A1120" t="s">
        <v>1068</v>
      </c>
      <c r="B1120" t="s">
        <v>1067</v>
      </c>
      <c r="C1120" t="s">
        <v>1066</v>
      </c>
      <c r="D1120" s="1">
        <v>45865</v>
      </c>
      <c r="E1120" t="s">
        <v>156</v>
      </c>
      <c r="F1120" t="s">
        <v>550</v>
      </c>
      <c r="G1120" t="s">
        <v>110</v>
      </c>
      <c r="H1120" t="s">
        <v>77</v>
      </c>
      <c r="I1120" t="s">
        <v>15</v>
      </c>
      <c r="J1120" t="s">
        <v>14</v>
      </c>
      <c r="K1120" t="s">
        <v>13</v>
      </c>
      <c r="L1120" t="s">
        <v>88</v>
      </c>
      <c r="M1120" t="s">
        <v>11</v>
      </c>
      <c r="N1120" t="s">
        <v>10</v>
      </c>
      <c r="O1120" t="s">
        <v>74</v>
      </c>
      <c r="P1120" t="s">
        <v>39</v>
      </c>
      <c r="Q1120" t="s">
        <v>100</v>
      </c>
      <c r="R1120" t="s">
        <v>38</v>
      </c>
      <c r="S1120">
        <v>6</v>
      </c>
      <c r="T1120">
        <v>4</v>
      </c>
      <c r="U1120">
        <v>388</v>
      </c>
      <c r="V1120" t="s">
        <v>5</v>
      </c>
      <c r="W1120" t="s">
        <v>0</v>
      </c>
      <c r="X1120" t="s">
        <v>5</v>
      </c>
      <c r="Y1120" t="s">
        <v>73</v>
      </c>
      <c r="Z1120" t="s">
        <v>0</v>
      </c>
      <c r="AA1120">
        <v>0</v>
      </c>
      <c r="AB1120">
        <v>0</v>
      </c>
      <c r="AC1120">
        <v>0</v>
      </c>
      <c r="AD1120" t="s">
        <v>3</v>
      </c>
      <c r="AE1120" t="s">
        <v>0</v>
      </c>
      <c r="AF1120" t="s">
        <v>3</v>
      </c>
      <c r="AG1120" t="s">
        <v>2</v>
      </c>
      <c r="AI1120" t="s">
        <v>332</v>
      </c>
      <c r="AJ1120">
        <v>1</v>
      </c>
      <c r="AK1120">
        <v>-6</v>
      </c>
      <c r="AL1120">
        <v>24</v>
      </c>
      <c r="AM1120" t="s">
        <v>0</v>
      </c>
      <c r="AN1120">
        <v>0</v>
      </c>
      <c r="AO1120">
        <v>0</v>
      </c>
      <c r="AP1120">
        <v>1</v>
      </c>
      <c r="AQ1120">
        <v>0</v>
      </c>
    </row>
    <row r="1121" spans="1:43" x14ac:dyDescent="0.25">
      <c r="A1121" t="s">
        <v>1065</v>
      </c>
      <c r="B1121" t="s">
        <v>312</v>
      </c>
      <c r="C1121" t="s">
        <v>1064</v>
      </c>
      <c r="D1121" s="1">
        <v>45720</v>
      </c>
      <c r="E1121" t="s">
        <v>19</v>
      </c>
      <c r="F1121" t="s">
        <v>255</v>
      </c>
      <c r="G1121" t="s">
        <v>56</v>
      </c>
      <c r="H1121" t="s">
        <v>16</v>
      </c>
      <c r="I1121" t="s">
        <v>28</v>
      </c>
      <c r="J1121" t="s">
        <v>14</v>
      </c>
      <c r="K1121" t="s">
        <v>13</v>
      </c>
      <c r="L1121" t="s">
        <v>88</v>
      </c>
      <c r="M1121" t="s">
        <v>11</v>
      </c>
      <c r="N1121" t="s">
        <v>41</v>
      </c>
      <c r="O1121" t="s">
        <v>130</v>
      </c>
      <c r="P1121" t="s">
        <v>39</v>
      </c>
      <c r="Q1121" t="s">
        <v>198</v>
      </c>
      <c r="R1121" t="s">
        <v>6</v>
      </c>
      <c r="S1121">
        <v>5</v>
      </c>
      <c r="T1121">
        <v>5</v>
      </c>
      <c r="U1121">
        <v>93</v>
      </c>
      <c r="V1121" t="s">
        <v>0</v>
      </c>
      <c r="W1121" t="s">
        <v>5</v>
      </c>
      <c r="X1121" t="s">
        <v>0</v>
      </c>
      <c r="Y1121" t="s">
        <v>4</v>
      </c>
      <c r="Z1121" t="s">
        <v>5</v>
      </c>
      <c r="AA1121">
        <v>0</v>
      </c>
      <c r="AB1121">
        <v>0</v>
      </c>
      <c r="AC1121">
        <v>0</v>
      </c>
      <c r="AD1121" t="s">
        <v>3</v>
      </c>
      <c r="AE1121" t="s">
        <v>0</v>
      </c>
      <c r="AF1121" t="s">
        <v>3</v>
      </c>
      <c r="AG1121" t="s">
        <v>2</v>
      </c>
      <c r="AI1121" t="s">
        <v>23</v>
      </c>
      <c r="AJ1121">
        <v>3</v>
      </c>
      <c r="AK1121">
        <v>59</v>
      </c>
      <c r="AL1121">
        <v>18</v>
      </c>
      <c r="AM1121" t="s">
        <v>5</v>
      </c>
      <c r="AN1121">
        <v>1</v>
      </c>
      <c r="AO1121">
        <v>1</v>
      </c>
      <c r="AP1121">
        <v>0</v>
      </c>
      <c r="AQ1121">
        <v>1</v>
      </c>
    </row>
    <row r="1122" spans="1:43" x14ac:dyDescent="0.25">
      <c r="A1122" t="s">
        <v>1063</v>
      </c>
      <c r="B1122" t="s">
        <v>1062</v>
      </c>
      <c r="C1122" t="s">
        <v>1061</v>
      </c>
      <c r="D1122" s="1">
        <v>45952</v>
      </c>
      <c r="E1122" t="s">
        <v>156</v>
      </c>
      <c r="F1122" t="s">
        <v>325</v>
      </c>
      <c r="G1122" t="s">
        <v>30</v>
      </c>
      <c r="H1122" t="s">
        <v>16</v>
      </c>
      <c r="I1122" t="s">
        <v>15</v>
      </c>
      <c r="J1122" t="s">
        <v>14</v>
      </c>
      <c r="K1122" t="s">
        <v>13</v>
      </c>
      <c r="L1122" t="s">
        <v>64</v>
      </c>
      <c r="M1122" t="s">
        <v>11</v>
      </c>
      <c r="N1122" t="s">
        <v>52</v>
      </c>
      <c r="O1122" t="s">
        <v>130</v>
      </c>
      <c r="P1122" t="s">
        <v>8</v>
      </c>
      <c r="Q1122" t="s">
        <v>7</v>
      </c>
      <c r="R1122" t="s">
        <v>6</v>
      </c>
      <c r="S1122">
        <v>5</v>
      </c>
      <c r="T1122">
        <v>5</v>
      </c>
      <c r="U1122">
        <v>155</v>
      </c>
      <c r="V1122" t="s">
        <v>0</v>
      </c>
      <c r="W1122" t="s">
        <v>5</v>
      </c>
      <c r="X1122" t="s">
        <v>0</v>
      </c>
      <c r="Y1122" t="s">
        <v>4</v>
      </c>
      <c r="Z1122" t="s">
        <v>5</v>
      </c>
      <c r="AA1122">
        <v>31.13</v>
      </c>
      <c r="AB1122">
        <v>0</v>
      </c>
      <c r="AC1122">
        <v>0</v>
      </c>
      <c r="AD1122" t="s">
        <v>3</v>
      </c>
      <c r="AE1122" t="s">
        <v>0</v>
      </c>
      <c r="AF1122" t="s">
        <v>3</v>
      </c>
      <c r="AG1122" t="s">
        <v>2</v>
      </c>
      <c r="AI1122" t="s">
        <v>23</v>
      </c>
      <c r="AJ1122">
        <v>5</v>
      </c>
      <c r="AK1122">
        <v>88</v>
      </c>
      <c r="AL1122">
        <v>25</v>
      </c>
      <c r="AM1122" t="s">
        <v>5</v>
      </c>
      <c r="AN1122">
        <v>1</v>
      </c>
      <c r="AO1122">
        <v>1</v>
      </c>
      <c r="AP1122">
        <v>0</v>
      </c>
      <c r="AQ1122">
        <v>1</v>
      </c>
    </row>
    <row r="1123" spans="1:43" x14ac:dyDescent="0.25">
      <c r="A1123" t="s">
        <v>1060</v>
      </c>
      <c r="B1123" t="s">
        <v>1059</v>
      </c>
      <c r="C1123" t="s">
        <v>1058</v>
      </c>
      <c r="D1123" s="1">
        <v>46084</v>
      </c>
      <c r="E1123" t="s">
        <v>125</v>
      </c>
      <c r="F1123" t="s">
        <v>1057</v>
      </c>
      <c r="G1123" t="s">
        <v>131</v>
      </c>
      <c r="H1123" t="s">
        <v>29</v>
      </c>
      <c r="I1123" t="s">
        <v>28</v>
      </c>
      <c r="J1123" t="s">
        <v>14</v>
      </c>
      <c r="K1123" t="s">
        <v>13</v>
      </c>
      <c r="L1123" t="s">
        <v>117</v>
      </c>
      <c r="M1123" t="s">
        <v>11</v>
      </c>
      <c r="N1123" t="s">
        <v>10</v>
      </c>
      <c r="O1123" t="s">
        <v>101</v>
      </c>
      <c r="P1123" t="s">
        <v>25</v>
      </c>
      <c r="Q1123" t="s">
        <v>7</v>
      </c>
      <c r="R1123" t="s">
        <v>6</v>
      </c>
      <c r="S1123">
        <v>4</v>
      </c>
      <c r="T1123">
        <v>2</v>
      </c>
      <c r="U1123">
        <v>257</v>
      </c>
      <c r="V1123" t="s">
        <v>5</v>
      </c>
      <c r="W1123" t="s">
        <v>0</v>
      </c>
      <c r="X1123" t="s">
        <v>5</v>
      </c>
      <c r="Y1123" t="s">
        <v>545</v>
      </c>
      <c r="Z1123" t="s">
        <v>0</v>
      </c>
      <c r="AA1123">
        <v>0</v>
      </c>
      <c r="AB1123">
        <v>0</v>
      </c>
      <c r="AC1123">
        <v>0</v>
      </c>
      <c r="AD1123" t="s">
        <v>3</v>
      </c>
      <c r="AE1123" t="s">
        <v>0</v>
      </c>
      <c r="AF1123" t="s">
        <v>3</v>
      </c>
      <c r="AG1123" t="s">
        <v>2</v>
      </c>
      <c r="AI1123" t="s">
        <v>122</v>
      </c>
      <c r="AJ1123">
        <v>5</v>
      </c>
      <c r="AK1123">
        <v>-44</v>
      </c>
      <c r="AL1123">
        <v>40</v>
      </c>
      <c r="AM1123" t="s">
        <v>0</v>
      </c>
      <c r="AN1123">
        <v>0</v>
      </c>
      <c r="AO1123">
        <v>0</v>
      </c>
      <c r="AP1123">
        <v>1</v>
      </c>
      <c r="AQ1123">
        <v>0</v>
      </c>
    </row>
    <row r="1124" spans="1:43" x14ac:dyDescent="0.25">
      <c r="A1124" t="s">
        <v>1056</v>
      </c>
      <c r="B1124" t="s">
        <v>1055</v>
      </c>
      <c r="C1124" t="s">
        <v>1054</v>
      </c>
      <c r="D1124" s="1">
        <v>46168</v>
      </c>
      <c r="E1124" t="s">
        <v>95</v>
      </c>
      <c r="F1124" t="s">
        <v>338</v>
      </c>
      <c r="G1124" t="s">
        <v>17</v>
      </c>
      <c r="H1124" t="s">
        <v>66</v>
      </c>
      <c r="I1124" t="s">
        <v>15</v>
      </c>
      <c r="J1124" t="s">
        <v>55</v>
      </c>
      <c r="K1124" t="s">
        <v>54</v>
      </c>
      <c r="L1124" t="s">
        <v>42</v>
      </c>
      <c r="M1124" t="s">
        <v>11</v>
      </c>
      <c r="N1124" t="s">
        <v>116</v>
      </c>
      <c r="O1124" t="s">
        <v>193</v>
      </c>
      <c r="P1124" t="s">
        <v>39</v>
      </c>
      <c r="Q1124" t="s">
        <v>7</v>
      </c>
      <c r="R1124" t="s">
        <v>6</v>
      </c>
      <c r="S1124">
        <v>9</v>
      </c>
      <c r="T1124">
        <v>9</v>
      </c>
      <c r="U1124">
        <v>360</v>
      </c>
      <c r="V1124" t="s">
        <v>0</v>
      </c>
      <c r="W1124" t="s">
        <v>0</v>
      </c>
      <c r="X1124" t="s">
        <v>5</v>
      </c>
      <c r="Y1124" t="s">
        <v>1002</v>
      </c>
      <c r="Z1124" t="s">
        <v>0</v>
      </c>
      <c r="AA1124">
        <v>0</v>
      </c>
      <c r="AB1124">
        <v>0</v>
      </c>
      <c r="AC1124">
        <v>0</v>
      </c>
      <c r="AD1124" t="s">
        <v>3</v>
      </c>
      <c r="AE1124" t="s">
        <v>0</v>
      </c>
      <c r="AF1124" t="s">
        <v>3</v>
      </c>
      <c r="AG1124" t="s">
        <v>2</v>
      </c>
      <c r="AI1124" t="s">
        <v>544</v>
      </c>
      <c r="AJ1124">
        <v>3</v>
      </c>
      <c r="AK1124">
        <v>-55</v>
      </c>
      <c r="AL1124">
        <v>18</v>
      </c>
      <c r="AM1124" t="s">
        <v>0</v>
      </c>
      <c r="AN1124">
        <v>0</v>
      </c>
      <c r="AO1124">
        <v>0</v>
      </c>
      <c r="AP1124">
        <v>1</v>
      </c>
      <c r="AQ1124">
        <v>0</v>
      </c>
    </row>
    <row r="1125" spans="1:43" x14ac:dyDescent="0.25">
      <c r="A1125" t="s">
        <v>1053</v>
      </c>
      <c r="B1125" t="s">
        <v>1052</v>
      </c>
      <c r="C1125" t="s">
        <v>1051</v>
      </c>
      <c r="D1125" s="1">
        <v>46083</v>
      </c>
      <c r="E1125" t="s">
        <v>95</v>
      </c>
      <c r="F1125" t="s">
        <v>270</v>
      </c>
      <c r="G1125" t="s">
        <v>56</v>
      </c>
      <c r="H1125" t="s">
        <v>77</v>
      </c>
      <c r="I1125" t="s">
        <v>15</v>
      </c>
      <c r="J1125" t="s">
        <v>55</v>
      </c>
      <c r="K1125" t="s">
        <v>54</v>
      </c>
      <c r="L1125" t="s">
        <v>117</v>
      </c>
      <c r="M1125" t="s">
        <v>11</v>
      </c>
      <c r="N1125" t="s">
        <v>10</v>
      </c>
      <c r="O1125" t="s">
        <v>193</v>
      </c>
      <c r="P1125" t="s">
        <v>25</v>
      </c>
      <c r="Q1125" t="s">
        <v>100</v>
      </c>
      <c r="R1125" t="s">
        <v>6</v>
      </c>
      <c r="S1125">
        <v>9</v>
      </c>
      <c r="T1125">
        <v>7</v>
      </c>
      <c r="U1125">
        <v>557</v>
      </c>
      <c r="V1125" t="s">
        <v>5</v>
      </c>
      <c r="W1125" t="s">
        <v>0</v>
      </c>
      <c r="X1125" t="s">
        <v>5</v>
      </c>
      <c r="Y1125" t="s">
        <v>192</v>
      </c>
      <c r="Z1125" t="s">
        <v>0</v>
      </c>
      <c r="AA1125">
        <v>0</v>
      </c>
      <c r="AB1125">
        <v>0</v>
      </c>
      <c r="AC1125">
        <v>0</v>
      </c>
      <c r="AD1125" t="s">
        <v>3</v>
      </c>
      <c r="AE1125" t="s">
        <v>0</v>
      </c>
      <c r="AF1125" t="s">
        <v>3</v>
      </c>
      <c r="AG1125" t="s">
        <v>2</v>
      </c>
      <c r="AI1125" t="s">
        <v>191</v>
      </c>
      <c r="AJ1125">
        <v>1</v>
      </c>
      <c r="AK1125">
        <v>-80</v>
      </c>
      <c r="AL1125">
        <v>1</v>
      </c>
      <c r="AM1125" t="s">
        <v>5</v>
      </c>
      <c r="AN1125">
        <v>0</v>
      </c>
      <c r="AO1125">
        <v>0</v>
      </c>
      <c r="AP1125">
        <v>1</v>
      </c>
      <c r="AQ1125">
        <v>1</v>
      </c>
    </row>
    <row r="1126" spans="1:43" x14ac:dyDescent="0.25">
      <c r="A1126" t="s">
        <v>1050</v>
      </c>
      <c r="B1126" t="s">
        <v>1049</v>
      </c>
      <c r="C1126" t="s">
        <v>1048</v>
      </c>
      <c r="D1126" s="1">
        <v>46094</v>
      </c>
      <c r="E1126" t="s">
        <v>95</v>
      </c>
      <c r="F1126" t="s">
        <v>118</v>
      </c>
      <c r="G1126" t="s">
        <v>123</v>
      </c>
      <c r="H1126" t="s">
        <v>29</v>
      </c>
      <c r="I1126" t="s">
        <v>15</v>
      </c>
      <c r="J1126" t="s">
        <v>14</v>
      </c>
      <c r="K1126" t="s">
        <v>13</v>
      </c>
      <c r="L1126" t="s">
        <v>64</v>
      </c>
      <c r="M1126" t="s">
        <v>11</v>
      </c>
      <c r="N1126" t="s">
        <v>269</v>
      </c>
      <c r="O1126" t="s">
        <v>26</v>
      </c>
      <c r="P1126" t="s">
        <v>39</v>
      </c>
      <c r="Q1126" t="s">
        <v>24</v>
      </c>
      <c r="R1126" t="s">
        <v>38</v>
      </c>
      <c r="S1126">
        <v>4</v>
      </c>
      <c r="T1126">
        <v>2</v>
      </c>
      <c r="U1126">
        <v>199</v>
      </c>
      <c r="V1126" t="s">
        <v>5</v>
      </c>
      <c r="W1126" t="s">
        <v>5</v>
      </c>
      <c r="X1126" t="s">
        <v>5</v>
      </c>
      <c r="Y1126" t="s">
        <v>62</v>
      </c>
      <c r="Z1126" t="s">
        <v>5</v>
      </c>
      <c r="AA1126">
        <v>171.32</v>
      </c>
      <c r="AB1126">
        <v>0.17</v>
      </c>
      <c r="AC1126">
        <v>0</v>
      </c>
      <c r="AD1126" t="s">
        <v>436</v>
      </c>
      <c r="AE1126" t="s">
        <v>5</v>
      </c>
      <c r="AF1126" t="s">
        <v>436</v>
      </c>
      <c r="AG1126" t="s">
        <v>36</v>
      </c>
      <c r="AH1126">
        <v>62</v>
      </c>
      <c r="AI1126" t="s">
        <v>23</v>
      </c>
      <c r="AJ1126">
        <v>3</v>
      </c>
      <c r="AK1126">
        <v>-18</v>
      </c>
      <c r="AL1126">
        <v>24</v>
      </c>
      <c r="AM1126" t="s">
        <v>0</v>
      </c>
      <c r="AN1126">
        <v>1</v>
      </c>
      <c r="AO1126">
        <v>1</v>
      </c>
      <c r="AP1126">
        <v>1</v>
      </c>
      <c r="AQ1126">
        <v>0</v>
      </c>
    </row>
    <row r="1127" spans="1:43" x14ac:dyDescent="0.25">
      <c r="A1127" t="s">
        <v>1047</v>
      </c>
      <c r="B1127" t="s">
        <v>1046</v>
      </c>
      <c r="C1127" t="s">
        <v>1045</v>
      </c>
      <c r="D1127" s="1">
        <v>46193</v>
      </c>
      <c r="E1127" t="s">
        <v>95</v>
      </c>
      <c r="F1127" t="s">
        <v>118</v>
      </c>
      <c r="G1127" t="s">
        <v>110</v>
      </c>
      <c r="H1127" t="s">
        <v>43</v>
      </c>
      <c r="I1127" t="s">
        <v>15</v>
      </c>
      <c r="J1127" t="s">
        <v>55</v>
      </c>
      <c r="K1127" t="s">
        <v>54</v>
      </c>
      <c r="L1127" t="s">
        <v>64</v>
      </c>
      <c r="M1127" t="s">
        <v>11</v>
      </c>
      <c r="N1127" t="s">
        <v>75</v>
      </c>
      <c r="O1127" t="s">
        <v>9</v>
      </c>
      <c r="P1127" t="s">
        <v>63</v>
      </c>
      <c r="Q1127" t="s">
        <v>7</v>
      </c>
      <c r="R1127" t="s">
        <v>6</v>
      </c>
      <c r="S1127">
        <v>7</v>
      </c>
      <c r="T1127" t="s">
        <v>242</v>
      </c>
      <c r="U1127">
        <v>231</v>
      </c>
      <c r="V1127" t="s">
        <v>0</v>
      </c>
      <c r="W1127" t="s">
        <v>5</v>
      </c>
      <c r="X1127" t="s">
        <v>5</v>
      </c>
      <c r="Y1127" t="s">
        <v>228</v>
      </c>
      <c r="Z1127" t="s">
        <v>5</v>
      </c>
      <c r="AA1127">
        <v>0</v>
      </c>
      <c r="AB1127">
        <v>0</v>
      </c>
      <c r="AC1127">
        <v>0</v>
      </c>
      <c r="AD1127" t="s">
        <v>3</v>
      </c>
      <c r="AE1127" t="s">
        <v>0</v>
      </c>
      <c r="AF1127" t="s">
        <v>3</v>
      </c>
      <c r="AG1127" t="s">
        <v>2</v>
      </c>
      <c r="AI1127" t="s">
        <v>23</v>
      </c>
      <c r="AJ1127">
        <v>4</v>
      </c>
      <c r="AK1127">
        <v>-25</v>
      </c>
      <c r="AL1127">
        <v>0</v>
      </c>
      <c r="AM1127" t="s">
        <v>5</v>
      </c>
      <c r="AN1127">
        <v>1</v>
      </c>
      <c r="AO1127">
        <v>1</v>
      </c>
      <c r="AP1127">
        <v>1</v>
      </c>
      <c r="AQ1127">
        <v>1</v>
      </c>
    </row>
    <row r="1128" spans="1:43" x14ac:dyDescent="0.25">
      <c r="A1128" t="s">
        <v>1044</v>
      </c>
      <c r="B1128" t="s">
        <v>1043</v>
      </c>
      <c r="C1128" t="s">
        <v>1042</v>
      </c>
      <c r="D1128" s="1">
        <v>45711</v>
      </c>
      <c r="E1128" t="s">
        <v>45</v>
      </c>
      <c r="F1128" t="s">
        <v>44</v>
      </c>
      <c r="G1128" t="s">
        <v>83</v>
      </c>
      <c r="H1128" t="s">
        <v>29</v>
      </c>
      <c r="I1128" t="s">
        <v>963</v>
      </c>
      <c r="J1128" t="s">
        <v>146</v>
      </c>
      <c r="K1128" t="s">
        <v>176</v>
      </c>
      <c r="L1128" t="s">
        <v>64</v>
      </c>
      <c r="M1128" t="s">
        <v>11</v>
      </c>
      <c r="N1128" t="s">
        <v>269</v>
      </c>
      <c r="O1128" t="s">
        <v>87</v>
      </c>
      <c r="P1128" t="s">
        <v>63</v>
      </c>
      <c r="Q1128" t="s">
        <v>24</v>
      </c>
      <c r="R1128" t="s">
        <v>6</v>
      </c>
      <c r="S1128">
        <v>5</v>
      </c>
      <c r="T1128">
        <v>5</v>
      </c>
      <c r="U1128">
        <v>91</v>
      </c>
      <c r="V1128" t="s">
        <v>0</v>
      </c>
      <c r="W1128" t="s">
        <v>5</v>
      </c>
      <c r="X1128" t="s">
        <v>0</v>
      </c>
      <c r="Y1128" t="s">
        <v>4</v>
      </c>
      <c r="Z1128" t="s">
        <v>5</v>
      </c>
      <c r="AA1128">
        <v>76.13</v>
      </c>
      <c r="AB1128">
        <v>0</v>
      </c>
      <c r="AC1128">
        <v>0</v>
      </c>
      <c r="AD1128" t="s">
        <v>3</v>
      </c>
      <c r="AE1128" t="s">
        <v>0</v>
      </c>
      <c r="AF1128" t="s">
        <v>3</v>
      </c>
      <c r="AG1128" t="s">
        <v>2</v>
      </c>
      <c r="AI1128" t="s">
        <v>23</v>
      </c>
      <c r="AJ1128">
        <v>5</v>
      </c>
      <c r="AK1128">
        <v>43</v>
      </c>
      <c r="AL1128">
        <v>0</v>
      </c>
      <c r="AM1128" t="s">
        <v>5</v>
      </c>
      <c r="AN1128">
        <v>1</v>
      </c>
      <c r="AO1128">
        <v>1</v>
      </c>
      <c r="AP1128">
        <v>0</v>
      </c>
      <c r="AQ1128">
        <v>1</v>
      </c>
    </row>
    <row r="1129" spans="1:43" x14ac:dyDescent="0.25">
      <c r="A1129" t="s">
        <v>1041</v>
      </c>
      <c r="B1129" t="s">
        <v>1040</v>
      </c>
      <c r="C1129" t="s">
        <v>1039</v>
      </c>
      <c r="D1129" s="1">
        <v>45889</v>
      </c>
      <c r="E1129" t="s">
        <v>112</v>
      </c>
      <c r="F1129" t="s">
        <v>307</v>
      </c>
      <c r="G1129" t="s">
        <v>56</v>
      </c>
      <c r="H1129" t="s">
        <v>77</v>
      </c>
      <c r="I1129" t="s">
        <v>15</v>
      </c>
      <c r="J1129" t="s">
        <v>14</v>
      </c>
      <c r="K1129" t="s">
        <v>13</v>
      </c>
      <c r="L1129" t="s">
        <v>88</v>
      </c>
      <c r="M1129" t="s">
        <v>27</v>
      </c>
      <c r="N1129" t="s">
        <v>10</v>
      </c>
      <c r="O1129" t="s">
        <v>193</v>
      </c>
      <c r="P1129" t="s">
        <v>39</v>
      </c>
      <c r="Q1129" t="s">
        <v>198</v>
      </c>
      <c r="R1129" t="s">
        <v>38</v>
      </c>
      <c r="S1129">
        <v>9</v>
      </c>
      <c r="T1129">
        <v>6</v>
      </c>
      <c r="U1129">
        <v>344</v>
      </c>
      <c r="V1129" t="s">
        <v>5</v>
      </c>
      <c r="W1129" t="s">
        <v>5</v>
      </c>
      <c r="X1129" t="s">
        <v>0</v>
      </c>
      <c r="Y1129" t="s">
        <v>4</v>
      </c>
      <c r="Z1129" t="s">
        <v>5</v>
      </c>
      <c r="AA1129">
        <v>128.66</v>
      </c>
      <c r="AB1129">
        <v>3.18</v>
      </c>
      <c r="AC1129">
        <v>0.37</v>
      </c>
      <c r="AD1129" t="s">
        <v>3</v>
      </c>
      <c r="AE1129" t="s">
        <v>0</v>
      </c>
      <c r="AF1129" t="s">
        <v>3</v>
      </c>
      <c r="AG1129" t="s">
        <v>2</v>
      </c>
      <c r="AI1129" t="s">
        <v>23</v>
      </c>
      <c r="AJ1129">
        <v>3</v>
      </c>
      <c r="AK1129">
        <v>-15</v>
      </c>
      <c r="AL1129">
        <v>1</v>
      </c>
      <c r="AM1129" t="s">
        <v>5</v>
      </c>
      <c r="AN1129">
        <v>1</v>
      </c>
      <c r="AO1129">
        <v>1</v>
      </c>
      <c r="AP1129">
        <v>0</v>
      </c>
      <c r="AQ1129">
        <v>1</v>
      </c>
    </row>
    <row r="1130" spans="1:43" x14ac:dyDescent="0.25">
      <c r="A1130" t="s">
        <v>1038</v>
      </c>
      <c r="B1130" t="s">
        <v>297</v>
      </c>
      <c r="C1130" t="s">
        <v>1037</v>
      </c>
      <c r="D1130" s="1">
        <v>45738</v>
      </c>
      <c r="E1130" t="s">
        <v>32</v>
      </c>
      <c r="F1130" t="s">
        <v>356</v>
      </c>
      <c r="G1130" t="s">
        <v>17</v>
      </c>
      <c r="H1130" t="s">
        <v>29</v>
      </c>
      <c r="I1130" t="s">
        <v>28</v>
      </c>
      <c r="J1130" t="s">
        <v>55</v>
      </c>
      <c r="K1130" t="s">
        <v>54</v>
      </c>
      <c r="L1130" t="s">
        <v>64</v>
      </c>
      <c r="M1130" t="s">
        <v>53</v>
      </c>
      <c r="N1130" t="s">
        <v>75</v>
      </c>
      <c r="O1130" t="s">
        <v>130</v>
      </c>
      <c r="P1130" t="s">
        <v>8</v>
      </c>
      <c r="Q1130" t="s">
        <v>7</v>
      </c>
      <c r="R1130" t="s">
        <v>6</v>
      </c>
      <c r="S1130">
        <v>5</v>
      </c>
      <c r="T1130">
        <v>4</v>
      </c>
      <c r="U1130">
        <v>163</v>
      </c>
      <c r="V1130" t="s">
        <v>5</v>
      </c>
      <c r="W1130" t="s">
        <v>0</v>
      </c>
      <c r="X1130" t="s">
        <v>0</v>
      </c>
      <c r="Y1130" t="s">
        <v>4</v>
      </c>
      <c r="Z1130" t="s">
        <v>5</v>
      </c>
      <c r="AA1130">
        <v>94.05</v>
      </c>
      <c r="AB1130">
        <v>0</v>
      </c>
      <c r="AC1130">
        <v>0.17</v>
      </c>
      <c r="AD1130" t="s">
        <v>479</v>
      </c>
      <c r="AE1130" t="s">
        <v>0</v>
      </c>
      <c r="AF1130" t="s">
        <v>479</v>
      </c>
      <c r="AG1130" t="s">
        <v>2</v>
      </c>
      <c r="AI1130" t="s">
        <v>1</v>
      </c>
      <c r="AJ1130">
        <v>3</v>
      </c>
      <c r="AK1130">
        <v>32</v>
      </c>
      <c r="AL1130">
        <v>25</v>
      </c>
      <c r="AM1130" t="s">
        <v>0</v>
      </c>
      <c r="AN1130">
        <v>0</v>
      </c>
      <c r="AO1130">
        <v>1</v>
      </c>
      <c r="AP1130">
        <v>0</v>
      </c>
      <c r="AQ1130">
        <v>0</v>
      </c>
    </row>
    <row r="1131" spans="1:43" x14ac:dyDescent="0.25">
      <c r="A1131" t="s">
        <v>1036</v>
      </c>
      <c r="B1131" t="s">
        <v>1035</v>
      </c>
      <c r="C1131" t="s">
        <v>1034</v>
      </c>
      <c r="D1131" s="1">
        <v>45900</v>
      </c>
      <c r="E1131" t="s">
        <v>162</v>
      </c>
      <c r="F1131" t="s">
        <v>200</v>
      </c>
      <c r="G1131" t="s">
        <v>123</v>
      </c>
      <c r="H1131" t="s">
        <v>16</v>
      </c>
      <c r="I1131" t="s">
        <v>15</v>
      </c>
      <c r="J1131" t="s">
        <v>55</v>
      </c>
      <c r="K1131" t="s">
        <v>54</v>
      </c>
      <c r="L1131" t="s">
        <v>64</v>
      </c>
      <c r="M1131" t="s">
        <v>11</v>
      </c>
      <c r="N1131" t="s">
        <v>41</v>
      </c>
      <c r="O1131" t="s">
        <v>74</v>
      </c>
      <c r="P1131" t="s">
        <v>25</v>
      </c>
      <c r="Q1131" t="s">
        <v>172</v>
      </c>
      <c r="R1131" t="s">
        <v>38</v>
      </c>
      <c r="S1131">
        <v>6</v>
      </c>
      <c r="T1131">
        <v>6</v>
      </c>
      <c r="U1131">
        <v>111</v>
      </c>
      <c r="V1131" t="s">
        <v>0</v>
      </c>
      <c r="W1131" t="s">
        <v>5</v>
      </c>
      <c r="X1131" t="s">
        <v>0</v>
      </c>
      <c r="Y1131" t="s">
        <v>4</v>
      </c>
      <c r="Z1131" t="s">
        <v>5</v>
      </c>
      <c r="AA1131">
        <v>0</v>
      </c>
      <c r="AB1131">
        <v>0</v>
      </c>
      <c r="AC1131">
        <v>0</v>
      </c>
      <c r="AD1131" t="s">
        <v>3</v>
      </c>
      <c r="AE1131" t="s">
        <v>0</v>
      </c>
      <c r="AF1131" t="s">
        <v>3</v>
      </c>
      <c r="AG1131" t="s">
        <v>2</v>
      </c>
      <c r="AI1131" t="s">
        <v>23</v>
      </c>
      <c r="AJ1131">
        <v>4</v>
      </c>
      <c r="AK1131">
        <v>23</v>
      </c>
      <c r="AL1131">
        <v>1</v>
      </c>
      <c r="AM1131" t="s">
        <v>0</v>
      </c>
      <c r="AN1131">
        <v>1</v>
      </c>
      <c r="AO1131">
        <v>1</v>
      </c>
      <c r="AP1131">
        <v>0</v>
      </c>
      <c r="AQ1131">
        <v>0</v>
      </c>
    </row>
    <row r="1132" spans="1:43" x14ac:dyDescent="0.25">
      <c r="A1132" t="s">
        <v>1033</v>
      </c>
      <c r="B1132" t="s">
        <v>647</v>
      </c>
      <c r="C1132" t="s">
        <v>1032</v>
      </c>
      <c r="D1132" s="1">
        <v>45967</v>
      </c>
      <c r="E1132" t="s">
        <v>125</v>
      </c>
      <c r="F1132" t="s">
        <v>124</v>
      </c>
      <c r="G1132" t="s">
        <v>17</v>
      </c>
      <c r="H1132" t="s">
        <v>77</v>
      </c>
      <c r="I1132" t="s">
        <v>15</v>
      </c>
      <c r="J1132" t="s">
        <v>55</v>
      </c>
      <c r="K1132" t="s">
        <v>65</v>
      </c>
      <c r="L1132" t="s">
        <v>12</v>
      </c>
      <c r="M1132" t="s">
        <v>53</v>
      </c>
      <c r="N1132" t="s">
        <v>10</v>
      </c>
      <c r="O1132" t="s">
        <v>40</v>
      </c>
      <c r="P1132" t="s">
        <v>39</v>
      </c>
      <c r="Q1132" t="s">
        <v>7</v>
      </c>
      <c r="R1132" t="s">
        <v>6</v>
      </c>
      <c r="S1132">
        <v>8</v>
      </c>
      <c r="T1132">
        <v>8</v>
      </c>
      <c r="U1132">
        <v>174</v>
      </c>
      <c r="V1132" t="s">
        <v>0</v>
      </c>
      <c r="W1132" t="s">
        <v>0</v>
      </c>
      <c r="X1132" t="s">
        <v>0</v>
      </c>
      <c r="Y1132" t="s">
        <v>4</v>
      </c>
      <c r="Z1132" t="s">
        <v>0</v>
      </c>
      <c r="AA1132">
        <v>0</v>
      </c>
      <c r="AB1132">
        <v>0</v>
      </c>
      <c r="AC1132">
        <v>0</v>
      </c>
      <c r="AD1132" t="s">
        <v>3</v>
      </c>
      <c r="AE1132" t="s">
        <v>0</v>
      </c>
      <c r="AF1132" t="s">
        <v>3</v>
      </c>
      <c r="AG1132" t="s">
        <v>2</v>
      </c>
      <c r="AI1132" t="s">
        <v>1001</v>
      </c>
      <c r="AJ1132">
        <v>3</v>
      </c>
      <c r="AK1132">
        <v>14</v>
      </c>
      <c r="AL1132">
        <v>36</v>
      </c>
      <c r="AM1132" t="s">
        <v>5</v>
      </c>
      <c r="AN1132">
        <v>0</v>
      </c>
      <c r="AO1132">
        <v>0</v>
      </c>
      <c r="AP1132">
        <v>0</v>
      </c>
      <c r="AQ1132">
        <v>1</v>
      </c>
    </row>
    <row r="1133" spans="1:43" x14ac:dyDescent="0.25">
      <c r="A1133" t="s">
        <v>1031</v>
      </c>
      <c r="B1133" t="s">
        <v>280</v>
      </c>
      <c r="C1133" t="s">
        <v>1030</v>
      </c>
      <c r="D1133" s="1">
        <v>46119</v>
      </c>
      <c r="E1133" t="s">
        <v>125</v>
      </c>
      <c r="F1133" t="s">
        <v>140</v>
      </c>
      <c r="G1133" t="s">
        <v>17</v>
      </c>
      <c r="H1133" t="s">
        <v>77</v>
      </c>
      <c r="I1133" t="s">
        <v>28</v>
      </c>
      <c r="J1133" t="s">
        <v>146</v>
      </c>
      <c r="K1133" t="s">
        <v>145</v>
      </c>
      <c r="L1133" t="s">
        <v>64</v>
      </c>
      <c r="M1133" t="s">
        <v>11</v>
      </c>
      <c r="N1133" t="s">
        <v>52</v>
      </c>
      <c r="O1133" t="s">
        <v>74</v>
      </c>
      <c r="P1133" t="s">
        <v>39</v>
      </c>
      <c r="Q1133" t="s">
        <v>24</v>
      </c>
      <c r="R1133" t="s">
        <v>6</v>
      </c>
      <c r="S1133">
        <v>6</v>
      </c>
      <c r="T1133">
        <v>4</v>
      </c>
      <c r="U1133">
        <v>284</v>
      </c>
      <c r="V1133" t="s">
        <v>5</v>
      </c>
      <c r="W1133" t="s">
        <v>0</v>
      </c>
      <c r="X1133" t="s">
        <v>0</v>
      </c>
      <c r="Y1133" t="s">
        <v>4</v>
      </c>
      <c r="Z1133" t="s">
        <v>0</v>
      </c>
      <c r="AA1133">
        <v>0</v>
      </c>
      <c r="AB1133">
        <v>0</v>
      </c>
      <c r="AC1133">
        <v>0</v>
      </c>
      <c r="AD1133" t="s">
        <v>3</v>
      </c>
      <c r="AE1133" t="s">
        <v>0</v>
      </c>
      <c r="AF1133" t="s">
        <v>3</v>
      </c>
      <c r="AG1133" t="s">
        <v>2</v>
      </c>
      <c r="AI1133" t="s">
        <v>332</v>
      </c>
      <c r="AJ1133">
        <v>3</v>
      </c>
      <c r="AK1133">
        <v>41</v>
      </c>
      <c r="AL1133">
        <v>46</v>
      </c>
      <c r="AM1133" t="s">
        <v>247</v>
      </c>
      <c r="AN1133">
        <v>0</v>
      </c>
      <c r="AO1133">
        <v>0</v>
      </c>
      <c r="AP1133">
        <v>0</v>
      </c>
      <c r="AQ1133">
        <v>0</v>
      </c>
    </row>
    <row r="1134" spans="1:43" x14ac:dyDescent="0.25">
      <c r="A1134" t="s">
        <v>1029</v>
      </c>
      <c r="B1134" t="s">
        <v>1028</v>
      </c>
      <c r="C1134" t="s">
        <v>1027</v>
      </c>
      <c r="D1134" s="1">
        <v>45989</v>
      </c>
      <c r="E1134" t="s">
        <v>168</v>
      </c>
      <c r="F1134" t="s">
        <v>233</v>
      </c>
      <c r="G1134" t="s">
        <v>83</v>
      </c>
      <c r="H1134" t="s">
        <v>16</v>
      </c>
      <c r="I1134" t="s">
        <v>15</v>
      </c>
      <c r="J1134" t="s">
        <v>146</v>
      </c>
      <c r="K1134" t="s">
        <v>145</v>
      </c>
      <c r="L1134" t="s">
        <v>64</v>
      </c>
      <c r="M1134" t="s">
        <v>11</v>
      </c>
      <c r="N1134" t="s">
        <v>75</v>
      </c>
      <c r="O1134" t="s">
        <v>51</v>
      </c>
      <c r="P1134" t="s">
        <v>39</v>
      </c>
      <c r="Q1134" t="s">
        <v>7</v>
      </c>
      <c r="R1134" t="s">
        <v>6</v>
      </c>
      <c r="S1134">
        <v>6</v>
      </c>
      <c r="T1134">
        <v>6</v>
      </c>
      <c r="U1134">
        <v>190</v>
      </c>
      <c r="V1134" t="s">
        <v>0</v>
      </c>
      <c r="W1134" t="s">
        <v>5</v>
      </c>
      <c r="X1134" t="s">
        <v>0</v>
      </c>
      <c r="Y1134" t="s">
        <v>4</v>
      </c>
      <c r="Z1134" t="s">
        <v>5</v>
      </c>
      <c r="AA1134">
        <v>0</v>
      </c>
      <c r="AB1134">
        <v>0.11</v>
      </c>
      <c r="AC1134">
        <v>0</v>
      </c>
      <c r="AD1134" t="s">
        <v>37</v>
      </c>
      <c r="AE1134" t="s">
        <v>5</v>
      </c>
      <c r="AF1134" t="s">
        <v>37</v>
      </c>
      <c r="AG1134" t="s">
        <v>36</v>
      </c>
      <c r="AH1134">
        <v>2</v>
      </c>
      <c r="AI1134" t="s">
        <v>23</v>
      </c>
      <c r="AJ1134">
        <v>4</v>
      </c>
      <c r="AK1134">
        <v>21</v>
      </c>
      <c r="AL1134">
        <v>34</v>
      </c>
      <c r="AM1134" t="s">
        <v>5</v>
      </c>
      <c r="AN1134">
        <v>1</v>
      </c>
      <c r="AO1134">
        <v>1</v>
      </c>
      <c r="AP1134">
        <v>0</v>
      </c>
      <c r="AQ1134">
        <v>1</v>
      </c>
    </row>
    <row r="1135" spans="1:43" x14ac:dyDescent="0.25">
      <c r="A1135" t="s">
        <v>1026</v>
      </c>
      <c r="B1135" t="s">
        <v>1025</v>
      </c>
      <c r="C1135" t="s">
        <v>1024</v>
      </c>
      <c r="D1135" s="1">
        <v>46019</v>
      </c>
      <c r="E1135" t="s">
        <v>79</v>
      </c>
      <c r="F1135" t="s">
        <v>78</v>
      </c>
      <c r="G1135" t="s">
        <v>131</v>
      </c>
      <c r="H1135" t="s">
        <v>29</v>
      </c>
      <c r="I1135" t="s">
        <v>15</v>
      </c>
      <c r="J1135" t="s">
        <v>146</v>
      </c>
      <c r="K1135" t="s">
        <v>176</v>
      </c>
      <c r="L1135" t="s">
        <v>88</v>
      </c>
      <c r="M1135" t="s">
        <v>11</v>
      </c>
      <c r="N1135" t="s">
        <v>75</v>
      </c>
      <c r="O1135" t="s">
        <v>9</v>
      </c>
      <c r="P1135" t="s">
        <v>63</v>
      </c>
      <c r="Q1135" t="s">
        <v>198</v>
      </c>
      <c r="R1135" t="s">
        <v>38</v>
      </c>
      <c r="S1135">
        <v>7</v>
      </c>
      <c r="T1135">
        <v>7</v>
      </c>
      <c r="U1135">
        <v>213</v>
      </c>
      <c r="V1135" t="s">
        <v>0</v>
      </c>
      <c r="W1135" t="s">
        <v>5</v>
      </c>
      <c r="X1135" t="s">
        <v>0</v>
      </c>
      <c r="Y1135" t="s">
        <v>4</v>
      </c>
      <c r="Z1135" t="s">
        <v>0</v>
      </c>
      <c r="AA1135">
        <v>0</v>
      </c>
      <c r="AB1135">
        <v>0</v>
      </c>
      <c r="AC1135">
        <v>0</v>
      </c>
      <c r="AD1135" t="s">
        <v>3</v>
      </c>
      <c r="AE1135" t="s">
        <v>0</v>
      </c>
      <c r="AF1135" t="s">
        <v>3</v>
      </c>
      <c r="AG1135" t="s">
        <v>2</v>
      </c>
      <c r="AI1135" t="s">
        <v>23</v>
      </c>
      <c r="AJ1135">
        <v>5</v>
      </c>
      <c r="AK1135">
        <v>-26</v>
      </c>
      <c r="AL1135" t="s">
        <v>347</v>
      </c>
      <c r="AM1135" t="s">
        <v>5</v>
      </c>
      <c r="AN1135">
        <v>1</v>
      </c>
      <c r="AO1135">
        <v>0</v>
      </c>
      <c r="AP1135">
        <v>0</v>
      </c>
      <c r="AQ1135">
        <v>1</v>
      </c>
    </row>
    <row r="1136" spans="1:43" x14ac:dyDescent="0.25">
      <c r="A1136" t="s">
        <v>1023</v>
      </c>
      <c r="B1136" t="s">
        <v>1022</v>
      </c>
      <c r="C1136" t="s">
        <v>1021</v>
      </c>
      <c r="D1136" s="1">
        <v>45711</v>
      </c>
      <c r="E1136" t="s">
        <v>79</v>
      </c>
      <c r="F1136" t="s">
        <v>102</v>
      </c>
      <c r="G1136" t="s">
        <v>131</v>
      </c>
      <c r="H1136" t="s">
        <v>77</v>
      </c>
      <c r="I1136" t="s">
        <v>28</v>
      </c>
      <c r="J1136" t="s">
        <v>55</v>
      </c>
      <c r="K1136" t="s">
        <v>54</v>
      </c>
      <c r="L1136" t="s">
        <v>88</v>
      </c>
      <c r="M1136" t="s">
        <v>53</v>
      </c>
      <c r="N1136" t="s">
        <v>269</v>
      </c>
      <c r="O1136" t="s">
        <v>101</v>
      </c>
      <c r="P1136" t="s">
        <v>63</v>
      </c>
      <c r="Q1136" t="s">
        <v>50</v>
      </c>
      <c r="R1136" t="s">
        <v>6</v>
      </c>
      <c r="S1136">
        <v>4</v>
      </c>
      <c r="T1136" t="s">
        <v>479</v>
      </c>
      <c r="U1136">
        <v>113</v>
      </c>
      <c r="V1136" t="s">
        <v>0</v>
      </c>
      <c r="W1136" t="s">
        <v>0</v>
      </c>
      <c r="X1136" t="s">
        <v>0</v>
      </c>
      <c r="Y1136" t="s">
        <v>4</v>
      </c>
      <c r="Z1136" t="s">
        <v>5</v>
      </c>
      <c r="AA1136">
        <v>87.69</v>
      </c>
      <c r="AB1136">
        <v>0.53</v>
      </c>
      <c r="AC1136">
        <v>0.17</v>
      </c>
      <c r="AD1136" t="s">
        <v>3</v>
      </c>
      <c r="AE1136" t="s">
        <v>0</v>
      </c>
      <c r="AF1136" t="s">
        <v>3</v>
      </c>
      <c r="AG1136" t="s">
        <v>479</v>
      </c>
      <c r="AI1136" t="s">
        <v>23</v>
      </c>
      <c r="AJ1136">
        <v>3</v>
      </c>
      <c r="AK1136">
        <v>57</v>
      </c>
      <c r="AL1136">
        <v>0</v>
      </c>
      <c r="AM1136" t="s">
        <v>0</v>
      </c>
      <c r="AN1136">
        <v>0</v>
      </c>
      <c r="AO1136">
        <v>1</v>
      </c>
      <c r="AP1136">
        <v>0</v>
      </c>
      <c r="AQ1136">
        <v>0</v>
      </c>
    </row>
    <row r="1137" spans="1:43" x14ac:dyDescent="0.25">
      <c r="A1137" t="s">
        <v>1020</v>
      </c>
      <c r="B1137" t="s">
        <v>1019</v>
      </c>
      <c r="C1137" t="s">
        <v>1018</v>
      </c>
      <c r="D1137" s="1">
        <v>45852</v>
      </c>
      <c r="E1137" t="s">
        <v>68</v>
      </c>
      <c r="F1137" t="s">
        <v>67</v>
      </c>
      <c r="G1137" t="s">
        <v>17</v>
      </c>
      <c r="H1137" t="s">
        <v>16</v>
      </c>
      <c r="I1137" t="s">
        <v>28</v>
      </c>
      <c r="J1137" t="s">
        <v>14</v>
      </c>
      <c r="K1137" t="s">
        <v>13</v>
      </c>
      <c r="L1137" t="s">
        <v>88</v>
      </c>
      <c r="M1137" t="s">
        <v>11</v>
      </c>
      <c r="N1137" t="s">
        <v>10</v>
      </c>
      <c r="O1137" t="s">
        <v>87</v>
      </c>
      <c r="P1137" t="s">
        <v>63</v>
      </c>
      <c r="Q1137" t="s">
        <v>7</v>
      </c>
      <c r="R1137" t="s">
        <v>6</v>
      </c>
      <c r="S1137" t="s">
        <v>277</v>
      </c>
      <c r="T1137" t="s">
        <v>277</v>
      </c>
      <c r="U1137">
        <v>152</v>
      </c>
      <c r="V1137" t="s">
        <v>0</v>
      </c>
      <c r="W1137" t="s">
        <v>5</v>
      </c>
      <c r="X1137" t="s">
        <v>0</v>
      </c>
      <c r="Y1137" t="s">
        <v>4</v>
      </c>
      <c r="Z1137" t="s">
        <v>5</v>
      </c>
      <c r="AA1137">
        <v>92.39</v>
      </c>
      <c r="AB1137">
        <v>0</v>
      </c>
      <c r="AC1137">
        <v>0</v>
      </c>
      <c r="AD1137" t="s">
        <v>3</v>
      </c>
      <c r="AE1137" t="s">
        <v>0</v>
      </c>
      <c r="AF1137" t="s">
        <v>3</v>
      </c>
      <c r="AG1137" t="s">
        <v>2</v>
      </c>
      <c r="AI1137" t="s">
        <v>23</v>
      </c>
      <c r="AJ1137">
        <v>4</v>
      </c>
      <c r="AK1137">
        <v>49</v>
      </c>
      <c r="AL1137">
        <v>0</v>
      </c>
      <c r="AM1137" t="s">
        <v>0</v>
      </c>
      <c r="AN1137">
        <v>1</v>
      </c>
      <c r="AO1137">
        <v>1</v>
      </c>
      <c r="AP1137">
        <v>0</v>
      </c>
      <c r="AQ1137">
        <v>0</v>
      </c>
    </row>
    <row r="1138" spans="1:43" x14ac:dyDescent="0.25">
      <c r="A1138" t="s">
        <v>1017</v>
      </c>
      <c r="B1138" t="s">
        <v>1016</v>
      </c>
      <c r="C1138" t="s">
        <v>1015</v>
      </c>
      <c r="D1138" s="1">
        <v>46145</v>
      </c>
      <c r="E1138" t="s">
        <v>168</v>
      </c>
      <c r="F1138" t="s">
        <v>167</v>
      </c>
      <c r="G1138" t="s">
        <v>17</v>
      </c>
      <c r="H1138" t="s">
        <v>77</v>
      </c>
      <c r="I1138" t="s">
        <v>15</v>
      </c>
      <c r="J1138" t="s">
        <v>55</v>
      </c>
      <c r="K1138" t="s">
        <v>54</v>
      </c>
      <c r="L1138" t="s">
        <v>12</v>
      </c>
      <c r="M1138" t="s">
        <v>11</v>
      </c>
      <c r="N1138" t="s">
        <v>93</v>
      </c>
      <c r="O1138" t="s">
        <v>87</v>
      </c>
      <c r="P1138" t="s">
        <v>8</v>
      </c>
      <c r="Q1138" t="s">
        <v>198</v>
      </c>
      <c r="R1138" t="s">
        <v>38</v>
      </c>
      <c r="S1138" t="s">
        <v>277</v>
      </c>
      <c r="T1138">
        <v>5</v>
      </c>
      <c r="U1138">
        <v>148</v>
      </c>
      <c r="V1138" t="s">
        <v>0</v>
      </c>
      <c r="W1138" t="s">
        <v>5</v>
      </c>
      <c r="X1138" t="s">
        <v>0</v>
      </c>
      <c r="Y1138" t="s">
        <v>4</v>
      </c>
      <c r="Z1138" t="s">
        <v>5</v>
      </c>
      <c r="AA1138">
        <v>83.25</v>
      </c>
      <c r="AB1138">
        <v>0</v>
      </c>
      <c r="AC1138">
        <v>0</v>
      </c>
      <c r="AD1138" t="s">
        <v>3</v>
      </c>
      <c r="AE1138" t="s">
        <v>0</v>
      </c>
      <c r="AF1138" t="s">
        <v>3</v>
      </c>
      <c r="AG1138" t="s">
        <v>2</v>
      </c>
      <c r="AI1138" t="s">
        <v>23</v>
      </c>
      <c r="AJ1138">
        <v>4</v>
      </c>
      <c r="AK1138">
        <v>19</v>
      </c>
      <c r="AL1138">
        <v>60</v>
      </c>
      <c r="AM1138" t="s">
        <v>5</v>
      </c>
      <c r="AN1138">
        <v>1</v>
      </c>
      <c r="AO1138">
        <v>1</v>
      </c>
      <c r="AP1138">
        <v>0</v>
      </c>
      <c r="AQ1138">
        <v>1</v>
      </c>
    </row>
    <row r="1139" spans="1:43" x14ac:dyDescent="0.25">
      <c r="A1139" t="s">
        <v>1014</v>
      </c>
      <c r="B1139" t="s">
        <v>1013</v>
      </c>
      <c r="C1139" t="s">
        <v>1012</v>
      </c>
      <c r="D1139" s="1">
        <v>45905</v>
      </c>
      <c r="E1139" t="s">
        <v>156</v>
      </c>
      <c r="F1139" t="s">
        <v>325</v>
      </c>
      <c r="G1139" t="s">
        <v>56</v>
      </c>
      <c r="H1139" t="s">
        <v>66</v>
      </c>
      <c r="I1139" t="s">
        <v>15</v>
      </c>
      <c r="J1139" t="s">
        <v>14</v>
      </c>
      <c r="K1139" t="s">
        <v>13</v>
      </c>
      <c r="L1139" t="s">
        <v>12</v>
      </c>
      <c r="M1139" t="s">
        <v>53</v>
      </c>
      <c r="N1139" t="s">
        <v>52</v>
      </c>
      <c r="O1139" t="s">
        <v>193</v>
      </c>
      <c r="P1139" t="s">
        <v>63</v>
      </c>
      <c r="Q1139" t="s">
        <v>7</v>
      </c>
      <c r="R1139" t="s">
        <v>6</v>
      </c>
      <c r="S1139">
        <v>9</v>
      </c>
      <c r="T1139">
        <v>9</v>
      </c>
      <c r="U1139">
        <v>264</v>
      </c>
      <c r="V1139" t="s">
        <v>0</v>
      </c>
      <c r="W1139" t="s">
        <v>0</v>
      </c>
      <c r="X1139" t="s">
        <v>0</v>
      </c>
      <c r="Y1139" t="s">
        <v>4</v>
      </c>
      <c r="Z1139" t="s">
        <v>0</v>
      </c>
      <c r="AA1139">
        <v>0</v>
      </c>
      <c r="AB1139">
        <v>0</v>
      </c>
      <c r="AC1139">
        <v>0</v>
      </c>
      <c r="AD1139" t="s">
        <v>37</v>
      </c>
      <c r="AE1139" t="s">
        <v>5</v>
      </c>
      <c r="AF1139" t="s">
        <v>37</v>
      </c>
      <c r="AG1139" t="s">
        <v>36</v>
      </c>
      <c r="AH1139">
        <v>40</v>
      </c>
      <c r="AI1139" t="s">
        <v>23</v>
      </c>
      <c r="AJ1139">
        <v>2</v>
      </c>
      <c r="AK1139">
        <v>-18</v>
      </c>
      <c r="AL1139">
        <v>0</v>
      </c>
      <c r="AM1139" t="s">
        <v>5</v>
      </c>
      <c r="AN1139">
        <v>0</v>
      </c>
      <c r="AO1139">
        <v>0</v>
      </c>
      <c r="AP1139">
        <v>0</v>
      </c>
      <c r="AQ1139">
        <v>1</v>
      </c>
    </row>
    <row r="1140" spans="1:43" x14ac:dyDescent="0.25">
      <c r="A1140" t="s">
        <v>1011</v>
      </c>
      <c r="B1140" t="s">
        <v>861</v>
      </c>
      <c r="C1140" t="s">
        <v>1010</v>
      </c>
      <c r="D1140" s="1">
        <v>45885</v>
      </c>
      <c r="E1140" t="s">
        <v>112</v>
      </c>
      <c r="F1140" t="s">
        <v>1009</v>
      </c>
      <c r="G1140" t="s">
        <v>83</v>
      </c>
      <c r="H1140" t="s">
        <v>29</v>
      </c>
      <c r="I1140" t="s">
        <v>15</v>
      </c>
      <c r="J1140" t="s">
        <v>55</v>
      </c>
      <c r="K1140" t="s">
        <v>54</v>
      </c>
      <c r="L1140" t="s">
        <v>42</v>
      </c>
      <c r="M1140" t="s">
        <v>27</v>
      </c>
      <c r="N1140" t="s">
        <v>10</v>
      </c>
      <c r="O1140" t="s">
        <v>26</v>
      </c>
      <c r="P1140" t="s">
        <v>39</v>
      </c>
      <c r="Q1140" t="s">
        <v>7</v>
      </c>
      <c r="R1140" t="s">
        <v>6</v>
      </c>
      <c r="S1140">
        <v>4</v>
      </c>
      <c r="T1140">
        <v>4</v>
      </c>
      <c r="U1140">
        <v>110</v>
      </c>
      <c r="V1140" t="s">
        <v>0</v>
      </c>
      <c r="W1140" t="s">
        <v>5</v>
      </c>
      <c r="X1140" t="s">
        <v>0</v>
      </c>
      <c r="Y1140" t="s">
        <v>4</v>
      </c>
      <c r="Z1140" t="s">
        <v>5</v>
      </c>
      <c r="AA1140">
        <v>171.36</v>
      </c>
      <c r="AB1140">
        <v>0.18</v>
      </c>
      <c r="AC1140">
        <v>0.37</v>
      </c>
      <c r="AD1140" t="s">
        <v>3</v>
      </c>
      <c r="AE1140" t="s">
        <v>0</v>
      </c>
      <c r="AF1140" t="s">
        <v>3</v>
      </c>
      <c r="AG1140" t="s">
        <v>2</v>
      </c>
      <c r="AI1140" t="s">
        <v>23</v>
      </c>
      <c r="AJ1140">
        <v>4</v>
      </c>
      <c r="AK1140">
        <v>50</v>
      </c>
      <c r="AL1140">
        <v>40</v>
      </c>
      <c r="AM1140" t="s">
        <v>5</v>
      </c>
      <c r="AN1140">
        <v>1</v>
      </c>
      <c r="AO1140">
        <v>1</v>
      </c>
      <c r="AP1140">
        <v>0</v>
      </c>
      <c r="AQ1140">
        <v>1</v>
      </c>
    </row>
    <row r="1141" spans="1:43" x14ac:dyDescent="0.25">
      <c r="A1141" t="s">
        <v>1008</v>
      </c>
      <c r="B1141" t="s">
        <v>120</v>
      </c>
      <c r="C1141" t="s">
        <v>1007</v>
      </c>
      <c r="D1141" s="1">
        <v>45757</v>
      </c>
      <c r="E1141" t="s">
        <v>45</v>
      </c>
      <c r="F1141" t="s">
        <v>57</v>
      </c>
      <c r="G1141" t="s">
        <v>56</v>
      </c>
      <c r="H1141" t="s">
        <v>77</v>
      </c>
      <c r="I1141" t="s">
        <v>15</v>
      </c>
      <c r="J1141" t="s">
        <v>55</v>
      </c>
      <c r="K1141" t="s">
        <v>54</v>
      </c>
      <c r="L1141" t="s">
        <v>64</v>
      </c>
      <c r="M1141" t="s">
        <v>53</v>
      </c>
      <c r="N1141" t="s">
        <v>269</v>
      </c>
      <c r="O1141" t="s">
        <v>193</v>
      </c>
      <c r="P1141" t="s">
        <v>63</v>
      </c>
      <c r="Q1141" t="s">
        <v>100</v>
      </c>
      <c r="R1141" t="s">
        <v>38</v>
      </c>
      <c r="S1141">
        <v>9</v>
      </c>
      <c r="T1141">
        <v>9</v>
      </c>
      <c r="U1141">
        <v>175</v>
      </c>
      <c r="V1141" t="s">
        <v>0</v>
      </c>
      <c r="W1141" t="s">
        <v>5</v>
      </c>
      <c r="X1141" t="s">
        <v>0</v>
      </c>
      <c r="Y1141" t="s">
        <v>4</v>
      </c>
      <c r="Z1141" t="s">
        <v>5</v>
      </c>
      <c r="AA1141">
        <v>218.44</v>
      </c>
      <c r="AB1141">
        <v>3.09</v>
      </c>
      <c r="AC1141">
        <v>0.17</v>
      </c>
      <c r="AD1141" t="s">
        <v>3</v>
      </c>
      <c r="AE1141" t="s">
        <v>0</v>
      </c>
      <c r="AF1141" t="s">
        <v>3</v>
      </c>
      <c r="AG1141" t="s">
        <v>2</v>
      </c>
      <c r="AI1141" t="s">
        <v>23</v>
      </c>
      <c r="AJ1141">
        <v>4</v>
      </c>
      <c r="AK1141">
        <v>-24</v>
      </c>
      <c r="AL1141">
        <v>0</v>
      </c>
      <c r="AM1141" t="s">
        <v>5</v>
      </c>
      <c r="AN1141">
        <v>1</v>
      </c>
      <c r="AO1141">
        <v>1</v>
      </c>
      <c r="AP1141">
        <v>0</v>
      </c>
      <c r="AQ1141">
        <v>1</v>
      </c>
    </row>
    <row r="1142" spans="1:43" x14ac:dyDescent="0.25">
      <c r="A1142" t="s">
        <v>1006</v>
      </c>
      <c r="B1142" t="s">
        <v>774</v>
      </c>
      <c r="C1142" t="s">
        <v>1005</v>
      </c>
      <c r="D1142" s="1">
        <v>46199</v>
      </c>
      <c r="E1142" t="s">
        <v>32</v>
      </c>
      <c r="F1142" t="s">
        <v>356</v>
      </c>
      <c r="G1142" t="s">
        <v>56</v>
      </c>
      <c r="H1142" t="s">
        <v>77</v>
      </c>
      <c r="I1142" t="s">
        <v>15</v>
      </c>
      <c r="J1142" t="s">
        <v>14</v>
      </c>
      <c r="K1142" t="s">
        <v>13</v>
      </c>
      <c r="L1142" t="s">
        <v>64</v>
      </c>
      <c r="M1142" t="s">
        <v>53</v>
      </c>
      <c r="N1142" t="s">
        <v>75</v>
      </c>
      <c r="O1142" t="s">
        <v>26</v>
      </c>
      <c r="P1142" t="s">
        <v>8</v>
      </c>
      <c r="Q1142" t="s">
        <v>7</v>
      </c>
      <c r="R1142" t="s">
        <v>6</v>
      </c>
      <c r="S1142">
        <v>4</v>
      </c>
      <c r="T1142">
        <v>4</v>
      </c>
      <c r="U1142">
        <v>86</v>
      </c>
      <c r="V1142" t="s">
        <v>0</v>
      </c>
      <c r="W1142" t="s">
        <v>0</v>
      </c>
      <c r="X1142" t="s">
        <v>182</v>
      </c>
      <c r="Y1142" t="s">
        <v>355</v>
      </c>
      <c r="Z1142" t="s">
        <v>0</v>
      </c>
      <c r="AA1142">
        <v>0</v>
      </c>
      <c r="AB1142">
        <v>0</v>
      </c>
      <c r="AC1142">
        <v>0</v>
      </c>
      <c r="AD1142" t="s">
        <v>436</v>
      </c>
      <c r="AE1142" t="s">
        <v>5</v>
      </c>
      <c r="AF1142" t="s">
        <v>436</v>
      </c>
      <c r="AG1142" t="s">
        <v>36</v>
      </c>
      <c r="AH1142">
        <v>30</v>
      </c>
      <c r="AI1142" t="s">
        <v>122</v>
      </c>
      <c r="AJ1142">
        <v>4</v>
      </c>
      <c r="AK1142">
        <v>26</v>
      </c>
      <c r="AL1142">
        <v>50</v>
      </c>
      <c r="AM1142" t="s">
        <v>5</v>
      </c>
      <c r="AN1142">
        <v>0</v>
      </c>
      <c r="AO1142">
        <v>0</v>
      </c>
      <c r="AP1142">
        <v>1</v>
      </c>
      <c r="AQ1142">
        <v>1</v>
      </c>
    </row>
    <row r="1143" spans="1:43" x14ac:dyDescent="0.25">
      <c r="A1143" t="s">
        <v>1004</v>
      </c>
      <c r="B1143" t="s">
        <v>292</v>
      </c>
      <c r="C1143" t="s">
        <v>1003</v>
      </c>
      <c r="D1143" s="1">
        <v>45811</v>
      </c>
      <c r="E1143" t="s">
        <v>79</v>
      </c>
      <c r="F1143" t="s">
        <v>102</v>
      </c>
      <c r="G1143" t="s">
        <v>83</v>
      </c>
      <c r="H1143" t="s">
        <v>43</v>
      </c>
      <c r="I1143" t="s">
        <v>15</v>
      </c>
      <c r="J1143" t="s">
        <v>55</v>
      </c>
      <c r="K1143" t="s">
        <v>54</v>
      </c>
      <c r="L1143" t="s">
        <v>64</v>
      </c>
      <c r="M1143" t="s">
        <v>53</v>
      </c>
      <c r="N1143" t="s">
        <v>52</v>
      </c>
      <c r="O1143" t="s">
        <v>193</v>
      </c>
      <c r="P1143" t="s">
        <v>39</v>
      </c>
      <c r="Q1143" t="s">
        <v>100</v>
      </c>
      <c r="R1143" t="s">
        <v>6</v>
      </c>
      <c r="S1143">
        <v>9</v>
      </c>
      <c r="T1143">
        <v>5</v>
      </c>
      <c r="U1143">
        <v>385</v>
      </c>
      <c r="V1143" t="s">
        <v>5</v>
      </c>
      <c r="W1143" t="s">
        <v>5</v>
      </c>
      <c r="X1143" t="s">
        <v>5</v>
      </c>
      <c r="Y1143" t="s">
        <v>1002</v>
      </c>
      <c r="Z1143" t="s">
        <v>0</v>
      </c>
      <c r="AA1143">
        <v>0</v>
      </c>
      <c r="AB1143">
        <v>0</v>
      </c>
      <c r="AC1143">
        <v>0</v>
      </c>
      <c r="AD1143" t="s">
        <v>61</v>
      </c>
      <c r="AE1143" t="s">
        <v>5</v>
      </c>
      <c r="AF1143" t="s">
        <v>61</v>
      </c>
      <c r="AG1143" t="s">
        <v>36</v>
      </c>
      <c r="AH1143">
        <v>43</v>
      </c>
      <c r="AI1143" t="s">
        <v>1001</v>
      </c>
      <c r="AJ1143">
        <v>2</v>
      </c>
      <c r="AK1143">
        <v>-23</v>
      </c>
      <c r="AL1143">
        <v>1</v>
      </c>
      <c r="AM1143" t="s">
        <v>5</v>
      </c>
      <c r="AN1143">
        <v>1</v>
      </c>
      <c r="AO1143">
        <v>0</v>
      </c>
      <c r="AP1143">
        <v>1</v>
      </c>
      <c r="AQ1143">
        <v>1</v>
      </c>
    </row>
    <row r="1144" spans="1:43" x14ac:dyDescent="0.25">
      <c r="A1144" t="s">
        <v>1000</v>
      </c>
      <c r="B1144" t="s">
        <v>532</v>
      </c>
      <c r="C1144" t="s">
        <v>999</v>
      </c>
      <c r="D1144" s="1">
        <v>45901</v>
      </c>
      <c r="E1144" t="s">
        <v>68</v>
      </c>
      <c r="F1144" t="s">
        <v>67</v>
      </c>
      <c r="G1144" t="s">
        <v>56</v>
      </c>
      <c r="H1144" t="s">
        <v>66</v>
      </c>
      <c r="I1144" t="s">
        <v>15</v>
      </c>
      <c r="J1144" t="s">
        <v>55</v>
      </c>
      <c r="K1144" t="s">
        <v>54</v>
      </c>
      <c r="L1144" t="s">
        <v>42</v>
      </c>
      <c r="M1144" t="s">
        <v>11</v>
      </c>
      <c r="N1144" t="s">
        <v>154</v>
      </c>
      <c r="O1144" t="s">
        <v>101</v>
      </c>
      <c r="P1144" t="s">
        <v>25</v>
      </c>
      <c r="Q1144" t="s">
        <v>198</v>
      </c>
      <c r="R1144" t="s">
        <v>38</v>
      </c>
      <c r="S1144">
        <v>4</v>
      </c>
      <c r="T1144" t="s">
        <v>601</v>
      </c>
      <c r="U1144">
        <v>188</v>
      </c>
      <c r="V1144" t="s">
        <v>5</v>
      </c>
      <c r="W1144" t="s">
        <v>5</v>
      </c>
      <c r="X1144" t="s">
        <v>0</v>
      </c>
      <c r="Y1144" t="s">
        <v>4</v>
      </c>
      <c r="Z1144" t="s">
        <v>5</v>
      </c>
      <c r="AA1144">
        <v>38.86</v>
      </c>
      <c r="AB1144">
        <v>0.54</v>
      </c>
      <c r="AC1144">
        <v>0</v>
      </c>
      <c r="AD1144" t="s">
        <v>3</v>
      </c>
      <c r="AE1144" t="s">
        <v>0</v>
      </c>
      <c r="AF1144" t="s">
        <v>3</v>
      </c>
      <c r="AG1144" t="s">
        <v>2</v>
      </c>
      <c r="AI1144" t="s">
        <v>23</v>
      </c>
      <c r="AJ1144">
        <v>4</v>
      </c>
      <c r="AK1144">
        <v>-38</v>
      </c>
      <c r="AL1144">
        <v>43</v>
      </c>
      <c r="AM1144" t="s">
        <v>5</v>
      </c>
      <c r="AN1144">
        <v>1</v>
      </c>
      <c r="AO1144">
        <v>1</v>
      </c>
      <c r="AP1144">
        <v>0</v>
      </c>
      <c r="AQ1144">
        <v>1</v>
      </c>
    </row>
    <row r="1145" spans="1:43" x14ac:dyDescent="0.25">
      <c r="A1145" t="s">
        <v>998</v>
      </c>
      <c r="B1145" t="s">
        <v>997</v>
      </c>
      <c r="C1145" t="s">
        <v>996</v>
      </c>
      <c r="D1145" s="1">
        <v>46172</v>
      </c>
      <c r="E1145" t="s">
        <v>45</v>
      </c>
      <c r="F1145" t="s">
        <v>44</v>
      </c>
      <c r="G1145" t="s">
        <v>110</v>
      </c>
      <c r="H1145" t="s">
        <v>29</v>
      </c>
      <c r="I1145" t="s">
        <v>28</v>
      </c>
      <c r="J1145" t="s">
        <v>55</v>
      </c>
      <c r="K1145" t="s">
        <v>54</v>
      </c>
      <c r="L1145" t="s">
        <v>64</v>
      </c>
      <c r="M1145" t="s">
        <v>27</v>
      </c>
      <c r="N1145" t="s">
        <v>52</v>
      </c>
      <c r="O1145" t="s">
        <v>130</v>
      </c>
      <c r="P1145" t="s">
        <v>39</v>
      </c>
      <c r="Q1145" t="s">
        <v>50</v>
      </c>
      <c r="R1145" t="s">
        <v>38</v>
      </c>
      <c r="S1145">
        <v>5</v>
      </c>
      <c r="T1145">
        <v>5</v>
      </c>
      <c r="U1145">
        <v>116</v>
      </c>
      <c r="V1145" t="s">
        <v>0</v>
      </c>
      <c r="W1145" t="s">
        <v>0</v>
      </c>
      <c r="X1145" t="s">
        <v>0</v>
      </c>
      <c r="Y1145" t="s">
        <v>4</v>
      </c>
      <c r="Z1145" t="s">
        <v>0</v>
      </c>
      <c r="AA1145">
        <v>0</v>
      </c>
      <c r="AB1145">
        <v>0</v>
      </c>
      <c r="AC1145">
        <v>0</v>
      </c>
      <c r="AD1145" t="s">
        <v>3</v>
      </c>
      <c r="AE1145" t="s">
        <v>0</v>
      </c>
      <c r="AF1145" t="s">
        <v>3</v>
      </c>
      <c r="AG1145" t="s">
        <v>2</v>
      </c>
      <c r="AI1145" t="s">
        <v>23</v>
      </c>
      <c r="AJ1145">
        <v>4</v>
      </c>
      <c r="AK1145">
        <v>40</v>
      </c>
      <c r="AL1145">
        <v>29</v>
      </c>
      <c r="AM1145" t="s">
        <v>5</v>
      </c>
      <c r="AN1145">
        <v>0</v>
      </c>
      <c r="AO1145">
        <v>0</v>
      </c>
      <c r="AP1145">
        <v>0</v>
      </c>
      <c r="AQ1145">
        <v>1</v>
      </c>
    </row>
    <row r="1146" spans="1:43" x14ac:dyDescent="0.25">
      <c r="A1146" t="s">
        <v>995</v>
      </c>
      <c r="B1146" t="s">
        <v>994</v>
      </c>
      <c r="C1146" t="s">
        <v>993</v>
      </c>
      <c r="D1146" s="1">
        <v>45760</v>
      </c>
      <c r="E1146" t="s">
        <v>32</v>
      </c>
      <c r="F1146" t="s">
        <v>107</v>
      </c>
      <c r="G1146" t="s">
        <v>17</v>
      </c>
      <c r="H1146" t="s">
        <v>29</v>
      </c>
      <c r="I1146" t="s">
        <v>28</v>
      </c>
      <c r="J1146" t="s">
        <v>14</v>
      </c>
      <c r="K1146" t="s">
        <v>13</v>
      </c>
      <c r="L1146" t="s">
        <v>12</v>
      </c>
      <c r="M1146" t="s">
        <v>11</v>
      </c>
      <c r="N1146" t="s">
        <v>93</v>
      </c>
      <c r="O1146" t="s">
        <v>130</v>
      </c>
      <c r="P1146" t="s">
        <v>8</v>
      </c>
      <c r="Q1146" t="s">
        <v>7</v>
      </c>
      <c r="R1146" t="s">
        <v>6</v>
      </c>
      <c r="S1146">
        <v>5</v>
      </c>
      <c r="T1146" t="s">
        <v>277</v>
      </c>
      <c r="U1146">
        <v>115</v>
      </c>
      <c r="V1146" t="s">
        <v>0</v>
      </c>
      <c r="W1146" t="s">
        <v>5</v>
      </c>
      <c r="X1146" t="s">
        <v>0</v>
      </c>
      <c r="Y1146" t="s">
        <v>4</v>
      </c>
      <c r="Z1146" t="s">
        <v>5</v>
      </c>
      <c r="AA1146">
        <v>61.77</v>
      </c>
      <c r="AB1146">
        <v>0</v>
      </c>
      <c r="AC1146">
        <v>0</v>
      </c>
      <c r="AD1146" t="s">
        <v>37</v>
      </c>
      <c r="AE1146" t="s">
        <v>5</v>
      </c>
      <c r="AF1146" t="s">
        <v>37</v>
      </c>
      <c r="AG1146" t="s">
        <v>36</v>
      </c>
      <c r="AH1146">
        <v>27</v>
      </c>
      <c r="AI1146" t="s">
        <v>23</v>
      </c>
      <c r="AJ1146">
        <v>4</v>
      </c>
      <c r="AK1146">
        <v>15</v>
      </c>
      <c r="AL1146">
        <v>22</v>
      </c>
      <c r="AM1146" t="s">
        <v>5</v>
      </c>
      <c r="AN1146">
        <v>1</v>
      </c>
      <c r="AO1146">
        <v>1</v>
      </c>
      <c r="AP1146">
        <v>0</v>
      </c>
      <c r="AQ1146">
        <v>1</v>
      </c>
    </row>
    <row r="1147" spans="1:43" x14ac:dyDescent="0.25">
      <c r="A1147" t="s">
        <v>992</v>
      </c>
      <c r="B1147" t="s">
        <v>991</v>
      </c>
      <c r="C1147" t="s">
        <v>990</v>
      </c>
      <c r="D1147" s="1">
        <v>45749</v>
      </c>
      <c r="E1147" t="s">
        <v>45</v>
      </c>
      <c r="F1147" t="s">
        <v>57</v>
      </c>
      <c r="G1147" t="s">
        <v>17</v>
      </c>
      <c r="H1147" t="s">
        <v>29</v>
      </c>
      <c r="I1147" t="s">
        <v>28</v>
      </c>
      <c r="J1147" t="s">
        <v>55</v>
      </c>
      <c r="K1147" t="s">
        <v>54</v>
      </c>
      <c r="L1147" t="s">
        <v>42</v>
      </c>
      <c r="M1147" t="s">
        <v>11</v>
      </c>
      <c r="N1147" t="s">
        <v>116</v>
      </c>
      <c r="O1147" t="s">
        <v>51</v>
      </c>
      <c r="P1147" t="s">
        <v>39</v>
      </c>
      <c r="Q1147" t="s">
        <v>7</v>
      </c>
      <c r="R1147" t="s">
        <v>6</v>
      </c>
      <c r="S1147">
        <v>6</v>
      </c>
      <c r="T1147">
        <v>6</v>
      </c>
      <c r="U1147">
        <v>128</v>
      </c>
      <c r="V1147" t="s">
        <v>0</v>
      </c>
      <c r="W1147" t="s">
        <v>0</v>
      </c>
      <c r="X1147" t="s">
        <v>0</v>
      </c>
      <c r="Y1147" t="s">
        <v>4</v>
      </c>
      <c r="Z1147" t="s">
        <v>5</v>
      </c>
      <c r="AA1147">
        <v>0</v>
      </c>
      <c r="AB1147">
        <v>0.11</v>
      </c>
      <c r="AC1147">
        <v>0</v>
      </c>
      <c r="AD1147" t="s">
        <v>3</v>
      </c>
      <c r="AE1147" t="s">
        <v>0</v>
      </c>
      <c r="AF1147" t="s">
        <v>3</v>
      </c>
      <c r="AG1147" t="s">
        <v>2</v>
      </c>
      <c r="AI1147" t="s">
        <v>23</v>
      </c>
      <c r="AJ1147">
        <v>3</v>
      </c>
      <c r="AK1147">
        <v>20</v>
      </c>
      <c r="AL1147">
        <v>36</v>
      </c>
      <c r="AM1147" t="s">
        <v>5</v>
      </c>
      <c r="AN1147">
        <v>0</v>
      </c>
      <c r="AO1147">
        <v>1</v>
      </c>
      <c r="AP1147">
        <v>0</v>
      </c>
      <c r="AQ1147">
        <v>1</v>
      </c>
    </row>
    <row r="1148" spans="1:43" x14ac:dyDescent="0.25">
      <c r="A1148" t="s">
        <v>989</v>
      </c>
      <c r="B1148" t="s">
        <v>988</v>
      </c>
      <c r="C1148" t="s">
        <v>987</v>
      </c>
      <c r="D1148" s="1">
        <v>45905</v>
      </c>
      <c r="E1148" t="s">
        <v>112</v>
      </c>
      <c r="F1148" t="s">
        <v>111</v>
      </c>
      <c r="G1148" t="s">
        <v>17</v>
      </c>
      <c r="H1148" t="s">
        <v>77</v>
      </c>
      <c r="I1148" t="s">
        <v>28</v>
      </c>
      <c r="J1148" t="s">
        <v>146</v>
      </c>
      <c r="K1148" t="s">
        <v>145</v>
      </c>
      <c r="L1148" t="s">
        <v>117</v>
      </c>
      <c r="M1148" t="s">
        <v>53</v>
      </c>
      <c r="N1148" t="s">
        <v>52</v>
      </c>
      <c r="O1148" t="s">
        <v>101</v>
      </c>
      <c r="P1148" t="s">
        <v>39</v>
      </c>
      <c r="Q1148" t="s">
        <v>24</v>
      </c>
      <c r="R1148" t="s">
        <v>6</v>
      </c>
      <c r="S1148">
        <v>4</v>
      </c>
      <c r="T1148" t="s">
        <v>99</v>
      </c>
      <c r="U1148">
        <v>123</v>
      </c>
      <c r="V1148" t="s">
        <v>0</v>
      </c>
      <c r="W1148" t="s">
        <v>5</v>
      </c>
      <c r="X1148" t="s">
        <v>0</v>
      </c>
      <c r="Y1148" t="s">
        <v>4</v>
      </c>
      <c r="Z1148" t="s">
        <v>5</v>
      </c>
      <c r="AA1148">
        <v>76.78</v>
      </c>
      <c r="AB1148">
        <v>0.49</v>
      </c>
      <c r="AC1148">
        <v>0.17</v>
      </c>
      <c r="AD1148" t="s">
        <v>3</v>
      </c>
      <c r="AE1148" t="s">
        <v>0</v>
      </c>
      <c r="AF1148" t="s">
        <v>3</v>
      </c>
      <c r="AG1148" t="s">
        <v>2</v>
      </c>
      <c r="AI1148" t="s">
        <v>23</v>
      </c>
      <c r="AJ1148">
        <v>5</v>
      </c>
      <c r="AK1148">
        <v>23</v>
      </c>
      <c r="AL1148">
        <v>52</v>
      </c>
      <c r="AM1148" t="s">
        <v>5</v>
      </c>
      <c r="AN1148">
        <v>1</v>
      </c>
      <c r="AO1148">
        <v>1</v>
      </c>
      <c r="AP1148">
        <v>0</v>
      </c>
      <c r="AQ1148">
        <v>1</v>
      </c>
    </row>
    <row r="1149" spans="1:43" x14ac:dyDescent="0.25">
      <c r="A1149" t="s">
        <v>986</v>
      </c>
      <c r="B1149" t="s">
        <v>985</v>
      </c>
      <c r="C1149" t="s">
        <v>984</v>
      </c>
      <c r="D1149" s="1">
        <v>45757</v>
      </c>
      <c r="E1149" t="s">
        <v>79</v>
      </c>
      <c r="F1149" t="s">
        <v>102</v>
      </c>
      <c r="G1149" t="s">
        <v>56</v>
      </c>
      <c r="H1149" t="s">
        <v>16</v>
      </c>
      <c r="I1149" t="s">
        <v>15</v>
      </c>
      <c r="J1149" t="s">
        <v>55</v>
      </c>
      <c r="K1149" t="s">
        <v>54</v>
      </c>
      <c r="L1149" t="s">
        <v>117</v>
      </c>
      <c r="M1149" t="s">
        <v>53</v>
      </c>
      <c r="N1149" t="s">
        <v>154</v>
      </c>
      <c r="O1149" t="s">
        <v>26</v>
      </c>
      <c r="P1149" t="s">
        <v>39</v>
      </c>
      <c r="Q1149" t="s">
        <v>7</v>
      </c>
      <c r="R1149" t="s">
        <v>6</v>
      </c>
      <c r="S1149">
        <v>4</v>
      </c>
      <c r="T1149">
        <v>4</v>
      </c>
      <c r="U1149">
        <v>83</v>
      </c>
      <c r="V1149" t="s">
        <v>0</v>
      </c>
      <c r="W1149" t="s">
        <v>5</v>
      </c>
      <c r="X1149" t="s">
        <v>0</v>
      </c>
      <c r="Y1149" t="s">
        <v>4</v>
      </c>
      <c r="Z1149" t="s">
        <v>5</v>
      </c>
      <c r="AA1149">
        <v>185.25</v>
      </c>
      <c r="AB1149">
        <v>0.2</v>
      </c>
      <c r="AC1149">
        <v>0.17</v>
      </c>
      <c r="AD1149" t="s">
        <v>3</v>
      </c>
      <c r="AE1149" t="s">
        <v>0</v>
      </c>
      <c r="AF1149" t="s">
        <v>3</v>
      </c>
      <c r="AG1149" t="s">
        <v>2</v>
      </c>
      <c r="AI1149" t="s">
        <v>23</v>
      </c>
      <c r="AJ1149">
        <v>5</v>
      </c>
      <c r="AK1149">
        <v>53</v>
      </c>
      <c r="AL1149">
        <v>46</v>
      </c>
      <c r="AM1149" t="s">
        <v>5</v>
      </c>
      <c r="AN1149">
        <v>1</v>
      </c>
      <c r="AO1149">
        <v>1</v>
      </c>
      <c r="AP1149">
        <v>0</v>
      </c>
      <c r="AQ1149">
        <v>1</v>
      </c>
    </row>
    <row r="1150" spans="1:43" x14ac:dyDescent="0.25">
      <c r="A1150" t="s">
        <v>983</v>
      </c>
      <c r="B1150" t="s">
        <v>982</v>
      </c>
      <c r="C1150" t="s">
        <v>981</v>
      </c>
      <c r="D1150" s="1">
        <v>45813</v>
      </c>
      <c r="E1150" t="s">
        <v>168</v>
      </c>
      <c r="F1150" t="s">
        <v>233</v>
      </c>
      <c r="G1150" t="s">
        <v>17</v>
      </c>
      <c r="H1150" t="s">
        <v>77</v>
      </c>
      <c r="I1150" t="s">
        <v>15</v>
      </c>
      <c r="J1150" t="s">
        <v>146</v>
      </c>
      <c r="K1150" t="s">
        <v>145</v>
      </c>
      <c r="L1150" t="s">
        <v>12</v>
      </c>
      <c r="M1150" t="s">
        <v>11</v>
      </c>
      <c r="N1150" t="s">
        <v>93</v>
      </c>
      <c r="O1150" t="s">
        <v>26</v>
      </c>
      <c r="P1150" t="s">
        <v>63</v>
      </c>
      <c r="Q1150" t="s">
        <v>7</v>
      </c>
      <c r="R1150" t="s">
        <v>6</v>
      </c>
      <c r="S1150">
        <v>4</v>
      </c>
      <c r="T1150">
        <v>4</v>
      </c>
      <c r="U1150">
        <v>115</v>
      </c>
      <c r="V1150" t="s">
        <v>0</v>
      </c>
      <c r="W1150" t="s">
        <v>5</v>
      </c>
      <c r="X1150" t="s">
        <v>0</v>
      </c>
      <c r="Y1150" t="s">
        <v>4</v>
      </c>
      <c r="Z1150" t="s">
        <v>5</v>
      </c>
      <c r="AA1150">
        <v>165.34</v>
      </c>
      <c r="AB1150">
        <v>0.23</v>
      </c>
      <c r="AC1150">
        <v>0</v>
      </c>
      <c r="AD1150" t="s">
        <v>37</v>
      </c>
      <c r="AE1150" t="s">
        <v>5</v>
      </c>
      <c r="AF1150" t="s">
        <v>37</v>
      </c>
      <c r="AG1150" t="s">
        <v>36</v>
      </c>
      <c r="AH1150">
        <v>29</v>
      </c>
      <c r="AI1150" t="s">
        <v>23</v>
      </c>
      <c r="AJ1150">
        <v>5</v>
      </c>
      <c r="AK1150">
        <v>-9</v>
      </c>
      <c r="AL1150">
        <v>0</v>
      </c>
      <c r="AM1150" t="s">
        <v>5</v>
      </c>
      <c r="AN1150">
        <v>1</v>
      </c>
      <c r="AO1150">
        <v>1</v>
      </c>
      <c r="AP1150">
        <v>0</v>
      </c>
      <c r="AQ1150">
        <v>1</v>
      </c>
    </row>
    <row r="1151" spans="1:43" x14ac:dyDescent="0.25">
      <c r="A1151" t="s">
        <v>980</v>
      </c>
      <c r="B1151" t="s">
        <v>979</v>
      </c>
      <c r="C1151" t="s">
        <v>978</v>
      </c>
      <c r="D1151" s="1">
        <v>46160</v>
      </c>
      <c r="E1151" t="s">
        <v>68</v>
      </c>
      <c r="F1151" t="s">
        <v>278</v>
      </c>
      <c r="G1151" t="s">
        <v>30</v>
      </c>
      <c r="H1151" t="s">
        <v>77</v>
      </c>
      <c r="I1151" t="s">
        <v>15</v>
      </c>
      <c r="J1151" t="s">
        <v>14</v>
      </c>
      <c r="K1151" t="s">
        <v>13</v>
      </c>
      <c r="L1151" t="s">
        <v>42</v>
      </c>
      <c r="M1151" t="s">
        <v>11</v>
      </c>
      <c r="N1151" t="s">
        <v>75</v>
      </c>
      <c r="O1151" t="s">
        <v>26</v>
      </c>
      <c r="P1151" t="s">
        <v>25</v>
      </c>
      <c r="Q1151" t="s">
        <v>7</v>
      </c>
      <c r="R1151" t="s">
        <v>6</v>
      </c>
      <c r="S1151">
        <v>4</v>
      </c>
      <c r="T1151">
        <v>4</v>
      </c>
      <c r="U1151">
        <v>112</v>
      </c>
      <c r="V1151" t="s">
        <v>0</v>
      </c>
      <c r="W1151" t="s">
        <v>5</v>
      </c>
      <c r="X1151" t="s">
        <v>0</v>
      </c>
      <c r="Y1151" t="s">
        <v>4</v>
      </c>
      <c r="Z1151" t="s">
        <v>0</v>
      </c>
      <c r="AA1151">
        <v>0</v>
      </c>
      <c r="AB1151">
        <v>0</v>
      </c>
      <c r="AC1151">
        <v>0</v>
      </c>
      <c r="AD1151" t="s">
        <v>3</v>
      </c>
      <c r="AE1151" t="s">
        <v>0</v>
      </c>
      <c r="AF1151" t="s">
        <v>3</v>
      </c>
      <c r="AG1151" t="s">
        <v>2</v>
      </c>
      <c r="AI1151" t="s">
        <v>23</v>
      </c>
      <c r="AJ1151">
        <v>5</v>
      </c>
      <c r="AK1151">
        <v>26</v>
      </c>
      <c r="AL1151">
        <v>41</v>
      </c>
      <c r="AM1151" t="s">
        <v>5</v>
      </c>
      <c r="AN1151">
        <v>1</v>
      </c>
      <c r="AO1151">
        <v>0</v>
      </c>
      <c r="AP1151">
        <v>0</v>
      </c>
      <c r="AQ1151">
        <v>1</v>
      </c>
    </row>
    <row r="1152" spans="1:43" x14ac:dyDescent="0.25">
      <c r="A1152" t="s">
        <v>977</v>
      </c>
      <c r="B1152" t="s">
        <v>976</v>
      </c>
      <c r="C1152" t="s">
        <v>975</v>
      </c>
      <c r="D1152" s="1">
        <v>45689</v>
      </c>
      <c r="E1152" t="s">
        <v>45</v>
      </c>
      <c r="F1152" t="s">
        <v>57</v>
      </c>
      <c r="G1152" t="s">
        <v>83</v>
      </c>
      <c r="H1152" t="s">
        <v>43</v>
      </c>
      <c r="I1152" t="s">
        <v>28</v>
      </c>
      <c r="J1152" t="s">
        <v>14</v>
      </c>
      <c r="K1152" t="s">
        <v>13</v>
      </c>
      <c r="L1152" t="s">
        <v>12</v>
      </c>
      <c r="M1152" t="s">
        <v>11</v>
      </c>
      <c r="N1152" t="s">
        <v>10</v>
      </c>
      <c r="O1152" t="s">
        <v>40</v>
      </c>
      <c r="P1152" t="s">
        <v>25</v>
      </c>
      <c r="Q1152" t="s">
        <v>50</v>
      </c>
      <c r="R1152" t="s">
        <v>38</v>
      </c>
      <c r="S1152" t="s">
        <v>106</v>
      </c>
      <c r="T1152">
        <v>8</v>
      </c>
      <c r="U1152">
        <v>293</v>
      </c>
      <c r="V1152" t="s">
        <v>247</v>
      </c>
      <c r="W1152" t="s">
        <v>0</v>
      </c>
      <c r="X1152" t="s">
        <v>287</v>
      </c>
      <c r="Y1152" t="s">
        <v>913</v>
      </c>
      <c r="Z1152" t="s">
        <v>0</v>
      </c>
      <c r="AA1152">
        <v>0</v>
      </c>
      <c r="AB1152">
        <v>0</v>
      </c>
      <c r="AC1152">
        <v>0</v>
      </c>
      <c r="AD1152" t="s">
        <v>3</v>
      </c>
      <c r="AE1152" t="s">
        <v>0</v>
      </c>
      <c r="AF1152" t="s">
        <v>3</v>
      </c>
      <c r="AG1152" t="s">
        <v>2</v>
      </c>
      <c r="AI1152" t="s">
        <v>23</v>
      </c>
      <c r="AJ1152">
        <v>2</v>
      </c>
      <c r="AK1152">
        <v>-3</v>
      </c>
      <c r="AL1152">
        <v>4</v>
      </c>
      <c r="AM1152" t="s">
        <v>5</v>
      </c>
      <c r="AN1152">
        <v>0</v>
      </c>
      <c r="AO1152">
        <v>0</v>
      </c>
      <c r="AP1152">
        <v>1</v>
      </c>
      <c r="AQ1152">
        <v>1</v>
      </c>
    </row>
    <row r="1153" spans="1:43" x14ac:dyDescent="0.25">
      <c r="A1153" t="s">
        <v>974</v>
      </c>
      <c r="B1153" t="s">
        <v>272</v>
      </c>
      <c r="C1153" t="s">
        <v>973</v>
      </c>
      <c r="D1153" s="1">
        <v>45706</v>
      </c>
      <c r="E1153" t="s">
        <v>79</v>
      </c>
      <c r="F1153" t="s">
        <v>206</v>
      </c>
      <c r="G1153" t="s">
        <v>17</v>
      </c>
      <c r="H1153" t="s">
        <v>77</v>
      </c>
      <c r="I1153" t="s">
        <v>28</v>
      </c>
      <c r="J1153" t="s">
        <v>55</v>
      </c>
      <c r="K1153" t="s">
        <v>54</v>
      </c>
      <c r="L1153" t="s">
        <v>64</v>
      </c>
      <c r="M1153" t="s">
        <v>11</v>
      </c>
      <c r="N1153" t="s">
        <v>52</v>
      </c>
      <c r="O1153" t="s">
        <v>193</v>
      </c>
      <c r="P1153" t="s">
        <v>8</v>
      </c>
      <c r="Q1153" t="s">
        <v>24</v>
      </c>
      <c r="R1153" t="s">
        <v>6</v>
      </c>
      <c r="S1153">
        <v>9</v>
      </c>
      <c r="T1153" t="s">
        <v>232</v>
      </c>
      <c r="U1153">
        <v>188</v>
      </c>
      <c r="V1153" t="s">
        <v>247</v>
      </c>
      <c r="W1153" t="s">
        <v>5</v>
      </c>
      <c r="X1153" t="s">
        <v>0</v>
      </c>
      <c r="Y1153" t="s">
        <v>4</v>
      </c>
      <c r="Z1153" t="s">
        <v>5</v>
      </c>
      <c r="AA1153">
        <v>166.4</v>
      </c>
      <c r="AB1153">
        <v>2.8</v>
      </c>
      <c r="AC1153">
        <v>0</v>
      </c>
      <c r="AD1153" t="s">
        <v>3</v>
      </c>
      <c r="AE1153" t="s">
        <v>0</v>
      </c>
      <c r="AF1153" t="s">
        <v>3</v>
      </c>
      <c r="AG1153" t="s">
        <v>2</v>
      </c>
      <c r="AI1153" t="s">
        <v>23</v>
      </c>
      <c r="AJ1153">
        <v>4</v>
      </c>
      <c r="AK1153">
        <v>26</v>
      </c>
      <c r="AL1153">
        <v>13</v>
      </c>
      <c r="AM1153" t="s">
        <v>5</v>
      </c>
      <c r="AN1153">
        <v>1</v>
      </c>
      <c r="AO1153">
        <v>1</v>
      </c>
      <c r="AP1153">
        <v>0</v>
      </c>
      <c r="AQ1153">
        <v>1</v>
      </c>
    </row>
    <row r="1154" spans="1:43" x14ac:dyDescent="0.25">
      <c r="A1154" t="s">
        <v>972</v>
      </c>
      <c r="B1154" t="s">
        <v>971</v>
      </c>
      <c r="C1154" t="s">
        <v>970</v>
      </c>
      <c r="D1154" s="1">
        <v>45910</v>
      </c>
      <c r="E1154" t="s">
        <v>19</v>
      </c>
      <c r="G1154" t="s">
        <v>131</v>
      </c>
      <c r="H1154" t="s">
        <v>77</v>
      </c>
      <c r="I1154" t="s">
        <v>28</v>
      </c>
      <c r="J1154" t="s">
        <v>55</v>
      </c>
      <c r="K1154" t="s">
        <v>54</v>
      </c>
      <c r="L1154" t="s">
        <v>117</v>
      </c>
      <c r="M1154" t="s">
        <v>11</v>
      </c>
      <c r="N1154" t="s">
        <v>93</v>
      </c>
      <c r="O1154" t="s">
        <v>199</v>
      </c>
      <c r="P1154" t="s">
        <v>25</v>
      </c>
      <c r="Q1154" t="s">
        <v>7</v>
      </c>
      <c r="R1154" t="s">
        <v>6</v>
      </c>
      <c r="S1154">
        <v>5</v>
      </c>
      <c r="T1154">
        <v>4</v>
      </c>
      <c r="U1154">
        <v>154</v>
      </c>
      <c r="V1154" t="s">
        <v>5</v>
      </c>
      <c r="W1154" t="s">
        <v>5</v>
      </c>
      <c r="X1154" t="s">
        <v>0</v>
      </c>
      <c r="Y1154" t="s">
        <v>4</v>
      </c>
      <c r="Z1154" t="s">
        <v>0</v>
      </c>
      <c r="AA1154">
        <v>0</v>
      </c>
      <c r="AB1154">
        <v>0</v>
      </c>
      <c r="AC1154">
        <v>0</v>
      </c>
      <c r="AD1154" t="s">
        <v>3</v>
      </c>
      <c r="AE1154" t="s">
        <v>0</v>
      </c>
      <c r="AF1154" t="s">
        <v>3</v>
      </c>
      <c r="AG1154" t="s">
        <v>2</v>
      </c>
      <c r="AI1154" t="s">
        <v>23</v>
      </c>
      <c r="AJ1154">
        <v>4</v>
      </c>
      <c r="AK1154">
        <v>10</v>
      </c>
      <c r="AL1154">
        <v>54</v>
      </c>
      <c r="AM1154" t="s">
        <v>0</v>
      </c>
      <c r="AN1154">
        <v>1</v>
      </c>
      <c r="AO1154">
        <v>0</v>
      </c>
      <c r="AP1154">
        <v>0</v>
      </c>
      <c r="AQ1154">
        <v>0</v>
      </c>
    </row>
    <row r="1155" spans="1:43" x14ac:dyDescent="0.25">
      <c r="A1155" t="s">
        <v>969</v>
      </c>
      <c r="B1155" t="s">
        <v>968</v>
      </c>
      <c r="C1155" t="s">
        <v>967</v>
      </c>
      <c r="D1155" s="1">
        <v>45848</v>
      </c>
      <c r="E1155" t="s">
        <v>68</v>
      </c>
      <c r="F1155" t="s">
        <v>67</v>
      </c>
      <c r="G1155" t="s">
        <v>30</v>
      </c>
      <c r="H1155" t="s">
        <v>29</v>
      </c>
      <c r="I1155" t="s">
        <v>28</v>
      </c>
      <c r="J1155" t="s">
        <v>146</v>
      </c>
      <c r="K1155" t="s">
        <v>145</v>
      </c>
      <c r="L1155" t="s">
        <v>117</v>
      </c>
      <c r="M1155" t="s">
        <v>27</v>
      </c>
      <c r="N1155" t="s">
        <v>52</v>
      </c>
      <c r="O1155" t="s">
        <v>101</v>
      </c>
      <c r="P1155" t="s">
        <v>63</v>
      </c>
      <c r="Q1155" t="s">
        <v>7</v>
      </c>
      <c r="R1155" t="s">
        <v>6</v>
      </c>
      <c r="S1155">
        <v>4</v>
      </c>
      <c r="T1155">
        <v>2</v>
      </c>
      <c r="U1155">
        <v>174</v>
      </c>
      <c r="V1155" t="s">
        <v>5</v>
      </c>
      <c r="W1155" t="s">
        <v>0</v>
      </c>
      <c r="X1155" t="s">
        <v>0</v>
      </c>
      <c r="Y1155" t="s">
        <v>4</v>
      </c>
      <c r="Z1155" t="s">
        <v>0</v>
      </c>
      <c r="AA1155">
        <v>0</v>
      </c>
      <c r="AB1155">
        <v>0</v>
      </c>
      <c r="AC1155">
        <v>0</v>
      </c>
      <c r="AD1155" t="s">
        <v>3</v>
      </c>
      <c r="AE1155" t="s">
        <v>0</v>
      </c>
      <c r="AF1155" t="s">
        <v>3</v>
      </c>
      <c r="AG1155" t="s">
        <v>2</v>
      </c>
      <c r="AI1155" t="s">
        <v>1</v>
      </c>
      <c r="AJ1155">
        <v>2</v>
      </c>
      <c r="AK1155">
        <v>-20</v>
      </c>
      <c r="AL1155">
        <v>0</v>
      </c>
      <c r="AM1155" t="s">
        <v>5</v>
      </c>
      <c r="AN1155">
        <v>0</v>
      </c>
      <c r="AO1155">
        <v>0</v>
      </c>
      <c r="AP1155">
        <v>0</v>
      </c>
      <c r="AQ1155">
        <v>1</v>
      </c>
    </row>
    <row r="1156" spans="1:43" x14ac:dyDescent="0.25">
      <c r="A1156" t="s">
        <v>966</v>
      </c>
      <c r="B1156" t="s">
        <v>965</v>
      </c>
      <c r="C1156" t="s">
        <v>964</v>
      </c>
      <c r="D1156" s="1">
        <v>45966</v>
      </c>
      <c r="E1156" t="s">
        <v>156</v>
      </c>
      <c r="F1156" t="s">
        <v>550</v>
      </c>
      <c r="G1156" t="s">
        <v>17</v>
      </c>
      <c r="H1156" t="s">
        <v>77</v>
      </c>
      <c r="I1156" t="s">
        <v>963</v>
      </c>
      <c r="J1156" t="s">
        <v>55</v>
      </c>
      <c r="K1156" t="s">
        <v>54</v>
      </c>
      <c r="L1156" t="s">
        <v>64</v>
      </c>
      <c r="M1156" t="s">
        <v>11</v>
      </c>
      <c r="N1156" t="s">
        <v>116</v>
      </c>
      <c r="O1156" t="s">
        <v>101</v>
      </c>
      <c r="P1156" t="s">
        <v>25</v>
      </c>
      <c r="Q1156" t="s">
        <v>7</v>
      </c>
      <c r="R1156" t="s">
        <v>6</v>
      </c>
      <c r="S1156">
        <v>4</v>
      </c>
      <c r="T1156" t="s">
        <v>99</v>
      </c>
      <c r="U1156">
        <v>99</v>
      </c>
      <c r="V1156" t="s">
        <v>0</v>
      </c>
      <c r="W1156" t="s">
        <v>5</v>
      </c>
      <c r="X1156" t="s">
        <v>0</v>
      </c>
      <c r="Y1156" t="s">
        <v>4</v>
      </c>
      <c r="Z1156" t="s">
        <v>5</v>
      </c>
      <c r="AA1156">
        <v>144.94</v>
      </c>
      <c r="AB1156">
        <v>0.5</v>
      </c>
      <c r="AC1156">
        <v>0</v>
      </c>
      <c r="AD1156" t="s">
        <v>3</v>
      </c>
      <c r="AE1156" t="s">
        <v>0</v>
      </c>
      <c r="AF1156" t="s">
        <v>3</v>
      </c>
      <c r="AG1156" t="s">
        <v>2</v>
      </c>
      <c r="AI1156" t="s">
        <v>23</v>
      </c>
      <c r="AJ1156">
        <v>4</v>
      </c>
      <c r="AK1156">
        <v>27</v>
      </c>
      <c r="AL1156">
        <v>1</v>
      </c>
      <c r="AM1156" t="s">
        <v>5</v>
      </c>
      <c r="AN1156">
        <v>1</v>
      </c>
      <c r="AO1156">
        <v>1</v>
      </c>
      <c r="AP1156">
        <v>0</v>
      </c>
      <c r="AQ1156">
        <v>1</v>
      </c>
    </row>
    <row r="1157" spans="1:43" x14ac:dyDescent="0.25">
      <c r="A1157" t="s">
        <v>962</v>
      </c>
      <c r="B1157" t="s">
        <v>170</v>
      </c>
      <c r="C1157" t="s">
        <v>961</v>
      </c>
      <c r="D1157" s="1">
        <v>45910</v>
      </c>
      <c r="E1157" t="s">
        <v>45</v>
      </c>
      <c r="F1157" t="s">
        <v>670</v>
      </c>
      <c r="G1157" t="s">
        <v>56</v>
      </c>
      <c r="H1157" t="s">
        <v>77</v>
      </c>
      <c r="I1157" t="s">
        <v>28</v>
      </c>
      <c r="J1157" t="s">
        <v>14</v>
      </c>
      <c r="K1157" t="s">
        <v>13</v>
      </c>
      <c r="L1157" t="s">
        <v>42</v>
      </c>
      <c r="M1157" t="s">
        <v>53</v>
      </c>
      <c r="N1157" t="s">
        <v>10</v>
      </c>
      <c r="O1157" t="s">
        <v>87</v>
      </c>
      <c r="P1157" t="s">
        <v>39</v>
      </c>
      <c r="Q1157" t="s">
        <v>7</v>
      </c>
      <c r="R1157" t="s">
        <v>6</v>
      </c>
      <c r="S1157">
        <v>5</v>
      </c>
      <c r="T1157">
        <v>5</v>
      </c>
      <c r="U1157">
        <v>128</v>
      </c>
      <c r="V1157" t="s">
        <v>0</v>
      </c>
      <c r="W1157" t="s">
        <v>5</v>
      </c>
      <c r="X1157" t="s">
        <v>0</v>
      </c>
      <c r="Y1157" t="s">
        <v>4</v>
      </c>
      <c r="Z1157" t="s">
        <v>5</v>
      </c>
      <c r="AA1157">
        <v>44.52</v>
      </c>
      <c r="AB1157">
        <v>0</v>
      </c>
      <c r="AC1157">
        <v>0.17</v>
      </c>
      <c r="AD1157" t="s">
        <v>3</v>
      </c>
      <c r="AE1157" t="s">
        <v>0</v>
      </c>
      <c r="AF1157" t="s">
        <v>3</v>
      </c>
      <c r="AG1157" t="s">
        <v>2</v>
      </c>
      <c r="AI1157" t="s">
        <v>23</v>
      </c>
      <c r="AJ1157">
        <v>5</v>
      </c>
      <c r="AK1157">
        <v>5</v>
      </c>
      <c r="AL1157">
        <v>59</v>
      </c>
      <c r="AM1157" t="s">
        <v>5</v>
      </c>
      <c r="AN1157">
        <v>1</v>
      </c>
      <c r="AO1157">
        <v>1</v>
      </c>
      <c r="AP1157">
        <v>0</v>
      </c>
      <c r="AQ1157">
        <v>1</v>
      </c>
    </row>
    <row r="1158" spans="1:43" x14ac:dyDescent="0.25">
      <c r="A1158" t="s">
        <v>960</v>
      </c>
      <c r="B1158" t="s">
        <v>959</v>
      </c>
      <c r="C1158" t="s">
        <v>958</v>
      </c>
      <c r="D1158" s="1">
        <v>46024</v>
      </c>
      <c r="E1158" t="s">
        <v>156</v>
      </c>
      <c r="F1158" t="s">
        <v>325</v>
      </c>
      <c r="G1158" t="s">
        <v>17</v>
      </c>
      <c r="H1158" t="s">
        <v>16</v>
      </c>
      <c r="I1158" t="s">
        <v>15</v>
      </c>
      <c r="J1158" t="s">
        <v>14</v>
      </c>
      <c r="K1158" t="s">
        <v>13</v>
      </c>
      <c r="L1158" t="s">
        <v>88</v>
      </c>
      <c r="M1158" t="s">
        <v>27</v>
      </c>
      <c r="N1158" t="s">
        <v>52</v>
      </c>
      <c r="O1158" t="s">
        <v>101</v>
      </c>
      <c r="P1158" t="s">
        <v>39</v>
      </c>
      <c r="Q1158" t="s">
        <v>198</v>
      </c>
      <c r="R1158" t="s">
        <v>38</v>
      </c>
      <c r="S1158" t="s">
        <v>99</v>
      </c>
      <c r="T1158">
        <v>4</v>
      </c>
      <c r="U1158">
        <v>87</v>
      </c>
      <c r="V1158" t="s">
        <v>0</v>
      </c>
      <c r="W1158" t="s">
        <v>5</v>
      </c>
      <c r="X1158" t="s">
        <v>0</v>
      </c>
      <c r="Y1158" t="s">
        <v>4</v>
      </c>
      <c r="Z1158" t="s">
        <v>5</v>
      </c>
      <c r="AA1158">
        <v>109.44</v>
      </c>
      <c r="AB1158">
        <v>0.48</v>
      </c>
      <c r="AC1158">
        <v>0.37</v>
      </c>
      <c r="AD1158" t="s">
        <v>3</v>
      </c>
      <c r="AE1158" t="s">
        <v>0</v>
      </c>
      <c r="AF1158" t="s">
        <v>3</v>
      </c>
      <c r="AG1158" t="s">
        <v>2</v>
      </c>
      <c r="AI1158" t="s">
        <v>23</v>
      </c>
      <c r="AJ1158">
        <v>5</v>
      </c>
      <c r="AK1158">
        <v>46</v>
      </c>
      <c r="AL1158">
        <v>46</v>
      </c>
      <c r="AM1158" t="s">
        <v>5</v>
      </c>
      <c r="AN1158">
        <v>1</v>
      </c>
      <c r="AO1158">
        <v>1</v>
      </c>
      <c r="AP1158">
        <v>0</v>
      </c>
      <c r="AQ1158">
        <v>1</v>
      </c>
    </row>
    <row r="1159" spans="1:43" x14ac:dyDescent="0.25">
      <c r="A1159" t="s">
        <v>957</v>
      </c>
      <c r="B1159" t="s">
        <v>956</v>
      </c>
      <c r="C1159" t="s">
        <v>955</v>
      </c>
      <c r="D1159" s="1">
        <v>45679</v>
      </c>
      <c r="E1159" t="s">
        <v>168</v>
      </c>
      <c r="F1159" t="s">
        <v>233</v>
      </c>
      <c r="G1159" t="s">
        <v>83</v>
      </c>
      <c r="H1159" t="s">
        <v>29</v>
      </c>
      <c r="I1159" t="s">
        <v>147</v>
      </c>
      <c r="J1159" t="s">
        <v>55</v>
      </c>
      <c r="K1159" t="s">
        <v>54</v>
      </c>
      <c r="L1159" t="s">
        <v>12</v>
      </c>
      <c r="M1159" t="s">
        <v>11</v>
      </c>
      <c r="N1159" t="s">
        <v>154</v>
      </c>
      <c r="O1159" t="s">
        <v>130</v>
      </c>
      <c r="P1159" t="s">
        <v>39</v>
      </c>
      <c r="Q1159" t="s">
        <v>198</v>
      </c>
      <c r="R1159" t="s">
        <v>38</v>
      </c>
      <c r="S1159">
        <v>5</v>
      </c>
      <c r="T1159">
        <v>3</v>
      </c>
      <c r="U1159">
        <v>192</v>
      </c>
      <c r="V1159" t="s">
        <v>5</v>
      </c>
      <c r="W1159" t="s">
        <v>0</v>
      </c>
      <c r="X1159" t="s">
        <v>0</v>
      </c>
      <c r="Y1159" t="s">
        <v>4</v>
      </c>
      <c r="Z1159" t="s">
        <v>0</v>
      </c>
      <c r="AA1159">
        <v>0</v>
      </c>
      <c r="AB1159">
        <v>0</v>
      </c>
      <c r="AC1159">
        <v>0</v>
      </c>
      <c r="AD1159" t="s">
        <v>3</v>
      </c>
      <c r="AE1159" t="s">
        <v>0</v>
      </c>
      <c r="AF1159" t="s">
        <v>3</v>
      </c>
      <c r="AG1159" t="s">
        <v>2</v>
      </c>
      <c r="AI1159" t="s">
        <v>1</v>
      </c>
      <c r="AJ1159">
        <v>3</v>
      </c>
      <c r="AK1159">
        <v>8</v>
      </c>
      <c r="AL1159">
        <v>21</v>
      </c>
      <c r="AM1159" t="s">
        <v>0</v>
      </c>
      <c r="AN1159">
        <v>0</v>
      </c>
      <c r="AO1159">
        <v>0</v>
      </c>
      <c r="AP1159">
        <v>0</v>
      </c>
      <c r="AQ1159">
        <v>0</v>
      </c>
    </row>
    <row r="1160" spans="1:43" x14ac:dyDescent="0.25">
      <c r="A1160" t="s">
        <v>954</v>
      </c>
      <c r="B1160" t="s">
        <v>120</v>
      </c>
      <c r="C1160" t="s">
        <v>953</v>
      </c>
      <c r="D1160" s="1">
        <v>46085</v>
      </c>
      <c r="E1160" t="s">
        <v>19</v>
      </c>
      <c r="F1160" t="s">
        <v>575</v>
      </c>
      <c r="G1160" t="s">
        <v>30</v>
      </c>
      <c r="H1160" t="s">
        <v>66</v>
      </c>
      <c r="I1160" t="s">
        <v>28</v>
      </c>
      <c r="J1160" t="s">
        <v>55</v>
      </c>
      <c r="K1160" t="s">
        <v>54</v>
      </c>
      <c r="L1160" t="s">
        <v>42</v>
      </c>
      <c r="M1160" t="s">
        <v>11</v>
      </c>
      <c r="N1160" t="s">
        <v>10</v>
      </c>
      <c r="O1160" t="s">
        <v>199</v>
      </c>
      <c r="P1160" t="s">
        <v>8</v>
      </c>
      <c r="Q1160" t="s">
        <v>7</v>
      </c>
      <c r="R1160" t="s">
        <v>6</v>
      </c>
      <c r="S1160">
        <v>5</v>
      </c>
      <c r="T1160">
        <v>5</v>
      </c>
      <c r="U1160">
        <v>147</v>
      </c>
      <c r="V1160" t="s">
        <v>0</v>
      </c>
      <c r="W1160" t="s">
        <v>5</v>
      </c>
      <c r="X1160" t="s">
        <v>0</v>
      </c>
      <c r="Y1160" t="s">
        <v>4</v>
      </c>
      <c r="Z1160" t="s">
        <v>5</v>
      </c>
      <c r="AA1160">
        <v>65.62</v>
      </c>
      <c r="AB1160">
        <v>0</v>
      </c>
      <c r="AC1160">
        <v>0</v>
      </c>
      <c r="AD1160" t="s">
        <v>3</v>
      </c>
      <c r="AE1160" t="s">
        <v>0</v>
      </c>
      <c r="AF1160" t="s">
        <v>3</v>
      </c>
      <c r="AG1160" t="s">
        <v>2</v>
      </c>
      <c r="AI1160" t="s">
        <v>23</v>
      </c>
      <c r="AJ1160">
        <v>4</v>
      </c>
      <c r="AK1160">
        <v>36</v>
      </c>
      <c r="AL1160">
        <v>45</v>
      </c>
      <c r="AM1160" t="s">
        <v>5</v>
      </c>
      <c r="AN1160">
        <v>1</v>
      </c>
      <c r="AO1160">
        <v>1</v>
      </c>
      <c r="AP1160">
        <v>0</v>
      </c>
      <c r="AQ1160">
        <v>1</v>
      </c>
    </row>
    <row r="1161" spans="1:43" x14ac:dyDescent="0.25">
      <c r="A1161" t="s">
        <v>952</v>
      </c>
      <c r="B1161" t="s">
        <v>951</v>
      </c>
      <c r="C1161" t="s">
        <v>950</v>
      </c>
      <c r="D1161" s="1">
        <v>45732</v>
      </c>
      <c r="E1161" t="s">
        <v>149</v>
      </c>
      <c r="F1161" t="s">
        <v>949</v>
      </c>
      <c r="G1161" t="s">
        <v>56</v>
      </c>
      <c r="H1161" t="s">
        <v>16</v>
      </c>
      <c r="I1161" t="s">
        <v>15</v>
      </c>
      <c r="J1161" t="s">
        <v>146</v>
      </c>
      <c r="K1161" t="s">
        <v>145</v>
      </c>
      <c r="L1161" t="s">
        <v>88</v>
      </c>
      <c r="M1161" t="s">
        <v>27</v>
      </c>
      <c r="N1161" t="s">
        <v>269</v>
      </c>
      <c r="O1161" t="s">
        <v>74</v>
      </c>
      <c r="P1161" t="s">
        <v>8</v>
      </c>
      <c r="Q1161" t="s">
        <v>7</v>
      </c>
      <c r="R1161" t="s">
        <v>6</v>
      </c>
      <c r="S1161">
        <v>6</v>
      </c>
      <c r="T1161">
        <v>6</v>
      </c>
      <c r="U1161">
        <v>190</v>
      </c>
      <c r="V1161" t="s">
        <v>0</v>
      </c>
      <c r="W1161" t="s">
        <v>5</v>
      </c>
      <c r="X1161" t="s">
        <v>0</v>
      </c>
      <c r="Y1161" t="s">
        <v>4</v>
      </c>
      <c r="Z1161" t="s">
        <v>5</v>
      </c>
      <c r="AA1161">
        <v>0</v>
      </c>
      <c r="AB1161">
        <v>0</v>
      </c>
      <c r="AC1161">
        <v>0.37</v>
      </c>
      <c r="AD1161" t="s">
        <v>37</v>
      </c>
      <c r="AE1161" t="s">
        <v>5</v>
      </c>
      <c r="AF1161" t="s">
        <v>37</v>
      </c>
      <c r="AG1161" t="s">
        <v>139</v>
      </c>
      <c r="AH1161">
        <v>20</v>
      </c>
      <c r="AI1161" t="s">
        <v>23</v>
      </c>
      <c r="AJ1161">
        <v>4</v>
      </c>
      <c r="AK1161">
        <v>45</v>
      </c>
      <c r="AL1161">
        <v>44</v>
      </c>
      <c r="AM1161" t="s">
        <v>5</v>
      </c>
      <c r="AN1161">
        <v>1</v>
      </c>
      <c r="AO1161">
        <v>1</v>
      </c>
      <c r="AP1161">
        <v>0</v>
      </c>
      <c r="AQ1161">
        <v>1</v>
      </c>
    </row>
    <row r="1162" spans="1:43" x14ac:dyDescent="0.25">
      <c r="A1162" t="s">
        <v>948</v>
      </c>
      <c r="B1162" t="s">
        <v>947</v>
      </c>
      <c r="C1162" t="s">
        <v>946</v>
      </c>
      <c r="D1162" s="1">
        <v>45998</v>
      </c>
      <c r="E1162" t="s">
        <v>149</v>
      </c>
      <c r="F1162" t="s">
        <v>589</v>
      </c>
      <c r="G1162" t="s">
        <v>56</v>
      </c>
      <c r="H1162" t="s">
        <v>77</v>
      </c>
      <c r="I1162" t="s">
        <v>15</v>
      </c>
      <c r="J1162" t="s">
        <v>14</v>
      </c>
      <c r="K1162" t="s">
        <v>13</v>
      </c>
      <c r="L1162" t="s">
        <v>64</v>
      </c>
      <c r="M1162" t="s">
        <v>53</v>
      </c>
      <c r="N1162" t="s">
        <v>10</v>
      </c>
      <c r="O1162" t="s">
        <v>74</v>
      </c>
      <c r="P1162" t="s">
        <v>39</v>
      </c>
      <c r="Q1162" t="s">
        <v>50</v>
      </c>
      <c r="R1162" t="s">
        <v>38</v>
      </c>
      <c r="S1162">
        <v>6</v>
      </c>
      <c r="T1162">
        <v>3</v>
      </c>
      <c r="U1162">
        <v>172</v>
      </c>
      <c r="V1162" t="s">
        <v>5</v>
      </c>
      <c r="W1162" t="s">
        <v>0</v>
      </c>
      <c r="X1162" t="s">
        <v>0</v>
      </c>
      <c r="Y1162" t="s">
        <v>4</v>
      </c>
      <c r="Z1162" t="s">
        <v>5</v>
      </c>
      <c r="AA1162">
        <v>0</v>
      </c>
      <c r="AB1162">
        <v>0</v>
      </c>
      <c r="AC1162">
        <v>0.17</v>
      </c>
      <c r="AD1162" t="s">
        <v>3</v>
      </c>
      <c r="AE1162" t="s">
        <v>0</v>
      </c>
      <c r="AF1162" t="s">
        <v>3</v>
      </c>
      <c r="AG1162" t="s">
        <v>2</v>
      </c>
      <c r="AI1162" t="s">
        <v>1</v>
      </c>
      <c r="AJ1162">
        <v>3</v>
      </c>
      <c r="AK1162">
        <v>-4</v>
      </c>
      <c r="AL1162">
        <v>58</v>
      </c>
      <c r="AM1162" t="s">
        <v>0</v>
      </c>
      <c r="AN1162">
        <v>0</v>
      </c>
      <c r="AO1162">
        <v>1</v>
      </c>
      <c r="AP1162">
        <v>0</v>
      </c>
      <c r="AQ1162">
        <v>0</v>
      </c>
    </row>
    <row r="1163" spans="1:43" x14ac:dyDescent="0.25">
      <c r="A1163" t="s">
        <v>945</v>
      </c>
      <c r="B1163" t="s">
        <v>944</v>
      </c>
      <c r="C1163" t="s">
        <v>943</v>
      </c>
      <c r="D1163" s="1">
        <v>46075</v>
      </c>
      <c r="E1163" t="s">
        <v>79</v>
      </c>
      <c r="F1163" t="s">
        <v>102</v>
      </c>
      <c r="G1163" t="s">
        <v>17</v>
      </c>
      <c r="H1163" t="s">
        <v>43</v>
      </c>
      <c r="I1163" t="s">
        <v>15</v>
      </c>
      <c r="J1163" t="s">
        <v>146</v>
      </c>
      <c r="K1163" t="s">
        <v>176</v>
      </c>
      <c r="L1163" t="s">
        <v>12</v>
      </c>
      <c r="M1163" t="s">
        <v>11</v>
      </c>
      <c r="N1163" t="s">
        <v>52</v>
      </c>
      <c r="O1163" t="s">
        <v>87</v>
      </c>
      <c r="P1163" t="s">
        <v>39</v>
      </c>
      <c r="Q1163" t="s">
        <v>50</v>
      </c>
      <c r="R1163" t="s">
        <v>6</v>
      </c>
      <c r="S1163" t="s">
        <v>277</v>
      </c>
      <c r="T1163">
        <v>5</v>
      </c>
      <c r="U1163">
        <v>142</v>
      </c>
      <c r="V1163" t="s">
        <v>0</v>
      </c>
      <c r="W1163" t="s">
        <v>5</v>
      </c>
      <c r="X1163" t="s">
        <v>135</v>
      </c>
      <c r="Y1163" t="s">
        <v>4</v>
      </c>
      <c r="Z1163" t="s">
        <v>5</v>
      </c>
      <c r="AA1163">
        <v>110.57</v>
      </c>
      <c r="AB1163">
        <v>0</v>
      </c>
      <c r="AC1163">
        <v>0</v>
      </c>
      <c r="AD1163" t="s">
        <v>61</v>
      </c>
      <c r="AE1163" t="s">
        <v>5</v>
      </c>
      <c r="AF1163" t="s">
        <v>61</v>
      </c>
      <c r="AG1163" t="s">
        <v>36</v>
      </c>
      <c r="AH1163">
        <v>29</v>
      </c>
      <c r="AI1163" t="s">
        <v>23</v>
      </c>
      <c r="AJ1163">
        <v>5</v>
      </c>
      <c r="AK1163">
        <v>-40</v>
      </c>
      <c r="AL1163">
        <v>50</v>
      </c>
      <c r="AM1163" t="s">
        <v>5</v>
      </c>
      <c r="AN1163">
        <v>1</v>
      </c>
      <c r="AO1163">
        <v>1</v>
      </c>
      <c r="AP1163">
        <v>0</v>
      </c>
      <c r="AQ1163">
        <v>1</v>
      </c>
    </row>
    <row r="1164" spans="1:43" x14ac:dyDescent="0.25">
      <c r="A1164" t="s">
        <v>942</v>
      </c>
      <c r="B1164" t="s">
        <v>941</v>
      </c>
      <c r="C1164" t="s">
        <v>940</v>
      </c>
      <c r="D1164" s="1">
        <v>45678</v>
      </c>
      <c r="E1164" t="s">
        <v>95</v>
      </c>
      <c r="F1164" t="s">
        <v>338</v>
      </c>
      <c r="G1164" t="s">
        <v>17</v>
      </c>
      <c r="H1164" t="s">
        <v>29</v>
      </c>
      <c r="I1164" t="s">
        <v>28</v>
      </c>
      <c r="J1164" t="s">
        <v>14</v>
      </c>
      <c r="K1164" t="s">
        <v>13</v>
      </c>
      <c r="L1164" t="s">
        <v>64</v>
      </c>
      <c r="M1164" t="s">
        <v>11</v>
      </c>
      <c r="N1164" t="s">
        <v>75</v>
      </c>
      <c r="O1164" t="s">
        <v>9</v>
      </c>
      <c r="P1164" t="s">
        <v>39</v>
      </c>
      <c r="Q1164" t="s">
        <v>7</v>
      </c>
      <c r="R1164" t="s">
        <v>6</v>
      </c>
      <c r="S1164">
        <v>7</v>
      </c>
      <c r="T1164">
        <v>7</v>
      </c>
      <c r="U1164">
        <v>129</v>
      </c>
      <c r="V1164" t="s">
        <v>0</v>
      </c>
      <c r="W1164" t="s">
        <v>0</v>
      </c>
      <c r="X1164" t="s">
        <v>0</v>
      </c>
      <c r="Y1164" t="s">
        <v>4</v>
      </c>
      <c r="Z1164" t="s">
        <v>0</v>
      </c>
      <c r="AA1164">
        <v>0</v>
      </c>
      <c r="AB1164">
        <v>0</v>
      </c>
      <c r="AC1164">
        <v>0</v>
      </c>
      <c r="AD1164" t="s">
        <v>3</v>
      </c>
      <c r="AE1164" t="s">
        <v>0</v>
      </c>
      <c r="AF1164" t="s">
        <v>3</v>
      </c>
      <c r="AG1164" t="s">
        <v>2</v>
      </c>
      <c r="AI1164" t="s">
        <v>23</v>
      </c>
      <c r="AJ1164">
        <v>3</v>
      </c>
      <c r="AK1164">
        <v>24</v>
      </c>
      <c r="AL1164">
        <v>18</v>
      </c>
      <c r="AM1164" t="s">
        <v>5</v>
      </c>
      <c r="AN1164">
        <v>0</v>
      </c>
      <c r="AO1164">
        <v>0</v>
      </c>
      <c r="AP1164">
        <v>0</v>
      </c>
      <c r="AQ1164">
        <v>1</v>
      </c>
    </row>
    <row r="1165" spans="1:43" x14ac:dyDescent="0.25">
      <c r="A1165" t="s">
        <v>939</v>
      </c>
      <c r="B1165" t="s">
        <v>938</v>
      </c>
      <c r="C1165" t="s">
        <v>937</v>
      </c>
      <c r="D1165" s="1">
        <v>46135</v>
      </c>
      <c r="E1165" t="s">
        <v>112</v>
      </c>
      <c r="F1165" t="s">
        <v>111</v>
      </c>
      <c r="G1165" t="s">
        <v>110</v>
      </c>
      <c r="H1165" t="s">
        <v>16</v>
      </c>
      <c r="I1165" t="s">
        <v>15</v>
      </c>
      <c r="J1165" t="s">
        <v>55</v>
      </c>
      <c r="K1165" t="s">
        <v>54</v>
      </c>
      <c r="L1165" t="s">
        <v>88</v>
      </c>
      <c r="M1165" t="s">
        <v>11</v>
      </c>
      <c r="N1165" t="s">
        <v>75</v>
      </c>
      <c r="O1165" t="s">
        <v>130</v>
      </c>
      <c r="P1165" t="s">
        <v>63</v>
      </c>
      <c r="Q1165" t="s">
        <v>100</v>
      </c>
      <c r="R1165" t="s">
        <v>38</v>
      </c>
      <c r="S1165">
        <v>5</v>
      </c>
      <c r="T1165">
        <v>3</v>
      </c>
      <c r="U1165">
        <v>169</v>
      </c>
      <c r="V1165" t="s">
        <v>5</v>
      </c>
      <c r="W1165" t="s">
        <v>0</v>
      </c>
      <c r="X1165" t="s">
        <v>0</v>
      </c>
      <c r="Y1165" t="s">
        <v>4</v>
      </c>
      <c r="Z1165" t="s">
        <v>0</v>
      </c>
      <c r="AA1165">
        <v>0</v>
      </c>
      <c r="AB1165">
        <v>0</v>
      </c>
      <c r="AC1165">
        <v>0</v>
      </c>
      <c r="AD1165" t="s">
        <v>3</v>
      </c>
      <c r="AE1165" t="s">
        <v>0</v>
      </c>
      <c r="AF1165" t="s">
        <v>3</v>
      </c>
      <c r="AG1165" t="s">
        <v>2</v>
      </c>
      <c r="AI1165" t="s">
        <v>1</v>
      </c>
      <c r="AJ1165">
        <v>3</v>
      </c>
      <c r="AK1165">
        <v>30</v>
      </c>
      <c r="AL1165">
        <v>0</v>
      </c>
      <c r="AM1165" t="s">
        <v>0</v>
      </c>
      <c r="AN1165">
        <v>0</v>
      </c>
      <c r="AO1165">
        <v>0</v>
      </c>
      <c r="AP1165">
        <v>0</v>
      </c>
      <c r="AQ1165">
        <v>0</v>
      </c>
    </row>
    <row r="1166" spans="1:43" x14ac:dyDescent="0.25">
      <c r="A1166" t="s">
        <v>936</v>
      </c>
      <c r="B1166" t="s">
        <v>935</v>
      </c>
      <c r="C1166" t="s">
        <v>934</v>
      </c>
      <c r="D1166" s="1">
        <v>45700</v>
      </c>
      <c r="E1166" t="s">
        <v>68</v>
      </c>
      <c r="F1166" t="s">
        <v>67</v>
      </c>
      <c r="G1166" t="s">
        <v>123</v>
      </c>
      <c r="H1166" t="s">
        <v>43</v>
      </c>
      <c r="I1166" t="s">
        <v>15</v>
      </c>
      <c r="J1166" t="s">
        <v>146</v>
      </c>
      <c r="K1166" t="s">
        <v>145</v>
      </c>
      <c r="L1166" t="s">
        <v>88</v>
      </c>
      <c r="M1166" t="s">
        <v>53</v>
      </c>
      <c r="N1166" t="s">
        <v>116</v>
      </c>
      <c r="O1166" t="s">
        <v>87</v>
      </c>
      <c r="P1166" t="s">
        <v>39</v>
      </c>
      <c r="Q1166" t="s">
        <v>50</v>
      </c>
      <c r="R1166" t="s">
        <v>38</v>
      </c>
      <c r="S1166">
        <v>5</v>
      </c>
      <c r="T1166">
        <v>5</v>
      </c>
      <c r="U1166">
        <v>194</v>
      </c>
      <c r="V1166" t="s">
        <v>0</v>
      </c>
      <c r="W1166" t="s">
        <v>5</v>
      </c>
      <c r="X1166" t="s">
        <v>5</v>
      </c>
      <c r="Y1166" t="s">
        <v>849</v>
      </c>
      <c r="Z1166" t="s">
        <v>0</v>
      </c>
      <c r="AA1166">
        <v>0</v>
      </c>
      <c r="AB1166">
        <v>0</v>
      </c>
      <c r="AC1166">
        <v>0</v>
      </c>
      <c r="AD1166" t="s">
        <v>61</v>
      </c>
      <c r="AE1166" t="s">
        <v>5</v>
      </c>
      <c r="AF1166" t="s">
        <v>61</v>
      </c>
      <c r="AG1166" t="s">
        <v>36</v>
      </c>
      <c r="AH1166">
        <v>13</v>
      </c>
      <c r="AI1166" t="s">
        <v>23</v>
      </c>
      <c r="AJ1166">
        <v>4</v>
      </c>
      <c r="AK1166">
        <v>66</v>
      </c>
      <c r="AL1166">
        <v>33</v>
      </c>
      <c r="AM1166" t="s">
        <v>5</v>
      </c>
      <c r="AN1166">
        <v>1</v>
      </c>
      <c r="AO1166">
        <v>0</v>
      </c>
      <c r="AP1166">
        <v>1</v>
      </c>
      <c r="AQ1166">
        <v>1</v>
      </c>
    </row>
    <row r="1167" spans="1:43" x14ac:dyDescent="0.25">
      <c r="A1167" t="s">
        <v>933</v>
      </c>
      <c r="B1167" t="s">
        <v>484</v>
      </c>
      <c r="C1167" t="s">
        <v>932</v>
      </c>
      <c r="D1167" s="1">
        <v>45727</v>
      </c>
      <c r="E1167" t="s">
        <v>112</v>
      </c>
      <c r="F1167" t="s">
        <v>931</v>
      </c>
      <c r="G1167" t="s">
        <v>110</v>
      </c>
      <c r="H1167" t="s">
        <v>29</v>
      </c>
      <c r="I1167" t="s">
        <v>28</v>
      </c>
      <c r="J1167" t="s">
        <v>14</v>
      </c>
      <c r="K1167" t="s">
        <v>13</v>
      </c>
      <c r="L1167" t="s">
        <v>64</v>
      </c>
      <c r="M1167" t="s">
        <v>11</v>
      </c>
      <c r="N1167" t="s">
        <v>10</v>
      </c>
      <c r="O1167" t="s">
        <v>193</v>
      </c>
      <c r="P1167" t="s">
        <v>39</v>
      </c>
      <c r="Q1167" t="s">
        <v>7</v>
      </c>
      <c r="R1167" t="s">
        <v>6</v>
      </c>
      <c r="S1167">
        <v>9</v>
      </c>
      <c r="T1167">
        <v>9</v>
      </c>
      <c r="U1167">
        <v>308</v>
      </c>
      <c r="V1167" t="s">
        <v>0</v>
      </c>
      <c r="W1167" t="s">
        <v>0</v>
      </c>
      <c r="X1167" t="s">
        <v>5</v>
      </c>
      <c r="Y1167" t="s">
        <v>192</v>
      </c>
      <c r="Z1167" t="s">
        <v>0</v>
      </c>
      <c r="AA1167">
        <v>0</v>
      </c>
      <c r="AB1167">
        <v>0</v>
      </c>
      <c r="AC1167">
        <v>0</v>
      </c>
      <c r="AD1167" t="s">
        <v>3</v>
      </c>
      <c r="AE1167" t="s">
        <v>0</v>
      </c>
      <c r="AF1167" t="s">
        <v>3</v>
      </c>
      <c r="AG1167" t="s">
        <v>2</v>
      </c>
      <c r="AI1167" t="s">
        <v>122</v>
      </c>
      <c r="AJ1167">
        <v>3</v>
      </c>
      <c r="AK1167">
        <v>-28</v>
      </c>
      <c r="AL1167">
        <v>30</v>
      </c>
      <c r="AM1167" t="s">
        <v>0</v>
      </c>
      <c r="AN1167">
        <v>0</v>
      </c>
      <c r="AO1167">
        <v>0</v>
      </c>
      <c r="AP1167">
        <v>1</v>
      </c>
      <c r="AQ1167">
        <v>0</v>
      </c>
    </row>
    <row r="1168" spans="1:43" x14ac:dyDescent="0.25">
      <c r="A1168" t="s">
        <v>930</v>
      </c>
      <c r="B1168" t="s">
        <v>929</v>
      </c>
      <c r="C1168" t="s">
        <v>928</v>
      </c>
      <c r="D1168" s="1">
        <v>46113</v>
      </c>
      <c r="E1168" t="s">
        <v>162</v>
      </c>
      <c r="F1168" t="s">
        <v>540</v>
      </c>
      <c r="G1168" t="s">
        <v>56</v>
      </c>
      <c r="H1168" t="s">
        <v>66</v>
      </c>
      <c r="I1168" t="s">
        <v>28</v>
      </c>
      <c r="J1168" t="s">
        <v>14</v>
      </c>
      <c r="K1168" t="s">
        <v>13</v>
      </c>
      <c r="L1168" t="s">
        <v>64</v>
      </c>
      <c r="M1168" t="s">
        <v>11</v>
      </c>
      <c r="N1168" t="s">
        <v>10</v>
      </c>
      <c r="O1168" t="s">
        <v>26</v>
      </c>
      <c r="P1168" t="s">
        <v>25</v>
      </c>
      <c r="Q1168" t="s">
        <v>7</v>
      </c>
      <c r="R1168" t="s">
        <v>6</v>
      </c>
      <c r="S1168">
        <v>4</v>
      </c>
      <c r="T1168">
        <v>4</v>
      </c>
      <c r="U1168">
        <v>113</v>
      </c>
      <c r="V1168" t="s">
        <v>0</v>
      </c>
      <c r="W1168" t="s">
        <v>5</v>
      </c>
      <c r="X1168" t="s">
        <v>0</v>
      </c>
      <c r="Y1168" t="s">
        <v>4</v>
      </c>
      <c r="Z1168" t="s">
        <v>5</v>
      </c>
      <c r="AA1168">
        <v>96.96</v>
      </c>
      <c r="AB1168">
        <v>0.22</v>
      </c>
      <c r="AC1168">
        <v>0</v>
      </c>
      <c r="AD1168" t="s">
        <v>227</v>
      </c>
      <c r="AE1168" t="s">
        <v>5</v>
      </c>
      <c r="AF1168" t="s">
        <v>227</v>
      </c>
      <c r="AG1168" t="s">
        <v>36</v>
      </c>
      <c r="AH1168">
        <v>42</v>
      </c>
      <c r="AI1168" t="s">
        <v>23</v>
      </c>
      <c r="AJ1168">
        <v>4</v>
      </c>
      <c r="AK1168">
        <v>2</v>
      </c>
      <c r="AL1168">
        <v>47</v>
      </c>
      <c r="AM1168" t="s">
        <v>5</v>
      </c>
      <c r="AN1168">
        <v>1</v>
      </c>
      <c r="AO1168">
        <v>1</v>
      </c>
      <c r="AP1168">
        <v>0</v>
      </c>
      <c r="AQ1168">
        <v>1</v>
      </c>
    </row>
    <row r="1169" spans="1:43" x14ac:dyDescent="0.25">
      <c r="A1169" t="s">
        <v>927</v>
      </c>
      <c r="B1169" t="s">
        <v>399</v>
      </c>
      <c r="C1169" t="s">
        <v>926</v>
      </c>
      <c r="D1169" s="1">
        <v>45722</v>
      </c>
      <c r="E1169" t="s">
        <v>162</v>
      </c>
      <c r="F1169" t="s">
        <v>310</v>
      </c>
      <c r="G1169" t="s">
        <v>17</v>
      </c>
      <c r="H1169" t="s">
        <v>77</v>
      </c>
      <c r="I1169" t="s">
        <v>28</v>
      </c>
      <c r="J1169" t="s">
        <v>55</v>
      </c>
      <c r="K1169" t="s">
        <v>54</v>
      </c>
      <c r="L1169" t="s">
        <v>88</v>
      </c>
      <c r="M1169" t="s">
        <v>53</v>
      </c>
      <c r="N1169" t="s">
        <v>75</v>
      </c>
      <c r="O1169" t="s">
        <v>199</v>
      </c>
      <c r="P1169" t="s">
        <v>39</v>
      </c>
      <c r="Q1169" t="s">
        <v>24</v>
      </c>
      <c r="R1169" t="s">
        <v>6</v>
      </c>
      <c r="S1169">
        <v>5</v>
      </c>
      <c r="T1169">
        <v>5</v>
      </c>
      <c r="U1169">
        <v>135</v>
      </c>
      <c r="V1169" t="s">
        <v>0</v>
      </c>
      <c r="W1169" t="s">
        <v>5</v>
      </c>
      <c r="X1169" t="s">
        <v>0</v>
      </c>
      <c r="Y1169" t="s">
        <v>4</v>
      </c>
      <c r="Z1169" t="s">
        <v>5</v>
      </c>
      <c r="AA1169">
        <v>0</v>
      </c>
      <c r="AB1169">
        <v>0</v>
      </c>
      <c r="AC1169">
        <v>0.17</v>
      </c>
      <c r="AD1169" t="s">
        <v>3</v>
      </c>
      <c r="AE1169" t="s">
        <v>0</v>
      </c>
      <c r="AF1169" t="s">
        <v>3</v>
      </c>
      <c r="AG1169" t="s">
        <v>2</v>
      </c>
      <c r="AI1169" t="s">
        <v>23</v>
      </c>
      <c r="AJ1169">
        <v>4</v>
      </c>
      <c r="AK1169">
        <v>40</v>
      </c>
      <c r="AL1169">
        <v>46</v>
      </c>
      <c r="AM1169" t="s">
        <v>0</v>
      </c>
      <c r="AN1169">
        <v>1</v>
      </c>
      <c r="AO1169">
        <v>1</v>
      </c>
      <c r="AP1169">
        <v>0</v>
      </c>
      <c r="AQ1169">
        <v>0</v>
      </c>
    </row>
    <row r="1170" spans="1:43" x14ac:dyDescent="0.25">
      <c r="A1170" t="s">
        <v>925</v>
      </c>
      <c r="B1170" t="s">
        <v>924</v>
      </c>
      <c r="C1170" t="s">
        <v>923</v>
      </c>
      <c r="D1170" s="1">
        <v>46075</v>
      </c>
      <c r="E1170" t="s">
        <v>149</v>
      </c>
      <c r="F1170" t="s">
        <v>148</v>
      </c>
      <c r="G1170" t="s">
        <v>30</v>
      </c>
      <c r="H1170" t="s">
        <v>29</v>
      </c>
      <c r="I1170" t="s">
        <v>15</v>
      </c>
      <c r="J1170" t="s">
        <v>55</v>
      </c>
      <c r="K1170" t="s">
        <v>54</v>
      </c>
      <c r="L1170" t="s">
        <v>12</v>
      </c>
      <c r="M1170" t="s">
        <v>27</v>
      </c>
      <c r="N1170" t="s">
        <v>52</v>
      </c>
      <c r="O1170" t="s">
        <v>51</v>
      </c>
      <c r="P1170" t="s">
        <v>39</v>
      </c>
      <c r="Q1170" t="s">
        <v>7</v>
      </c>
      <c r="R1170" t="s">
        <v>6</v>
      </c>
      <c r="S1170">
        <v>6</v>
      </c>
      <c r="T1170">
        <v>6</v>
      </c>
      <c r="U1170">
        <v>121</v>
      </c>
      <c r="V1170" t="s">
        <v>0</v>
      </c>
      <c r="W1170" t="s">
        <v>0</v>
      </c>
      <c r="X1170" t="s">
        <v>0</v>
      </c>
      <c r="Y1170" t="s">
        <v>4</v>
      </c>
      <c r="Z1170" t="s">
        <v>5</v>
      </c>
      <c r="AA1170">
        <v>0</v>
      </c>
      <c r="AB1170">
        <v>0.11</v>
      </c>
      <c r="AC1170">
        <v>0.37</v>
      </c>
      <c r="AD1170" t="s">
        <v>3</v>
      </c>
      <c r="AE1170" t="s">
        <v>0</v>
      </c>
      <c r="AF1170" t="s">
        <v>3</v>
      </c>
      <c r="AG1170" t="s">
        <v>2</v>
      </c>
      <c r="AI1170" t="s">
        <v>23</v>
      </c>
      <c r="AJ1170">
        <v>3</v>
      </c>
      <c r="AK1170">
        <v>-7</v>
      </c>
      <c r="AL1170">
        <v>35</v>
      </c>
      <c r="AM1170" t="s">
        <v>0</v>
      </c>
      <c r="AN1170">
        <v>0</v>
      </c>
      <c r="AO1170">
        <v>1</v>
      </c>
      <c r="AP1170">
        <v>0</v>
      </c>
      <c r="AQ1170">
        <v>0</v>
      </c>
    </row>
    <row r="1171" spans="1:43" x14ac:dyDescent="0.25">
      <c r="A1171" t="s">
        <v>922</v>
      </c>
      <c r="B1171" t="s">
        <v>921</v>
      </c>
      <c r="C1171" t="s">
        <v>920</v>
      </c>
      <c r="D1171" s="1">
        <v>45693</v>
      </c>
      <c r="E1171" t="s">
        <v>162</v>
      </c>
      <c r="F1171" t="s">
        <v>161</v>
      </c>
      <c r="G1171" t="s">
        <v>17</v>
      </c>
      <c r="H1171" t="s">
        <v>66</v>
      </c>
      <c r="I1171" t="s">
        <v>147</v>
      </c>
      <c r="J1171" t="s">
        <v>55</v>
      </c>
      <c r="K1171" t="s">
        <v>54</v>
      </c>
      <c r="L1171" t="s">
        <v>88</v>
      </c>
      <c r="M1171" t="s">
        <v>11</v>
      </c>
      <c r="N1171" t="s">
        <v>93</v>
      </c>
      <c r="O1171" t="s">
        <v>74</v>
      </c>
      <c r="P1171" t="s">
        <v>39</v>
      </c>
      <c r="Q1171" t="s">
        <v>100</v>
      </c>
      <c r="R1171" t="s">
        <v>6</v>
      </c>
      <c r="S1171">
        <v>6</v>
      </c>
      <c r="T1171">
        <v>6</v>
      </c>
      <c r="U1171">
        <v>133</v>
      </c>
      <c r="V1171" t="s">
        <v>0</v>
      </c>
      <c r="W1171" t="s">
        <v>0</v>
      </c>
      <c r="X1171" t="s">
        <v>0</v>
      </c>
      <c r="Y1171" t="s">
        <v>4</v>
      </c>
      <c r="Z1171" t="s">
        <v>0</v>
      </c>
      <c r="AA1171">
        <v>0</v>
      </c>
      <c r="AB1171">
        <v>0</v>
      </c>
      <c r="AC1171">
        <v>0</v>
      </c>
      <c r="AD1171" t="s">
        <v>3</v>
      </c>
      <c r="AE1171" t="s">
        <v>0</v>
      </c>
      <c r="AF1171" t="s">
        <v>3</v>
      </c>
      <c r="AG1171" t="s">
        <v>2</v>
      </c>
      <c r="AI1171" t="s">
        <v>23</v>
      </c>
      <c r="AJ1171">
        <v>4</v>
      </c>
      <c r="AK1171">
        <v>49</v>
      </c>
      <c r="AL1171">
        <v>10</v>
      </c>
      <c r="AM1171" t="s">
        <v>0</v>
      </c>
      <c r="AN1171">
        <v>0</v>
      </c>
      <c r="AO1171">
        <v>0</v>
      </c>
      <c r="AP1171">
        <v>0</v>
      </c>
      <c r="AQ1171">
        <v>0</v>
      </c>
    </row>
    <row r="1172" spans="1:43" x14ac:dyDescent="0.25">
      <c r="A1172" t="s">
        <v>919</v>
      </c>
      <c r="B1172" t="s">
        <v>918</v>
      </c>
      <c r="C1172" t="s">
        <v>917</v>
      </c>
      <c r="D1172" s="1">
        <v>46135</v>
      </c>
      <c r="E1172" t="s">
        <v>125</v>
      </c>
      <c r="F1172" t="s">
        <v>124</v>
      </c>
      <c r="G1172" t="s">
        <v>17</v>
      </c>
      <c r="H1172" t="s">
        <v>77</v>
      </c>
      <c r="I1172" t="s">
        <v>28</v>
      </c>
      <c r="J1172" t="s">
        <v>14</v>
      </c>
      <c r="K1172" t="s">
        <v>13</v>
      </c>
      <c r="L1172" t="s">
        <v>12</v>
      </c>
      <c r="M1172" t="s">
        <v>53</v>
      </c>
      <c r="N1172" t="s">
        <v>154</v>
      </c>
      <c r="O1172" t="s">
        <v>51</v>
      </c>
      <c r="P1172" t="s">
        <v>39</v>
      </c>
      <c r="Q1172" t="s">
        <v>7</v>
      </c>
      <c r="R1172" t="s">
        <v>6</v>
      </c>
      <c r="S1172">
        <v>6</v>
      </c>
      <c r="T1172">
        <v>4</v>
      </c>
      <c r="U1172">
        <v>294</v>
      </c>
      <c r="V1172" t="s">
        <v>5</v>
      </c>
      <c r="W1172" t="s">
        <v>5</v>
      </c>
      <c r="X1172" t="s">
        <v>5</v>
      </c>
      <c r="Y1172" t="s">
        <v>153</v>
      </c>
      <c r="Z1172" t="s">
        <v>0</v>
      </c>
      <c r="AA1172">
        <v>0</v>
      </c>
      <c r="AB1172">
        <v>0</v>
      </c>
      <c r="AC1172">
        <v>0</v>
      </c>
      <c r="AD1172" t="s">
        <v>37</v>
      </c>
      <c r="AE1172" t="s">
        <v>5</v>
      </c>
      <c r="AF1172" t="s">
        <v>37</v>
      </c>
      <c r="AG1172" t="s">
        <v>36</v>
      </c>
      <c r="AH1172">
        <v>22</v>
      </c>
      <c r="AI1172" t="s">
        <v>23</v>
      </c>
      <c r="AJ1172">
        <v>1</v>
      </c>
      <c r="AK1172">
        <v>-49</v>
      </c>
      <c r="AL1172">
        <v>53</v>
      </c>
      <c r="AM1172" t="s">
        <v>0</v>
      </c>
      <c r="AN1172">
        <v>1</v>
      </c>
      <c r="AO1172">
        <v>0</v>
      </c>
      <c r="AP1172">
        <v>1</v>
      </c>
      <c r="AQ1172">
        <v>0</v>
      </c>
    </row>
    <row r="1173" spans="1:43" x14ac:dyDescent="0.25">
      <c r="A1173" t="s">
        <v>916</v>
      </c>
      <c r="B1173" t="s">
        <v>915</v>
      </c>
      <c r="C1173" t="s">
        <v>914</v>
      </c>
      <c r="D1173" s="1">
        <v>46013</v>
      </c>
      <c r="E1173" t="s">
        <v>162</v>
      </c>
      <c r="F1173" t="s">
        <v>310</v>
      </c>
      <c r="G1173" t="s">
        <v>110</v>
      </c>
      <c r="H1173" t="s">
        <v>16</v>
      </c>
      <c r="I1173" t="s">
        <v>28</v>
      </c>
      <c r="J1173" t="s">
        <v>14</v>
      </c>
      <c r="K1173" t="s">
        <v>13</v>
      </c>
      <c r="L1173" t="s">
        <v>64</v>
      </c>
      <c r="M1173" t="s">
        <v>53</v>
      </c>
      <c r="N1173" t="s">
        <v>93</v>
      </c>
      <c r="O1173" t="s">
        <v>40</v>
      </c>
      <c r="P1173" t="s">
        <v>63</v>
      </c>
      <c r="Q1173" t="s">
        <v>7</v>
      </c>
      <c r="R1173" t="s">
        <v>6</v>
      </c>
      <c r="S1173">
        <v>8</v>
      </c>
      <c r="T1173">
        <v>8</v>
      </c>
      <c r="U1173">
        <v>310</v>
      </c>
      <c r="V1173" t="s">
        <v>0</v>
      </c>
      <c r="W1173" t="s">
        <v>0</v>
      </c>
      <c r="X1173" t="s">
        <v>5</v>
      </c>
      <c r="Y1173" t="s">
        <v>913</v>
      </c>
      <c r="Z1173" t="s">
        <v>0</v>
      </c>
      <c r="AA1173">
        <v>0</v>
      </c>
      <c r="AB1173">
        <v>0</v>
      </c>
      <c r="AC1173">
        <v>0</v>
      </c>
      <c r="AD1173" t="s">
        <v>37</v>
      </c>
      <c r="AE1173" t="s">
        <v>5</v>
      </c>
      <c r="AF1173" t="s">
        <v>37</v>
      </c>
      <c r="AG1173" t="s">
        <v>36</v>
      </c>
      <c r="AH1173">
        <v>24</v>
      </c>
      <c r="AI1173" t="s">
        <v>122</v>
      </c>
      <c r="AJ1173">
        <v>2</v>
      </c>
      <c r="AK1173">
        <v>-30</v>
      </c>
      <c r="AL1173">
        <v>0</v>
      </c>
      <c r="AM1173" t="s">
        <v>0</v>
      </c>
      <c r="AN1173">
        <v>0</v>
      </c>
      <c r="AO1173">
        <v>0</v>
      </c>
      <c r="AP1173">
        <v>1</v>
      </c>
      <c r="AQ1173">
        <v>0</v>
      </c>
    </row>
    <row r="1174" spans="1:43" x14ac:dyDescent="0.25">
      <c r="A1174" t="s">
        <v>912</v>
      </c>
      <c r="B1174" t="s">
        <v>911</v>
      </c>
      <c r="C1174" t="s">
        <v>910</v>
      </c>
      <c r="D1174" s="1">
        <v>45848</v>
      </c>
      <c r="E1174" t="s">
        <v>68</v>
      </c>
      <c r="F1174" t="s">
        <v>278</v>
      </c>
      <c r="G1174" t="s">
        <v>83</v>
      </c>
      <c r="H1174" t="s">
        <v>43</v>
      </c>
      <c r="I1174" t="s">
        <v>15</v>
      </c>
      <c r="J1174" t="s">
        <v>14</v>
      </c>
      <c r="K1174" t="s">
        <v>13</v>
      </c>
      <c r="L1174" t="s">
        <v>42</v>
      </c>
      <c r="M1174" t="s">
        <v>11</v>
      </c>
      <c r="N1174" t="s">
        <v>52</v>
      </c>
      <c r="O1174" t="s">
        <v>101</v>
      </c>
      <c r="P1174" t="s">
        <v>39</v>
      </c>
      <c r="Q1174" t="s">
        <v>7</v>
      </c>
      <c r="R1174" t="s">
        <v>6</v>
      </c>
      <c r="S1174">
        <v>4</v>
      </c>
      <c r="T1174" t="s">
        <v>99</v>
      </c>
      <c r="U1174">
        <v>78</v>
      </c>
      <c r="V1174" t="s">
        <v>0</v>
      </c>
      <c r="W1174" t="s">
        <v>5</v>
      </c>
      <c r="X1174" t="s">
        <v>0</v>
      </c>
      <c r="Y1174" t="s">
        <v>4</v>
      </c>
      <c r="Z1174" t="s">
        <v>5</v>
      </c>
      <c r="AA1174">
        <v>123.9</v>
      </c>
      <c r="AB1174">
        <v>0.44</v>
      </c>
      <c r="AC1174">
        <v>0</v>
      </c>
      <c r="AD1174" t="s">
        <v>3</v>
      </c>
      <c r="AE1174" t="s">
        <v>0</v>
      </c>
      <c r="AF1174" t="s">
        <v>3</v>
      </c>
      <c r="AG1174" t="s">
        <v>2</v>
      </c>
      <c r="AI1174" t="s">
        <v>23</v>
      </c>
      <c r="AJ1174">
        <v>6</v>
      </c>
      <c r="AK1174">
        <v>60</v>
      </c>
      <c r="AL1174">
        <v>25</v>
      </c>
      <c r="AM1174" t="s">
        <v>5</v>
      </c>
      <c r="AN1174">
        <v>1</v>
      </c>
      <c r="AO1174">
        <v>1</v>
      </c>
      <c r="AP1174">
        <v>0</v>
      </c>
      <c r="AQ1174">
        <v>1</v>
      </c>
    </row>
    <row r="1175" spans="1:43" x14ac:dyDescent="0.25">
      <c r="A1175" t="s">
        <v>909</v>
      </c>
      <c r="B1175" t="s">
        <v>698</v>
      </c>
      <c r="C1175" t="s">
        <v>908</v>
      </c>
      <c r="D1175" s="1">
        <v>45708</v>
      </c>
      <c r="E1175" t="s">
        <v>79</v>
      </c>
      <c r="F1175" t="s">
        <v>206</v>
      </c>
      <c r="G1175" t="s">
        <v>17</v>
      </c>
      <c r="H1175" t="s">
        <v>29</v>
      </c>
      <c r="I1175" t="s">
        <v>15</v>
      </c>
      <c r="J1175" t="s">
        <v>14</v>
      </c>
      <c r="K1175" t="s">
        <v>76</v>
      </c>
      <c r="L1175" t="s">
        <v>64</v>
      </c>
      <c r="M1175" t="s">
        <v>11</v>
      </c>
      <c r="N1175" t="s">
        <v>41</v>
      </c>
      <c r="O1175" t="s">
        <v>9</v>
      </c>
      <c r="P1175" t="s">
        <v>39</v>
      </c>
      <c r="Q1175" t="s">
        <v>7</v>
      </c>
      <c r="R1175" t="s">
        <v>6</v>
      </c>
      <c r="S1175">
        <v>7</v>
      </c>
      <c r="T1175">
        <v>7</v>
      </c>
      <c r="U1175">
        <v>131</v>
      </c>
      <c r="V1175" t="s">
        <v>0</v>
      </c>
      <c r="W1175" t="s">
        <v>5</v>
      </c>
      <c r="X1175" t="s">
        <v>0</v>
      </c>
      <c r="Y1175" t="s">
        <v>4</v>
      </c>
      <c r="Z1175" t="s">
        <v>5</v>
      </c>
      <c r="AA1175">
        <v>32.43</v>
      </c>
      <c r="AB1175">
        <v>0</v>
      </c>
      <c r="AC1175">
        <v>0</v>
      </c>
      <c r="AD1175" t="s">
        <v>3</v>
      </c>
      <c r="AE1175" t="s">
        <v>0</v>
      </c>
      <c r="AF1175" t="s">
        <v>3</v>
      </c>
      <c r="AG1175" t="s">
        <v>2</v>
      </c>
      <c r="AI1175" t="s">
        <v>23</v>
      </c>
      <c r="AJ1175">
        <v>4</v>
      </c>
      <c r="AK1175">
        <v>36</v>
      </c>
      <c r="AL1175">
        <v>9</v>
      </c>
      <c r="AM1175" t="s">
        <v>5</v>
      </c>
      <c r="AN1175">
        <v>1</v>
      </c>
      <c r="AO1175">
        <v>1</v>
      </c>
      <c r="AP1175">
        <v>0</v>
      </c>
      <c r="AQ1175">
        <v>1</v>
      </c>
    </row>
    <row r="1176" spans="1:43" x14ac:dyDescent="0.25">
      <c r="A1176" t="s">
        <v>907</v>
      </c>
      <c r="B1176" t="s">
        <v>906</v>
      </c>
      <c r="C1176" t="s">
        <v>905</v>
      </c>
      <c r="D1176" s="1">
        <v>45769</v>
      </c>
      <c r="E1176" t="s">
        <v>112</v>
      </c>
      <c r="F1176" t="s">
        <v>111</v>
      </c>
      <c r="G1176" t="s">
        <v>30</v>
      </c>
      <c r="H1176" t="s">
        <v>66</v>
      </c>
      <c r="I1176" t="s">
        <v>28</v>
      </c>
      <c r="J1176" t="s">
        <v>14</v>
      </c>
      <c r="K1176" t="s">
        <v>13</v>
      </c>
      <c r="L1176" t="s">
        <v>117</v>
      </c>
      <c r="M1176" t="s">
        <v>11</v>
      </c>
      <c r="N1176" t="s">
        <v>52</v>
      </c>
      <c r="O1176" t="s">
        <v>199</v>
      </c>
      <c r="P1176" t="s">
        <v>8</v>
      </c>
      <c r="Q1176" t="s">
        <v>198</v>
      </c>
      <c r="R1176" t="s">
        <v>6</v>
      </c>
      <c r="S1176">
        <v>5</v>
      </c>
      <c r="T1176">
        <v>5</v>
      </c>
      <c r="U1176">
        <v>105</v>
      </c>
      <c r="V1176" t="s">
        <v>0</v>
      </c>
      <c r="W1176" t="s">
        <v>5</v>
      </c>
      <c r="X1176" t="s">
        <v>0</v>
      </c>
      <c r="Y1176" t="s">
        <v>4</v>
      </c>
      <c r="Z1176" t="s">
        <v>5</v>
      </c>
      <c r="AA1176">
        <v>4.54</v>
      </c>
      <c r="AB1176">
        <v>0</v>
      </c>
      <c r="AC1176">
        <v>0</v>
      </c>
      <c r="AD1176" t="s">
        <v>436</v>
      </c>
      <c r="AE1176" t="s">
        <v>5</v>
      </c>
      <c r="AF1176" t="s">
        <v>436</v>
      </c>
      <c r="AG1176" t="s">
        <v>139</v>
      </c>
      <c r="AH1176">
        <v>3</v>
      </c>
      <c r="AI1176" t="s">
        <v>23</v>
      </c>
      <c r="AJ1176">
        <v>3</v>
      </c>
      <c r="AK1176">
        <v>18</v>
      </c>
      <c r="AL1176">
        <v>37</v>
      </c>
      <c r="AM1176" t="s">
        <v>0</v>
      </c>
      <c r="AN1176">
        <v>1</v>
      </c>
      <c r="AO1176">
        <v>1</v>
      </c>
      <c r="AP1176">
        <v>0</v>
      </c>
      <c r="AQ1176">
        <v>0</v>
      </c>
    </row>
    <row r="1177" spans="1:43" x14ac:dyDescent="0.25">
      <c r="A1177" t="s">
        <v>904</v>
      </c>
      <c r="B1177" t="s">
        <v>280</v>
      </c>
      <c r="C1177" t="s">
        <v>903</v>
      </c>
      <c r="D1177" s="1">
        <v>45864</v>
      </c>
      <c r="E1177" t="s">
        <v>45</v>
      </c>
      <c r="F1177" t="s">
        <v>670</v>
      </c>
      <c r="G1177" t="s">
        <v>17</v>
      </c>
      <c r="H1177" t="s">
        <v>16</v>
      </c>
      <c r="I1177" t="s">
        <v>15</v>
      </c>
      <c r="J1177" t="s">
        <v>55</v>
      </c>
      <c r="K1177" t="s">
        <v>54</v>
      </c>
      <c r="L1177" t="s">
        <v>117</v>
      </c>
      <c r="M1177" t="s">
        <v>53</v>
      </c>
      <c r="N1177" t="s">
        <v>269</v>
      </c>
      <c r="O1177" t="s">
        <v>74</v>
      </c>
      <c r="P1177" t="s">
        <v>63</v>
      </c>
      <c r="Q1177" t="s">
        <v>7</v>
      </c>
      <c r="R1177" t="s">
        <v>6</v>
      </c>
      <c r="S1177">
        <v>6</v>
      </c>
      <c r="T1177">
        <v>6</v>
      </c>
      <c r="U1177">
        <v>189</v>
      </c>
      <c r="V1177" t="s">
        <v>0</v>
      </c>
      <c r="W1177" t="s">
        <v>5</v>
      </c>
      <c r="X1177" t="s">
        <v>0</v>
      </c>
      <c r="Y1177" t="s">
        <v>4</v>
      </c>
      <c r="Z1177" t="s">
        <v>5</v>
      </c>
      <c r="AA1177">
        <v>0.45</v>
      </c>
      <c r="AB1177">
        <v>0</v>
      </c>
      <c r="AC1177">
        <v>0.17</v>
      </c>
      <c r="AD1177" t="s">
        <v>37</v>
      </c>
      <c r="AE1177" t="s">
        <v>5</v>
      </c>
      <c r="AF1177" t="s">
        <v>37</v>
      </c>
      <c r="AG1177" t="s">
        <v>139</v>
      </c>
      <c r="AH1177">
        <v>34</v>
      </c>
      <c r="AI1177" t="s">
        <v>23</v>
      </c>
      <c r="AJ1177">
        <v>4</v>
      </c>
      <c r="AK1177">
        <v>-26</v>
      </c>
      <c r="AL1177">
        <v>0</v>
      </c>
      <c r="AM1177" t="s">
        <v>5</v>
      </c>
      <c r="AN1177">
        <v>1</v>
      </c>
      <c r="AO1177">
        <v>1</v>
      </c>
      <c r="AP1177">
        <v>0</v>
      </c>
      <c r="AQ1177">
        <v>1</v>
      </c>
    </row>
    <row r="1178" spans="1:43" x14ac:dyDescent="0.25">
      <c r="A1178" t="s">
        <v>902</v>
      </c>
      <c r="B1178" t="s">
        <v>901</v>
      </c>
      <c r="C1178" t="s">
        <v>900</v>
      </c>
      <c r="D1178" s="1">
        <v>45662</v>
      </c>
      <c r="E1178" t="s">
        <v>68</v>
      </c>
      <c r="F1178" t="s">
        <v>278</v>
      </c>
      <c r="G1178" t="s">
        <v>17</v>
      </c>
      <c r="H1178" t="s">
        <v>77</v>
      </c>
      <c r="I1178" t="s">
        <v>15</v>
      </c>
      <c r="J1178" t="s">
        <v>14</v>
      </c>
      <c r="K1178" t="s">
        <v>13</v>
      </c>
      <c r="L1178" t="s">
        <v>117</v>
      </c>
      <c r="M1178" t="s">
        <v>11</v>
      </c>
      <c r="N1178" t="s">
        <v>93</v>
      </c>
      <c r="O1178" t="s">
        <v>130</v>
      </c>
      <c r="P1178" t="s">
        <v>39</v>
      </c>
      <c r="Q1178" t="s">
        <v>7</v>
      </c>
      <c r="R1178" t="s">
        <v>6</v>
      </c>
      <c r="S1178">
        <v>5</v>
      </c>
      <c r="T1178">
        <v>5</v>
      </c>
      <c r="U1178">
        <v>91</v>
      </c>
      <c r="V1178" t="s">
        <v>0</v>
      </c>
      <c r="W1178" t="s">
        <v>5</v>
      </c>
      <c r="X1178" t="s">
        <v>0</v>
      </c>
      <c r="Y1178" t="s">
        <v>4</v>
      </c>
      <c r="Z1178" t="s">
        <v>5</v>
      </c>
      <c r="AA1178">
        <v>41.03</v>
      </c>
      <c r="AB1178">
        <v>0</v>
      </c>
      <c r="AC1178">
        <v>0</v>
      </c>
      <c r="AD1178" t="s">
        <v>3</v>
      </c>
      <c r="AE1178" t="s">
        <v>0</v>
      </c>
      <c r="AF1178" t="s">
        <v>3</v>
      </c>
      <c r="AG1178" t="s">
        <v>2</v>
      </c>
      <c r="AI1178" t="s">
        <v>23</v>
      </c>
      <c r="AJ1178">
        <v>4</v>
      </c>
      <c r="AK1178">
        <v>31</v>
      </c>
      <c r="AL1178" t="s">
        <v>440</v>
      </c>
      <c r="AM1178" t="s">
        <v>5</v>
      </c>
      <c r="AN1178">
        <v>1</v>
      </c>
      <c r="AO1178">
        <v>1</v>
      </c>
      <c r="AP1178">
        <v>0</v>
      </c>
      <c r="AQ1178">
        <v>1</v>
      </c>
    </row>
    <row r="1179" spans="1:43" x14ac:dyDescent="0.25">
      <c r="A1179" t="s">
        <v>899</v>
      </c>
      <c r="B1179" t="s">
        <v>898</v>
      </c>
      <c r="C1179" t="s">
        <v>897</v>
      </c>
      <c r="D1179" s="1">
        <v>45705</v>
      </c>
      <c r="E1179" t="s">
        <v>79</v>
      </c>
      <c r="F1179" t="s">
        <v>223</v>
      </c>
      <c r="G1179" t="s">
        <v>17</v>
      </c>
      <c r="H1179" t="s">
        <v>77</v>
      </c>
      <c r="I1179" t="s">
        <v>28</v>
      </c>
      <c r="J1179" t="s">
        <v>55</v>
      </c>
      <c r="K1179" t="s">
        <v>54</v>
      </c>
      <c r="L1179" t="s">
        <v>42</v>
      </c>
      <c r="M1179" t="s">
        <v>11</v>
      </c>
      <c r="N1179" t="s">
        <v>154</v>
      </c>
      <c r="O1179" t="s">
        <v>199</v>
      </c>
      <c r="P1179" t="s">
        <v>39</v>
      </c>
      <c r="Q1179" t="s">
        <v>24</v>
      </c>
      <c r="R1179" t="s">
        <v>38</v>
      </c>
      <c r="S1179">
        <v>5</v>
      </c>
      <c r="T1179">
        <v>5</v>
      </c>
      <c r="U1179">
        <v>146</v>
      </c>
      <c r="V1179" t="s">
        <v>0</v>
      </c>
      <c r="W1179" t="s">
        <v>0</v>
      </c>
      <c r="X1179" t="s">
        <v>0</v>
      </c>
      <c r="Y1179" t="s">
        <v>4</v>
      </c>
      <c r="Z1179" t="s">
        <v>5</v>
      </c>
      <c r="AA1179">
        <v>8.27</v>
      </c>
      <c r="AB1179">
        <v>0</v>
      </c>
      <c r="AC1179">
        <v>0</v>
      </c>
      <c r="AD1179" t="s">
        <v>3</v>
      </c>
      <c r="AE1179" t="s">
        <v>0</v>
      </c>
      <c r="AF1179" t="s">
        <v>3</v>
      </c>
      <c r="AG1179" t="s">
        <v>2</v>
      </c>
      <c r="AI1179" t="s">
        <v>23</v>
      </c>
      <c r="AJ1179">
        <v>3</v>
      </c>
      <c r="AK1179">
        <v>32</v>
      </c>
      <c r="AL1179">
        <v>46</v>
      </c>
      <c r="AM1179" t="s">
        <v>5</v>
      </c>
      <c r="AN1179">
        <v>0</v>
      </c>
      <c r="AO1179">
        <v>1</v>
      </c>
      <c r="AP1179">
        <v>0</v>
      </c>
      <c r="AQ1179">
        <v>1</v>
      </c>
    </row>
    <row r="1180" spans="1:43" x14ac:dyDescent="0.25">
      <c r="A1180" t="s">
        <v>896</v>
      </c>
      <c r="B1180" t="s">
        <v>895</v>
      </c>
      <c r="C1180" t="s">
        <v>894</v>
      </c>
      <c r="D1180" s="1">
        <v>45775</v>
      </c>
      <c r="E1180" t="s">
        <v>168</v>
      </c>
      <c r="F1180" t="s">
        <v>233</v>
      </c>
      <c r="G1180" t="s">
        <v>30</v>
      </c>
      <c r="H1180" t="s">
        <v>29</v>
      </c>
      <c r="I1180" t="s">
        <v>15</v>
      </c>
      <c r="J1180" t="s">
        <v>55</v>
      </c>
      <c r="K1180" t="s">
        <v>54</v>
      </c>
      <c r="L1180" t="s">
        <v>42</v>
      </c>
      <c r="M1180" t="s">
        <v>27</v>
      </c>
      <c r="N1180" t="s">
        <v>269</v>
      </c>
      <c r="O1180" t="s">
        <v>130</v>
      </c>
      <c r="P1180" t="s">
        <v>39</v>
      </c>
      <c r="Q1180" t="s">
        <v>7</v>
      </c>
      <c r="R1180" t="s">
        <v>6</v>
      </c>
      <c r="S1180">
        <v>5</v>
      </c>
      <c r="T1180">
        <v>5</v>
      </c>
      <c r="U1180">
        <v>105</v>
      </c>
      <c r="V1180" t="s">
        <v>0</v>
      </c>
      <c r="W1180" t="s">
        <v>5</v>
      </c>
      <c r="X1180" t="s">
        <v>0</v>
      </c>
      <c r="Y1180" t="s">
        <v>4</v>
      </c>
      <c r="Z1180" t="s">
        <v>5</v>
      </c>
      <c r="AA1180">
        <v>72.760000000000005</v>
      </c>
      <c r="AB1180">
        <v>0</v>
      </c>
      <c r="AC1180">
        <v>0.37</v>
      </c>
      <c r="AD1180" t="s">
        <v>227</v>
      </c>
      <c r="AE1180" t="s">
        <v>5</v>
      </c>
      <c r="AF1180" t="s">
        <v>227</v>
      </c>
      <c r="AG1180" t="s">
        <v>36</v>
      </c>
      <c r="AH1180">
        <v>28</v>
      </c>
      <c r="AI1180" t="s">
        <v>23</v>
      </c>
      <c r="AJ1180">
        <v>5</v>
      </c>
      <c r="AK1180">
        <v>12</v>
      </c>
      <c r="AL1180" t="s">
        <v>893</v>
      </c>
      <c r="AM1180" t="s">
        <v>5</v>
      </c>
      <c r="AN1180">
        <v>1</v>
      </c>
      <c r="AO1180">
        <v>1</v>
      </c>
      <c r="AP1180">
        <v>0</v>
      </c>
      <c r="AQ1180">
        <v>1</v>
      </c>
    </row>
    <row r="1181" spans="1:43" x14ac:dyDescent="0.25">
      <c r="A1181" t="s">
        <v>892</v>
      </c>
      <c r="B1181" t="s">
        <v>891</v>
      </c>
      <c r="C1181" t="s">
        <v>890</v>
      </c>
      <c r="D1181" s="1">
        <v>46131</v>
      </c>
      <c r="E1181" t="s">
        <v>162</v>
      </c>
      <c r="F1181" t="s">
        <v>540</v>
      </c>
      <c r="G1181" t="s">
        <v>30</v>
      </c>
      <c r="H1181" t="s">
        <v>77</v>
      </c>
      <c r="I1181" t="s">
        <v>15</v>
      </c>
      <c r="J1181" t="s">
        <v>55</v>
      </c>
      <c r="K1181" t="s">
        <v>54</v>
      </c>
      <c r="L1181" t="s">
        <v>12</v>
      </c>
      <c r="M1181" t="s">
        <v>11</v>
      </c>
      <c r="N1181" t="s">
        <v>154</v>
      </c>
      <c r="O1181" t="s">
        <v>193</v>
      </c>
      <c r="P1181" t="s">
        <v>63</v>
      </c>
      <c r="Q1181" t="s">
        <v>50</v>
      </c>
      <c r="R1181" t="s">
        <v>6</v>
      </c>
      <c r="S1181">
        <v>9</v>
      </c>
      <c r="T1181">
        <v>7</v>
      </c>
      <c r="U1181">
        <v>362</v>
      </c>
      <c r="V1181" t="s">
        <v>5</v>
      </c>
      <c r="W1181" t="s">
        <v>181</v>
      </c>
      <c r="X1181" t="s">
        <v>0</v>
      </c>
      <c r="Y1181" t="s">
        <v>4</v>
      </c>
      <c r="Z1181" t="s">
        <v>0</v>
      </c>
      <c r="AA1181">
        <v>0</v>
      </c>
      <c r="AB1181">
        <v>0</v>
      </c>
      <c r="AC1181">
        <v>0</v>
      </c>
      <c r="AD1181" t="s">
        <v>3</v>
      </c>
      <c r="AE1181" t="s">
        <v>0</v>
      </c>
      <c r="AF1181" t="s">
        <v>3</v>
      </c>
      <c r="AG1181" t="s">
        <v>2</v>
      </c>
      <c r="AI1181" t="s">
        <v>129</v>
      </c>
      <c r="AJ1181">
        <v>2</v>
      </c>
      <c r="AK1181">
        <v>-35</v>
      </c>
      <c r="AL1181">
        <v>0</v>
      </c>
      <c r="AM1181" t="s">
        <v>5</v>
      </c>
      <c r="AN1181">
        <v>0</v>
      </c>
      <c r="AO1181">
        <v>0</v>
      </c>
      <c r="AP1181">
        <v>0</v>
      </c>
      <c r="AQ1181">
        <v>1</v>
      </c>
    </row>
    <row r="1182" spans="1:43" x14ac:dyDescent="0.25">
      <c r="A1182" t="s">
        <v>889</v>
      </c>
      <c r="B1182" t="s">
        <v>888</v>
      </c>
      <c r="C1182" t="s">
        <v>887</v>
      </c>
      <c r="D1182" s="1">
        <v>46091</v>
      </c>
      <c r="E1182" t="s">
        <v>149</v>
      </c>
      <c r="F1182" t="s">
        <v>248</v>
      </c>
      <c r="G1182" t="s">
        <v>17</v>
      </c>
      <c r="H1182" t="s">
        <v>16</v>
      </c>
      <c r="I1182" t="s">
        <v>28</v>
      </c>
      <c r="J1182" t="s">
        <v>14</v>
      </c>
      <c r="K1182" t="s">
        <v>13</v>
      </c>
      <c r="L1182" t="s">
        <v>64</v>
      </c>
      <c r="M1182" t="s">
        <v>11</v>
      </c>
      <c r="N1182" t="s">
        <v>93</v>
      </c>
      <c r="O1182" t="s">
        <v>51</v>
      </c>
      <c r="P1182" t="s">
        <v>8</v>
      </c>
      <c r="Q1182" t="s">
        <v>172</v>
      </c>
      <c r="R1182" t="s">
        <v>38</v>
      </c>
      <c r="S1182">
        <v>6</v>
      </c>
      <c r="T1182">
        <v>6</v>
      </c>
      <c r="U1182">
        <v>162</v>
      </c>
      <c r="V1182" t="s">
        <v>0</v>
      </c>
      <c r="W1182" t="s">
        <v>0</v>
      </c>
      <c r="X1182" t="s">
        <v>0</v>
      </c>
      <c r="Y1182" t="s">
        <v>4</v>
      </c>
      <c r="Z1182" t="s">
        <v>5</v>
      </c>
      <c r="AA1182">
        <v>32.64</v>
      </c>
      <c r="AB1182">
        <v>0.1</v>
      </c>
      <c r="AC1182">
        <v>0</v>
      </c>
      <c r="AD1182" t="s">
        <v>3</v>
      </c>
      <c r="AE1182" t="s">
        <v>0</v>
      </c>
      <c r="AF1182" t="s">
        <v>3</v>
      </c>
      <c r="AG1182" t="s">
        <v>2</v>
      </c>
      <c r="AI1182" t="s">
        <v>23</v>
      </c>
      <c r="AJ1182">
        <v>4</v>
      </c>
      <c r="AK1182">
        <v>7</v>
      </c>
      <c r="AL1182">
        <v>44</v>
      </c>
      <c r="AM1182" t="s">
        <v>5</v>
      </c>
      <c r="AN1182">
        <v>0</v>
      </c>
      <c r="AO1182">
        <v>1</v>
      </c>
      <c r="AP1182">
        <v>0</v>
      </c>
      <c r="AQ1182">
        <v>1</v>
      </c>
    </row>
    <row r="1183" spans="1:43" x14ac:dyDescent="0.25">
      <c r="A1183" t="s">
        <v>886</v>
      </c>
      <c r="B1183" t="s">
        <v>885</v>
      </c>
      <c r="C1183" t="s">
        <v>884</v>
      </c>
      <c r="D1183" s="1">
        <v>46038</v>
      </c>
      <c r="E1183" t="s">
        <v>168</v>
      </c>
      <c r="F1183" t="s">
        <v>283</v>
      </c>
      <c r="G1183" t="s">
        <v>56</v>
      </c>
      <c r="H1183" t="s">
        <v>77</v>
      </c>
      <c r="I1183" t="s">
        <v>28</v>
      </c>
      <c r="J1183" t="s">
        <v>55</v>
      </c>
      <c r="K1183" t="s">
        <v>54</v>
      </c>
      <c r="L1183" t="s">
        <v>64</v>
      </c>
      <c r="M1183" t="s">
        <v>11</v>
      </c>
      <c r="N1183" t="s">
        <v>52</v>
      </c>
      <c r="O1183" t="s">
        <v>130</v>
      </c>
      <c r="P1183" t="s">
        <v>39</v>
      </c>
      <c r="Q1183" t="s">
        <v>7</v>
      </c>
      <c r="R1183" t="s">
        <v>6</v>
      </c>
      <c r="S1183">
        <v>5</v>
      </c>
      <c r="T1183">
        <v>5</v>
      </c>
      <c r="U1183">
        <v>127</v>
      </c>
      <c r="V1183" t="s">
        <v>0</v>
      </c>
      <c r="W1183" t="s">
        <v>5</v>
      </c>
      <c r="X1183" t="s">
        <v>0</v>
      </c>
      <c r="Y1183" t="s">
        <v>4</v>
      </c>
      <c r="Z1183" t="s">
        <v>5</v>
      </c>
      <c r="AA1183">
        <v>70.27</v>
      </c>
      <c r="AB1183">
        <v>0</v>
      </c>
      <c r="AC1183">
        <v>0</v>
      </c>
      <c r="AD1183" t="s">
        <v>3</v>
      </c>
      <c r="AE1183" t="s">
        <v>0</v>
      </c>
      <c r="AF1183" t="s">
        <v>3</v>
      </c>
      <c r="AG1183" t="s">
        <v>2</v>
      </c>
      <c r="AI1183" t="s">
        <v>23</v>
      </c>
      <c r="AJ1183">
        <v>5</v>
      </c>
      <c r="AK1183">
        <v>15</v>
      </c>
      <c r="AL1183">
        <v>33</v>
      </c>
      <c r="AM1183" t="s">
        <v>5</v>
      </c>
      <c r="AN1183">
        <v>1</v>
      </c>
      <c r="AO1183">
        <v>1</v>
      </c>
      <c r="AP1183">
        <v>0</v>
      </c>
      <c r="AQ1183">
        <v>1</v>
      </c>
    </row>
    <row r="1184" spans="1:43" x14ac:dyDescent="0.25">
      <c r="A1184" t="s">
        <v>883</v>
      </c>
      <c r="B1184" t="s">
        <v>882</v>
      </c>
      <c r="C1184" t="s">
        <v>881</v>
      </c>
      <c r="D1184" s="1">
        <v>45687</v>
      </c>
      <c r="E1184" t="s">
        <v>112</v>
      </c>
      <c r="F1184" t="s">
        <v>307</v>
      </c>
      <c r="G1184" t="s">
        <v>83</v>
      </c>
      <c r="H1184" t="s">
        <v>43</v>
      </c>
      <c r="I1184" t="s">
        <v>28</v>
      </c>
      <c r="J1184" t="s">
        <v>55</v>
      </c>
      <c r="K1184" t="s">
        <v>54</v>
      </c>
      <c r="L1184" t="s">
        <v>117</v>
      </c>
      <c r="M1184" t="s">
        <v>27</v>
      </c>
      <c r="N1184" t="s">
        <v>154</v>
      </c>
      <c r="O1184" t="s">
        <v>9</v>
      </c>
      <c r="P1184" t="s">
        <v>63</v>
      </c>
      <c r="Q1184" t="s">
        <v>7</v>
      </c>
      <c r="R1184" t="s">
        <v>6</v>
      </c>
      <c r="S1184">
        <v>7</v>
      </c>
      <c r="T1184">
        <v>4</v>
      </c>
      <c r="U1184">
        <v>221</v>
      </c>
      <c r="V1184" t="s">
        <v>5</v>
      </c>
      <c r="W1184" t="s">
        <v>5</v>
      </c>
      <c r="X1184" t="s">
        <v>0</v>
      </c>
      <c r="Y1184" t="s">
        <v>4</v>
      </c>
      <c r="Z1184" t="s">
        <v>5</v>
      </c>
      <c r="AA1184">
        <v>0</v>
      </c>
      <c r="AB1184">
        <v>0</v>
      </c>
      <c r="AC1184">
        <v>0.37</v>
      </c>
      <c r="AD1184" t="s">
        <v>3</v>
      </c>
      <c r="AE1184" t="s">
        <v>0</v>
      </c>
      <c r="AF1184" t="s">
        <v>3</v>
      </c>
      <c r="AG1184" t="s">
        <v>2</v>
      </c>
      <c r="AI1184" t="s">
        <v>23</v>
      </c>
      <c r="AJ1184">
        <v>2</v>
      </c>
      <c r="AK1184">
        <v>5</v>
      </c>
      <c r="AL1184">
        <v>0</v>
      </c>
      <c r="AM1184" t="s">
        <v>0</v>
      </c>
      <c r="AN1184">
        <v>1</v>
      </c>
      <c r="AO1184">
        <v>1</v>
      </c>
      <c r="AP1184">
        <v>0</v>
      </c>
      <c r="AQ1184">
        <v>0</v>
      </c>
    </row>
    <row r="1185" spans="1:43" x14ac:dyDescent="0.25">
      <c r="A1185" t="s">
        <v>880</v>
      </c>
      <c r="B1185" t="s">
        <v>632</v>
      </c>
      <c r="C1185" t="s">
        <v>879</v>
      </c>
      <c r="D1185" s="1">
        <v>45799</v>
      </c>
      <c r="E1185" t="s">
        <v>68</v>
      </c>
      <c r="F1185" t="s">
        <v>67</v>
      </c>
      <c r="G1185" t="s">
        <v>17</v>
      </c>
      <c r="H1185" t="s">
        <v>16</v>
      </c>
      <c r="I1185" t="s">
        <v>28</v>
      </c>
      <c r="J1185" t="s">
        <v>146</v>
      </c>
      <c r="K1185" t="s">
        <v>145</v>
      </c>
      <c r="L1185" t="s">
        <v>64</v>
      </c>
      <c r="M1185" t="s">
        <v>11</v>
      </c>
      <c r="N1185" t="s">
        <v>93</v>
      </c>
      <c r="O1185" t="s">
        <v>9</v>
      </c>
      <c r="P1185" t="s">
        <v>63</v>
      </c>
      <c r="Q1185" t="s">
        <v>100</v>
      </c>
      <c r="R1185" t="s">
        <v>38</v>
      </c>
      <c r="S1185" t="s">
        <v>242</v>
      </c>
      <c r="T1185">
        <v>7</v>
      </c>
      <c r="U1185">
        <v>187</v>
      </c>
      <c r="V1185" t="s">
        <v>0</v>
      </c>
      <c r="W1185" t="s">
        <v>5</v>
      </c>
      <c r="X1185" t="s">
        <v>0</v>
      </c>
      <c r="Y1185" t="s">
        <v>4</v>
      </c>
      <c r="Z1185" t="s">
        <v>5</v>
      </c>
      <c r="AA1185">
        <v>31.48</v>
      </c>
      <c r="AB1185">
        <v>0</v>
      </c>
      <c r="AC1185">
        <v>0</v>
      </c>
      <c r="AD1185" t="s">
        <v>3</v>
      </c>
      <c r="AE1185" t="s">
        <v>0</v>
      </c>
      <c r="AF1185" t="s">
        <v>3</v>
      </c>
      <c r="AG1185" t="s">
        <v>2</v>
      </c>
      <c r="AI1185" t="s">
        <v>23</v>
      </c>
      <c r="AJ1185">
        <v>4</v>
      </c>
      <c r="AK1185">
        <v>16</v>
      </c>
      <c r="AL1185">
        <v>0</v>
      </c>
      <c r="AM1185" t="s">
        <v>5</v>
      </c>
      <c r="AN1185">
        <v>1</v>
      </c>
      <c r="AO1185">
        <v>1</v>
      </c>
      <c r="AP1185">
        <v>0</v>
      </c>
      <c r="AQ1185">
        <v>1</v>
      </c>
    </row>
    <row r="1186" spans="1:43" x14ac:dyDescent="0.25">
      <c r="A1186" t="s">
        <v>878</v>
      </c>
      <c r="B1186" t="s">
        <v>877</v>
      </c>
      <c r="C1186" t="s">
        <v>876</v>
      </c>
      <c r="D1186" s="1">
        <v>45965</v>
      </c>
      <c r="E1186" t="s">
        <v>125</v>
      </c>
      <c r="F1186" t="s">
        <v>140</v>
      </c>
      <c r="G1186" t="s">
        <v>110</v>
      </c>
      <c r="H1186" t="s">
        <v>16</v>
      </c>
      <c r="I1186" t="s">
        <v>28</v>
      </c>
      <c r="J1186" t="s">
        <v>55</v>
      </c>
      <c r="K1186" t="s">
        <v>54</v>
      </c>
      <c r="L1186" t="s">
        <v>12</v>
      </c>
      <c r="M1186" t="s">
        <v>11</v>
      </c>
      <c r="N1186" t="s">
        <v>41</v>
      </c>
      <c r="O1186" t="s">
        <v>51</v>
      </c>
      <c r="P1186" t="s">
        <v>39</v>
      </c>
      <c r="Q1186" t="s">
        <v>7</v>
      </c>
      <c r="R1186" t="s">
        <v>6</v>
      </c>
      <c r="S1186">
        <v>6</v>
      </c>
      <c r="T1186">
        <v>6</v>
      </c>
      <c r="U1186">
        <v>120</v>
      </c>
      <c r="V1186" t="s">
        <v>0</v>
      </c>
      <c r="W1186" t="s">
        <v>5</v>
      </c>
      <c r="X1186" t="s">
        <v>181</v>
      </c>
      <c r="Y1186" t="s">
        <v>4</v>
      </c>
      <c r="Z1186" t="s">
        <v>0</v>
      </c>
      <c r="AA1186">
        <v>0</v>
      </c>
      <c r="AB1186">
        <v>0</v>
      </c>
      <c r="AC1186">
        <v>0</v>
      </c>
      <c r="AD1186" t="s">
        <v>227</v>
      </c>
      <c r="AE1186" t="s">
        <v>5</v>
      </c>
      <c r="AF1186" t="s">
        <v>227</v>
      </c>
      <c r="AG1186" t="s">
        <v>36</v>
      </c>
      <c r="AH1186">
        <v>30</v>
      </c>
      <c r="AI1186" t="s">
        <v>23</v>
      </c>
      <c r="AJ1186">
        <v>4</v>
      </c>
      <c r="AK1186">
        <v>17</v>
      </c>
      <c r="AL1186">
        <v>29</v>
      </c>
      <c r="AM1186" t="s">
        <v>0</v>
      </c>
      <c r="AN1186">
        <v>1</v>
      </c>
      <c r="AO1186">
        <v>0</v>
      </c>
      <c r="AP1186">
        <v>0</v>
      </c>
      <c r="AQ1186">
        <v>0</v>
      </c>
    </row>
    <row r="1187" spans="1:43" x14ac:dyDescent="0.25">
      <c r="A1187" t="s">
        <v>875</v>
      </c>
      <c r="B1187" t="s">
        <v>874</v>
      </c>
      <c r="C1187" t="s">
        <v>873</v>
      </c>
      <c r="D1187" s="1">
        <v>46093</v>
      </c>
      <c r="E1187" t="s">
        <v>45</v>
      </c>
      <c r="F1187" t="s">
        <v>57</v>
      </c>
      <c r="G1187" t="s">
        <v>17</v>
      </c>
      <c r="H1187" t="s">
        <v>43</v>
      </c>
      <c r="I1187" t="s">
        <v>28</v>
      </c>
      <c r="J1187" t="s">
        <v>55</v>
      </c>
      <c r="K1187" t="s">
        <v>54</v>
      </c>
      <c r="L1187" t="s">
        <v>117</v>
      </c>
      <c r="M1187" t="s">
        <v>11</v>
      </c>
      <c r="N1187" t="s">
        <v>75</v>
      </c>
      <c r="O1187" t="s">
        <v>51</v>
      </c>
      <c r="P1187" t="s">
        <v>39</v>
      </c>
      <c r="Q1187" t="s">
        <v>7</v>
      </c>
      <c r="R1187" t="s">
        <v>6</v>
      </c>
      <c r="S1187">
        <v>6</v>
      </c>
      <c r="T1187">
        <v>6</v>
      </c>
      <c r="U1187">
        <v>182</v>
      </c>
      <c r="V1187" t="s">
        <v>0</v>
      </c>
      <c r="W1187" t="s">
        <v>0</v>
      </c>
      <c r="X1187" t="s">
        <v>182</v>
      </c>
      <c r="Y1187" t="s">
        <v>153</v>
      </c>
      <c r="Z1187" t="s">
        <v>0</v>
      </c>
      <c r="AA1187">
        <v>0</v>
      </c>
      <c r="AB1187">
        <v>0</v>
      </c>
      <c r="AC1187">
        <v>0</v>
      </c>
      <c r="AD1187" t="s">
        <v>3</v>
      </c>
      <c r="AE1187" t="s">
        <v>0</v>
      </c>
      <c r="AF1187" t="s">
        <v>3</v>
      </c>
      <c r="AG1187" t="s">
        <v>2</v>
      </c>
      <c r="AI1187" t="s">
        <v>23</v>
      </c>
      <c r="AJ1187">
        <v>3</v>
      </c>
      <c r="AK1187">
        <v>-5</v>
      </c>
      <c r="AL1187" t="s">
        <v>872</v>
      </c>
      <c r="AM1187" t="s">
        <v>5</v>
      </c>
      <c r="AN1187">
        <v>0</v>
      </c>
      <c r="AO1187">
        <v>0</v>
      </c>
      <c r="AP1187">
        <v>1</v>
      </c>
      <c r="AQ1187">
        <v>1</v>
      </c>
    </row>
    <row r="1188" spans="1:43" x14ac:dyDescent="0.25">
      <c r="A1188" t="s">
        <v>871</v>
      </c>
      <c r="B1188" t="s">
        <v>870</v>
      </c>
      <c r="C1188" t="s">
        <v>869</v>
      </c>
      <c r="D1188" s="1">
        <v>46024</v>
      </c>
      <c r="E1188" t="s">
        <v>45</v>
      </c>
      <c r="F1188" t="s">
        <v>57</v>
      </c>
      <c r="G1188" t="s">
        <v>30</v>
      </c>
      <c r="H1188" t="s">
        <v>77</v>
      </c>
      <c r="I1188" t="s">
        <v>15</v>
      </c>
      <c r="J1188" t="s">
        <v>55</v>
      </c>
      <c r="K1188" t="s">
        <v>54</v>
      </c>
      <c r="L1188" t="s">
        <v>88</v>
      </c>
      <c r="M1188" t="s">
        <v>27</v>
      </c>
      <c r="N1188" t="s">
        <v>41</v>
      </c>
      <c r="O1188" t="s">
        <v>101</v>
      </c>
      <c r="P1188" t="s">
        <v>39</v>
      </c>
      <c r="Q1188" t="s">
        <v>24</v>
      </c>
      <c r="R1188" t="s">
        <v>38</v>
      </c>
      <c r="S1188">
        <v>4</v>
      </c>
      <c r="T1188">
        <v>2</v>
      </c>
      <c r="U1188">
        <v>204</v>
      </c>
      <c r="V1188" t="s">
        <v>5</v>
      </c>
      <c r="W1188" t="s">
        <v>0</v>
      </c>
      <c r="X1188" t="s">
        <v>0</v>
      </c>
      <c r="Y1188" t="s">
        <v>4</v>
      </c>
      <c r="Z1188" t="s">
        <v>5</v>
      </c>
      <c r="AA1188">
        <v>100.54</v>
      </c>
      <c r="AB1188">
        <v>0.48</v>
      </c>
      <c r="AC1188">
        <v>0.37</v>
      </c>
      <c r="AD1188" t="s">
        <v>3</v>
      </c>
      <c r="AE1188" t="s">
        <v>0</v>
      </c>
      <c r="AF1188" t="s">
        <v>3</v>
      </c>
      <c r="AG1188" t="s">
        <v>2</v>
      </c>
      <c r="AI1188" t="s">
        <v>332</v>
      </c>
      <c r="AJ1188">
        <v>2</v>
      </c>
      <c r="AK1188">
        <v>6</v>
      </c>
      <c r="AL1188">
        <v>61</v>
      </c>
      <c r="AM1188" t="s">
        <v>0</v>
      </c>
      <c r="AN1188">
        <v>0</v>
      </c>
      <c r="AO1188">
        <v>1</v>
      </c>
      <c r="AP1188">
        <v>0</v>
      </c>
      <c r="AQ1188">
        <v>0</v>
      </c>
    </row>
    <row r="1189" spans="1:43" x14ac:dyDescent="0.25">
      <c r="A1189" t="s">
        <v>868</v>
      </c>
      <c r="B1189" t="s">
        <v>867</v>
      </c>
      <c r="C1189" t="s">
        <v>866</v>
      </c>
      <c r="D1189" s="1">
        <v>45666</v>
      </c>
      <c r="E1189" t="s">
        <v>19</v>
      </c>
      <c r="F1189" t="s">
        <v>255</v>
      </c>
      <c r="G1189" t="s">
        <v>17</v>
      </c>
      <c r="H1189" t="s">
        <v>77</v>
      </c>
      <c r="I1189" t="s">
        <v>28</v>
      </c>
      <c r="J1189" t="s">
        <v>55</v>
      </c>
      <c r="K1189" t="s">
        <v>54</v>
      </c>
      <c r="L1189" t="s">
        <v>12</v>
      </c>
      <c r="M1189" t="s">
        <v>11</v>
      </c>
      <c r="N1189" t="s">
        <v>75</v>
      </c>
      <c r="O1189" t="s">
        <v>9</v>
      </c>
      <c r="P1189" t="s">
        <v>25</v>
      </c>
      <c r="Q1189" t="s">
        <v>7</v>
      </c>
      <c r="R1189" t="s">
        <v>6</v>
      </c>
      <c r="S1189">
        <v>7</v>
      </c>
      <c r="T1189">
        <v>7</v>
      </c>
      <c r="U1189">
        <v>130</v>
      </c>
      <c r="V1189" t="s">
        <v>0</v>
      </c>
      <c r="W1189" t="s">
        <v>5</v>
      </c>
      <c r="X1189" t="s">
        <v>0</v>
      </c>
      <c r="Y1189" t="s">
        <v>4</v>
      </c>
      <c r="Z1189" t="s">
        <v>5</v>
      </c>
      <c r="AA1189">
        <v>0</v>
      </c>
      <c r="AB1189">
        <v>0</v>
      </c>
      <c r="AC1189">
        <v>0</v>
      </c>
      <c r="AD1189" t="s">
        <v>3</v>
      </c>
      <c r="AE1189" t="s">
        <v>0</v>
      </c>
      <c r="AF1189" t="s">
        <v>3</v>
      </c>
      <c r="AG1189" t="s">
        <v>2</v>
      </c>
      <c r="AI1189" t="s">
        <v>23</v>
      </c>
      <c r="AJ1189">
        <v>3</v>
      </c>
      <c r="AK1189">
        <v>41</v>
      </c>
      <c r="AL1189">
        <v>1</v>
      </c>
      <c r="AM1189" t="s">
        <v>5</v>
      </c>
      <c r="AN1189">
        <v>1</v>
      </c>
      <c r="AO1189">
        <v>1</v>
      </c>
      <c r="AP1189">
        <v>0</v>
      </c>
      <c r="AQ1189">
        <v>1</v>
      </c>
    </row>
    <row r="1190" spans="1:43" x14ac:dyDescent="0.25">
      <c r="A1190" t="s">
        <v>865</v>
      </c>
      <c r="B1190" t="s">
        <v>864</v>
      </c>
      <c r="C1190" t="s">
        <v>863</v>
      </c>
      <c r="D1190" s="1">
        <v>45712</v>
      </c>
      <c r="E1190" t="s">
        <v>112</v>
      </c>
      <c r="F1190" t="s">
        <v>461</v>
      </c>
      <c r="G1190" t="s">
        <v>17</v>
      </c>
      <c r="H1190" t="s">
        <v>43</v>
      </c>
      <c r="I1190" t="s">
        <v>15</v>
      </c>
      <c r="J1190" t="s">
        <v>55</v>
      </c>
      <c r="K1190" t="s">
        <v>54</v>
      </c>
      <c r="L1190" t="s">
        <v>42</v>
      </c>
      <c r="M1190" t="s">
        <v>11</v>
      </c>
      <c r="N1190" t="s">
        <v>154</v>
      </c>
      <c r="O1190" t="s">
        <v>40</v>
      </c>
      <c r="P1190" t="s">
        <v>63</v>
      </c>
      <c r="Q1190" t="s">
        <v>50</v>
      </c>
      <c r="R1190" t="s">
        <v>6</v>
      </c>
      <c r="S1190">
        <v>8</v>
      </c>
      <c r="T1190">
        <v>8</v>
      </c>
      <c r="U1190">
        <v>182</v>
      </c>
      <c r="V1190" t="s">
        <v>0</v>
      </c>
      <c r="W1190" t="s">
        <v>0</v>
      </c>
      <c r="X1190" t="s">
        <v>0</v>
      </c>
      <c r="Y1190" t="s">
        <v>4</v>
      </c>
      <c r="Z1190" t="s">
        <v>5</v>
      </c>
      <c r="AA1190">
        <v>316.73</v>
      </c>
      <c r="AB1190">
        <v>2.4300000000000002</v>
      </c>
      <c r="AC1190">
        <v>0</v>
      </c>
      <c r="AD1190" t="s">
        <v>3</v>
      </c>
      <c r="AE1190" t="s">
        <v>0</v>
      </c>
      <c r="AF1190" t="s">
        <v>3</v>
      </c>
      <c r="AG1190" t="s">
        <v>2</v>
      </c>
      <c r="AI1190" t="s">
        <v>23</v>
      </c>
      <c r="AJ1190">
        <v>3</v>
      </c>
      <c r="AK1190">
        <v>-32</v>
      </c>
      <c r="AL1190">
        <v>0</v>
      </c>
      <c r="AM1190" t="s">
        <v>0</v>
      </c>
      <c r="AN1190">
        <v>0</v>
      </c>
      <c r="AO1190">
        <v>1</v>
      </c>
      <c r="AP1190">
        <v>0</v>
      </c>
      <c r="AQ1190">
        <v>0</v>
      </c>
    </row>
    <row r="1191" spans="1:43" x14ac:dyDescent="0.25">
      <c r="A1191" t="s">
        <v>862</v>
      </c>
      <c r="B1191" t="s">
        <v>861</v>
      </c>
      <c r="C1191" t="s">
        <v>860</v>
      </c>
      <c r="D1191" s="1">
        <v>45770</v>
      </c>
      <c r="E1191" t="s">
        <v>68</v>
      </c>
      <c r="F1191" t="s">
        <v>243</v>
      </c>
      <c r="G1191" t="s">
        <v>17</v>
      </c>
      <c r="H1191" t="s">
        <v>16</v>
      </c>
      <c r="I1191" t="s">
        <v>15</v>
      </c>
      <c r="J1191" t="s">
        <v>55</v>
      </c>
      <c r="K1191" t="s">
        <v>54</v>
      </c>
      <c r="L1191" t="s">
        <v>12</v>
      </c>
      <c r="M1191" t="s">
        <v>53</v>
      </c>
      <c r="N1191" t="s">
        <v>93</v>
      </c>
      <c r="O1191" t="s">
        <v>199</v>
      </c>
      <c r="P1191" t="s">
        <v>39</v>
      </c>
      <c r="Q1191" t="s">
        <v>50</v>
      </c>
      <c r="R1191" t="s">
        <v>38</v>
      </c>
      <c r="S1191">
        <v>5</v>
      </c>
      <c r="T1191">
        <v>4</v>
      </c>
      <c r="U1191">
        <v>145</v>
      </c>
      <c r="V1191" t="s">
        <v>5</v>
      </c>
      <c r="W1191" t="s">
        <v>5</v>
      </c>
      <c r="X1191" t="s">
        <v>0</v>
      </c>
      <c r="Y1191" t="s">
        <v>4</v>
      </c>
      <c r="Z1191" t="s">
        <v>5</v>
      </c>
      <c r="AA1191">
        <v>57.68</v>
      </c>
      <c r="AB1191">
        <v>0</v>
      </c>
      <c r="AC1191">
        <v>0.17</v>
      </c>
      <c r="AD1191" t="s">
        <v>3</v>
      </c>
      <c r="AE1191" t="s">
        <v>0</v>
      </c>
      <c r="AF1191" t="s">
        <v>3</v>
      </c>
      <c r="AG1191" t="s">
        <v>2</v>
      </c>
      <c r="AI1191" t="s">
        <v>23</v>
      </c>
      <c r="AJ1191">
        <v>5</v>
      </c>
      <c r="AK1191">
        <v>50</v>
      </c>
      <c r="AL1191">
        <v>3</v>
      </c>
      <c r="AM1191" t="s">
        <v>5</v>
      </c>
      <c r="AN1191">
        <v>1</v>
      </c>
      <c r="AO1191">
        <v>1</v>
      </c>
      <c r="AP1191">
        <v>0</v>
      </c>
      <c r="AQ1191">
        <v>1</v>
      </c>
    </row>
    <row r="1192" spans="1:43" x14ac:dyDescent="0.25">
      <c r="A1192" t="s">
        <v>859</v>
      </c>
      <c r="B1192" t="s">
        <v>858</v>
      </c>
      <c r="C1192" t="s">
        <v>857</v>
      </c>
      <c r="D1192" s="1">
        <v>45700</v>
      </c>
      <c r="E1192" t="s">
        <v>45</v>
      </c>
      <c r="F1192" t="s">
        <v>856</v>
      </c>
      <c r="G1192" t="s">
        <v>83</v>
      </c>
      <c r="H1192" t="s">
        <v>66</v>
      </c>
      <c r="I1192" t="s">
        <v>15</v>
      </c>
      <c r="J1192" t="s">
        <v>146</v>
      </c>
      <c r="K1192" t="s">
        <v>176</v>
      </c>
      <c r="L1192" t="s">
        <v>12</v>
      </c>
      <c r="M1192" t="s">
        <v>11</v>
      </c>
      <c r="N1192" t="s">
        <v>41</v>
      </c>
      <c r="O1192" t="s">
        <v>199</v>
      </c>
      <c r="P1192" t="s">
        <v>63</v>
      </c>
      <c r="Q1192" t="s">
        <v>7</v>
      </c>
      <c r="R1192" t="s">
        <v>6</v>
      </c>
      <c r="S1192">
        <v>5</v>
      </c>
      <c r="T1192">
        <v>3</v>
      </c>
      <c r="U1192">
        <v>170</v>
      </c>
      <c r="V1192" t="s">
        <v>5</v>
      </c>
      <c r="W1192" t="s">
        <v>5</v>
      </c>
      <c r="X1192" t="s">
        <v>0</v>
      </c>
      <c r="Y1192" t="s">
        <v>4</v>
      </c>
      <c r="Z1192" t="s">
        <v>5</v>
      </c>
      <c r="AA1192">
        <v>104.05</v>
      </c>
      <c r="AB1192">
        <v>0</v>
      </c>
      <c r="AC1192">
        <v>0</v>
      </c>
      <c r="AD1192" t="s">
        <v>3</v>
      </c>
      <c r="AE1192" t="s">
        <v>0</v>
      </c>
      <c r="AF1192" t="s">
        <v>3</v>
      </c>
      <c r="AG1192" t="s">
        <v>2</v>
      </c>
      <c r="AI1192" t="s">
        <v>23</v>
      </c>
      <c r="AJ1192">
        <v>3</v>
      </c>
      <c r="AK1192">
        <v>27</v>
      </c>
      <c r="AL1192">
        <v>0</v>
      </c>
      <c r="AM1192" t="s">
        <v>5</v>
      </c>
      <c r="AN1192">
        <v>1</v>
      </c>
      <c r="AO1192">
        <v>1</v>
      </c>
      <c r="AP1192">
        <v>0</v>
      </c>
      <c r="AQ1192">
        <v>1</v>
      </c>
    </row>
    <row r="1193" spans="1:43" x14ac:dyDescent="0.25">
      <c r="A1193" t="s">
        <v>855</v>
      </c>
      <c r="B1193" t="s">
        <v>854</v>
      </c>
      <c r="C1193" t="s">
        <v>853</v>
      </c>
      <c r="D1193" s="1">
        <v>45806</v>
      </c>
      <c r="E1193" t="s">
        <v>32</v>
      </c>
      <c r="F1193" t="s">
        <v>31</v>
      </c>
      <c r="G1193" t="s">
        <v>17</v>
      </c>
      <c r="H1193" t="s">
        <v>77</v>
      </c>
      <c r="I1193" t="s">
        <v>15</v>
      </c>
      <c r="J1193" t="s">
        <v>55</v>
      </c>
      <c r="K1193" t="s">
        <v>54</v>
      </c>
      <c r="L1193" t="s">
        <v>12</v>
      </c>
      <c r="M1193" t="s">
        <v>11</v>
      </c>
      <c r="N1193" t="s">
        <v>75</v>
      </c>
      <c r="O1193" t="s">
        <v>40</v>
      </c>
      <c r="P1193" t="s">
        <v>39</v>
      </c>
      <c r="Q1193" t="s">
        <v>198</v>
      </c>
      <c r="R1193" t="s">
        <v>38</v>
      </c>
      <c r="S1193">
        <v>8</v>
      </c>
      <c r="T1193">
        <v>8</v>
      </c>
      <c r="U1193">
        <v>229</v>
      </c>
      <c r="V1193" t="s">
        <v>0</v>
      </c>
      <c r="W1193" t="s">
        <v>5</v>
      </c>
      <c r="X1193" t="s">
        <v>0</v>
      </c>
      <c r="Y1193" t="s">
        <v>4</v>
      </c>
      <c r="Z1193" t="s">
        <v>5</v>
      </c>
      <c r="AA1193">
        <v>427.27</v>
      </c>
      <c r="AB1193">
        <v>2.72</v>
      </c>
      <c r="AC1193">
        <v>0</v>
      </c>
      <c r="AD1193" t="s">
        <v>3</v>
      </c>
      <c r="AE1193" t="s">
        <v>0</v>
      </c>
      <c r="AF1193" t="s">
        <v>3</v>
      </c>
      <c r="AG1193" t="s">
        <v>2</v>
      </c>
      <c r="AI1193" t="s">
        <v>23</v>
      </c>
      <c r="AJ1193">
        <v>4</v>
      </c>
      <c r="AK1193">
        <v>55</v>
      </c>
      <c r="AL1193">
        <v>28</v>
      </c>
      <c r="AM1193" t="s">
        <v>5</v>
      </c>
      <c r="AN1193">
        <v>1</v>
      </c>
      <c r="AO1193">
        <v>1</v>
      </c>
      <c r="AP1193">
        <v>0</v>
      </c>
      <c r="AQ1193">
        <v>1</v>
      </c>
    </row>
    <row r="1194" spans="1:43" x14ac:dyDescent="0.25">
      <c r="A1194" t="s">
        <v>852</v>
      </c>
      <c r="B1194" t="s">
        <v>851</v>
      </c>
      <c r="C1194" t="s">
        <v>850</v>
      </c>
      <c r="D1194" s="1">
        <v>46015</v>
      </c>
      <c r="E1194" t="s">
        <v>168</v>
      </c>
      <c r="F1194" t="s">
        <v>177</v>
      </c>
      <c r="G1194" t="s">
        <v>83</v>
      </c>
      <c r="H1194" t="s">
        <v>16</v>
      </c>
      <c r="I1194" t="s">
        <v>15</v>
      </c>
      <c r="J1194" t="s">
        <v>55</v>
      </c>
      <c r="K1194" t="s">
        <v>54</v>
      </c>
      <c r="L1194" t="s">
        <v>42</v>
      </c>
      <c r="M1194" t="s">
        <v>11</v>
      </c>
      <c r="N1194" t="s">
        <v>269</v>
      </c>
      <c r="O1194" t="s">
        <v>87</v>
      </c>
      <c r="P1194" t="s">
        <v>39</v>
      </c>
      <c r="Q1194" t="s">
        <v>24</v>
      </c>
      <c r="R1194" t="s">
        <v>38</v>
      </c>
      <c r="S1194">
        <v>5</v>
      </c>
      <c r="T1194">
        <v>5</v>
      </c>
      <c r="U1194">
        <v>184</v>
      </c>
      <c r="V1194" t="s">
        <v>0</v>
      </c>
      <c r="W1194" t="s">
        <v>5</v>
      </c>
      <c r="X1194" t="s">
        <v>5</v>
      </c>
      <c r="Y1194" t="s">
        <v>849</v>
      </c>
      <c r="Z1194" t="s">
        <v>0</v>
      </c>
      <c r="AA1194">
        <v>0</v>
      </c>
      <c r="AB1194">
        <v>0</v>
      </c>
      <c r="AC1194">
        <v>0</v>
      </c>
      <c r="AD1194" t="s">
        <v>187</v>
      </c>
      <c r="AE1194" t="s">
        <v>5</v>
      </c>
      <c r="AF1194" t="s">
        <v>187</v>
      </c>
      <c r="AG1194" t="s">
        <v>36</v>
      </c>
      <c r="AH1194">
        <v>50</v>
      </c>
      <c r="AI1194" t="s">
        <v>23</v>
      </c>
      <c r="AJ1194">
        <v>4</v>
      </c>
      <c r="AK1194">
        <v>-14</v>
      </c>
      <c r="AL1194">
        <v>60</v>
      </c>
      <c r="AM1194" t="s">
        <v>5</v>
      </c>
      <c r="AN1194">
        <v>1</v>
      </c>
      <c r="AO1194">
        <v>0</v>
      </c>
      <c r="AP1194">
        <v>1</v>
      </c>
      <c r="AQ1194">
        <v>1</v>
      </c>
    </row>
    <row r="1195" spans="1:43" x14ac:dyDescent="0.25">
      <c r="A1195" t="s">
        <v>848</v>
      </c>
      <c r="B1195" t="s">
        <v>847</v>
      </c>
      <c r="C1195" t="s">
        <v>846</v>
      </c>
      <c r="D1195" s="1">
        <v>45713</v>
      </c>
      <c r="E1195" t="s">
        <v>79</v>
      </c>
      <c r="F1195" t="s">
        <v>223</v>
      </c>
      <c r="G1195" t="s">
        <v>30</v>
      </c>
      <c r="H1195" t="s">
        <v>66</v>
      </c>
      <c r="I1195" t="s">
        <v>15</v>
      </c>
      <c r="J1195" t="s">
        <v>146</v>
      </c>
      <c r="K1195" t="s">
        <v>176</v>
      </c>
      <c r="L1195" t="s">
        <v>42</v>
      </c>
      <c r="M1195" t="s">
        <v>11</v>
      </c>
      <c r="N1195" t="s">
        <v>52</v>
      </c>
      <c r="O1195" t="s">
        <v>26</v>
      </c>
      <c r="P1195" t="s">
        <v>63</v>
      </c>
      <c r="Q1195" t="s">
        <v>7</v>
      </c>
      <c r="R1195" t="s">
        <v>6</v>
      </c>
      <c r="S1195">
        <v>4</v>
      </c>
      <c r="T1195">
        <v>4</v>
      </c>
      <c r="U1195">
        <v>114</v>
      </c>
      <c r="V1195" t="s">
        <v>0</v>
      </c>
      <c r="W1195" t="s">
        <v>5</v>
      </c>
      <c r="X1195" t="s">
        <v>0</v>
      </c>
      <c r="Y1195" t="s">
        <v>4</v>
      </c>
      <c r="Z1195" t="s">
        <v>5</v>
      </c>
      <c r="AA1195">
        <v>159.13999999999999</v>
      </c>
      <c r="AB1195">
        <v>0.19</v>
      </c>
      <c r="AC1195">
        <v>0</v>
      </c>
      <c r="AD1195" t="s">
        <v>3</v>
      </c>
      <c r="AE1195" t="s">
        <v>0</v>
      </c>
      <c r="AF1195" t="s">
        <v>3</v>
      </c>
      <c r="AG1195" t="s">
        <v>2</v>
      </c>
      <c r="AI1195" t="s">
        <v>23</v>
      </c>
      <c r="AJ1195">
        <v>5</v>
      </c>
      <c r="AK1195">
        <v>-8</v>
      </c>
      <c r="AL1195">
        <v>0</v>
      </c>
      <c r="AM1195" t="s">
        <v>5</v>
      </c>
      <c r="AN1195">
        <v>1</v>
      </c>
      <c r="AO1195">
        <v>1</v>
      </c>
      <c r="AP1195">
        <v>0</v>
      </c>
      <c r="AQ1195">
        <v>1</v>
      </c>
    </row>
    <row r="1196" spans="1:43" x14ac:dyDescent="0.25">
      <c r="A1196" t="s">
        <v>845</v>
      </c>
      <c r="B1196" t="s">
        <v>678</v>
      </c>
      <c r="C1196" t="s">
        <v>844</v>
      </c>
      <c r="D1196" s="1">
        <v>46011</v>
      </c>
      <c r="E1196" t="s">
        <v>162</v>
      </c>
      <c r="F1196" t="s">
        <v>161</v>
      </c>
      <c r="G1196" t="s">
        <v>56</v>
      </c>
      <c r="H1196" t="s">
        <v>29</v>
      </c>
      <c r="I1196" t="s">
        <v>15</v>
      </c>
      <c r="J1196" t="s">
        <v>14</v>
      </c>
      <c r="K1196" t="s">
        <v>13</v>
      </c>
      <c r="L1196" t="s">
        <v>42</v>
      </c>
      <c r="M1196" t="s">
        <v>11</v>
      </c>
      <c r="N1196" t="s">
        <v>75</v>
      </c>
      <c r="O1196" t="s">
        <v>26</v>
      </c>
      <c r="P1196" t="s">
        <v>63</v>
      </c>
      <c r="Q1196" t="s">
        <v>7</v>
      </c>
      <c r="R1196" t="s">
        <v>6</v>
      </c>
      <c r="S1196">
        <v>4</v>
      </c>
      <c r="T1196">
        <v>4</v>
      </c>
      <c r="U1196">
        <v>107</v>
      </c>
      <c r="V1196" t="s">
        <v>0</v>
      </c>
      <c r="W1196" t="s">
        <v>5</v>
      </c>
      <c r="X1196" t="s">
        <v>5</v>
      </c>
      <c r="Y1196" t="s">
        <v>62</v>
      </c>
      <c r="Z1196" t="s">
        <v>0</v>
      </c>
      <c r="AA1196">
        <v>0</v>
      </c>
      <c r="AB1196">
        <v>0</v>
      </c>
      <c r="AC1196">
        <v>0</v>
      </c>
      <c r="AD1196" t="s">
        <v>3</v>
      </c>
      <c r="AE1196" t="s">
        <v>0</v>
      </c>
      <c r="AF1196" t="s">
        <v>3</v>
      </c>
      <c r="AG1196" t="s">
        <v>2</v>
      </c>
      <c r="AI1196" t="s">
        <v>23</v>
      </c>
      <c r="AJ1196">
        <v>3</v>
      </c>
      <c r="AK1196">
        <v>-14</v>
      </c>
      <c r="AL1196">
        <v>0</v>
      </c>
      <c r="AM1196" t="s">
        <v>5</v>
      </c>
      <c r="AN1196">
        <v>1</v>
      </c>
      <c r="AO1196">
        <v>0</v>
      </c>
      <c r="AP1196">
        <v>1</v>
      </c>
      <c r="AQ1196">
        <v>1</v>
      </c>
    </row>
    <row r="1197" spans="1:43" x14ac:dyDescent="0.25">
      <c r="A1197" t="s">
        <v>843</v>
      </c>
      <c r="B1197" t="s">
        <v>672</v>
      </c>
      <c r="C1197" t="s">
        <v>842</v>
      </c>
      <c r="D1197" s="1">
        <v>46114</v>
      </c>
      <c r="E1197" t="s">
        <v>112</v>
      </c>
      <c r="F1197" t="s">
        <v>461</v>
      </c>
      <c r="G1197" t="s">
        <v>30</v>
      </c>
      <c r="H1197" t="s">
        <v>77</v>
      </c>
      <c r="I1197" t="s">
        <v>28</v>
      </c>
      <c r="J1197" t="s">
        <v>55</v>
      </c>
      <c r="K1197" t="s">
        <v>54</v>
      </c>
      <c r="L1197" t="s">
        <v>12</v>
      </c>
      <c r="M1197" t="s">
        <v>53</v>
      </c>
      <c r="N1197" t="s">
        <v>75</v>
      </c>
      <c r="O1197" t="s">
        <v>130</v>
      </c>
      <c r="P1197" t="s">
        <v>39</v>
      </c>
      <c r="Q1197" t="s">
        <v>7</v>
      </c>
      <c r="R1197" t="s">
        <v>6</v>
      </c>
      <c r="S1197">
        <v>5</v>
      </c>
      <c r="T1197">
        <v>3</v>
      </c>
      <c r="U1197">
        <v>218</v>
      </c>
      <c r="V1197" t="s">
        <v>5</v>
      </c>
      <c r="W1197" t="s">
        <v>135</v>
      </c>
      <c r="X1197" t="s">
        <v>0</v>
      </c>
      <c r="Y1197" t="s">
        <v>4</v>
      </c>
      <c r="Z1197" t="s">
        <v>0</v>
      </c>
      <c r="AA1197">
        <v>0</v>
      </c>
      <c r="AB1197">
        <v>0</v>
      </c>
      <c r="AC1197">
        <v>0</v>
      </c>
      <c r="AD1197" t="s">
        <v>37</v>
      </c>
      <c r="AE1197" t="s">
        <v>5</v>
      </c>
      <c r="AF1197" t="s">
        <v>37</v>
      </c>
      <c r="AG1197" t="s">
        <v>36</v>
      </c>
      <c r="AH1197">
        <v>21</v>
      </c>
      <c r="AI1197" t="s">
        <v>1</v>
      </c>
      <c r="AJ1197">
        <v>3</v>
      </c>
      <c r="AK1197">
        <v>3</v>
      </c>
      <c r="AL1197">
        <v>32</v>
      </c>
      <c r="AM1197" t="s">
        <v>0</v>
      </c>
      <c r="AN1197">
        <v>0</v>
      </c>
      <c r="AO1197">
        <v>0</v>
      </c>
      <c r="AP1197">
        <v>0</v>
      </c>
      <c r="AQ1197">
        <v>0</v>
      </c>
    </row>
    <row r="1198" spans="1:43" x14ac:dyDescent="0.25">
      <c r="A1198" t="s">
        <v>841</v>
      </c>
      <c r="B1198" t="s">
        <v>185</v>
      </c>
      <c r="C1198" t="s">
        <v>840</v>
      </c>
      <c r="D1198" s="1">
        <v>46167</v>
      </c>
      <c r="E1198" t="s">
        <v>45</v>
      </c>
      <c r="F1198" t="s">
        <v>57</v>
      </c>
      <c r="G1198" t="s">
        <v>30</v>
      </c>
      <c r="H1198" t="s">
        <v>43</v>
      </c>
      <c r="I1198" t="s">
        <v>15</v>
      </c>
      <c r="J1198" t="s">
        <v>14</v>
      </c>
      <c r="K1198" t="s">
        <v>13</v>
      </c>
      <c r="L1198" t="s">
        <v>88</v>
      </c>
      <c r="M1198" t="s">
        <v>53</v>
      </c>
      <c r="N1198" t="s">
        <v>10</v>
      </c>
      <c r="O1198" t="s">
        <v>9</v>
      </c>
      <c r="P1198" t="s">
        <v>39</v>
      </c>
      <c r="Q1198" t="s">
        <v>24</v>
      </c>
      <c r="R1198" t="s">
        <v>38</v>
      </c>
      <c r="S1198">
        <v>7</v>
      </c>
      <c r="T1198">
        <v>7</v>
      </c>
      <c r="U1198">
        <v>174</v>
      </c>
      <c r="V1198" t="s">
        <v>0</v>
      </c>
      <c r="W1198" t="s">
        <v>0</v>
      </c>
      <c r="X1198" t="s">
        <v>5</v>
      </c>
      <c r="Y1198" t="s">
        <v>450</v>
      </c>
      <c r="Z1198" t="s">
        <v>0</v>
      </c>
      <c r="AA1198">
        <v>0</v>
      </c>
      <c r="AB1198">
        <v>0</v>
      </c>
      <c r="AC1198">
        <v>0</v>
      </c>
      <c r="AD1198" t="s">
        <v>61</v>
      </c>
      <c r="AE1198" t="s">
        <v>5</v>
      </c>
      <c r="AF1198" t="s">
        <v>61</v>
      </c>
      <c r="AG1198" t="s">
        <v>36</v>
      </c>
      <c r="AH1198">
        <v>28</v>
      </c>
      <c r="AI1198" t="s">
        <v>23</v>
      </c>
      <c r="AJ1198">
        <v>3</v>
      </c>
      <c r="AK1198">
        <v>-21</v>
      </c>
      <c r="AL1198">
        <v>14</v>
      </c>
      <c r="AM1198" t="s">
        <v>0</v>
      </c>
      <c r="AN1198">
        <v>0</v>
      </c>
      <c r="AO1198">
        <v>0</v>
      </c>
      <c r="AP1198">
        <v>1</v>
      </c>
      <c r="AQ1198">
        <v>0</v>
      </c>
    </row>
    <row r="1199" spans="1:43" x14ac:dyDescent="0.25">
      <c r="A1199" t="s">
        <v>839</v>
      </c>
      <c r="B1199" t="s">
        <v>838</v>
      </c>
      <c r="C1199" t="s">
        <v>837</v>
      </c>
      <c r="D1199" s="1">
        <v>46137</v>
      </c>
      <c r="E1199" t="s">
        <v>162</v>
      </c>
      <c r="F1199" t="s">
        <v>200</v>
      </c>
      <c r="G1199" t="s">
        <v>56</v>
      </c>
      <c r="H1199" t="s">
        <v>16</v>
      </c>
      <c r="I1199" t="s">
        <v>28</v>
      </c>
      <c r="J1199" t="s">
        <v>55</v>
      </c>
      <c r="K1199" t="s">
        <v>54</v>
      </c>
      <c r="L1199" t="s">
        <v>12</v>
      </c>
      <c r="M1199" t="s">
        <v>53</v>
      </c>
      <c r="N1199" t="s">
        <v>52</v>
      </c>
      <c r="O1199" t="s">
        <v>9</v>
      </c>
      <c r="P1199" t="s">
        <v>39</v>
      </c>
      <c r="Q1199" t="s">
        <v>172</v>
      </c>
      <c r="R1199" t="s">
        <v>38</v>
      </c>
      <c r="S1199">
        <v>7</v>
      </c>
      <c r="T1199">
        <v>7</v>
      </c>
      <c r="U1199">
        <v>220</v>
      </c>
      <c r="V1199" t="s">
        <v>0</v>
      </c>
      <c r="W1199" t="s">
        <v>5</v>
      </c>
      <c r="X1199" t="s">
        <v>0</v>
      </c>
      <c r="Y1199" t="s">
        <v>4</v>
      </c>
      <c r="Z1199" t="s">
        <v>5</v>
      </c>
      <c r="AA1199">
        <v>0</v>
      </c>
      <c r="AB1199">
        <v>0</v>
      </c>
      <c r="AC1199">
        <v>0.17</v>
      </c>
      <c r="AD1199" t="s">
        <v>3</v>
      </c>
      <c r="AE1199" t="s">
        <v>0</v>
      </c>
      <c r="AF1199" t="s">
        <v>3</v>
      </c>
      <c r="AG1199" t="s">
        <v>2</v>
      </c>
      <c r="AI1199" t="s">
        <v>23</v>
      </c>
      <c r="AJ1199">
        <v>4</v>
      </c>
      <c r="AK1199">
        <v>8</v>
      </c>
      <c r="AL1199">
        <v>35</v>
      </c>
      <c r="AM1199" t="s">
        <v>5</v>
      </c>
      <c r="AN1199">
        <v>1</v>
      </c>
      <c r="AO1199">
        <v>1</v>
      </c>
      <c r="AP1199">
        <v>0</v>
      </c>
      <c r="AQ1199">
        <v>1</v>
      </c>
    </row>
    <row r="1200" spans="1:43" x14ac:dyDescent="0.25">
      <c r="A1200" t="s">
        <v>836</v>
      </c>
      <c r="B1200" t="s">
        <v>835</v>
      </c>
      <c r="C1200" t="s">
        <v>834</v>
      </c>
      <c r="D1200" s="1">
        <v>45757</v>
      </c>
      <c r="E1200" t="s">
        <v>125</v>
      </c>
      <c r="F1200" t="s">
        <v>132</v>
      </c>
      <c r="G1200" t="s">
        <v>83</v>
      </c>
      <c r="H1200" t="s">
        <v>77</v>
      </c>
      <c r="I1200" t="s">
        <v>28</v>
      </c>
      <c r="J1200" t="s">
        <v>55</v>
      </c>
      <c r="K1200" t="s">
        <v>54</v>
      </c>
      <c r="L1200" t="s">
        <v>42</v>
      </c>
      <c r="M1200" t="s">
        <v>53</v>
      </c>
      <c r="N1200" t="s">
        <v>154</v>
      </c>
      <c r="O1200" t="s">
        <v>199</v>
      </c>
      <c r="P1200" t="s">
        <v>39</v>
      </c>
      <c r="Q1200" t="s">
        <v>7</v>
      </c>
      <c r="R1200" t="s">
        <v>6</v>
      </c>
      <c r="S1200">
        <v>5</v>
      </c>
      <c r="T1200">
        <v>5</v>
      </c>
      <c r="U1200">
        <v>160</v>
      </c>
      <c r="V1200" t="s">
        <v>0</v>
      </c>
      <c r="W1200" t="s">
        <v>5</v>
      </c>
      <c r="X1200" t="s">
        <v>5</v>
      </c>
      <c r="Y1200" t="s">
        <v>197</v>
      </c>
      <c r="Z1200" t="s">
        <v>0</v>
      </c>
      <c r="AA1200">
        <v>0</v>
      </c>
      <c r="AB1200">
        <v>0</v>
      </c>
      <c r="AC1200">
        <v>0</v>
      </c>
      <c r="AD1200" t="s">
        <v>3</v>
      </c>
      <c r="AE1200" t="s">
        <v>0</v>
      </c>
      <c r="AF1200" t="s">
        <v>3</v>
      </c>
      <c r="AG1200" t="s">
        <v>2</v>
      </c>
      <c r="AI1200" t="s">
        <v>23</v>
      </c>
      <c r="AJ1200">
        <v>2</v>
      </c>
      <c r="AK1200">
        <v>39</v>
      </c>
      <c r="AL1200">
        <v>29</v>
      </c>
      <c r="AM1200" t="s">
        <v>5</v>
      </c>
      <c r="AN1200">
        <v>1</v>
      </c>
      <c r="AO1200">
        <v>0</v>
      </c>
      <c r="AP1200">
        <v>1</v>
      </c>
      <c r="AQ1200">
        <v>1</v>
      </c>
    </row>
    <row r="1201" spans="1:43" x14ac:dyDescent="0.25">
      <c r="A1201" t="s">
        <v>833</v>
      </c>
      <c r="B1201" t="s">
        <v>832</v>
      </c>
      <c r="C1201" t="s">
        <v>831</v>
      </c>
      <c r="D1201" s="1">
        <v>46022</v>
      </c>
      <c r="E1201" t="s">
        <v>149</v>
      </c>
      <c r="F1201" t="s">
        <v>589</v>
      </c>
      <c r="G1201" t="s">
        <v>30</v>
      </c>
      <c r="H1201" t="s">
        <v>43</v>
      </c>
      <c r="I1201" t="s">
        <v>15</v>
      </c>
      <c r="J1201" t="s">
        <v>146</v>
      </c>
      <c r="K1201" t="s">
        <v>145</v>
      </c>
      <c r="L1201" t="s">
        <v>88</v>
      </c>
      <c r="M1201" t="s">
        <v>53</v>
      </c>
      <c r="N1201" t="s">
        <v>41</v>
      </c>
      <c r="O1201" t="s">
        <v>40</v>
      </c>
      <c r="P1201" t="s">
        <v>8</v>
      </c>
      <c r="Q1201" t="s">
        <v>198</v>
      </c>
      <c r="R1201" t="s">
        <v>38</v>
      </c>
      <c r="S1201">
        <v>8</v>
      </c>
      <c r="T1201">
        <v>8</v>
      </c>
      <c r="U1201">
        <v>171</v>
      </c>
      <c r="V1201" t="s">
        <v>0</v>
      </c>
      <c r="W1201" t="s">
        <v>5</v>
      </c>
      <c r="X1201" t="s">
        <v>0</v>
      </c>
      <c r="Y1201" t="s">
        <v>4</v>
      </c>
      <c r="Z1201" t="s">
        <v>0</v>
      </c>
      <c r="AA1201">
        <v>0</v>
      </c>
      <c r="AB1201">
        <v>0</v>
      </c>
      <c r="AC1201">
        <v>0</v>
      </c>
      <c r="AD1201" t="s">
        <v>227</v>
      </c>
      <c r="AE1201" t="s">
        <v>5</v>
      </c>
      <c r="AF1201" t="s">
        <v>227</v>
      </c>
      <c r="AG1201" t="s">
        <v>36</v>
      </c>
      <c r="AH1201">
        <v>17</v>
      </c>
      <c r="AI1201" t="s">
        <v>23</v>
      </c>
      <c r="AJ1201">
        <v>4</v>
      </c>
      <c r="AK1201">
        <v>43</v>
      </c>
      <c r="AL1201">
        <v>44</v>
      </c>
      <c r="AM1201" t="s">
        <v>5</v>
      </c>
      <c r="AN1201">
        <v>1</v>
      </c>
      <c r="AO1201">
        <v>0</v>
      </c>
      <c r="AP1201">
        <v>0</v>
      </c>
      <c r="AQ1201">
        <v>1</v>
      </c>
    </row>
    <row r="1202" spans="1:43" x14ac:dyDescent="0.25">
      <c r="A1202" t="s">
        <v>830</v>
      </c>
      <c r="B1202" t="s">
        <v>829</v>
      </c>
      <c r="C1202" t="s">
        <v>828</v>
      </c>
      <c r="D1202" s="1">
        <v>45885</v>
      </c>
      <c r="E1202" t="s">
        <v>32</v>
      </c>
      <c r="F1202" t="s">
        <v>382</v>
      </c>
      <c r="G1202" t="s">
        <v>110</v>
      </c>
      <c r="H1202" t="s">
        <v>77</v>
      </c>
      <c r="I1202" t="s">
        <v>15</v>
      </c>
      <c r="J1202" t="s">
        <v>55</v>
      </c>
      <c r="K1202" t="s">
        <v>54</v>
      </c>
      <c r="L1202" t="s">
        <v>117</v>
      </c>
      <c r="M1202" t="s">
        <v>11</v>
      </c>
      <c r="N1202" t="s">
        <v>93</v>
      </c>
      <c r="O1202" t="s">
        <v>101</v>
      </c>
      <c r="P1202" t="s">
        <v>8</v>
      </c>
      <c r="Q1202" t="s">
        <v>24</v>
      </c>
      <c r="R1202" t="s">
        <v>6</v>
      </c>
      <c r="S1202">
        <v>4</v>
      </c>
      <c r="T1202">
        <v>2</v>
      </c>
      <c r="U1202">
        <v>164</v>
      </c>
      <c r="V1202" t="s">
        <v>5</v>
      </c>
      <c r="W1202" t="s">
        <v>5</v>
      </c>
      <c r="X1202" t="s">
        <v>0</v>
      </c>
      <c r="Y1202" t="s">
        <v>4</v>
      </c>
      <c r="Z1202" t="s">
        <v>0</v>
      </c>
      <c r="AA1202">
        <v>0</v>
      </c>
      <c r="AB1202">
        <v>0</v>
      </c>
      <c r="AC1202">
        <v>0</v>
      </c>
      <c r="AD1202" t="s">
        <v>3</v>
      </c>
      <c r="AE1202" t="s">
        <v>0</v>
      </c>
      <c r="AF1202" t="s">
        <v>3</v>
      </c>
      <c r="AG1202" t="s">
        <v>2</v>
      </c>
      <c r="AI1202" t="s">
        <v>23</v>
      </c>
      <c r="AJ1202">
        <v>4</v>
      </c>
      <c r="AK1202">
        <v>4</v>
      </c>
      <c r="AL1202">
        <v>24</v>
      </c>
      <c r="AM1202" t="s">
        <v>0</v>
      </c>
      <c r="AN1202">
        <v>1</v>
      </c>
      <c r="AO1202">
        <v>0</v>
      </c>
      <c r="AP1202">
        <v>0</v>
      </c>
      <c r="AQ1202">
        <v>0</v>
      </c>
    </row>
    <row r="1203" spans="1:43" x14ac:dyDescent="0.25">
      <c r="A1203" t="s">
        <v>827</v>
      </c>
      <c r="B1203" t="s">
        <v>826</v>
      </c>
      <c r="C1203" t="s">
        <v>825</v>
      </c>
      <c r="D1203" s="1">
        <v>46130</v>
      </c>
      <c r="E1203" t="s">
        <v>68</v>
      </c>
      <c r="F1203" t="s">
        <v>216</v>
      </c>
      <c r="G1203" t="s">
        <v>123</v>
      </c>
      <c r="H1203" t="s">
        <v>77</v>
      </c>
      <c r="I1203" t="s">
        <v>28</v>
      </c>
      <c r="J1203" t="s">
        <v>55</v>
      </c>
      <c r="K1203" t="s">
        <v>54</v>
      </c>
      <c r="L1203" t="s">
        <v>42</v>
      </c>
      <c r="M1203" t="s">
        <v>53</v>
      </c>
      <c r="N1203" t="s">
        <v>154</v>
      </c>
      <c r="O1203" t="s">
        <v>26</v>
      </c>
      <c r="P1203" t="s">
        <v>25</v>
      </c>
      <c r="Q1203" t="s">
        <v>198</v>
      </c>
      <c r="R1203" t="s">
        <v>38</v>
      </c>
      <c r="S1203">
        <v>4</v>
      </c>
      <c r="T1203">
        <v>4</v>
      </c>
      <c r="U1203">
        <v>86</v>
      </c>
      <c r="V1203" t="s">
        <v>0</v>
      </c>
      <c r="W1203" t="s">
        <v>0</v>
      </c>
      <c r="X1203" t="s">
        <v>0</v>
      </c>
      <c r="Y1203" t="s">
        <v>4</v>
      </c>
      <c r="Z1203" t="s">
        <v>5</v>
      </c>
      <c r="AA1203">
        <v>86.88</v>
      </c>
      <c r="AB1203">
        <v>0.2</v>
      </c>
      <c r="AC1203">
        <v>0.17</v>
      </c>
      <c r="AD1203" t="s">
        <v>3</v>
      </c>
      <c r="AE1203" t="s">
        <v>0</v>
      </c>
      <c r="AF1203" t="s">
        <v>3</v>
      </c>
      <c r="AG1203" t="s">
        <v>2</v>
      </c>
      <c r="AI1203" t="s">
        <v>23</v>
      </c>
      <c r="AJ1203">
        <v>4</v>
      </c>
      <c r="AK1203">
        <v>41</v>
      </c>
      <c r="AL1203">
        <v>40</v>
      </c>
      <c r="AM1203" t="s">
        <v>5</v>
      </c>
      <c r="AN1203">
        <v>0</v>
      </c>
      <c r="AO1203">
        <v>1</v>
      </c>
      <c r="AP1203">
        <v>0</v>
      </c>
      <c r="AQ1203">
        <v>1</v>
      </c>
    </row>
    <row r="1204" spans="1:43" x14ac:dyDescent="0.25">
      <c r="A1204" t="s">
        <v>824</v>
      </c>
      <c r="B1204" t="s">
        <v>823</v>
      </c>
      <c r="C1204" t="s">
        <v>822</v>
      </c>
      <c r="D1204" s="1">
        <v>45888</v>
      </c>
      <c r="E1204" t="s">
        <v>68</v>
      </c>
      <c r="F1204" t="s">
        <v>278</v>
      </c>
      <c r="G1204" t="s">
        <v>56</v>
      </c>
      <c r="H1204" t="s">
        <v>66</v>
      </c>
      <c r="I1204" t="s">
        <v>28</v>
      </c>
      <c r="J1204" t="s">
        <v>14</v>
      </c>
      <c r="K1204" t="s">
        <v>13</v>
      </c>
      <c r="L1204" t="s">
        <v>12</v>
      </c>
      <c r="M1204" t="s">
        <v>247</v>
      </c>
      <c r="N1204" t="s">
        <v>52</v>
      </c>
      <c r="O1204" t="s">
        <v>193</v>
      </c>
      <c r="P1204" t="s">
        <v>39</v>
      </c>
      <c r="Q1204" t="s">
        <v>100</v>
      </c>
      <c r="R1204" t="s">
        <v>6</v>
      </c>
      <c r="S1204">
        <v>9</v>
      </c>
      <c r="T1204">
        <v>9</v>
      </c>
      <c r="U1204">
        <v>263</v>
      </c>
      <c r="V1204" t="s">
        <v>0</v>
      </c>
      <c r="W1204" t="s">
        <v>5</v>
      </c>
      <c r="X1204" t="s">
        <v>5</v>
      </c>
      <c r="Y1204" t="s">
        <v>475</v>
      </c>
      <c r="Z1204" t="s">
        <v>0</v>
      </c>
      <c r="AA1204">
        <v>0</v>
      </c>
      <c r="AB1204">
        <v>0</v>
      </c>
      <c r="AC1204">
        <v>0</v>
      </c>
      <c r="AD1204" t="s">
        <v>3</v>
      </c>
      <c r="AE1204" t="s">
        <v>0</v>
      </c>
      <c r="AF1204" t="s">
        <v>3</v>
      </c>
      <c r="AG1204" t="s">
        <v>2</v>
      </c>
      <c r="AI1204" t="s">
        <v>23</v>
      </c>
      <c r="AJ1204">
        <v>1</v>
      </c>
      <c r="AK1204">
        <v>-13</v>
      </c>
      <c r="AL1204">
        <v>65</v>
      </c>
      <c r="AM1204" t="s">
        <v>5</v>
      </c>
      <c r="AN1204">
        <v>1</v>
      </c>
      <c r="AO1204">
        <v>0</v>
      </c>
      <c r="AP1204">
        <v>1</v>
      </c>
      <c r="AQ1204">
        <v>1</v>
      </c>
    </row>
    <row r="1205" spans="1:43" x14ac:dyDescent="0.25">
      <c r="A1205" t="s">
        <v>821</v>
      </c>
      <c r="B1205" t="s">
        <v>820</v>
      </c>
      <c r="C1205" t="s">
        <v>819</v>
      </c>
      <c r="D1205" s="1">
        <v>46107</v>
      </c>
      <c r="E1205" t="s">
        <v>125</v>
      </c>
      <c r="F1205" t="s">
        <v>132</v>
      </c>
      <c r="G1205" t="s">
        <v>30</v>
      </c>
      <c r="H1205" t="s">
        <v>29</v>
      </c>
      <c r="I1205" t="s">
        <v>15</v>
      </c>
      <c r="J1205" t="s">
        <v>55</v>
      </c>
      <c r="K1205" t="s">
        <v>54</v>
      </c>
      <c r="L1205" t="s">
        <v>12</v>
      </c>
      <c r="M1205" t="s">
        <v>53</v>
      </c>
      <c r="N1205" t="s">
        <v>75</v>
      </c>
      <c r="O1205" t="s">
        <v>130</v>
      </c>
      <c r="P1205" t="s">
        <v>25</v>
      </c>
      <c r="Q1205" t="s">
        <v>7</v>
      </c>
      <c r="R1205" t="s">
        <v>6</v>
      </c>
      <c r="S1205">
        <v>5</v>
      </c>
      <c r="T1205">
        <v>5</v>
      </c>
      <c r="U1205">
        <v>102</v>
      </c>
      <c r="V1205" t="s">
        <v>0</v>
      </c>
      <c r="W1205" t="s">
        <v>5</v>
      </c>
      <c r="X1205" t="s">
        <v>0</v>
      </c>
      <c r="Y1205" t="s">
        <v>4</v>
      </c>
      <c r="Z1205" t="s">
        <v>5</v>
      </c>
      <c r="AA1205">
        <v>125.8</v>
      </c>
      <c r="AB1205">
        <v>0</v>
      </c>
      <c r="AC1205">
        <v>0.17</v>
      </c>
      <c r="AD1205" t="s">
        <v>3</v>
      </c>
      <c r="AE1205" t="s">
        <v>0</v>
      </c>
      <c r="AF1205" t="s">
        <v>3</v>
      </c>
      <c r="AG1205" t="s">
        <v>2</v>
      </c>
      <c r="AI1205" t="s">
        <v>23</v>
      </c>
      <c r="AJ1205">
        <v>5</v>
      </c>
      <c r="AK1205">
        <v>-52</v>
      </c>
      <c r="AL1205">
        <v>31</v>
      </c>
      <c r="AM1205" t="s">
        <v>5</v>
      </c>
      <c r="AN1205">
        <v>1</v>
      </c>
      <c r="AO1205">
        <v>1</v>
      </c>
      <c r="AP1205">
        <v>0</v>
      </c>
      <c r="AQ1205">
        <v>1</v>
      </c>
    </row>
    <row r="1206" spans="1:43" x14ac:dyDescent="0.25">
      <c r="A1206" t="s">
        <v>818</v>
      </c>
      <c r="B1206" t="s">
        <v>817</v>
      </c>
      <c r="C1206" t="s">
        <v>816</v>
      </c>
      <c r="D1206" s="1">
        <v>46007</v>
      </c>
      <c r="E1206" t="s">
        <v>149</v>
      </c>
      <c r="F1206" t="s">
        <v>148</v>
      </c>
      <c r="G1206" t="s">
        <v>56</v>
      </c>
      <c r="H1206" t="s">
        <v>77</v>
      </c>
      <c r="I1206" t="s">
        <v>28</v>
      </c>
      <c r="J1206" t="s">
        <v>55</v>
      </c>
      <c r="K1206" t="s">
        <v>54</v>
      </c>
      <c r="L1206" t="s">
        <v>88</v>
      </c>
      <c r="M1206" t="s">
        <v>11</v>
      </c>
      <c r="N1206" t="s">
        <v>75</v>
      </c>
      <c r="O1206" t="s">
        <v>199</v>
      </c>
      <c r="P1206" t="s">
        <v>8</v>
      </c>
      <c r="Q1206" t="s">
        <v>7</v>
      </c>
      <c r="R1206" t="s">
        <v>6</v>
      </c>
      <c r="S1206">
        <v>5</v>
      </c>
      <c r="T1206" t="s">
        <v>277</v>
      </c>
      <c r="U1206">
        <v>97</v>
      </c>
      <c r="V1206" t="s">
        <v>0</v>
      </c>
      <c r="W1206" t="s">
        <v>5</v>
      </c>
      <c r="X1206" t="s">
        <v>0</v>
      </c>
      <c r="Y1206" t="s">
        <v>4</v>
      </c>
      <c r="Z1206" t="s">
        <v>5</v>
      </c>
      <c r="AA1206">
        <v>116.05</v>
      </c>
      <c r="AB1206">
        <v>0</v>
      </c>
      <c r="AC1206">
        <v>0</v>
      </c>
      <c r="AD1206" t="s">
        <v>3</v>
      </c>
      <c r="AE1206" t="s">
        <v>0</v>
      </c>
      <c r="AF1206" t="s">
        <v>3</v>
      </c>
      <c r="AG1206" t="s">
        <v>2</v>
      </c>
      <c r="AI1206" t="s">
        <v>23</v>
      </c>
      <c r="AJ1206">
        <v>4</v>
      </c>
      <c r="AK1206">
        <v>63</v>
      </c>
      <c r="AL1206">
        <v>40</v>
      </c>
      <c r="AM1206" t="s">
        <v>5</v>
      </c>
      <c r="AN1206">
        <v>1</v>
      </c>
      <c r="AO1206">
        <v>1</v>
      </c>
      <c r="AP1206">
        <v>0</v>
      </c>
      <c r="AQ1206">
        <v>1</v>
      </c>
    </row>
    <row r="1207" spans="1:43" x14ac:dyDescent="0.25">
      <c r="A1207" t="s">
        <v>815</v>
      </c>
      <c r="B1207" t="s">
        <v>729</v>
      </c>
      <c r="C1207" t="s">
        <v>814</v>
      </c>
      <c r="D1207" s="1">
        <v>45807</v>
      </c>
      <c r="E1207" t="s">
        <v>156</v>
      </c>
      <c r="F1207" t="s">
        <v>238</v>
      </c>
      <c r="G1207" t="s">
        <v>83</v>
      </c>
      <c r="H1207" t="s">
        <v>77</v>
      </c>
      <c r="I1207" t="s">
        <v>28</v>
      </c>
      <c r="J1207" t="s">
        <v>14</v>
      </c>
      <c r="K1207" t="s">
        <v>76</v>
      </c>
      <c r="L1207" t="s">
        <v>117</v>
      </c>
      <c r="M1207" t="s">
        <v>11</v>
      </c>
      <c r="N1207" t="s">
        <v>154</v>
      </c>
      <c r="O1207" t="s">
        <v>130</v>
      </c>
      <c r="P1207" t="s">
        <v>39</v>
      </c>
      <c r="Q1207" t="s">
        <v>7</v>
      </c>
      <c r="R1207" t="s">
        <v>6</v>
      </c>
      <c r="S1207">
        <v>5</v>
      </c>
      <c r="T1207">
        <v>5</v>
      </c>
      <c r="U1207">
        <v>97</v>
      </c>
      <c r="V1207" t="s">
        <v>0</v>
      </c>
      <c r="W1207" t="s">
        <v>0</v>
      </c>
      <c r="X1207" t="s">
        <v>0</v>
      </c>
      <c r="Y1207" t="s">
        <v>4</v>
      </c>
      <c r="Z1207" t="s">
        <v>5</v>
      </c>
      <c r="AA1207">
        <v>105.45</v>
      </c>
      <c r="AB1207">
        <v>0</v>
      </c>
      <c r="AC1207">
        <v>0</v>
      </c>
      <c r="AD1207" t="s">
        <v>3</v>
      </c>
      <c r="AE1207" t="s">
        <v>0</v>
      </c>
      <c r="AF1207" t="s">
        <v>3</v>
      </c>
      <c r="AG1207" t="s">
        <v>2</v>
      </c>
      <c r="AI1207" t="s">
        <v>23</v>
      </c>
      <c r="AJ1207">
        <v>4</v>
      </c>
      <c r="AK1207">
        <v>9</v>
      </c>
      <c r="AL1207">
        <v>33</v>
      </c>
      <c r="AM1207" t="s">
        <v>5</v>
      </c>
      <c r="AN1207">
        <v>0</v>
      </c>
      <c r="AO1207">
        <v>1</v>
      </c>
      <c r="AP1207">
        <v>0</v>
      </c>
      <c r="AQ1207">
        <v>1</v>
      </c>
    </row>
    <row r="1208" spans="1:43" x14ac:dyDescent="0.25">
      <c r="A1208" t="s">
        <v>813</v>
      </c>
      <c r="B1208" t="s">
        <v>812</v>
      </c>
      <c r="C1208" t="s">
        <v>811</v>
      </c>
      <c r="D1208" s="1">
        <v>46051</v>
      </c>
      <c r="E1208" t="s">
        <v>68</v>
      </c>
      <c r="F1208" t="s">
        <v>216</v>
      </c>
      <c r="G1208" t="s">
        <v>17</v>
      </c>
      <c r="H1208" t="s">
        <v>66</v>
      </c>
      <c r="I1208" t="s">
        <v>28</v>
      </c>
      <c r="J1208" t="s">
        <v>14</v>
      </c>
      <c r="K1208" t="s">
        <v>13</v>
      </c>
      <c r="L1208" t="s">
        <v>42</v>
      </c>
      <c r="M1208" t="s">
        <v>53</v>
      </c>
      <c r="N1208" t="s">
        <v>41</v>
      </c>
      <c r="O1208" t="s">
        <v>101</v>
      </c>
      <c r="P1208" t="s">
        <v>8</v>
      </c>
      <c r="Q1208" t="s">
        <v>7</v>
      </c>
      <c r="R1208" t="s">
        <v>6</v>
      </c>
      <c r="S1208">
        <v>4</v>
      </c>
      <c r="T1208">
        <v>3</v>
      </c>
      <c r="U1208">
        <v>152</v>
      </c>
      <c r="V1208" t="s">
        <v>5</v>
      </c>
      <c r="W1208" t="s">
        <v>5</v>
      </c>
      <c r="X1208" t="s">
        <v>0</v>
      </c>
      <c r="Y1208" t="s">
        <v>4</v>
      </c>
      <c r="Z1208" t="s">
        <v>5</v>
      </c>
      <c r="AA1208">
        <v>121.02</v>
      </c>
      <c r="AB1208">
        <v>0.45</v>
      </c>
      <c r="AC1208">
        <v>0.17</v>
      </c>
      <c r="AD1208" t="s">
        <v>3</v>
      </c>
      <c r="AE1208" t="s">
        <v>0</v>
      </c>
      <c r="AF1208" t="s">
        <v>3</v>
      </c>
      <c r="AG1208" t="s">
        <v>2</v>
      </c>
      <c r="AI1208" t="s">
        <v>23</v>
      </c>
      <c r="AJ1208">
        <v>3</v>
      </c>
      <c r="AK1208">
        <v>23</v>
      </c>
      <c r="AL1208">
        <v>4</v>
      </c>
      <c r="AM1208" t="s">
        <v>5</v>
      </c>
      <c r="AN1208">
        <v>1</v>
      </c>
      <c r="AO1208">
        <v>1</v>
      </c>
      <c r="AP1208">
        <v>0</v>
      </c>
      <c r="AQ1208">
        <v>1</v>
      </c>
    </row>
    <row r="1209" spans="1:43" x14ac:dyDescent="0.25">
      <c r="A1209" t="s">
        <v>810</v>
      </c>
      <c r="B1209" t="s">
        <v>809</v>
      </c>
      <c r="C1209" t="s">
        <v>808</v>
      </c>
      <c r="D1209" s="1">
        <v>46086</v>
      </c>
      <c r="E1209" t="s">
        <v>156</v>
      </c>
      <c r="F1209" t="s">
        <v>238</v>
      </c>
      <c r="G1209" t="s">
        <v>17</v>
      </c>
      <c r="H1209" t="s">
        <v>29</v>
      </c>
      <c r="I1209" t="s">
        <v>28</v>
      </c>
      <c r="J1209" t="s">
        <v>14</v>
      </c>
      <c r="K1209" t="s">
        <v>13</v>
      </c>
      <c r="L1209" t="s">
        <v>117</v>
      </c>
      <c r="M1209" t="s">
        <v>53</v>
      </c>
      <c r="N1209" t="s">
        <v>52</v>
      </c>
      <c r="O1209" t="s">
        <v>51</v>
      </c>
      <c r="P1209" t="s">
        <v>39</v>
      </c>
      <c r="Q1209" t="s">
        <v>24</v>
      </c>
      <c r="R1209" t="s">
        <v>38</v>
      </c>
      <c r="S1209">
        <v>6</v>
      </c>
      <c r="T1209">
        <v>6</v>
      </c>
      <c r="U1209">
        <v>171</v>
      </c>
      <c r="V1209" t="s">
        <v>0</v>
      </c>
      <c r="W1209" t="s">
        <v>5</v>
      </c>
      <c r="X1209" t="s">
        <v>0</v>
      </c>
      <c r="Y1209" t="s">
        <v>4</v>
      </c>
      <c r="Z1209" t="s">
        <v>5</v>
      </c>
      <c r="AA1209">
        <v>0.51</v>
      </c>
      <c r="AB1209">
        <v>0.11</v>
      </c>
      <c r="AC1209">
        <v>0.17</v>
      </c>
      <c r="AD1209" t="s">
        <v>3</v>
      </c>
      <c r="AE1209" t="s">
        <v>0</v>
      </c>
      <c r="AF1209" t="s">
        <v>3</v>
      </c>
      <c r="AG1209" t="s">
        <v>2</v>
      </c>
      <c r="AI1209" t="s">
        <v>23</v>
      </c>
      <c r="AJ1209">
        <v>5</v>
      </c>
      <c r="AK1209">
        <v>23</v>
      </c>
      <c r="AL1209" t="s">
        <v>807</v>
      </c>
      <c r="AM1209" t="s">
        <v>5</v>
      </c>
      <c r="AN1209">
        <v>1</v>
      </c>
      <c r="AO1209">
        <v>1</v>
      </c>
      <c r="AP1209">
        <v>0</v>
      </c>
      <c r="AQ1209">
        <v>1</v>
      </c>
    </row>
    <row r="1210" spans="1:43" x14ac:dyDescent="0.25">
      <c r="A1210" t="s">
        <v>806</v>
      </c>
      <c r="B1210" t="s">
        <v>805</v>
      </c>
      <c r="C1210" t="s">
        <v>804</v>
      </c>
      <c r="D1210" s="1">
        <v>45944</v>
      </c>
      <c r="E1210" t="s">
        <v>68</v>
      </c>
      <c r="F1210" t="s">
        <v>216</v>
      </c>
      <c r="G1210" t="s">
        <v>17</v>
      </c>
      <c r="H1210" t="s">
        <v>77</v>
      </c>
      <c r="I1210" t="s">
        <v>28</v>
      </c>
      <c r="J1210" t="s">
        <v>14</v>
      </c>
      <c r="K1210" t="s">
        <v>13</v>
      </c>
      <c r="L1210" t="s">
        <v>42</v>
      </c>
      <c r="M1210" t="s">
        <v>11</v>
      </c>
      <c r="N1210" t="s">
        <v>93</v>
      </c>
      <c r="O1210" t="s">
        <v>101</v>
      </c>
      <c r="P1210" t="s">
        <v>39</v>
      </c>
      <c r="Q1210" t="s">
        <v>100</v>
      </c>
      <c r="R1210" t="s">
        <v>6</v>
      </c>
      <c r="S1210">
        <v>4</v>
      </c>
      <c r="T1210">
        <v>4</v>
      </c>
      <c r="U1210">
        <v>74</v>
      </c>
      <c r="V1210" t="s">
        <v>0</v>
      </c>
      <c r="W1210" t="s">
        <v>5</v>
      </c>
      <c r="X1210" t="s">
        <v>0</v>
      </c>
      <c r="Y1210" t="s">
        <v>4</v>
      </c>
      <c r="Z1210" t="s">
        <v>5</v>
      </c>
      <c r="AA1210">
        <v>84.18</v>
      </c>
      <c r="AB1210">
        <v>0.44</v>
      </c>
      <c r="AC1210">
        <v>0</v>
      </c>
      <c r="AD1210" t="s">
        <v>3</v>
      </c>
      <c r="AE1210" t="s">
        <v>0</v>
      </c>
      <c r="AF1210" t="s">
        <v>3</v>
      </c>
      <c r="AG1210" t="s">
        <v>2</v>
      </c>
      <c r="AI1210" t="s">
        <v>23</v>
      </c>
      <c r="AJ1210">
        <v>4</v>
      </c>
      <c r="AK1210">
        <v>36</v>
      </c>
      <c r="AL1210">
        <v>38</v>
      </c>
      <c r="AM1210" t="s">
        <v>0</v>
      </c>
      <c r="AN1210">
        <v>1</v>
      </c>
      <c r="AO1210">
        <v>1</v>
      </c>
      <c r="AP1210">
        <v>0</v>
      </c>
      <c r="AQ1210">
        <v>0</v>
      </c>
    </row>
    <row r="1211" spans="1:43" x14ac:dyDescent="0.25">
      <c r="A1211" t="s">
        <v>803</v>
      </c>
      <c r="B1211" t="s">
        <v>802</v>
      </c>
      <c r="C1211" t="s">
        <v>801</v>
      </c>
      <c r="D1211" s="1">
        <v>45701</v>
      </c>
      <c r="E1211" t="s">
        <v>149</v>
      </c>
      <c r="F1211" t="s">
        <v>148</v>
      </c>
      <c r="G1211" t="s">
        <v>17</v>
      </c>
      <c r="H1211" t="s">
        <v>77</v>
      </c>
      <c r="I1211" t="s">
        <v>28</v>
      </c>
      <c r="J1211" t="s">
        <v>55</v>
      </c>
      <c r="K1211" t="s">
        <v>54</v>
      </c>
      <c r="L1211" t="s">
        <v>42</v>
      </c>
      <c r="M1211" t="s">
        <v>27</v>
      </c>
      <c r="N1211" t="s">
        <v>116</v>
      </c>
      <c r="O1211" t="s">
        <v>101</v>
      </c>
      <c r="P1211" t="s">
        <v>63</v>
      </c>
      <c r="Q1211" t="s">
        <v>24</v>
      </c>
      <c r="R1211" t="s">
        <v>6</v>
      </c>
      <c r="S1211">
        <v>4</v>
      </c>
      <c r="T1211">
        <v>4</v>
      </c>
      <c r="U1211">
        <v>115</v>
      </c>
      <c r="V1211" t="s">
        <v>0</v>
      </c>
      <c r="W1211" t="s">
        <v>5</v>
      </c>
      <c r="X1211" t="s">
        <v>0</v>
      </c>
      <c r="Y1211" t="s">
        <v>4</v>
      </c>
      <c r="Z1211" t="s">
        <v>5</v>
      </c>
      <c r="AA1211">
        <v>151.69999999999999</v>
      </c>
      <c r="AB1211">
        <v>0.52</v>
      </c>
      <c r="AC1211">
        <v>0.37</v>
      </c>
      <c r="AD1211" t="s">
        <v>3</v>
      </c>
      <c r="AE1211" t="s">
        <v>0</v>
      </c>
      <c r="AF1211" t="s">
        <v>3</v>
      </c>
      <c r="AG1211" t="s">
        <v>2</v>
      </c>
      <c r="AI1211" t="s">
        <v>23</v>
      </c>
      <c r="AJ1211">
        <v>4</v>
      </c>
      <c r="AK1211">
        <v>61</v>
      </c>
      <c r="AL1211">
        <v>0</v>
      </c>
      <c r="AM1211" t="s">
        <v>5</v>
      </c>
      <c r="AN1211">
        <v>1</v>
      </c>
      <c r="AO1211">
        <v>1</v>
      </c>
      <c r="AP1211">
        <v>0</v>
      </c>
      <c r="AQ1211">
        <v>1</v>
      </c>
    </row>
    <row r="1212" spans="1:43" x14ac:dyDescent="0.25">
      <c r="A1212" t="s">
        <v>800</v>
      </c>
      <c r="B1212" t="s">
        <v>799</v>
      </c>
      <c r="C1212" t="s">
        <v>798</v>
      </c>
      <c r="D1212" s="1">
        <v>45773</v>
      </c>
      <c r="E1212" t="s">
        <v>162</v>
      </c>
      <c r="F1212" t="s">
        <v>161</v>
      </c>
      <c r="G1212" t="s">
        <v>17</v>
      </c>
      <c r="H1212" t="s">
        <v>16</v>
      </c>
      <c r="I1212" t="s">
        <v>28</v>
      </c>
      <c r="J1212" t="s">
        <v>55</v>
      </c>
      <c r="K1212" t="s">
        <v>54</v>
      </c>
      <c r="L1212" t="s">
        <v>117</v>
      </c>
      <c r="M1212" t="s">
        <v>11</v>
      </c>
      <c r="N1212" t="s">
        <v>93</v>
      </c>
      <c r="O1212" t="s">
        <v>26</v>
      </c>
      <c r="P1212" t="s">
        <v>8</v>
      </c>
      <c r="Q1212" t="s">
        <v>7</v>
      </c>
      <c r="R1212" t="s">
        <v>6</v>
      </c>
      <c r="S1212">
        <v>4</v>
      </c>
      <c r="T1212" t="s">
        <v>527</v>
      </c>
      <c r="U1212">
        <v>93</v>
      </c>
      <c r="V1212" t="s">
        <v>0</v>
      </c>
      <c r="W1212" t="s">
        <v>5</v>
      </c>
      <c r="X1212" t="s">
        <v>0</v>
      </c>
      <c r="Y1212" t="s">
        <v>4</v>
      </c>
      <c r="Z1212" t="s">
        <v>5</v>
      </c>
      <c r="AA1212">
        <v>199.68</v>
      </c>
      <c r="AB1212">
        <v>0.18</v>
      </c>
      <c r="AC1212">
        <v>0</v>
      </c>
      <c r="AD1212" t="s">
        <v>3</v>
      </c>
      <c r="AE1212" t="s">
        <v>0</v>
      </c>
      <c r="AF1212" t="s">
        <v>3</v>
      </c>
      <c r="AG1212" t="s">
        <v>2</v>
      </c>
      <c r="AI1212" t="s">
        <v>23</v>
      </c>
      <c r="AJ1212">
        <v>5</v>
      </c>
      <c r="AK1212">
        <v>-2</v>
      </c>
      <c r="AL1212">
        <v>46</v>
      </c>
      <c r="AM1212" t="s">
        <v>5</v>
      </c>
      <c r="AN1212">
        <v>1</v>
      </c>
      <c r="AO1212">
        <v>1</v>
      </c>
      <c r="AP1212">
        <v>0</v>
      </c>
      <c r="AQ1212">
        <v>1</v>
      </c>
    </row>
    <row r="1213" spans="1:43" x14ac:dyDescent="0.25">
      <c r="A1213" t="s">
        <v>797</v>
      </c>
      <c r="B1213" t="s">
        <v>796</v>
      </c>
      <c r="C1213" t="s">
        <v>795</v>
      </c>
      <c r="D1213" s="1">
        <v>45799</v>
      </c>
      <c r="E1213" t="s">
        <v>112</v>
      </c>
      <c r="F1213" t="s">
        <v>111</v>
      </c>
      <c r="G1213" t="s">
        <v>83</v>
      </c>
      <c r="H1213" t="s">
        <v>43</v>
      </c>
      <c r="I1213" t="s">
        <v>15</v>
      </c>
      <c r="J1213" t="s">
        <v>14</v>
      </c>
      <c r="K1213" t="s">
        <v>13</v>
      </c>
      <c r="L1213" t="s">
        <v>12</v>
      </c>
      <c r="M1213" t="s">
        <v>11</v>
      </c>
      <c r="N1213" t="s">
        <v>52</v>
      </c>
      <c r="O1213" t="s">
        <v>74</v>
      </c>
      <c r="P1213" t="s">
        <v>8</v>
      </c>
      <c r="Q1213" t="s">
        <v>24</v>
      </c>
      <c r="R1213" t="s">
        <v>6</v>
      </c>
      <c r="S1213">
        <v>6</v>
      </c>
      <c r="T1213">
        <v>6</v>
      </c>
      <c r="U1213">
        <v>0</v>
      </c>
      <c r="V1213" t="s">
        <v>0</v>
      </c>
      <c r="W1213" t="s">
        <v>5</v>
      </c>
      <c r="X1213" t="s">
        <v>0</v>
      </c>
      <c r="Y1213" t="s">
        <v>4</v>
      </c>
      <c r="Z1213" t="s">
        <v>5</v>
      </c>
      <c r="AA1213">
        <v>1.01</v>
      </c>
      <c r="AB1213">
        <v>0</v>
      </c>
      <c r="AC1213">
        <v>0</v>
      </c>
      <c r="AD1213" t="s">
        <v>3</v>
      </c>
      <c r="AE1213" t="s">
        <v>0</v>
      </c>
      <c r="AF1213" t="s">
        <v>3</v>
      </c>
      <c r="AG1213" t="s">
        <v>2</v>
      </c>
      <c r="AI1213" t="s">
        <v>23</v>
      </c>
      <c r="AJ1213">
        <v>4</v>
      </c>
      <c r="AK1213">
        <v>-23</v>
      </c>
      <c r="AL1213">
        <v>28</v>
      </c>
      <c r="AM1213" t="s">
        <v>0</v>
      </c>
      <c r="AN1213">
        <v>1</v>
      </c>
      <c r="AO1213">
        <v>1</v>
      </c>
      <c r="AP1213">
        <v>0</v>
      </c>
      <c r="AQ1213">
        <v>0</v>
      </c>
    </row>
    <row r="1214" spans="1:43" x14ac:dyDescent="0.25">
      <c r="A1214" t="s">
        <v>794</v>
      </c>
      <c r="B1214" t="s">
        <v>477</v>
      </c>
      <c r="C1214" t="s">
        <v>793</v>
      </c>
      <c r="D1214" s="1">
        <v>45827</v>
      </c>
      <c r="E1214" t="s">
        <v>125</v>
      </c>
      <c r="F1214" t="s">
        <v>140</v>
      </c>
      <c r="G1214" t="s">
        <v>17</v>
      </c>
      <c r="H1214" t="s">
        <v>77</v>
      </c>
      <c r="I1214" t="s">
        <v>15</v>
      </c>
      <c r="J1214" t="s">
        <v>55</v>
      </c>
      <c r="K1214" t="s">
        <v>54</v>
      </c>
      <c r="L1214" t="s">
        <v>42</v>
      </c>
      <c r="M1214" t="s">
        <v>53</v>
      </c>
      <c r="N1214" t="s">
        <v>10</v>
      </c>
      <c r="O1214" t="s">
        <v>74</v>
      </c>
      <c r="P1214" t="s">
        <v>39</v>
      </c>
      <c r="Q1214" t="s">
        <v>198</v>
      </c>
      <c r="R1214" t="s">
        <v>38</v>
      </c>
      <c r="S1214">
        <v>6</v>
      </c>
      <c r="T1214">
        <v>6</v>
      </c>
      <c r="U1214">
        <v>109</v>
      </c>
      <c r="V1214" t="s">
        <v>0</v>
      </c>
      <c r="W1214" t="s">
        <v>5</v>
      </c>
      <c r="X1214" t="s">
        <v>0</v>
      </c>
      <c r="Y1214" t="s">
        <v>4</v>
      </c>
      <c r="Z1214" t="s">
        <v>5</v>
      </c>
      <c r="AA1214">
        <v>0</v>
      </c>
      <c r="AB1214">
        <v>0</v>
      </c>
      <c r="AC1214">
        <v>0.17</v>
      </c>
      <c r="AD1214" t="s">
        <v>3</v>
      </c>
      <c r="AE1214" t="s">
        <v>0</v>
      </c>
      <c r="AF1214" t="s">
        <v>3</v>
      </c>
      <c r="AG1214" t="s">
        <v>2</v>
      </c>
      <c r="AI1214" t="s">
        <v>23</v>
      </c>
      <c r="AJ1214">
        <v>5</v>
      </c>
      <c r="AK1214">
        <v>66</v>
      </c>
      <c r="AL1214">
        <v>40</v>
      </c>
      <c r="AM1214" t="s">
        <v>5</v>
      </c>
      <c r="AN1214">
        <v>1</v>
      </c>
      <c r="AO1214">
        <v>1</v>
      </c>
      <c r="AP1214">
        <v>0</v>
      </c>
      <c r="AQ1214">
        <v>1</v>
      </c>
    </row>
    <row r="1215" spans="1:43" x14ac:dyDescent="0.25">
      <c r="A1215" t="s">
        <v>792</v>
      </c>
      <c r="B1215" t="s">
        <v>452</v>
      </c>
      <c r="C1215" t="s">
        <v>791</v>
      </c>
      <c r="D1215" s="1">
        <v>46166</v>
      </c>
      <c r="E1215" t="s">
        <v>68</v>
      </c>
      <c r="F1215" t="s">
        <v>278</v>
      </c>
      <c r="G1215" t="s">
        <v>17</v>
      </c>
      <c r="H1215" t="s">
        <v>66</v>
      </c>
      <c r="I1215" t="s">
        <v>28</v>
      </c>
      <c r="J1215" t="s">
        <v>55</v>
      </c>
      <c r="K1215" t="s">
        <v>54</v>
      </c>
      <c r="L1215" t="s">
        <v>64</v>
      </c>
      <c r="M1215" t="s">
        <v>11</v>
      </c>
      <c r="N1215" t="s">
        <v>52</v>
      </c>
      <c r="O1215" t="s">
        <v>199</v>
      </c>
      <c r="P1215" t="s">
        <v>39</v>
      </c>
      <c r="Q1215" t="s">
        <v>7</v>
      </c>
      <c r="R1215" t="s">
        <v>6</v>
      </c>
      <c r="S1215">
        <v>5</v>
      </c>
      <c r="T1215">
        <v>5</v>
      </c>
      <c r="U1215">
        <v>105</v>
      </c>
      <c r="V1215" t="s">
        <v>0</v>
      </c>
      <c r="W1215" t="s">
        <v>5</v>
      </c>
      <c r="X1215" t="s">
        <v>0</v>
      </c>
      <c r="Y1215" t="s">
        <v>4</v>
      </c>
      <c r="Z1215" t="s">
        <v>5</v>
      </c>
      <c r="AA1215">
        <v>104.07</v>
      </c>
      <c r="AB1215">
        <v>0</v>
      </c>
      <c r="AC1215">
        <v>0</v>
      </c>
      <c r="AD1215" t="s">
        <v>3</v>
      </c>
      <c r="AE1215" t="s">
        <v>0</v>
      </c>
      <c r="AF1215" t="s">
        <v>3</v>
      </c>
      <c r="AG1215" t="s">
        <v>2</v>
      </c>
      <c r="AI1215" t="s">
        <v>23</v>
      </c>
      <c r="AJ1215">
        <v>5</v>
      </c>
      <c r="AK1215">
        <v>39</v>
      </c>
      <c r="AL1215">
        <v>82</v>
      </c>
      <c r="AM1215" t="s">
        <v>5</v>
      </c>
      <c r="AN1215">
        <v>1</v>
      </c>
      <c r="AO1215">
        <v>1</v>
      </c>
      <c r="AP1215">
        <v>0</v>
      </c>
      <c r="AQ1215">
        <v>1</v>
      </c>
    </row>
    <row r="1216" spans="1:43" x14ac:dyDescent="0.25">
      <c r="A1216" t="s">
        <v>790</v>
      </c>
      <c r="B1216" t="s">
        <v>789</v>
      </c>
      <c r="C1216" t="s">
        <v>788</v>
      </c>
      <c r="D1216" s="1">
        <v>45742</v>
      </c>
      <c r="E1216" t="s">
        <v>168</v>
      </c>
      <c r="F1216" t="s">
        <v>167</v>
      </c>
      <c r="G1216" t="s">
        <v>131</v>
      </c>
      <c r="H1216" t="s">
        <v>77</v>
      </c>
      <c r="I1216" t="s">
        <v>15</v>
      </c>
      <c r="J1216" t="s">
        <v>55</v>
      </c>
      <c r="K1216" t="s">
        <v>54</v>
      </c>
      <c r="L1216" t="s">
        <v>117</v>
      </c>
      <c r="M1216" t="s">
        <v>11</v>
      </c>
      <c r="N1216" t="s">
        <v>10</v>
      </c>
      <c r="O1216" t="s">
        <v>51</v>
      </c>
      <c r="P1216" t="s">
        <v>39</v>
      </c>
      <c r="Q1216" t="s">
        <v>7</v>
      </c>
      <c r="R1216" t="s">
        <v>6</v>
      </c>
      <c r="S1216">
        <v>6</v>
      </c>
      <c r="T1216" t="s">
        <v>205</v>
      </c>
      <c r="U1216">
        <v>-30</v>
      </c>
      <c r="V1216" t="s">
        <v>0</v>
      </c>
      <c r="W1216" t="s">
        <v>135</v>
      </c>
      <c r="X1216" t="s">
        <v>0</v>
      </c>
      <c r="Y1216" t="s">
        <v>4</v>
      </c>
      <c r="Z1216" t="s">
        <v>0</v>
      </c>
      <c r="AA1216">
        <v>0</v>
      </c>
      <c r="AB1216">
        <v>0</v>
      </c>
      <c r="AC1216">
        <v>0</v>
      </c>
      <c r="AD1216" t="s">
        <v>37</v>
      </c>
      <c r="AE1216" t="s">
        <v>5</v>
      </c>
      <c r="AF1216" t="s">
        <v>37</v>
      </c>
      <c r="AG1216" t="s">
        <v>36</v>
      </c>
      <c r="AH1216">
        <v>-5</v>
      </c>
      <c r="AI1216" t="s">
        <v>23</v>
      </c>
      <c r="AJ1216">
        <v>3</v>
      </c>
      <c r="AK1216">
        <v>9</v>
      </c>
      <c r="AL1216">
        <v>21</v>
      </c>
      <c r="AM1216" t="s">
        <v>0</v>
      </c>
      <c r="AN1216">
        <v>0</v>
      </c>
      <c r="AO1216">
        <v>0</v>
      </c>
      <c r="AP1216">
        <v>0</v>
      </c>
      <c r="AQ1216">
        <v>0</v>
      </c>
    </row>
    <row r="1217" spans="1:43" x14ac:dyDescent="0.25">
      <c r="A1217" t="s">
        <v>787</v>
      </c>
      <c r="B1217" t="s">
        <v>786</v>
      </c>
      <c r="C1217" t="s">
        <v>785</v>
      </c>
      <c r="D1217" s="1">
        <v>45992</v>
      </c>
      <c r="E1217" t="s">
        <v>19</v>
      </c>
      <c r="F1217" t="s">
        <v>575</v>
      </c>
      <c r="G1217" t="s">
        <v>56</v>
      </c>
      <c r="H1217" t="s">
        <v>77</v>
      </c>
      <c r="I1217" t="s">
        <v>15</v>
      </c>
      <c r="J1217" t="s">
        <v>55</v>
      </c>
      <c r="K1217" t="s">
        <v>54</v>
      </c>
      <c r="L1217" t="s">
        <v>42</v>
      </c>
      <c r="M1217" t="s">
        <v>53</v>
      </c>
      <c r="N1217" t="s">
        <v>116</v>
      </c>
      <c r="O1217" t="s">
        <v>87</v>
      </c>
      <c r="P1217" t="s">
        <v>39</v>
      </c>
      <c r="Q1217" t="s">
        <v>50</v>
      </c>
      <c r="R1217" t="s">
        <v>6</v>
      </c>
      <c r="S1217">
        <v>5</v>
      </c>
      <c r="T1217">
        <v>4</v>
      </c>
      <c r="U1217">
        <v>187</v>
      </c>
      <c r="V1217" t="s">
        <v>5</v>
      </c>
      <c r="W1217" t="s">
        <v>0</v>
      </c>
      <c r="X1217" t="s">
        <v>0</v>
      </c>
      <c r="Y1217" t="s">
        <v>4</v>
      </c>
      <c r="Z1217" t="s">
        <v>5</v>
      </c>
      <c r="AA1217">
        <v>0.16</v>
      </c>
      <c r="AB1217">
        <v>0</v>
      </c>
      <c r="AC1217">
        <v>0.17</v>
      </c>
      <c r="AD1217" t="s">
        <v>3</v>
      </c>
      <c r="AE1217" t="s">
        <v>0</v>
      </c>
      <c r="AF1217" t="s">
        <v>3</v>
      </c>
      <c r="AG1217" t="s">
        <v>2</v>
      </c>
      <c r="AI1217" t="s">
        <v>23</v>
      </c>
      <c r="AJ1217">
        <v>4</v>
      </c>
      <c r="AK1217">
        <v>-5</v>
      </c>
      <c r="AL1217" t="s">
        <v>784</v>
      </c>
      <c r="AM1217" t="s">
        <v>0</v>
      </c>
      <c r="AN1217">
        <v>0</v>
      </c>
      <c r="AO1217">
        <v>1</v>
      </c>
      <c r="AP1217">
        <v>0</v>
      </c>
      <c r="AQ1217">
        <v>0</v>
      </c>
    </row>
    <row r="1218" spans="1:43" x14ac:dyDescent="0.25">
      <c r="A1218" t="s">
        <v>783</v>
      </c>
      <c r="B1218" t="s">
        <v>572</v>
      </c>
      <c r="C1218" t="s">
        <v>782</v>
      </c>
      <c r="D1218" s="1">
        <v>46128</v>
      </c>
      <c r="E1218" t="s">
        <v>68</v>
      </c>
      <c r="F1218" t="s">
        <v>278</v>
      </c>
      <c r="G1218" t="s">
        <v>56</v>
      </c>
      <c r="H1218" t="s">
        <v>29</v>
      </c>
      <c r="I1218" t="s">
        <v>28</v>
      </c>
      <c r="J1218" t="s">
        <v>14</v>
      </c>
      <c r="K1218" t="s">
        <v>13</v>
      </c>
      <c r="L1218" t="s">
        <v>12</v>
      </c>
      <c r="M1218" t="s">
        <v>11</v>
      </c>
      <c r="N1218" t="s">
        <v>52</v>
      </c>
      <c r="O1218" t="s">
        <v>101</v>
      </c>
      <c r="P1218" t="s">
        <v>39</v>
      </c>
      <c r="Q1218" t="s">
        <v>247</v>
      </c>
      <c r="R1218" t="s">
        <v>6</v>
      </c>
      <c r="S1218">
        <v>4</v>
      </c>
      <c r="T1218">
        <v>4</v>
      </c>
      <c r="U1218">
        <v>116</v>
      </c>
      <c r="V1218" t="s">
        <v>0</v>
      </c>
      <c r="W1218" t="s">
        <v>135</v>
      </c>
      <c r="X1218" t="s">
        <v>5</v>
      </c>
      <c r="Y1218" t="s">
        <v>696</v>
      </c>
      <c r="Z1218" t="s">
        <v>0</v>
      </c>
      <c r="AA1218">
        <v>0</v>
      </c>
      <c r="AB1218">
        <v>0</v>
      </c>
      <c r="AC1218">
        <v>0</v>
      </c>
      <c r="AD1218" t="s">
        <v>3</v>
      </c>
      <c r="AE1218" t="s">
        <v>0</v>
      </c>
      <c r="AF1218" t="s">
        <v>3</v>
      </c>
      <c r="AG1218" t="s">
        <v>2</v>
      </c>
      <c r="AI1218" t="s">
        <v>122</v>
      </c>
      <c r="AJ1218">
        <v>2</v>
      </c>
      <c r="AK1218">
        <v>43</v>
      </c>
      <c r="AL1218">
        <v>66</v>
      </c>
      <c r="AM1218" t="s">
        <v>0</v>
      </c>
      <c r="AN1218">
        <v>0</v>
      </c>
      <c r="AO1218">
        <v>0</v>
      </c>
      <c r="AP1218">
        <v>1</v>
      </c>
      <c r="AQ1218">
        <v>0</v>
      </c>
    </row>
    <row r="1219" spans="1:43" x14ac:dyDescent="0.25">
      <c r="A1219" t="s">
        <v>781</v>
      </c>
      <c r="B1219" t="s">
        <v>780</v>
      </c>
      <c r="C1219" t="s">
        <v>779</v>
      </c>
      <c r="D1219" s="1">
        <v>45857</v>
      </c>
      <c r="E1219" t="s">
        <v>149</v>
      </c>
      <c r="F1219" t="s">
        <v>183</v>
      </c>
      <c r="G1219" t="s">
        <v>56</v>
      </c>
      <c r="H1219" t="s">
        <v>77</v>
      </c>
      <c r="I1219" t="s">
        <v>28</v>
      </c>
      <c r="J1219" t="s">
        <v>14</v>
      </c>
      <c r="K1219" t="s">
        <v>13</v>
      </c>
      <c r="L1219" t="s">
        <v>64</v>
      </c>
      <c r="M1219" t="s">
        <v>11</v>
      </c>
      <c r="N1219" t="s">
        <v>154</v>
      </c>
      <c r="O1219" t="s">
        <v>40</v>
      </c>
      <c r="P1219" t="s">
        <v>8</v>
      </c>
      <c r="Q1219" t="s">
        <v>247</v>
      </c>
      <c r="R1219" t="s">
        <v>38</v>
      </c>
      <c r="S1219">
        <v>8</v>
      </c>
      <c r="T1219">
        <v>4</v>
      </c>
      <c r="U1219">
        <v>424</v>
      </c>
      <c r="V1219" t="s">
        <v>5</v>
      </c>
      <c r="W1219" t="s">
        <v>0</v>
      </c>
      <c r="X1219" t="s">
        <v>5</v>
      </c>
      <c r="Y1219" t="s">
        <v>160</v>
      </c>
      <c r="Z1219" t="s">
        <v>0</v>
      </c>
      <c r="AA1219">
        <v>0</v>
      </c>
      <c r="AB1219">
        <v>0</v>
      </c>
      <c r="AC1219">
        <v>0</v>
      </c>
      <c r="AD1219" t="s">
        <v>3</v>
      </c>
      <c r="AE1219" t="s">
        <v>0</v>
      </c>
      <c r="AF1219" t="s">
        <v>3</v>
      </c>
      <c r="AG1219" t="s">
        <v>2</v>
      </c>
      <c r="AI1219" t="s">
        <v>122</v>
      </c>
      <c r="AJ1219">
        <v>2</v>
      </c>
      <c r="AK1219">
        <v>-12</v>
      </c>
      <c r="AL1219">
        <v>19</v>
      </c>
      <c r="AM1219" t="s">
        <v>0</v>
      </c>
      <c r="AN1219">
        <v>0</v>
      </c>
      <c r="AO1219">
        <v>0</v>
      </c>
      <c r="AP1219">
        <v>1</v>
      </c>
      <c r="AQ1219">
        <v>0</v>
      </c>
    </row>
    <row r="1220" spans="1:43" x14ac:dyDescent="0.25">
      <c r="A1220" t="s">
        <v>778</v>
      </c>
      <c r="B1220" t="s">
        <v>777</v>
      </c>
      <c r="C1220" t="s">
        <v>776</v>
      </c>
      <c r="D1220" s="1">
        <v>45780</v>
      </c>
      <c r="E1220" t="s">
        <v>79</v>
      </c>
      <c r="F1220" t="s">
        <v>78</v>
      </c>
      <c r="G1220" t="s">
        <v>56</v>
      </c>
      <c r="H1220" t="s">
        <v>77</v>
      </c>
      <c r="I1220" t="s">
        <v>28</v>
      </c>
      <c r="J1220" t="s">
        <v>146</v>
      </c>
      <c r="K1220" t="s">
        <v>145</v>
      </c>
      <c r="L1220" t="s">
        <v>117</v>
      </c>
      <c r="M1220" t="s">
        <v>11</v>
      </c>
      <c r="N1220" t="s">
        <v>10</v>
      </c>
      <c r="O1220" t="s">
        <v>26</v>
      </c>
      <c r="P1220" t="s">
        <v>63</v>
      </c>
      <c r="Q1220" t="s">
        <v>7</v>
      </c>
      <c r="R1220" t="s">
        <v>6</v>
      </c>
      <c r="S1220">
        <v>4</v>
      </c>
      <c r="T1220">
        <v>4</v>
      </c>
      <c r="U1220">
        <v>95</v>
      </c>
      <c r="V1220" t="s">
        <v>0</v>
      </c>
      <c r="W1220" t="s">
        <v>0</v>
      </c>
      <c r="X1220" t="s">
        <v>0</v>
      </c>
      <c r="Y1220" t="s">
        <v>4</v>
      </c>
      <c r="Z1220" t="s">
        <v>5</v>
      </c>
      <c r="AA1220">
        <v>86.89</v>
      </c>
      <c r="AB1220">
        <v>0.22</v>
      </c>
      <c r="AC1220">
        <v>0</v>
      </c>
      <c r="AD1220" t="s">
        <v>3</v>
      </c>
      <c r="AE1220" t="s">
        <v>0</v>
      </c>
      <c r="AF1220" t="s">
        <v>3</v>
      </c>
      <c r="AG1220" t="s">
        <v>2</v>
      </c>
      <c r="AI1220" t="s">
        <v>23</v>
      </c>
      <c r="AJ1220">
        <v>4</v>
      </c>
      <c r="AK1220">
        <v>99</v>
      </c>
      <c r="AL1220">
        <v>0</v>
      </c>
      <c r="AM1220" t="s">
        <v>0</v>
      </c>
      <c r="AN1220">
        <v>0</v>
      </c>
      <c r="AO1220">
        <v>1</v>
      </c>
      <c r="AP1220">
        <v>0</v>
      </c>
      <c r="AQ1220">
        <v>0</v>
      </c>
    </row>
    <row r="1221" spans="1:43" x14ac:dyDescent="0.25">
      <c r="A1221" t="s">
        <v>775</v>
      </c>
      <c r="B1221" t="s">
        <v>774</v>
      </c>
      <c r="C1221" t="s">
        <v>773</v>
      </c>
      <c r="D1221" s="1">
        <v>45768</v>
      </c>
      <c r="E1221" t="s">
        <v>95</v>
      </c>
      <c r="F1221" t="s">
        <v>118</v>
      </c>
      <c r="G1221" t="s">
        <v>17</v>
      </c>
      <c r="H1221" t="s">
        <v>77</v>
      </c>
      <c r="I1221" t="s">
        <v>28</v>
      </c>
      <c r="J1221" t="s">
        <v>14</v>
      </c>
      <c r="K1221" t="s">
        <v>13</v>
      </c>
      <c r="L1221" t="s">
        <v>88</v>
      </c>
      <c r="M1221" t="s">
        <v>11</v>
      </c>
      <c r="N1221" t="s">
        <v>75</v>
      </c>
      <c r="O1221" t="s">
        <v>193</v>
      </c>
      <c r="P1221" t="s">
        <v>63</v>
      </c>
      <c r="Q1221" t="s">
        <v>7</v>
      </c>
      <c r="R1221" t="s">
        <v>6</v>
      </c>
      <c r="S1221">
        <v>9</v>
      </c>
      <c r="T1221">
        <v>9</v>
      </c>
      <c r="U1221">
        <v>162</v>
      </c>
      <c r="V1221" t="s">
        <v>0</v>
      </c>
      <c r="W1221" t="s">
        <v>0</v>
      </c>
      <c r="X1221" t="s">
        <v>0</v>
      </c>
      <c r="Y1221" t="s">
        <v>4</v>
      </c>
      <c r="Z1221" t="s">
        <v>0</v>
      </c>
      <c r="AA1221">
        <v>0</v>
      </c>
      <c r="AB1221">
        <v>0</v>
      </c>
      <c r="AC1221">
        <v>0</v>
      </c>
      <c r="AD1221" t="s">
        <v>3</v>
      </c>
      <c r="AE1221" t="s">
        <v>247</v>
      </c>
      <c r="AF1221" t="s">
        <v>3</v>
      </c>
      <c r="AG1221" t="s">
        <v>2</v>
      </c>
      <c r="AI1221" t="s">
        <v>23</v>
      </c>
      <c r="AJ1221">
        <v>3</v>
      </c>
      <c r="AK1221">
        <v>-7</v>
      </c>
      <c r="AL1221">
        <v>0</v>
      </c>
      <c r="AM1221" t="s">
        <v>0</v>
      </c>
      <c r="AN1221">
        <v>0</v>
      </c>
      <c r="AO1221">
        <v>0</v>
      </c>
      <c r="AP1221">
        <v>0</v>
      </c>
      <c r="AQ1221">
        <v>0</v>
      </c>
    </row>
    <row r="1222" spans="1:43" x14ac:dyDescent="0.25">
      <c r="A1222" t="s">
        <v>772</v>
      </c>
      <c r="B1222" t="s">
        <v>771</v>
      </c>
      <c r="C1222" t="s">
        <v>770</v>
      </c>
      <c r="D1222" s="1">
        <v>46168</v>
      </c>
      <c r="E1222" t="s">
        <v>19</v>
      </c>
      <c r="F1222" t="s">
        <v>295</v>
      </c>
      <c r="G1222" t="s">
        <v>56</v>
      </c>
      <c r="H1222" t="s">
        <v>77</v>
      </c>
      <c r="I1222" t="s">
        <v>28</v>
      </c>
      <c r="J1222" t="s">
        <v>14</v>
      </c>
      <c r="K1222" t="s">
        <v>13</v>
      </c>
      <c r="L1222" t="s">
        <v>42</v>
      </c>
      <c r="M1222" t="s">
        <v>11</v>
      </c>
      <c r="N1222" t="s">
        <v>93</v>
      </c>
      <c r="O1222" t="s">
        <v>26</v>
      </c>
      <c r="P1222" t="s">
        <v>39</v>
      </c>
      <c r="Q1222" t="s">
        <v>7</v>
      </c>
      <c r="R1222" t="s">
        <v>6</v>
      </c>
      <c r="S1222">
        <v>4</v>
      </c>
      <c r="T1222">
        <v>4</v>
      </c>
      <c r="U1222">
        <v>103</v>
      </c>
      <c r="V1222" t="s">
        <v>0</v>
      </c>
      <c r="W1222" t="s">
        <v>5</v>
      </c>
      <c r="X1222" t="s">
        <v>0</v>
      </c>
      <c r="Y1222" t="s">
        <v>4</v>
      </c>
      <c r="Z1222" t="s">
        <v>5</v>
      </c>
      <c r="AA1222">
        <v>122.83</v>
      </c>
      <c r="AB1222">
        <v>0.22</v>
      </c>
      <c r="AC1222">
        <v>0</v>
      </c>
      <c r="AD1222" t="s">
        <v>3</v>
      </c>
      <c r="AE1222" t="s">
        <v>0</v>
      </c>
      <c r="AF1222" t="s">
        <v>3</v>
      </c>
      <c r="AG1222" t="s">
        <v>2</v>
      </c>
      <c r="AI1222" t="s">
        <v>23</v>
      </c>
      <c r="AJ1222">
        <v>4</v>
      </c>
      <c r="AK1222">
        <v>150</v>
      </c>
      <c r="AL1222">
        <v>37</v>
      </c>
      <c r="AM1222" t="s">
        <v>5</v>
      </c>
      <c r="AN1222">
        <v>1</v>
      </c>
      <c r="AO1222">
        <v>1</v>
      </c>
      <c r="AP1222">
        <v>0</v>
      </c>
      <c r="AQ1222">
        <v>1</v>
      </c>
    </row>
    <row r="1223" spans="1:43" x14ac:dyDescent="0.25">
      <c r="A1223" t="s">
        <v>769</v>
      </c>
      <c r="B1223" t="s">
        <v>768</v>
      </c>
      <c r="C1223" t="s">
        <v>767</v>
      </c>
      <c r="D1223" s="1">
        <v>45721</v>
      </c>
      <c r="E1223" t="s">
        <v>112</v>
      </c>
      <c r="F1223" t="s">
        <v>307</v>
      </c>
      <c r="G1223" t="s">
        <v>56</v>
      </c>
      <c r="H1223" t="s">
        <v>29</v>
      </c>
      <c r="I1223" t="s">
        <v>15</v>
      </c>
      <c r="J1223" t="s">
        <v>14</v>
      </c>
      <c r="K1223" t="s">
        <v>13</v>
      </c>
      <c r="L1223" t="s">
        <v>42</v>
      </c>
      <c r="M1223" t="s">
        <v>11</v>
      </c>
      <c r="N1223" t="s">
        <v>269</v>
      </c>
      <c r="O1223" t="s">
        <v>26</v>
      </c>
      <c r="P1223" t="s">
        <v>8</v>
      </c>
      <c r="Q1223" t="s">
        <v>24</v>
      </c>
      <c r="R1223" t="s">
        <v>6</v>
      </c>
      <c r="S1223">
        <v>4</v>
      </c>
      <c r="T1223">
        <v>4</v>
      </c>
      <c r="U1223">
        <v>105</v>
      </c>
      <c r="V1223" t="s">
        <v>0</v>
      </c>
      <c r="W1223" t="s">
        <v>5</v>
      </c>
      <c r="X1223" t="s">
        <v>181</v>
      </c>
      <c r="Y1223" t="s">
        <v>4</v>
      </c>
      <c r="Z1223" t="s">
        <v>5</v>
      </c>
      <c r="AA1223">
        <v>142.22</v>
      </c>
      <c r="AB1223">
        <v>0.2</v>
      </c>
      <c r="AC1223">
        <v>0</v>
      </c>
      <c r="AD1223" t="s">
        <v>61</v>
      </c>
      <c r="AE1223" t="s">
        <v>5</v>
      </c>
      <c r="AF1223" t="s">
        <v>61</v>
      </c>
      <c r="AG1223" t="s">
        <v>36</v>
      </c>
      <c r="AH1223">
        <v>37</v>
      </c>
      <c r="AI1223" t="s">
        <v>23</v>
      </c>
      <c r="AJ1223">
        <v>5</v>
      </c>
      <c r="AK1223">
        <v>41</v>
      </c>
      <c r="AL1223" t="s">
        <v>766</v>
      </c>
      <c r="AM1223" t="s">
        <v>5</v>
      </c>
      <c r="AN1223">
        <v>1</v>
      </c>
      <c r="AO1223">
        <v>1</v>
      </c>
      <c r="AP1223">
        <v>0</v>
      </c>
      <c r="AQ1223">
        <v>1</v>
      </c>
    </row>
    <row r="1224" spans="1:43" x14ac:dyDescent="0.25">
      <c r="A1224" t="s">
        <v>765</v>
      </c>
      <c r="B1224" t="s">
        <v>764</v>
      </c>
      <c r="C1224" t="s">
        <v>763</v>
      </c>
      <c r="D1224" s="1">
        <v>45893</v>
      </c>
      <c r="E1224" t="s">
        <v>19</v>
      </c>
      <c r="F1224" t="s">
        <v>89</v>
      </c>
      <c r="G1224" t="s">
        <v>17</v>
      </c>
      <c r="H1224" t="s">
        <v>77</v>
      </c>
      <c r="I1224" t="s">
        <v>28</v>
      </c>
      <c r="J1224" t="s">
        <v>55</v>
      </c>
      <c r="K1224" t="s">
        <v>65</v>
      </c>
      <c r="L1224" t="s">
        <v>88</v>
      </c>
      <c r="M1224" t="s">
        <v>11</v>
      </c>
      <c r="N1224" t="s">
        <v>41</v>
      </c>
      <c r="O1224" t="s">
        <v>199</v>
      </c>
      <c r="P1224" t="s">
        <v>39</v>
      </c>
      <c r="Q1224" t="s">
        <v>7</v>
      </c>
      <c r="R1224" t="s">
        <v>6</v>
      </c>
      <c r="S1224" t="s">
        <v>277</v>
      </c>
      <c r="T1224">
        <v>5</v>
      </c>
      <c r="U1224">
        <v>133</v>
      </c>
      <c r="V1224" t="s">
        <v>0</v>
      </c>
      <c r="W1224" t="s">
        <v>5</v>
      </c>
      <c r="X1224" t="s">
        <v>0</v>
      </c>
      <c r="Y1224" t="s">
        <v>4</v>
      </c>
      <c r="Z1224" t="s">
        <v>5</v>
      </c>
      <c r="AA1224">
        <v>55.93</v>
      </c>
      <c r="AB1224">
        <v>0</v>
      </c>
      <c r="AC1224">
        <v>0</v>
      </c>
      <c r="AD1224" t="s">
        <v>3</v>
      </c>
      <c r="AE1224" t="s">
        <v>0</v>
      </c>
      <c r="AF1224" t="s">
        <v>3</v>
      </c>
      <c r="AG1224" t="s">
        <v>2</v>
      </c>
      <c r="AI1224" t="s">
        <v>23</v>
      </c>
      <c r="AJ1224">
        <v>3</v>
      </c>
      <c r="AK1224">
        <v>4</v>
      </c>
      <c r="AL1224">
        <v>36</v>
      </c>
      <c r="AM1224" t="s">
        <v>0</v>
      </c>
      <c r="AN1224">
        <v>1</v>
      </c>
      <c r="AO1224">
        <v>1</v>
      </c>
      <c r="AP1224">
        <v>0</v>
      </c>
      <c r="AQ1224">
        <v>0</v>
      </c>
    </row>
    <row r="1225" spans="1:43" x14ac:dyDescent="0.25">
      <c r="A1225" t="s">
        <v>762</v>
      </c>
      <c r="B1225" t="s">
        <v>761</v>
      </c>
      <c r="C1225" t="s">
        <v>760</v>
      </c>
      <c r="D1225" s="1">
        <v>45917</v>
      </c>
      <c r="E1225" t="s">
        <v>125</v>
      </c>
      <c r="F1225" t="s">
        <v>265</v>
      </c>
      <c r="G1225" t="s">
        <v>131</v>
      </c>
      <c r="H1225" t="s">
        <v>43</v>
      </c>
      <c r="I1225" t="s">
        <v>28</v>
      </c>
      <c r="J1225" t="s">
        <v>55</v>
      </c>
      <c r="K1225" t="s">
        <v>54</v>
      </c>
      <c r="L1225" t="s">
        <v>12</v>
      </c>
      <c r="M1225" t="s">
        <v>11</v>
      </c>
      <c r="N1225" t="s">
        <v>269</v>
      </c>
      <c r="O1225" t="s">
        <v>101</v>
      </c>
      <c r="P1225" t="s">
        <v>25</v>
      </c>
      <c r="Q1225" t="s">
        <v>198</v>
      </c>
      <c r="R1225" t="s">
        <v>6</v>
      </c>
      <c r="S1225">
        <v>4</v>
      </c>
      <c r="T1225">
        <v>4</v>
      </c>
      <c r="U1225">
        <v>88</v>
      </c>
      <c r="V1225" t="s">
        <v>0</v>
      </c>
      <c r="W1225" t="s">
        <v>5</v>
      </c>
      <c r="X1225" t="s">
        <v>0</v>
      </c>
      <c r="Y1225" t="s">
        <v>4</v>
      </c>
      <c r="Z1225" t="s">
        <v>0</v>
      </c>
      <c r="AA1225">
        <v>0</v>
      </c>
      <c r="AB1225">
        <v>0</v>
      </c>
      <c r="AC1225">
        <v>0</v>
      </c>
      <c r="AD1225" t="s">
        <v>3</v>
      </c>
      <c r="AE1225" t="s">
        <v>0</v>
      </c>
      <c r="AF1225" t="s">
        <v>3</v>
      </c>
      <c r="AG1225" t="s">
        <v>2</v>
      </c>
      <c r="AI1225" t="s">
        <v>23</v>
      </c>
      <c r="AJ1225">
        <v>5</v>
      </c>
      <c r="AK1225">
        <v>37</v>
      </c>
      <c r="AL1225">
        <v>13</v>
      </c>
      <c r="AM1225" t="s">
        <v>5</v>
      </c>
      <c r="AN1225">
        <v>1</v>
      </c>
      <c r="AO1225">
        <v>0</v>
      </c>
      <c r="AP1225">
        <v>0</v>
      </c>
      <c r="AQ1225">
        <v>1</v>
      </c>
    </row>
    <row r="1226" spans="1:43" x14ac:dyDescent="0.25">
      <c r="A1226" t="s">
        <v>759</v>
      </c>
      <c r="B1226" t="s">
        <v>758</v>
      </c>
      <c r="C1226" t="s">
        <v>757</v>
      </c>
      <c r="D1226" s="1">
        <v>45709</v>
      </c>
      <c r="E1226" t="s">
        <v>156</v>
      </c>
      <c r="F1226" t="s">
        <v>238</v>
      </c>
      <c r="G1226" t="s">
        <v>110</v>
      </c>
      <c r="H1226" t="s">
        <v>77</v>
      </c>
      <c r="I1226" t="s">
        <v>28</v>
      </c>
      <c r="J1226" t="s">
        <v>146</v>
      </c>
      <c r="K1226" t="s">
        <v>145</v>
      </c>
      <c r="L1226" t="s">
        <v>12</v>
      </c>
      <c r="M1226" t="s">
        <v>53</v>
      </c>
      <c r="N1226" t="s">
        <v>93</v>
      </c>
      <c r="O1226" t="s">
        <v>87</v>
      </c>
      <c r="P1226" t="s">
        <v>39</v>
      </c>
      <c r="Q1226" t="s">
        <v>7</v>
      </c>
      <c r="R1226" t="s">
        <v>6</v>
      </c>
      <c r="S1226">
        <v>5</v>
      </c>
      <c r="T1226">
        <v>5</v>
      </c>
      <c r="U1226">
        <v>144</v>
      </c>
      <c r="V1226" t="s">
        <v>0</v>
      </c>
      <c r="W1226" t="s">
        <v>5</v>
      </c>
      <c r="X1226" t="s">
        <v>0</v>
      </c>
      <c r="Y1226" t="s">
        <v>4</v>
      </c>
      <c r="Z1226" t="s">
        <v>5</v>
      </c>
      <c r="AA1226">
        <v>150.9</v>
      </c>
      <c r="AB1226">
        <v>0</v>
      </c>
      <c r="AC1226">
        <v>0.17</v>
      </c>
      <c r="AD1226" t="s">
        <v>3</v>
      </c>
      <c r="AE1226" t="s">
        <v>0</v>
      </c>
      <c r="AF1226" t="s">
        <v>3</v>
      </c>
      <c r="AG1226" t="s">
        <v>2</v>
      </c>
      <c r="AI1226" t="s">
        <v>23</v>
      </c>
      <c r="AJ1226">
        <v>4</v>
      </c>
      <c r="AK1226">
        <v>14</v>
      </c>
      <c r="AL1226" t="s">
        <v>756</v>
      </c>
      <c r="AM1226" t="s">
        <v>5</v>
      </c>
      <c r="AN1226">
        <v>1</v>
      </c>
      <c r="AO1226">
        <v>1</v>
      </c>
      <c r="AP1226">
        <v>0</v>
      </c>
      <c r="AQ1226">
        <v>1</v>
      </c>
    </row>
    <row r="1227" spans="1:43" x14ac:dyDescent="0.25">
      <c r="A1227" t="s">
        <v>755</v>
      </c>
      <c r="B1227" t="s">
        <v>754</v>
      </c>
      <c r="C1227" t="s">
        <v>753</v>
      </c>
      <c r="D1227" s="1">
        <v>45956</v>
      </c>
      <c r="E1227" t="s">
        <v>68</v>
      </c>
      <c r="F1227" t="s">
        <v>67</v>
      </c>
      <c r="G1227" t="s">
        <v>17</v>
      </c>
      <c r="H1227" t="s">
        <v>16</v>
      </c>
      <c r="I1227" t="s">
        <v>15</v>
      </c>
      <c r="J1227" t="s">
        <v>14</v>
      </c>
      <c r="K1227" t="s">
        <v>13</v>
      </c>
      <c r="L1227" t="s">
        <v>117</v>
      </c>
      <c r="M1227" t="s">
        <v>27</v>
      </c>
      <c r="N1227" t="s">
        <v>269</v>
      </c>
      <c r="O1227" t="s">
        <v>26</v>
      </c>
      <c r="P1227" t="s">
        <v>8</v>
      </c>
      <c r="Q1227" t="s">
        <v>7</v>
      </c>
      <c r="R1227" t="s">
        <v>6</v>
      </c>
      <c r="S1227">
        <v>4</v>
      </c>
      <c r="T1227">
        <v>4</v>
      </c>
      <c r="U1227">
        <v>100</v>
      </c>
      <c r="V1227" t="s">
        <v>0</v>
      </c>
      <c r="W1227" t="s">
        <v>5</v>
      </c>
      <c r="X1227" t="s">
        <v>0</v>
      </c>
      <c r="Y1227" t="s">
        <v>4</v>
      </c>
      <c r="Z1227" t="s">
        <v>5</v>
      </c>
      <c r="AA1227">
        <v>114.18</v>
      </c>
      <c r="AB1227">
        <v>0.23</v>
      </c>
      <c r="AC1227">
        <v>0.37</v>
      </c>
      <c r="AD1227" t="s">
        <v>3</v>
      </c>
      <c r="AE1227" t="s">
        <v>0</v>
      </c>
      <c r="AF1227" t="s">
        <v>3</v>
      </c>
      <c r="AG1227" t="s">
        <v>2</v>
      </c>
      <c r="AI1227" t="s">
        <v>23</v>
      </c>
      <c r="AJ1227">
        <v>3</v>
      </c>
      <c r="AK1227">
        <v>34</v>
      </c>
      <c r="AL1227">
        <v>13</v>
      </c>
      <c r="AM1227" t="s">
        <v>0</v>
      </c>
      <c r="AN1227">
        <v>1</v>
      </c>
      <c r="AO1227">
        <v>1</v>
      </c>
      <c r="AP1227">
        <v>0</v>
      </c>
      <c r="AQ1227">
        <v>0</v>
      </c>
    </row>
    <row r="1228" spans="1:43" x14ac:dyDescent="0.25">
      <c r="A1228" t="s">
        <v>752</v>
      </c>
      <c r="B1228" t="s">
        <v>751</v>
      </c>
      <c r="C1228" t="s">
        <v>750</v>
      </c>
      <c r="D1228" s="1">
        <v>46046</v>
      </c>
      <c r="E1228" t="s">
        <v>149</v>
      </c>
      <c r="F1228" t="s">
        <v>183</v>
      </c>
      <c r="G1228" t="s">
        <v>30</v>
      </c>
      <c r="H1228" t="s">
        <v>77</v>
      </c>
      <c r="I1228" t="s">
        <v>15</v>
      </c>
      <c r="J1228" t="s">
        <v>55</v>
      </c>
      <c r="K1228" t="s">
        <v>54</v>
      </c>
      <c r="L1228" t="s">
        <v>42</v>
      </c>
      <c r="M1228" t="s">
        <v>11</v>
      </c>
      <c r="N1228" t="s">
        <v>93</v>
      </c>
      <c r="O1228" t="s">
        <v>74</v>
      </c>
      <c r="P1228" t="s">
        <v>39</v>
      </c>
      <c r="Q1228" t="s">
        <v>7</v>
      </c>
      <c r="R1228" t="s">
        <v>6</v>
      </c>
      <c r="S1228">
        <v>6</v>
      </c>
      <c r="T1228">
        <v>3</v>
      </c>
      <c r="U1228">
        <v>241</v>
      </c>
      <c r="V1228" t="s">
        <v>5</v>
      </c>
      <c r="W1228" t="s">
        <v>0</v>
      </c>
      <c r="X1228" t="s">
        <v>0</v>
      </c>
      <c r="Y1228" t="s">
        <v>4</v>
      </c>
      <c r="Z1228" t="s">
        <v>0</v>
      </c>
      <c r="AA1228">
        <v>0</v>
      </c>
      <c r="AB1228">
        <v>0</v>
      </c>
      <c r="AC1228">
        <v>0</v>
      </c>
      <c r="AD1228" t="s">
        <v>187</v>
      </c>
      <c r="AE1228" t="s">
        <v>5</v>
      </c>
      <c r="AF1228" t="s">
        <v>187</v>
      </c>
      <c r="AG1228" t="s">
        <v>36</v>
      </c>
      <c r="AH1228">
        <v>52</v>
      </c>
      <c r="AI1228" t="s">
        <v>129</v>
      </c>
      <c r="AJ1228">
        <v>3</v>
      </c>
      <c r="AK1228">
        <v>2</v>
      </c>
      <c r="AL1228">
        <v>28</v>
      </c>
      <c r="AM1228" t="s">
        <v>0</v>
      </c>
      <c r="AN1228">
        <v>0</v>
      </c>
      <c r="AO1228">
        <v>0</v>
      </c>
      <c r="AP1228">
        <v>0</v>
      </c>
      <c r="AQ1228">
        <v>0</v>
      </c>
    </row>
    <row r="1229" spans="1:43" x14ac:dyDescent="0.25">
      <c r="A1229" t="s">
        <v>749</v>
      </c>
      <c r="B1229" t="s">
        <v>748</v>
      </c>
      <c r="C1229" t="s">
        <v>747</v>
      </c>
      <c r="D1229" s="1">
        <v>46066</v>
      </c>
      <c r="E1229" t="s">
        <v>19</v>
      </c>
      <c r="F1229" t="s">
        <v>89</v>
      </c>
      <c r="G1229" t="s">
        <v>123</v>
      </c>
      <c r="H1229" t="s">
        <v>77</v>
      </c>
      <c r="I1229" t="s">
        <v>15</v>
      </c>
      <c r="J1229" t="s">
        <v>146</v>
      </c>
      <c r="K1229" t="s">
        <v>145</v>
      </c>
      <c r="L1229" t="s">
        <v>42</v>
      </c>
      <c r="M1229" t="s">
        <v>11</v>
      </c>
      <c r="N1229" t="s">
        <v>93</v>
      </c>
      <c r="O1229" t="s">
        <v>26</v>
      </c>
      <c r="P1229" t="s">
        <v>39</v>
      </c>
      <c r="Q1229" t="s">
        <v>7</v>
      </c>
      <c r="R1229" t="s">
        <v>6</v>
      </c>
      <c r="S1229">
        <v>4</v>
      </c>
      <c r="T1229">
        <v>3</v>
      </c>
      <c r="U1229">
        <v>190</v>
      </c>
      <c r="V1229" t="s">
        <v>5</v>
      </c>
      <c r="W1229" t="s">
        <v>0</v>
      </c>
      <c r="X1229" t="s">
        <v>0</v>
      </c>
      <c r="Y1229" t="s">
        <v>4</v>
      </c>
      <c r="Z1229" t="s">
        <v>0</v>
      </c>
      <c r="AA1229">
        <v>0</v>
      </c>
      <c r="AB1229">
        <v>0</v>
      </c>
      <c r="AC1229">
        <v>0</v>
      </c>
      <c r="AD1229" t="s">
        <v>3</v>
      </c>
      <c r="AE1229" t="s">
        <v>0</v>
      </c>
      <c r="AF1229" t="s">
        <v>3</v>
      </c>
      <c r="AG1229" t="s">
        <v>2</v>
      </c>
      <c r="AI1229" t="s">
        <v>1</v>
      </c>
      <c r="AJ1229">
        <v>3</v>
      </c>
      <c r="AK1229">
        <v>3</v>
      </c>
      <c r="AL1229">
        <v>51</v>
      </c>
      <c r="AM1229" t="s">
        <v>0</v>
      </c>
      <c r="AN1229">
        <v>0</v>
      </c>
      <c r="AO1229">
        <v>0</v>
      </c>
      <c r="AP1229">
        <v>0</v>
      </c>
      <c r="AQ1229">
        <v>0</v>
      </c>
    </row>
    <row r="1230" spans="1:43" x14ac:dyDescent="0.25">
      <c r="A1230" t="s">
        <v>746</v>
      </c>
      <c r="B1230" t="s">
        <v>473</v>
      </c>
      <c r="C1230" t="s">
        <v>745</v>
      </c>
      <c r="D1230" s="1">
        <v>45937</v>
      </c>
      <c r="E1230" t="s">
        <v>168</v>
      </c>
      <c r="F1230" t="s">
        <v>177</v>
      </c>
      <c r="G1230" t="s">
        <v>131</v>
      </c>
      <c r="H1230" t="s">
        <v>77</v>
      </c>
      <c r="I1230" t="s">
        <v>15</v>
      </c>
      <c r="J1230" t="s">
        <v>55</v>
      </c>
      <c r="K1230" t="s">
        <v>54</v>
      </c>
      <c r="L1230" t="s">
        <v>88</v>
      </c>
      <c r="M1230" t="s">
        <v>53</v>
      </c>
      <c r="N1230" t="s">
        <v>154</v>
      </c>
      <c r="O1230" t="s">
        <v>101</v>
      </c>
      <c r="P1230" t="s">
        <v>25</v>
      </c>
      <c r="Q1230" t="s">
        <v>7</v>
      </c>
      <c r="R1230" t="s">
        <v>6</v>
      </c>
      <c r="S1230">
        <v>4</v>
      </c>
      <c r="T1230">
        <v>4</v>
      </c>
      <c r="U1230">
        <v>118</v>
      </c>
      <c r="V1230" t="s">
        <v>0</v>
      </c>
      <c r="W1230" t="s">
        <v>5</v>
      </c>
      <c r="X1230" t="s">
        <v>0</v>
      </c>
      <c r="Y1230" t="s">
        <v>4</v>
      </c>
      <c r="Z1230" t="s">
        <v>5</v>
      </c>
      <c r="AA1230">
        <v>60.06</v>
      </c>
      <c r="AB1230">
        <v>0.52</v>
      </c>
      <c r="AC1230">
        <v>0.17</v>
      </c>
      <c r="AD1230" t="s">
        <v>61</v>
      </c>
      <c r="AE1230" t="s">
        <v>5</v>
      </c>
      <c r="AF1230" t="s">
        <v>61</v>
      </c>
      <c r="AG1230" t="s">
        <v>36</v>
      </c>
      <c r="AH1230">
        <v>38</v>
      </c>
      <c r="AI1230" t="s">
        <v>23</v>
      </c>
      <c r="AJ1230">
        <v>5</v>
      </c>
      <c r="AK1230">
        <v>28</v>
      </c>
      <c r="AL1230">
        <v>36</v>
      </c>
      <c r="AM1230" t="s">
        <v>5</v>
      </c>
      <c r="AN1230">
        <v>1</v>
      </c>
      <c r="AO1230">
        <v>1</v>
      </c>
      <c r="AP1230">
        <v>0</v>
      </c>
      <c r="AQ1230">
        <v>1</v>
      </c>
    </row>
    <row r="1231" spans="1:43" x14ac:dyDescent="0.25">
      <c r="A1231" t="s">
        <v>744</v>
      </c>
      <c r="B1231" t="s">
        <v>743</v>
      </c>
      <c r="C1231" t="s">
        <v>742</v>
      </c>
      <c r="D1231" s="1">
        <v>46119</v>
      </c>
      <c r="E1231" t="s">
        <v>19</v>
      </c>
      <c r="F1231" t="s">
        <v>295</v>
      </c>
      <c r="G1231" t="s">
        <v>83</v>
      </c>
      <c r="H1231" t="s">
        <v>16</v>
      </c>
      <c r="I1231" t="s">
        <v>28</v>
      </c>
      <c r="J1231" t="s">
        <v>55</v>
      </c>
      <c r="K1231" t="s">
        <v>54</v>
      </c>
      <c r="L1231" t="s">
        <v>12</v>
      </c>
      <c r="M1231" t="s">
        <v>11</v>
      </c>
      <c r="N1231" t="s">
        <v>10</v>
      </c>
      <c r="O1231" t="s">
        <v>9</v>
      </c>
      <c r="P1231" t="s">
        <v>63</v>
      </c>
      <c r="Q1231" t="s">
        <v>7</v>
      </c>
      <c r="R1231" t="s">
        <v>6</v>
      </c>
      <c r="S1231">
        <v>7</v>
      </c>
      <c r="T1231">
        <v>6</v>
      </c>
      <c r="U1231">
        <v>238</v>
      </c>
      <c r="V1231" t="s">
        <v>5</v>
      </c>
      <c r="W1231" t="s">
        <v>5</v>
      </c>
      <c r="X1231" t="s">
        <v>0</v>
      </c>
      <c r="Y1231" t="s">
        <v>4</v>
      </c>
      <c r="Z1231" t="s">
        <v>5</v>
      </c>
      <c r="AA1231">
        <v>44.21</v>
      </c>
      <c r="AB1231">
        <v>0</v>
      </c>
      <c r="AC1231">
        <v>0</v>
      </c>
      <c r="AD1231" t="s">
        <v>61</v>
      </c>
      <c r="AE1231" t="s">
        <v>5</v>
      </c>
      <c r="AF1231" t="s">
        <v>61</v>
      </c>
      <c r="AG1231" t="s">
        <v>36</v>
      </c>
      <c r="AH1231">
        <v>23</v>
      </c>
      <c r="AI1231" t="s">
        <v>23</v>
      </c>
      <c r="AJ1231">
        <v>2</v>
      </c>
      <c r="AK1231">
        <v>-14</v>
      </c>
      <c r="AL1231">
        <v>0</v>
      </c>
      <c r="AM1231" t="s">
        <v>0</v>
      </c>
      <c r="AN1231">
        <v>1</v>
      </c>
      <c r="AO1231">
        <v>1</v>
      </c>
      <c r="AP1231">
        <v>0</v>
      </c>
      <c r="AQ1231">
        <v>0</v>
      </c>
    </row>
    <row r="1232" spans="1:43" x14ac:dyDescent="0.25">
      <c r="A1232" t="s">
        <v>741</v>
      </c>
      <c r="B1232" t="s">
        <v>740</v>
      </c>
      <c r="C1232" t="s">
        <v>739</v>
      </c>
      <c r="D1232" s="1">
        <v>45928</v>
      </c>
      <c r="E1232" t="s">
        <v>149</v>
      </c>
      <c r="F1232" t="s">
        <v>589</v>
      </c>
      <c r="G1232" t="s">
        <v>17</v>
      </c>
      <c r="H1232" t="s">
        <v>16</v>
      </c>
      <c r="I1232" t="s">
        <v>147</v>
      </c>
      <c r="J1232" t="s">
        <v>55</v>
      </c>
      <c r="K1232" t="s">
        <v>54</v>
      </c>
      <c r="L1232" t="s">
        <v>117</v>
      </c>
      <c r="M1232" t="s">
        <v>11</v>
      </c>
      <c r="N1232" t="s">
        <v>269</v>
      </c>
      <c r="O1232" t="s">
        <v>9</v>
      </c>
      <c r="P1232" t="s">
        <v>63</v>
      </c>
      <c r="Q1232" t="s">
        <v>7</v>
      </c>
      <c r="R1232" t="s">
        <v>6</v>
      </c>
      <c r="S1232">
        <v>7</v>
      </c>
      <c r="T1232">
        <v>5</v>
      </c>
      <c r="U1232">
        <v>215</v>
      </c>
      <c r="V1232" t="s">
        <v>5</v>
      </c>
      <c r="W1232" t="s">
        <v>5</v>
      </c>
      <c r="X1232" t="s">
        <v>181</v>
      </c>
      <c r="Y1232" t="s">
        <v>4</v>
      </c>
      <c r="Z1232" t="s">
        <v>5</v>
      </c>
      <c r="AA1232">
        <v>141.28</v>
      </c>
      <c r="AB1232">
        <v>0</v>
      </c>
      <c r="AC1232">
        <v>0</v>
      </c>
      <c r="AD1232" t="s">
        <v>3</v>
      </c>
      <c r="AE1232" t="s">
        <v>0</v>
      </c>
      <c r="AF1232" t="s">
        <v>3</v>
      </c>
      <c r="AG1232" t="s">
        <v>2</v>
      </c>
      <c r="AI1232" t="s">
        <v>23</v>
      </c>
      <c r="AJ1232">
        <v>3</v>
      </c>
      <c r="AK1232">
        <v>15</v>
      </c>
      <c r="AL1232">
        <v>0</v>
      </c>
      <c r="AM1232" t="s">
        <v>247</v>
      </c>
      <c r="AN1232">
        <v>1</v>
      </c>
      <c r="AO1232">
        <v>1</v>
      </c>
      <c r="AP1232">
        <v>0</v>
      </c>
      <c r="AQ1232">
        <v>0</v>
      </c>
    </row>
    <row r="1233" spans="1:43" x14ac:dyDescent="0.25">
      <c r="A1233" t="s">
        <v>738</v>
      </c>
      <c r="B1233" t="s">
        <v>737</v>
      </c>
      <c r="C1233" t="s">
        <v>736</v>
      </c>
      <c r="D1233" s="1">
        <v>45681</v>
      </c>
      <c r="E1233" t="s">
        <v>79</v>
      </c>
      <c r="F1233" t="s">
        <v>78</v>
      </c>
      <c r="G1233" t="s">
        <v>17</v>
      </c>
      <c r="H1233" t="s">
        <v>77</v>
      </c>
      <c r="I1233" t="s">
        <v>15</v>
      </c>
      <c r="J1233" t="s">
        <v>14</v>
      </c>
      <c r="K1233" t="s">
        <v>76</v>
      </c>
      <c r="L1233" t="s">
        <v>42</v>
      </c>
      <c r="M1233" t="s">
        <v>11</v>
      </c>
      <c r="N1233" t="s">
        <v>75</v>
      </c>
      <c r="O1233" t="s">
        <v>74</v>
      </c>
      <c r="P1233" t="s">
        <v>39</v>
      </c>
      <c r="Q1233" t="s">
        <v>7</v>
      </c>
      <c r="R1233" t="s">
        <v>6</v>
      </c>
      <c r="S1233">
        <v>6</v>
      </c>
      <c r="T1233">
        <v>6</v>
      </c>
      <c r="U1233">
        <v>177</v>
      </c>
      <c r="V1233" t="s">
        <v>0</v>
      </c>
      <c r="W1233" t="s">
        <v>5</v>
      </c>
      <c r="X1233" t="s">
        <v>0</v>
      </c>
      <c r="Y1233" t="s">
        <v>4</v>
      </c>
      <c r="Z1233" t="s">
        <v>5</v>
      </c>
      <c r="AA1233">
        <v>37.82</v>
      </c>
      <c r="AB1233">
        <v>0</v>
      </c>
      <c r="AC1233">
        <v>0</v>
      </c>
      <c r="AD1233" t="s">
        <v>3</v>
      </c>
      <c r="AE1233" t="s">
        <v>0</v>
      </c>
      <c r="AF1233" t="s">
        <v>3</v>
      </c>
      <c r="AG1233" t="s">
        <v>2</v>
      </c>
      <c r="AI1233" t="s">
        <v>23</v>
      </c>
      <c r="AJ1233">
        <v>8</v>
      </c>
      <c r="AK1233">
        <v>8</v>
      </c>
      <c r="AL1233">
        <v>59</v>
      </c>
      <c r="AM1233" t="s">
        <v>0</v>
      </c>
      <c r="AN1233">
        <v>1</v>
      </c>
      <c r="AO1233">
        <v>1</v>
      </c>
      <c r="AP1233">
        <v>0</v>
      </c>
      <c r="AQ1233">
        <v>0</v>
      </c>
    </row>
    <row r="1234" spans="1:43" x14ac:dyDescent="0.25">
      <c r="A1234" t="s">
        <v>735</v>
      </c>
      <c r="B1234" t="s">
        <v>402</v>
      </c>
      <c r="C1234" t="s">
        <v>734</v>
      </c>
      <c r="D1234" s="1">
        <v>45760</v>
      </c>
      <c r="E1234" t="s">
        <v>112</v>
      </c>
      <c r="F1234" t="s">
        <v>642</v>
      </c>
      <c r="G1234" t="s">
        <v>110</v>
      </c>
      <c r="H1234" t="s">
        <v>77</v>
      </c>
      <c r="I1234" t="s">
        <v>28</v>
      </c>
      <c r="J1234" t="s">
        <v>14</v>
      </c>
      <c r="K1234" t="s">
        <v>13</v>
      </c>
      <c r="L1234" t="s">
        <v>88</v>
      </c>
      <c r="M1234" t="s">
        <v>53</v>
      </c>
      <c r="N1234" t="s">
        <v>52</v>
      </c>
      <c r="O1234" t="s">
        <v>199</v>
      </c>
      <c r="P1234" t="s">
        <v>39</v>
      </c>
      <c r="Q1234" t="s">
        <v>7</v>
      </c>
      <c r="R1234" t="s">
        <v>6</v>
      </c>
      <c r="S1234" t="s">
        <v>277</v>
      </c>
      <c r="T1234" t="s">
        <v>277</v>
      </c>
      <c r="U1234">
        <v>133</v>
      </c>
      <c r="V1234" t="s">
        <v>0</v>
      </c>
      <c r="W1234" t="s">
        <v>5</v>
      </c>
      <c r="X1234" t="s">
        <v>0</v>
      </c>
      <c r="Y1234" t="s">
        <v>4</v>
      </c>
      <c r="Z1234" t="s">
        <v>5</v>
      </c>
      <c r="AA1234">
        <v>127.48</v>
      </c>
      <c r="AB1234">
        <v>0</v>
      </c>
      <c r="AC1234">
        <v>0.17</v>
      </c>
      <c r="AD1234" t="s">
        <v>3</v>
      </c>
      <c r="AE1234" t="s">
        <v>0</v>
      </c>
      <c r="AF1234" t="s">
        <v>3</v>
      </c>
      <c r="AG1234" t="s">
        <v>2</v>
      </c>
      <c r="AI1234" t="s">
        <v>23</v>
      </c>
      <c r="AJ1234">
        <v>5</v>
      </c>
      <c r="AK1234">
        <v>-8</v>
      </c>
      <c r="AL1234">
        <v>20</v>
      </c>
      <c r="AM1234" t="s">
        <v>0</v>
      </c>
      <c r="AN1234">
        <v>1</v>
      </c>
      <c r="AO1234">
        <v>1</v>
      </c>
      <c r="AP1234">
        <v>0</v>
      </c>
      <c r="AQ1234">
        <v>0</v>
      </c>
    </row>
    <row r="1235" spans="1:43" x14ac:dyDescent="0.25">
      <c r="A1235" t="s">
        <v>733</v>
      </c>
      <c r="B1235" t="s">
        <v>732</v>
      </c>
      <c r="C1235" t="s">
        <v>731</v>
      </c>
      <c r="D1235" s="1">
        <v>46174</v>
      </c>
      <c r="E1235" t="s">
        <v>19</v>
      </c>
      <c r="F1235" t="s">
        <v>89</v>
      </c>
      <c r="G1235" t="s">
        <v>131</v>
      </c>
      <c r="H1235" t="s">
        <v>66</v>
      </c>
      <c r="I1235" t="s">
        <v>15</v>
      </c>
      <c r="J1235" t="s">
        <v>146</v>
      </c>
      <c r="K1235" t="s">
        <v>176</v>
      </c>
      <c r="L1235" t="s">
        <v>64</v>
      </c>
      <c r="M1235" t="s">
        <v>27</v>
      </c>
      <c r="N1235" t="s">
        <v>75</v>
      </c>
      <c r="O1235" t="s">
        <v>51</v>
      </c>
      <c r="P1235" t="s">
        <v>63</v>
      </c>
      <c r="Q1235" t="s">
        <v>7</v>
      </c>
      <c r="R1235" t="s">
        <v>6</v>
      </c>
      <c r="S1235">
        <v>6</v>
      </c>
      <c r="T1235">
        <v>6</v>
      </c>
      <c r="U1235">
        <v>160</v>
      </c>
      <c r="V1235" t="s">
        <v>0</v>
      </c>
      <c r="W1235" t="s">
        <v>0</v>
      </c>
      <c r="X1235" t="s">
        <v>0</v>
      </c>
      <c r="Y1235" t="s">
        <v>4</v>
      </c>
      <c r="Z1235" t="s">
        <v>0</v>
      </c>
      <c r="AA1235">
        <v>0</v>
      </c>
      <c r="AB1235">
        <v>0</v>
      </c>
      <c r="AC1235">
        <v>0</v>
      </c>
      <c r="AD1235" t="s">
        <v>3</v>
      </c>
      <c r="AE1235" t="s">
        <v>247</v>
      </c>
      <c r="AF1235" t="s">
        <v>3</v>
      </c>
      <c r="AG1235" t="s">
        <v>2</v>
      </c>
      <c r="AI1235" t="s">
        <v>23</v>
      </c>
      <c r="AJ1235">
        <v>3</v>
      </c>
      <c r="AK1235">
        <v>14</v>
      </c>
      <c r="AL1235">
        <v>0</v>
      </c>
      <c r="AM1235" t="s">
        <v>247</v>
      </c>
      <c r="AN1235">
        <v>0</v>
      </c>
      <c r="AO1235">
        <v>0</v>
      </c>
      <c r="AP1235">
        <v>0</v>
      </c>
      <c r="AQ1235">
        <v>0</v>
      </c>
    </row>
    <row r="1236" spans="1:43" x14ac:dyDescent="0.25">
      <c r="A1236" t="s">
        <v>730</v>
      </c>
      <c r="B1236" t="s">
        <v>729</v>
      </c>
      <c r="C1236" t="s">
        <v>728</v>
      </c>
      <c r="D1236" s="1">
        <v>45818</v>
      </c>
      <c r="E1236" t="s">
        <v>32</v>
      </c>
      <c r="F1236" t="s">
        <v>382</v>
      </c>
      <c r="G1236" t="s">
        <v>123</v>
      </c>
      <c r="H1236" t="s">
        <v>77</v>
      </c>
      <c r="I1236" t="s">
        <v>28</v>
      </c>
      <c r="J1236" t="s">
        <v>14</v>
      </c>
      <c r="K1236" t="s">
        <v>13</v>
      </c>
      <c r="L1236" t="s">
        <v>42</v>
      </c>
      <c r="M1236" t="s">
        <v>11</v>
      </c>
      <c r="N1236" t="s">
        <v>75</v>
      </c>
      <c r="O1236" t="s">
        <v>199</v>
      </c>
      <c r="P1236" t="s">
        <v>63</v>
      </c>
      <c r="Q1236" t="s">
        <v>7</v>
      </c>
      <c r="R1236" t="s">
        <v>6</v>
      </c>
      <c r="S1236">
        <v>5</v>
      </c>
      <c r="T1236">
        <v>5</v>
      </c>
      <c r="U1236">
        <v>112</v>
      </c>
      <c r="V1236" t="s">
        <v>0</v>
      </c>
      <c r="W1236" t="s">
        <v>5</v>
      </c>
      <c r="X1236" t="s">
        <v>0</v>
      </c>
      <c r="Y1236" t="s">
        <v>4</v>
      </c>
      <c r="Z1236" t="s">
        <v>5</v>
      </c>
      <c r="AA1236">
        <v>94.53</v>
      </c>
      <c r="AB1236">
        <v>0</v>
      </c>
      <c r="AC1236">
        <v>0</v>
      </c>
      <c r="AD1236" t="s">
        <v>3</v>
      </c>
      <c r="AE1236" t="s">
        <v>0</v>
      </c>
      <c r="AF1236" t="s">
        <v>3</v>
      </c>
      <c r="AG1236" t="s">
        <v>2</v>
      </c>
      <c r="AI1236" t="s">
        <v>23</v>
      </c>
      <c r="AJ1236">
        <v>4</v>
      </c>
      <c r="AK1236">
        <v>76</v>
      </c>
      <c r="AL1236">
        <v>0</v>
      </c>
      <c r="AM1236" t="s">
        <v>5</v>
      </c>
      <c r="AN1236">
        <v>1</v>
      </c>
      <c r="AO1236">
        <v>1</v>
      </c>
      <c r="AP1236">
        <v>0</v>
      </c>
      <c r="AQ1236">
        <v>1</v>
      </c>
    </row>
    <row r="1237" spans="1:43" x14ac:dyDescent="0.25">
      <c r="A1237" t="s">
        <v>727</v>
      </c>
      <c r="B1237" t="s">
        <v>726</v>
      </c>
      <c r="C1237" t="s">
        <v>725</v>
      </c>
      <c r="D1237" s="1">
        <v>45789</v>
      </c>
      <c r="E1237" t="s">
        <v>45</v>
      </c>
      <c r="F1237" t="s">
        <v>348</v>
      </c>
      <c r="G1237" t="s">
        <v>56</v>
      </c>
      <c r="H1237" t="s">
        <v>16</v>
      </c>
      <c r="I1237" t="s">
        <v>15</v>
      </c>
      <c r="J1237" t="s">
        <v>146</v>
      </c>
      <c r="K1237" t="s">
        <v>176</v>
      </c>
      <c r="L1237" t="s">
        <v>12</v>
      </c>
      <c r="M1237" t="s">
        <v>11</v>
      </c>
      <c r="N1237" t="s">
        <v>269</v>
      </c>
      <c r="O1237" t="s">
        <v>9</v>
      </c>
      <c r="P1237" t="s">
        <v>63</v>
      </c>
      <c r="Q1237" t="s">
        <v>100</v>
      </c>
      <c r="R1237" t="s">
        <v>38</v>
      </c>
      <c r="S1237">
        <v>7</v>
      </c>
      <c r="T1237">
        <v>7</v>
      </c>
      <c r="U1237">
        <v>162</v>
      </c>
      <c r="V1237" t="s">
        <v>0</v>
      </c>
      <c r="W1237" t="s">
        <v>0</v>
      </c>
      <c r="X1237" t="s">
        <v>0</v>
      </c>
      <c r="Y1237" t="s">
        <v>4</v>
      </c>
      <c r="Z1237" t="s">
        <v>0</v>
      </c>
      <c r="AA1237">
        <v>0</v>
      </c>
      <c r="AB1237">
        <v>0</v>
      </c>
      <c r="AC1237">
        <v>0</v>
      </c>
      <c r="AD1237" t="s">
        <v>3</v>
      </c>
      <c r="AE1237" t="s">
        <v>0</v>
      </c>
      <c r="AF1237" t="s">
        <v>3</v>
      </c>
      <c r="AG1237" t="s">
        <v>2</v>
      </c>
      <c r="AI1237" t="s">
        <v>23</v>
      </c>
      <c r="AJ1237">
        <v>4</v>
      </c>
      <c r="AK1237">
        <v>7</v>
      </c>
      <c r="AL1237">
        <v>0</v>
      </c>
      <c r="AM1237" t="s">
        <v>5</v>
      </c>
      <c r="AN1237">
        <v>0</v>
      </c>
      <c r="AO1237">
        <v>0</v>
      </c>
      <c r="AP1237">
        <v>0</v>
      </c>
      <c r="AQ1237">
        <v>1</v>
      </c>
    </row>
    <row r="1238" spans="1:43" x14ac:dyDescent="0.25">
      <c r="A1238" t="s">
        <v>724</v>
      </c>
      <c r="B1238" t="s">
        <v>250</v>
      </c>
      <c r="C1238" t="s">
        <v>723</v>
      </c>
      <c r="D1238" s="1">
        <v>45729</v>
      </c>
      <c r="E1238" t="s">
        <v>149</v>
      </c>
      <c r="F1238" t="s">
        <v>148</v>
      </c>
      <c r="G1238" t="s">
        <v>123</v>
      </c>
      <c r="H1238" t="s">
        <v>16</v>
      </c>
      <c r="I1238" t="s">
        <v>28</v>
      </c>
      <c r="J1238" t="s">
        <v>55</v>
      </c>
      <c r="K1238" t="s">
        <v>54</v>
      </c>
      <c r="L1238" t="s">
        <v>64</v>
      </c>
      <c r="M1238" t="s">
        <v>11</v>
      </c>
      <c r="N1238" t="s">
        <v>116</v>
      </c>
      <c r="O1238" t="s">
        <v>101</v>
      </c>
      <c r="P1238" t="s">
        <v>39</v>
      </c>
      <c r="Q1238" t="s">
        <v>7</v>
      </c>
      <c r="R1238" t="s">
        <v>6</v>
      </c>
      <c r="S1238">
        <v>4</v>
      </c>
      <c r="T1238">
        <v>4</v>
      </c>
      <c r="U1238">
        <v>74</v>
      </c>
      <c r="V1238" t="s">
        <v>0</v>
      </c>
      <c r="W1238" t="s">
        <v>5</v>
      </c>
      <c r="X1238" t="s">
        <v>0</v>
      </c>
      <c r="Y1238" t="s">
        <v>4</v>
      </c>
      <c r="Z1238" t="s">
        <v>5</v>
      </c>
      <c r="AA1238">
        <v>139.68</v>
      </c>
      <c r="AB1238">
        <v>0.55000000000000004</v>
      </c>
      <c r="AC1238">
        <v>0</v>
      </c>
      <c r="AD1238" t="s">
        <v>3</v>
      </c>
      <c r="AE1238" t="s">
        <v>0</v>
      </c>
      <c r="AF1238" t="s">
        <v>3</v>
      </c>
      <c r="AG1238" t="s">
        <v>2</v>
      </c>
      <c r="AI1238" t="s">
        <v>23</v>
      </c>
      <c r="AJ1238">
        <v>4</v>
      </c>
      <c r="AK1238">
        <v>-9</v>
      </c>
      <c r="AL1238">
        <v>21</v>
      </c>
      <c r="AM1238" t="s">
        <v>5</v>
      </c>
      <c r="AN1238">
        <v>1</v>
      </c>
      <c r="AO1238">
        <v>1</v>
      </c>
      <c r="AP1238">
        <v>0</v>
      </c>
      <c r="AQ1238">
        <v>1</v>
      </c>
    </row>
    <row r="1239" spans="1:43" x14ac:dyDescent="0.25">
      <c r="A1239" t="s">
        <v>722</v>
      </c>
      <c r="B1239" t="s">
        <v>721</v>
      </c>
      <c r="C1239" t="s">
        <v>720</v>
      </c>
      <c r="D1239" s="1">
        <v>45791</v>
      </c>
      <c r="E1239" t="s">
        <v>156</v>
      </c>
      <c r="F1239" t="s">
        <v>325</v>
      </c>
      <c r="G1239" t="s">
        <v>110</v>
      </c>
      <c r="H1239" t="s">
        <v>29</v>
      </c>
      <c r="I1239" t="s">
        <v>15</v>
      </c>
      <c r="J1239" t="s">
        <v>14</v>
      </c>
      <c r="K1239" t="s">
        <v>13</v>
      </c>
      <c r="L1239" t="s">
        <v>64</v>
      </c>
      <c r="M1239" t="s">
        <v>27</v>
      </c>
      <c r="N1239" t="s">
        <v>93</v>
      </c>
      <c r="O1239" t="s">
        <v>26</v>
      </c>
      <c r="P1239" t="s">
        <v>39</v>
      </c>
      <c r="Q1239" t="s">
        <v>7</v>
      </c>
      <c r="R1239" t="s">
        <v>6</v>
      </c>
      <c r="S1239">
        <v>4</v>
      </c>
      <c r="T1239">
        <v>4</v>
      </c>
      <c r="U1239">
        <v>76</v>
      </c>
      <c r="V1239" t="s">
        <v>0</v>
      </c>
      <c r="W1239" t="s">
        <v>5</v>
      </c>
      <c r="X1239" t="s">
        <v>0</v>
      </c>
      <c r="Y1239" t="s">
        <v>4</v>
      </c>
      <c r="Z1239" t="s">
        <v>5</v>
      </c>
      <c r="AA1239">
        <v>198.29</v>
      </c>
      <c r="AB1239">
        <v>0.21</v>
      </c>
      <c r="AC1239">
        <v>0.37</v>
      </c>
      <c r="AD1239" t="s">
        <v>37</v>
      </c>
      <c r="AE1239" t="s">
        <v>5</v>
      </c>
      <c r="AF1239" t="s">
        <v>37</v>
      </c>
      <c r="AG1239" t="s">
        <v>36</v>
      </c>
      <c r="AH1239">
        <v>34</v>
      </c>
      <c r="AI1239" t="s">
        <v>23</v>
      </c>
      <c r="AJ1239">
        <v>5</v>
      </c>
      <c r="AK1239">
        <v>25</v>
      </c>
      <c r="AL1239">
        <v>67</v>
      </c>
      <c r="AM1239" t="s">
        <v>5</v>
      </c>
      <c r="AN1239">
        <v>1</v>
      </c>
      <c r="AO1239">
        <v>1</v>
      </c>
      <c r="AP1239">
        <v>0</v>
      </c>
      <c r="AQ1239">
        <v>1</v>
      </c>
    </row>
    <row r="1240" spans="1:43" x14ac:dyDescent="0.25">
      <c r="A1240" t="s">
        <v>719</v>
      </c>
      <c r="B1240" t="s">
        <v>718</v>
      </c>
      <c r="C1240" t="s">
        <v>717</v>
      </c>
      <c r="D1240" s="1">
        <v>45953</v>
      </c>
      <c r="E1240" t="s">
        <v>68</v>
      </c>
      <c r="F1240" t="s">
        <v>67</v>
      </c>
      <c r="G1240" t="s">
        <v>17</v>
      </c>
      <c r="H1240" t="s">
        <v>16</v>
      </c>
      <c r="I1240" t="s">
        <v>28</v>
      </c>
      <c r="J1240" t="s">
        <v>55</v>
      </c>
      <c r="K1240" t="s">
        <v>54</v>
      </c>
      <c r="L1240" t="s">
        <v>64</v>
      </c>
      <c r="M1240" t="s">
        <v>11</v>
      </c>
      <c r="N1240" t="s">
        <v>154</v>
      </c>
      <c r="O1240" t="s">
        <v>130</v>
      </c>
      <c r="P1240" t="s">
        <v>63</v>
      </c>
      <c r="Q1240" t="s">
        <v>7</v>
      </c>
      <c r="R1240" t="s">
        <v>6</v>
      </c>
      <c r="S1240">
        <v>5</v>
      </c>
      <c r="T1240">
        <v>5</v>
      </c>
      <c r="U1240">
        <v>153</v>
      </c>
      <c r="V1240" t="s">
        <v>0</v>
      </c>
      <c r="W1240" t="s">
        <v>5</v>
      </c>
      <c r="X1240" t="s">
        <v>0</v>
      </c>
      <c r="Y1240" t="s">
        <v>4</v>
      </c>
      <c r="Z1240" t="s">
        <v>0</v>
      </c>
      <c r="AA1240">
        <v>0</v>
      </c>
      <c r="AB1240">
        <v>0</v>
      </c>
      <c r="AC1240">
        <v>0</v>
      </c>
      <c r="AD1240" t="s">
        <v>3</v>
      </c>
      <c r="AE1240" t="s">
        <v>0</v>
      </c>
      <c r="AF1240" t="s">
        <v>3</v>
      </c>
      <c r="AG1240" t="s">
        <v>2</v>
      </c>
      <c r="AI1240" t="s">
        <v>23</v>
      </c>
      <c r="AJ1240">
        <v>4</v>
      </c>
      <c r="AK1240">
        <v>27</v>
      </c>
      <c r="AL1240">
        <v>0</v>
      </c>
      <c r="AM1240" t="s">
        <v>5</v>
      </c>
      <c r="AN1240">
        <v>1</v>
      </c>
      <c r="AO1240">
        <v>0</v>
      </c>
      <c r="AP1240">
        <v>0</v>
      </c>
      <c r="AQ1240">
        <v>1</v>
      </c>
    </row>
    <row r="1241" spans="1:43" x14ac:dyDescent="0.25">
      <c r="A1241" t="s">
        <v>716</v>
      </c>
      <c r="B1241" t="s">
        <v>715</v>
      </c>
      <c r="C1241" t="s">
        <v>714</v>
      </c>
      <c r="D1241" s="1">
        <v>45709</v>
      </c>
      <c r="E1241" t="s">
        <v>32</v>
      </c>
      <c r="F1241" t="s">
        <v>107</v>
      </c>
      <c r="G1241" t="s">
        <v>123</v>
      </c>
      <c r="H1241" t="s">
        <v>237</v>
      </c>
      <c r="I1241" t="s">
        <v>15</v>
      </c>
      <c r="J1241" t="s">
        <v>146</v>
      </c>
      <c r="K1241" t="s">
        <v>176</v>
      </c>
      <c r="L1241" t="s">
        <v>42</v>
      </c>
      <c r="M1241" t="s">
        <v>11</v>
      </c>
      <c r="N1241" t="s">
        <v>41</v>
      </c>
      <c r="O1241" t="s">
        <v>130</v>
      </c>
      <c r="P1241" t="s">
        <v>39</v>
      </c>
      <c r="Q1241" t="s">
        <v>24</v>
      </c>
      <c r="R1241" t="s">
        <v>6</v>
      </c>
      <c r="S1241">
        <v>5</v>
      </c>
      <c r="T1241">
        <v>5</v>
      </c>
      <c r="U1241">
        <v>96</v>
      </c>
      <c r="V1241" t="s">
        <v>0</v>
      </c>
      <c r="W1241" t="s">
        <v>0</v>
      </c>
      <c r="X1241" t="s">
        <v>0</v>
      </c>
      <c r="Y1241" t="s">
        <v>4</v>
      </c>
      <c r="Z1241" t="s">
        <v>0</v>
      </c>
      <c r="AA1241">
        <v>0</v>
      </c>
      <c r="AB1241">
        <v>0</v>
      </c>
      <c r="AC1241">
        <v>0</v>
      </c>
      <c r="AD1241" t="s">
        <v>3</v>
      </c>
      <c r="AE1241" t="s">
        <v>0</v>
      </c>
      <c r="AF1241" t="s">
        <v>3</v>
      </c>
      <c r="AG1241" t="s">
        <v>2</v>
      </c>
      <c r="AI1241" t="s">
        <v>544</v>
      </c>
      <c r="AJ1241">
        <v>4</v>
      </c>
      <c r="AK1241">
        <v>34</v>
      </c>
      <c r="AL1241">
        <v>1</v>
      </c>
      <c r="AM1241" t="s">
        <v>0</v>
      </c>
      <c r="AN1241">
        <v>0</v>
      </c>
      <c r="AO1241">
        <v>0</v>
      </c>
      <c r="AP1241">
        <v>0</v>
      </c>
      <c r="AQ1241">
        <v>0</v>
      </c>
    </row>
    <row r="1242" spans="1:43" x14ac:dyDescent="0.25">
      <c r="A1242" t="s">
        <v>713</v>
      </c>
      <c r="B1242" t="s">
        <v>712</v>
      </c>
      <c r="C1242" t="s">
        <v>711</v>
      </c>
      <c r="D1242" s="1">
        <v>45761</v>
      </c>
      <c r="E1242" t="s">
        <v>79</v>
      </c>
      <c r="F1242" t="s">
        <v>710</v>
      </c>
      <c r="G1242" t="s">
        <v>30</v>
      </c>
      <c r="H1242" t="s">
        <v>77</v>
      </c>
      <c r="I1242" t="s">
        <v>28</v>
      </c>
      <c r="J1242" t="s">
        <v>14</v>
      </c>
      <c r="K1242" t="s">
        <v>13</v>
      </c>
      <c r="L1242" t="s">
        <v>88</v>
      </c>
      <c r="M1242" t="s">
        <v>53</v>
      </c>
      <c r="N1242" t="s">
        <v>10</v>
      </c>
      <c r="O1242" t="s">
        <v>101</v>
      </c>
      <c r="P1242" t="s">
        <v>63</v>
      </c>
      <c r="Q1242" t="s">
        <v>100</v>
      </c>
      <c r="R1242" t="s">
        <v>6</v>
      </c>
      <c r="S1242">
        <v>4</v>
      </c>
      <c r="T1242">
        <v>4</v>
      </c>
      <c r="U1242">
        <v>99</v>
      </c>
      <c r="V1242" t="s">
        <v>0</v>
      </c>
      <c r="W1242" t="s">
        <v>5</v>
      </c>
      <c r="X1242" t="s">
        <v>181</v>
      </c>
      <c r="Y1242" t="s">
        <v>4</v>
      </c>
      <c r="Z1242" t="s">
        <v>5</v>
      </c>
      <c r="AA1242">
        <v>46.76</v>
      </c>
      <c r="AB1242">
        <v>0.46</v>
      </c>
      <c r="AC1242">
        <v>0.17</v>
      </c>
      <c r="AD1242" t="s">
        <v>3</v>
      </c>
      <c r="AE1242" t="s">
        <v>0</v>
      </c>
      <c r="AF1242" t="s">
        <v>3</v>
      </c>
      <c r="AG1242" t="s">
        <v>2</v>
      </c>
      <c r="AI1242" t="s">
        <v>23</v>
      </c>
      <c r="AJ1242">
        <v>4</v>
      </c>
      <c r="AK1242">
        <v>54</v>
      </c>
      <c r="AL1242">
        <v>0</v>
      </c>
      <c r="AM1242" t="s">
        <v>5</v>
      </c>
      <c r="AN1242">
        <v>1</v>
      </c>
      <c r="AO1242">
        <v>1</v>
      </c>
      <c r="AP1242">
        <v>0</v>
      </c>
      <c r="AQ1242">
        <v>1</v>
      </c>
    </row>
    <row r="1243" spans="1:43" x14ac:dyDescent="0.25">
      <c r="A1243" t="s">
        <v>709</v>
      </c>
      <c r="B1243" t="s">
        <v>708</v>
      </c>
      <c r="C1243" t="s">
        <v>707</v>
      </c>
      <c r="D1243" s="1">
        <v>45764</v>
      </c>
      <c r="E1243" t="s">
        <v>125</v>
      </c>
      <c r="F1243" t="s">
        <v>140</v>
      </c>
      <c r="G1243" t="s">
        <v>123</v>
      </c>
      <c r="H1243" t="s">
        <v>29</v>
      </c>
      <c r="I1243" t="s">
        <v>15</v>
      </c>
      <c r="J1243" t="s">
        <v>14</v>
      </c>
      <c r="K1243" t="s">
        <v>13</v>
      </c>
      <c r="L1243" t="s">
        <v>42</v>
      </c>
      <c r="M1243" t="s">
        <v>53</v>
      </c>
      <c r="N1243" t="s">
        <v>41</v>
      </c>
      <c r="O1243" t="s">
        <v>193</v>
      </c>
      <c r="P1243" t="s">
        <v>39</v>
      </c>
      <c r="Q1243" t="s">
        <v>24</v>
      </c>
      <c r="R1243" t="s">
        <v>38</v>
      </c>
      <c r="S1243">
        <v>9</v>
      </c>
      <c r="T1243">
        <v>9</v>
      </c>
      <c r="U1243">
        <v>218</v>
      </c>
      <c r="V1243" t="s">
        <v>0</v>
      </c>
      <c r="W1243" t="s">
        <v>5</v>
      </c>
      <c r="X1243" t="s">
        <v>0</v>
      </c>
      <c r="Y1243" t="s">
        <v>4</v>
      </c>
      <c r="Z1243" t="s">
        <v>5</v>
      </c>
      <c r="AA1243">
        <v>98.17</v>
      </c>
      <c r="AB1243">
        <v>2.71</v>
      </c>
      <c r="AC1243">
        <v>0.17</v>
      </c>
      <c r="AD1243" t="s">
        <v>3</v>
      </c>
      <c r="AE1243" t="s">
        <v>0</v>
      </c>
      <c r="AF1243" t="s">
        <v>3</v>
      </c>
      <c r="AG1243" t="s">
        <v>2</v>
      </c>
      <c r="AI1243" t="s">
        <v>23</v>
      </c>
      <c r="AJ1243">
        <v>4</v>
      </c>
      <c r="AK1243">
        <v>17</v>
      </c>
      <c r="AL1243">
        <v>19</v>
      </c>
      <c r="AM1243" t="s">
        <v>5</v>
      </c>
      <c r="AN1243">
        <v>1</v>
      </c>
      <c r="AO1243">
        <v>1</v>
      </c>
      <c r="AP1243">
        <v>0</v>
      </c>
      <c r="AQ1243">
        <v>1</v>
      </c>
    </row>
    <row r="1244" spans="1:43" x14ac:dyDescent="0.25">
      <c r="A1244" t="s">
        <v>706</v>
      </c>
      <c r="B1244" t="s">
        <v>705</v>
      </c>
      <c r="C1244" t="s">
        <v>704</v>
      </c>
      <c r="D1244" s="1">
        <v>45954</v>
      </c>
      <c r="E1244" t="s">
        <v>45</v>
      </c>
      <c r="F1244" t="s">
        <v>348</v>
      </c>
      <c r="G1244" t="s">
        <v>83</v>
      </c>
      <c r="H1244" t="s">
        <v>66</v>
      </c>
      <c r="I1244" t="s">
        <v>15</v>
      </c>
      <c r="J1244" t="s">
        <v>55</v>
      </c>
      <c r="K1244" t="s">
        <v>54</v>
      </c>
      <c r="L1244" t="s">
        <v>12</v>
      </c>
      <c r="M1244" t="s">
        <v>53</v>
      </c>
      <c r="N1244" t="s">
        <v>93</v>
      </c>
      <c r="O1244" t="s">
        <v>26</v>
      </c>
      <c r="P1244" t="s">
        <v>39</v>
      </c>
      <c r="Q1244" t="s">
        <v>7</v>
      </c>
      <c r="R1244" t="s">
        <v>6</v>
      </c>
      <c r="S1244" t="s">
        <v>99</v>
      </c>
      <c r="T1244">
        <v>4</v>
      </c>
      <c r="U1244">
        <v>81</v>
      </c>
      <c r="V1244" t="s">
        <v>0</v>
      </c>
      <c r="W1244" t="s">
        <v>5</v>
      </c>
      <c r="X1244" t="s">
        <v>0</v>
      </c>
      <c r="Y1244" t="s">
        <v>4</v>
      </c>
      <c r="Z1244" t="s">
        <v>5</v>
      </c>
      <c r="AA1244">
        <v>139.04</v>
      </c>
      <c r="AB1244">
        <v>0.18</v>
      </c>
      <c r="AC1244">
        <v>0.17</v>
      </c>
      <c r="AD1244" t="s">
        <v>3</v>
      </c>
      <c r="AE1244" t="s">
        <v>0</v>
      </c>
      <c r="AF1244" t="s">
        <v>3</v>
      </c>
      <c r="AG1244" t="s">
        <v>2</v>
      </c>
      <c r="AI1244" t="s">
        <v>23</v>
      </c>
      <c r="AJ1244">
        <v>5</v>
      </c>
      <c r="AK1244">
        <v>70</v>
      </c>
      <c r="AL1244">
        <v>21</v>
      </c>
      <c r="AM1244" t="s">
        <v>0</v>
      </c>
      <c r="AN1244">
        <v>1</v>
      </c>
      <c r="AO1244">
        <v>1</v>
      </c>
      <c r="AP1244">
        <v>0</v>
      </c>
      <c r="AQ1244">
        <v>0</v>
      </c>
    </row>
    <row r="1245" spans="1:43" x14ac:dyDescent="0.25">
      <c r="A1245" t="s">
        <v>703</v>
      </c>
      <c r="B1245" t="s">
        <v>561</v>
      </c>
      <c r="C1245" t="s">
        <v>702</v>
      </c>
      <c r="D1245" s="1">
        <v>45806</v>
      </c>
      <c r="E1245" t="s">
        <v>162</v>
      </c>
      <c r="F1245" t="s">
        <v>161</v>
      </c>
      <c r="G1245" t="s">
        <v>17</v>
      </c>
      <c r="H1245" t="s">
        <v>77</v>
      </c>
      <c r="I1245" t="s">
        <v>15</v>
      </c>
      <c r="J1245" t="s">
        <v>55</v>
      </c>
      <c r="K1245" t="s">
        <v>54</v>
      </c>
      <c r="L1245" t="s">
        <v>117</v>
      </c>
      <c r="M1245" t="s">
        <v>11</v>
      </c>
      <c r="N1245" t="s">
        <v>10</v>
      </c>
      <c r="O1245" t="s">
        <v>101</v>
      </c>
      <c r="P1245" t="s">
        <v>8</v>
      </c>
      <c r="Q1245" t="s">
        <v>50</v>
      </c>
      <c r="R1245" t="s">
        <v>38</v>
      </c>
      <c r="S1245">
        <v>4</v>
      </c>
      <c r="T1245">
        <v>4</v>
      </c>
      <c r="U1245">
        <v>125</v>
      </c>
      <c r="V1245" t="s">
        <v>0</v>
      </c>
      <c r="W1245" t="s">
        <v>5</v>
      </c>
      <c r="X1245" t="s">
        <v>0</v>
      </c>
      <c r="Y1245" t="s">
        <v>4</v>
      </c>
      <c r="Z1245" t="s">
        <v>5</v>
      </c>
      <c r="AA1245">
        <v>125.41</v>
      </c>
      <c r="AB1245">
        <v>0.44</v>
      </c>
      <c r="AC1245">
        <v>0</v>
      </c>
      <c r="AD1245" t="s">
        <v>3</v>
      </c>
      <c r="AE1245" t="s">
        <v>0</v>
      </c>
      <c r="AF1245" t="s">
        <v>3</v>
      </c>
      <c r="AG1245" t="s">
        <v>2</v>
      </c>
      <c r="AI1245" t="s">
        <v>23</v>
      </c>
      <c r="AJ1245">
        <v>4</v>
      </c>
      <c r="AK1245">
        <v>47</v>
      </c>
      <c r="AL1245">
        <v>11</v>
      </c>
      <c r="AM1245" t="s">
        <v>5</v>
      </c>
      <c r="AN1245">
        <v>1</v>
      </c>
      <c r="AO1245">
        <v>1</v>
      </c>
      <c r="AP1245">
        <v>0</v>
      </c>
      <c r="AQ1245">
        <v>1</v>
      </c>
    </row>
    <row r="1246" spans="1:43" x14ac:dyDescent="0.25">
      <c r="A1246" t="s">
        <v>701</v>
      </c>
      <c r="B1246" t="s">
        <v>418</v>
      </c>
      <c r="C1246" t="s">
        <v>700</v>
      </c>
      <c r="D1246" s="1">
        <v>46014</v>
      </c>
      <c r="E1246" t="s">
        <v>95</v>
      </c>
      <c r="F1246" t="s">
        <v>338</v>
      </c>
      <c r="G1246" t="s">
        <v>30</v>
      </c>
      <c r="H1246" t="s">
        <v>77</v>
      </c>
      <c r="I1246" t="s">
        <v>15</v>
      </c>
      <c r="J1246" t="s">
        <v>146</v>
      </c>
      <c r="K1246" t="s">
        <v>176</v>
      </c>
      <c r="L1246" t="s">
        <v>88</v>
      </c>
      <c r="M1246" t="s">
        <v>11</v>
      </c>
      <c r="N1246" t="s">
        <v>93</v>
      </c>
      <c r="O1246" t="s">
        <v>9</v>
      </c>
      <c r="P1246" t="s">
        <v>39</v>
      </c>
      <c r="Q1246" t="s">
        <v>198</v>
      </c>
      <c r="R1246" t="s">
        <v>38</v>
      </c>
      <c r="S1246">
        <v>7</v>
      </c>
      <c r="T1246">
        <v>7</v>
      </c>
      <c r="U1246">
        <v>195</v>
      </c>
      <c r="V1246" t="s">
        <v>0</v>
      </c>
      <c r="W1246" t="s">
        <v>0</v>
      </c>
      <c r="X1246" t="s">
        <v>0</v>
      </c>
      <c r="Y1246" t="s">
        <v>4</v>
      </c>
      <c r="Z1246" t="s">
        <v>0</v>
      </c>
      <c r="AA1246">
        <v>0</v>
      </c>
      <c r="AB1246">
        <v>0</v>
      </c>
      <c r="AC1246">
        <v>0</v>
      </c>
      <c r="AD1246" t="s">
        <v>61</v>
      </c>
      <c r="AE1246" t="s">
        <v>5</v>
      </c>
      <c r="AF1246" t="s">
        <v>61</v>
      </c>
      <c r="AG1246" t="s">
        <v>36</v>
      </c>
      <c r="AH1246">
        <v>40</v>
      </c>
      <c r="AI1246" t="s">
        <v>1</v>
      </c>
      <c r="AJ1246">
        <v>3</v>
      </c>
      <c r="AK1246">
        <v>20</v>
      </c>
      <c r="AL1246">
        <v>36</v>
      </c>
      <c r="AM1246" t="s">
        <v>5</v>
      </c>
      <c r="AN1246">
        <v>0</v>
      </c>
      <c r="AO1246">
        <v>0</v>
      </c>
      <c r="AP1246">
        <v>0</v>
      </c>
      <c r="AQ1246">
        <v>1</v>
      </c>
    </row>
    <row r="1247" spans="1:43" x14ac:dyDescent="0.25">
      <c r="A1247" t="s">
        <v>699</v>
      </c>
      <c r="B1247" t="s">
        <v>698</v>
      </c>
      <c r="C1247" t="s">
        <v>697</v>
      </c>
      <c r="D1247" s="1">
        <v>46079</v>
      </c>
      <c r="E1247" t="s">
        <v>79</v>
      </c>
      <c r="F1247" t="s">
        <v>223</v>
      </c>
      <c r="G1247" t="s">
        <v>83</v>
      </c>
      <c r="H1247" t="s">
        <v>77</v>
      </c>
      <c r="I1247" t="s">
        <v>15</v>
      </c>
      <c r="J1247" t="s">
        <v>14</v>
      </c>
      <c r="K1247" t="s">
        <v>13</v>
      </c>
      <c r="L1247" t="s">
        <v>12</v>
      </c>
      <c r="M1247" t="s">
        <v>11</v>
      </c>
      <c r="N1247" t="s">
        <v>10</v>
      </c>
      <c r="O1247" t="s">
        <v>101</v>
      </c>
      <c r="P1247" t="s">
        <v>8</v>
      </c>
      <c r="Q1247" t="s">
        <v>198</v>
      </c>
      <c r="R1247" t="s">
        <v>6</v>
      </c>
      <c r="S1247">
        <v>4</v>
      </c>
      <c r="T1247">
        <v>4</v>
      </c>
      <c r="U1247">
        <v>185</v>
      </c>
      <c r="V1247" t="s">
        <v>0</v>
      </c>
      <c r="W1247" t="s">
        <v>5</v>
      </c>
      <c r="X1247" t="s">
        <v>5</v>
      </c>
      <c r="Y1247" t="s">
        <v>696</v>
      </c>
      <c r="Z1247" t="s">
        <v>5</v>
      </c>
      <c r="AA1247">
        <v>20.010000000000002</v>
      </c>
      <c r="AB1247">
        <v>0.53</v>
      </c>
      <c r="AC1247">
        <v>0</v>
      </c>
      <c r="AD1247" t="s">
        <v>3</v>
      </c>
      <c r="AE1247" t="s">
        <v>0</v>
      </c>
      <c r="AF1247" t="s">
        <v>3</v>
      </c>
      <c r="AG1247" t="s">
        <v>2</v>
      </c>
      <c r="AI1247" t="s">
        <v>23</v>
      </c>
      <c r="AJ1247">
        <v>5</v>
      </c>
      <c r="AK1247">
        <v>14</v>
      </c>
      <c r="AL1247">
        <v>35</v>
      </c>
      <c r="AM1247" t="s">
        <v>5</v>
      </c>
      <c r="AN1247">
        <v>1</v>
      </c>
      <c r="AO1247">
        <v>1</v>
      </c>
      <c r="AP1247">
        <v>1</v>
      </c>
      <c r="AQ1247">
        <v>1</v>
      </c>
    </row>
    <row r="1248" spans="1:43" x14ac:dyDescent="0.25">
      <c r="A1248" t="s">
        <v>695</v>
      </c>
      <c r="B1248" t="s">
        <v>694</v>
      </c>
      <c r="C1248" t="s">
        <v>693</v>
      </c>
      <c r="D1248" s="1">
        <v>46017</v>
      </c>
      <c r="E1248" t="s">
        <v>156</v>
      </c>
      <c r="F1248" t="s">
        <v>238</v>
      </c>
      <c r="G1248" t="s">
        <v>17</v>
      </c>
      <c r="H1248" t="s">
        <v>29</v>
      </c>
      <c r="I1248" t="s">
        <v>15</v>
      </c>
      <c r="J1248" t="s">
        <v>55</v>
      </c>
      <c r="K1248" t="s">
        <v>54</v>
      </c>
      <c r="L1248" t="s">
        <v>117</v>
      </c>
      <c r="M1248" t="s">
        <v>11</v>
      </c>
      <c r="N1248" t="s">
        <v>10</v>
      </c>
      <c r="O1248" t="s">
        <v>199</v>
      </c>
      <c r="P1248" t="s">
        <v>25</v>
      </c>
      <c r="Q1248" t="s">
        <v>7</v>
      </c>
      <c r="R1248" t="s">
        <v>6</v>
      </c>
      <c r="S1248">
        <v>5</v>
      </c>
      <c r="T1248">
        <v>5</v>
      </c>
      <c r="U1248">
        <v>148</v>
      </c>
      <c r="V1248" t="s">
        <v>0</v>
      </c>
      <c r="W1248" t="s">
        <v>5</v>
      </c>
      <c r="X1248" t="s">
        <v>0</v>
      </c>
      <c r="Y1248" t="s">
        <v>4</v>
      </c>
      <c r="Z1248" t="s">
        <v>5</v>
      </c>
      <c r="AA1248">
        <v>50.99</v>
      </c>
      <c r="AB1248">
        <v>0</v>
      </c>
      <c r="AC1248">
        <v>0</v>
      </c>
      <c r="AD1248" t="s">
        <v>3</v>
      </c>
      <c r="AE1248" t="s">
        <v>0</v>
      </c>
      <c r="AF1248" t="s">
        <v>3</v>
      </c>
      <c r="AG1248" t="s">
        <v>2</v>
      </c>
      <c r="AI1248" t="s">
        <v>23</v>
      </c>
      <c r="AJ1248">
        <v>4</v>
      </c>
      <c r="AK1248">
        <v>0</v>
      </c>
      <c r="AL1248">
        <v>58</v>
      </c>
      <c r="AM1248" t="s">
        <v>5</v>
      </c>
      <c r="AN1248">
        <v>1</v>
      </c>
      <c r="AO1248">
        <v>1</v>
      </c>
      <c r="AP1248">
        <v>0</v>
      </c>
      <c r="AQ1248">
        <v>1</v>
      </c>
    </row>
    <row r="1249" spans="1:43" x14ac:dyDescent="0.25">
      <c r="A1249" t="s">
        <v>692</v>
      </c>
      <c r="B1249" t="s">
        <v>387</v>
      </c>
      <c r="C1249" t="s">
        <v>691</v>
      </c>
      <c r="D1249" s="1">
        <v>45875</v>
      </c>
      <c r="E1249" t="s">
        <v>68</v>
      </c>
      <c r="F1249" t="s">
        <v>243</v>
      </c>
      <c r="G1249" t="s">
        <v>83</v>
      </c>
      <c r="H1249" t="s">
        <v>43</v>
      </c>
      <c r="I1249" t="s">
        <v>15</v>
      </c>
      <c r="J1249" t="s">
        <v>55</v>
      </c>
      <c r="K1249" t="s">
        <v>54</v>
      </c>
      <c r="L1249" t="s">
        <v>117</v>
      </c>
      <c r="M1249" t="s">
        <v>11</v>
      </c>
      <c r="N1249" t="s">
        <v>116</v>
      </c>
      <c r="O1249" t="s">
        <v>101</v>
      </c>
      <c r="P1249" t="s">
        <v>39</v>
      </c>
      <c r="Q1249" t="s">
        <v>7</v>
      </c>
      <c r="R1249" t="s">
        <v>6</v>
      </c>
      <c r="S1249">
        <v>4</v>
      </c>
      <c r="T1249">
        <v>4</v>
      </c>
      <c r="U1249">
        <v>88</v>
      </c>
      <c r="V1249" t="s">
        <v>0</v>
      </c>
      <c r="W1249" t="s">
        <v>0</v>
      </c>
      <c r="X1249" t="s">
        <v>0</v>
      </c>
      <c r="Y1249" t="s">
        <v>4</v>
      </c>
      <c r="Z1249" t="s">
        <v>0</v>
      </c>
      <c r="AA1249">
        <v>0</v>
      </c>
      <c r="AB1249">
        <v>0</v>
      </c>
      <c r="AC1249">
        <v>0</v>
      </c>
      <c r="AD1249" t="s">
        <v>3</v>
      </c>
      <c r="AE1249" t="s">
        <v>0</v>
      </c>
      <c r="AF1249" t="s">
        <v>3</v>
      </c>
      <c r="AG1249" t="s">
        <v>2</v>
      </c>
      <c r="AI1249" t="s">
        <v>544</v>
      </c>
      <c r="AJ1249">
        <v>4</v>
      </c>
      <c r="AK1249">
        <v>100</v>
      </c>
      <c r="AL1249">
        <v>39</v>
      </c>
      <c r="AM1249" t="s">
        <v>247</v>
      </c>
      <c r="AN1249">
        <v>0</v>
      </c>
      <c r="AO1249">
        <v>0</v>
      </c>
      <c r="AP1249">
        <v>0</v>
      </c>
      <c r="AQ1249">
        <v>0</v>
      </c>
    </row>
    <row r="1250" spans="1:43" x14ac:dyDescent="0.25">
      <c r="A1250" t="s">
        <v>690</v>
      </c>
      <c r="B1250" t="s">
        <v>689</v>
      </c>
      <c r="C1250" t="s">
        <v>688</v>
      </c>
      <c r="D1250" s="1">
        <v>45707</v>
      </c>
      <c r="E1250" t="s">
        <v>68</v>
      </c>
      <c r="F1250" t="s">
        <v>67</v>
      </c>
      <c r="G1250" t="s">
        <v>123</v>
      </c>
      <c r="H1250" t="s">
        <v>77</v>
      </c>
      <c r="I1250" t="s">
        <v>28</v>
      </c>
      <c r="J1250" t="s">
        <v>55</v>
      </c>
      <c r="K1250" t="s">
        <v>54</v>
      </c>
      <c r="L1250" t="s">
        <v>42</v>
      </c>
      <c r="M1250" t="s">
        <v>27</v>
      </c>
      <c r="N1250" t="s">
        <v>93</v>
      </c>
      <c r="O1250" t="s">
        <v>74</v>
      </c>
      <c r="P1250" t="s">
        <v>39</v>
      </c>
      <c r="Q1250" t="s">
        <v>7</v>
      </c>
      <c r="R1250" t="s">
        <v>6</v>
      </c>
      <c r="S1250">
        <v>6</v>
      </c>
      <c r="T1250">
        <v>6</v>
      </c>
      <c r="U1250">
        <v>183</v>
      </c>
      <c r="V1250" t="s">
        <v>0</v>
      </c>
      <c r="W1250" t="s">
        <v>0</v>
      </c>
      <c r="X1250" t="s">
        <v>0</v>
      </c>
      <c r="Y1250" t="s">
        <v>4</v>
      </c>
      <c r="Z1250" t="s">
        <v>0</v>
      </c>
      <c r="AA1250">
        <v>0</v>
      </c>
      <c r="AB1250">
        <v>0</v>
      </c>
      <c r="AC1250">
        <v>0</v>
      </c>
      <c r="AD1250" t="s">
        <v>3</v>
      </c>
      <c r="AE1250" t="s">
        <v>0</v>
      </c>
      <c r="AF1250" t="s">
        <v>3</v>
      </c>
      <c r="AG1250" t="s">
        <v>2</v>
      </c>
      <c r="AI1250" t="s">
        <v>1</v>
      </c>
      <c r="AJ1250">
        <v>3</v>
      </c>
      <c r="AK1250">
        <v>40</v>
      </c>
      <c r="AL1250">
        <v>25</v>
      </c>
      <c r="AM1250" t="s">
        <v>5</v>
      </c>
      <c r="AN1250">
        <v>0</v>
      </c>
      <c r="AO1250">
        <v>0</v>
      </c>
      <c r="AP1250">
        <v>0</v>
      </c>
      <c r="AQ1250">
        <v>1</v>
      </c>
    </row>
    <row r="1251" spans="1:43" x14ac:dyDescent="0.25">
      <c r="A1251" t="s">
        <v>687</v>
      </c>
      <c r="B1251" t="s">
        <v>686</v>
      </c>
      <c r="C1251" t="s">
        <v>685</v>
      </c>
      <c r="D1251" s="1">
        <v>45907</v>
      </c>
      <c r="E1251" t="s">
        <v>79</v>
      </c>
      <c r="F1251" t="s">
        <v>206</v>
      </c>
      <c r="G1251" t="s">
        <v>110</v>
      </c>
      <c r="H1251" t="s">
        <v>77</v>
      </c>
      <c r="I1251" t="s">
        <v>15</v>
      </c>
      <c r="J1251" t="s">
        <v>146</v>
      </c>
      <c r="K1251" t="s">
        <v>145</v>
      </c>
      <c r="L1251" t="s">
        <v>117</v>
      </c>
      <c r="M1251" t="s">
        <v>11</v>
      </c>
      <c r="N1251" t="s">
        <v>52</v>
      </c>
      <c r="O1251" t="s">
        <v>26</v>
      </c>
      <c r="P1251" t="s">
        <v>63</v>
      </c>
      <c r="Q1251" t="s">
        <v>100</v>
      </c>
      <c r="R1251" t="s">
        <v>38</v>
      </c>
      <c r="S1251">
        <v>4</v>
      </c>
      <c r="T1251">
        <v>4</v>
      </c>
      <c r="U1251">
        <v>75</v>
      </c>
      <c r="V1251" t="s">
        <v>0</v>
      </c>
      <c r="W1251" t="s">
        <v>5</v>
      </c>
      <c r="X1251" t="s">
        <v>0</v>
      </c>
      <c r="Y1251" t="s">
        <v>4</v>
      </c>
      <c r="Z1251" t="s">
        <v>5</v>
      </c>
      <c r="AA1251">
        <v>133.49</v>
      </c>
      <c r="AB1251">
        <v>0.18</v>
      </c>
      <c r="AC1251">
        <v>0</v>
      </c>
      <c r="AD1251" t="s">
        <v>37</v>
      </c>
      <c r="AE1251" t="s">
        <v>5</v>
      </c>
      <c r="AF1251" t="s">
        <v>37</v>
      </c>
      <c r="AG1251" t="s">
        <v>139</v>
      </c>
      <c r="AH1251">
        <v>6</v>
      </c>
      <c r="AI1251" t="s">
        <v>23</v>
      </c>
      <c r="AJ1251">
        <v>4</v>
      </c>
      <c r="AK1251">
        <v>22</v>
      </c>
      <c r="AL1251">
        <v>0</v>
      </c>
      <c r="AM1251" t="s">
        <v>5</v>
      </c>
      <c r="AN1251">
        <v>1</v>
      </c>
      <c r="AO1251">
        <v>1</v>
      </c>
      <c r="AP1251">
        <v>0</v>
      </c>
      <c r="AQ1251">
        <v>1</v>
      </c>
    </row>
    <row r="1252" spans="1:43" x14ac:dyDescent="0.25">
      <c r="A1252" t="s">
        <v>684</v>
      </c>
      <c r="B1252" t="s">
        <v>683</v>
      </c>
      <c r="C1252" t="s">
        <v>682</v>
      </c>
      <c r="D1252" s="1">
        <v>45806</v>
      </c>
      <c r="E1252" t="s">
        <v>95</v>
      </c>
      <c r="F1252" t="s">
        <v>118</v>
      </c>
      <c r="G1252" t="s">
        <v>83</v>
      </c>
      <c r="H1252" t="s">
        <v>29</v>
      </c>
      <c r="I1252" t="s">
        <v>15</v>
      </c>
      <c r="J1252" t="s">
        <v>14</v>
      </c>
      <c r="K1252" t="s">
        <v>13</v>
      </c>
      <c r="L1252" t="s">
        <v>64</v>
      </c>
      <c r="M1252" t="s">
        <v>11</v>
      </c>
      <c r="N1252" t="s">
        <v>10</v>
      </c>
      <c r="O1252" t="s">
        <v>130</v>
      </c>
      <c r="P1252" t="s">
        <v>39</v>
      </c>
      <c r="Q1252" t="s">
        <v>7</v>
      </c>
      <c r="R1252" t="s">
        <v>6</v>
      </c>
      <c r="S1252">
        <v>5</v>
      </c>
      <c r="T1252">
        <v>5</v>
      </c>
      <c r="U1252">
        <v>133</v>
      </c>
      <c r="V1252" t="s">
        <v>0</v>
      </c>
      <c r="W1252" t="s">
        <v>287</v>
      </c>
      <c r="X1252" t="s">
        <v>0</v>
      </c>
      <c r="Y1252" t="s">
        <v>4</v>
      </c>
      <c r="Z1252" t="s">
        <v>5</v>
      </c>
      <c r="AA1252">
        <v>95.43</v>
      </c>
      <c r="AB1252">
        <v>0</v>
      </c>
      <c r="AC1252">
        <v>0</v>
      </c>
      <c r="AD1252" t="s">
        <v>3</v>
      </c>
      <c r="AE1252" t="s">
        <v>0</v>
      </c>
      <c r="AF1252" t="s">
        <v>3</v>
      </c>
      <c r="AG1252" t="s">
        <v>2</v>
      </c>
      <c r="AI1252" t="s">
        <v>23</v>
      </c>
      <c r="AJ1252">
        <v>5</v>
      </c>
      <c r="AK1252">
        <v>14</v>
      </c>
      <c r="AL1252">
        <v>1</v>
      </c>
      <c r="AM1252" t="s">
        <v>5</v>
      </c>
      <c r="AN1252">
        <v>1</v>
      </c>
      <c r="AO1252">
        <v>1</v>
      </c>
      <c r="AP1252">
        <v>0</v>
      </c>
      <c r="AQ1252">
        <v>1</v>
      </c>
    </row>
    <row r="1253" spans="1:43" x14ac:dyDescent="0.25">
      <c r="A1253" t="s">
        <v>681</v>
      </c>
      <c r="B1253" t="s">
        <v>680</v>
      </c>
      <c r="C1253" t="s">
        <v>679</v>
      </c>
      <c r="D1253" s="1">
        <v>45910</v>
      </c>
      <c r="E1253" t="s">
        <v>162</v>
      </c>
      <c r="F1253" t="s">
        <v>310</v>
      </c>
      <c r="G1253" t="s">
        <v>17</v>
      </c>
      <c r="H1253" t="s">
        <v>43</v>
      </c>
      <c r="I1253" t="s">
        <v>15</v>
      </c>
      <c r="J1253" t="s">
        <v>14</v>
      </c>
      <c r="K1253" t="s">
        <v>13</v>
      </c>
      <c r="L1253" t="s">
        <v>117</v>
      </c>
      <c r="M1253" t="s">
        <v>53</v>
      </c>
      <c r="N1253" t="s">
        <v>41</v>
      </c>
      <c r="O1253" t="s">
        <v>199</v>
      </c>
      <c r="P1253" t="s">
        <v>39</v>
      </c>
      <c r="Q1253" t="s">
        <v>100</v>
      </c>
      <c r="R1253" t="s">
        <v>38</v>
      </c>
      <c r="S1253" t="s">
        <v>527</v>
      </c>
      <c r="T1253">
        <v>5</v>
      </c>
      <c r="U1253">
        <v>116</v>
      </c>
      <c r="V1253" t="s">
        <v>0</v>
      </c>
      <c r="W1253" t="s">
        <v>5</v>
      </c>
      <c r="X1253" t="s">
        <v>0</v>
      </c>
      <c r="Y1253" t="s">
        <v>4</v>
      </c>
      <c r="Z1253" t="s">
        <v>5</v>
      </c>
      <c r="AA1253">
        <v>104.7</v>
      </c>
      <c r="AB1253">
        <v>0</v>
      </c>
      <c r="AC1253">
        <v>0.17</v>
      </c>
      <c r="AD1253" t="s">
        <v>3</v>
      </c>
      <c r="AE1253" t="s">
        <v>0</v>
      </c>
      <c r="AF1253" t="s">
        <v>3</v>
      </c>
      <c r="AG1253" t="s">
        <v>2</v>
      </c>
      <c r="AI1253" t="s">
        <v>23</v>
      </c>
      <c r="AJ1253">
        <v>5</v>
      </c>
      <c r="AK1253">
        <v>19</v>
      </c>
      <c r="AL1253">
        <v>26</v>
      </c>
      <c r="AM1253" t="s">
        <v>0</v>
      </c>
      <c r="AN1253">
        <v>1</v>
      </c>
      <c r="AO1253">
        <v>1</v>
      </c>
      <c r="AP1253">
        <v>0</v>
      </c>
      <c r="AQ1253">
        <v>0</v>
      </c>
    </row>
    <row r="1254" spans="1:43" x14ac:dyDescent="0.25">
      <c r="A1254" t="s">
        <v>655</v>
      </c>
      <c r="B1254" t="s">
        <v>678</v>
      </c>
      <c r="C1254" t="s">
        <v>653</v>
      </c>
      <c r="D1254" s="1">
        <v>45918</v>
      </c>
      <c r="E1254" t="s">
        <v>156</v>
      </c>
      <c r="F1254" t="s">
        <v>325</v>
      </c>
      <c r="G1254" t="s">
        <v>56</v>
      </c>
      <c r="H1254" t="s">
        <v>16</v>
      </c>
      <c r="I1254" t="s">
        <v>15</v>
      </c>
      <c r="J1254" t="s">
        <v>55</v>
      </c>
      <c r="K1254" t="s">
        <v>65</v>
      </c>
      <c r="L1254" t="s">
        <v>117</v>
      </c>
      <c r="M1254" t="s">
        <v>11</v>
      </c>
      <c r="N1254" t="s">
        <v>10</v>
      </c>
      <c r="O1254" t="s">
        <v>51</v>
      </c>
      <c r="P1254" t="s">
        <v>39</v>
      </c>
      <c r="Q1254" t="s">
        <v>7</v>
      </c>
      <c r="R1254" t="s">
        <v>6</v>
      </c>
      <c r="S1254">
        <v>6</v>
      </c>
      <c r="T1254" t="s">
        <v>205</v>
      </c>
      <c r="U1254">
        <v>122</v>
      </c>
      <c r="V1254" t="s">
        <v>0</v>
      </c>
      <c r="W1254" t="s">
        <v>5</v>
      </c>
      <c r="X1254" t="s">
        <v>0</v>
      </c>
      <c r="Y1254" t="s">
        <v>4</v>
      </c>
      <c r="Z1254" t="s">
        <v>0</v>
      </c>
      <c r="AA1254">
        <v>0</v>
      </c>
      <c r="AB1254">
        <v>0</v>
      </c>
      <c r="AC1254">
        <v>0</v>
      </c>
      <c r="AD1254" t="s">
        <v>3</v>
      </c>
      <c r="AE1254" t="s">
        <v>0</v>
      </c>
      <c r="AF1254" t="s">
        <v>3</v>
      </c>
      <c r="AG1254" t="s">
        <v>2</v>
      </c>
      <c r="AI1254" t="s">
        <v>23</v>
      </c>
      <c r="AJ1254">
        <v>3</v>
      </c>
      <c r="AK1254">
        <v>20</v>
      </c>
      <c r="AL1254">
        <v>28</v>
      </c>
      <c r="AM1254" t="s">
        <v>5</v>
      </c>
      <c r="AN1254">
        <v>1</v>
      </c>
      <c r="AO1254">
        <v>0</v>
      </c>
      <c r="AP1254">
        <v>0</v>
      </c>
      <c r="AQ1254">
        <v>1</v>
      </c>
    </row>
    <row r="1255" spans="1:43" x14ac:dyDescent="0.25">
      <c r="A1255" t="s">
        <v>677</v>
      </c>
      <c r="B1255" t="s">
        <v>676</v>
      </c>
      <c r="C1255" t="s">
        <v>675</v>
      </c>
      <c r="D1255" s="1">
        <v>45814</v>
      </c>
      <c r="E1255" t="s">
        <v>32</v>
      </c>
      <c r="F1255" t="s">
        <v>674</v>
      </c>
      <c r="G1255" t="s">
        <v>30</v>
      </c>
      <c r="H1255" t="s">
        <v>43</v>
      </c>
      <c r="I1255" t="s">
        <v>15</v>
      </c>
      <c r="J1255" t="s">
        <v>14</v>
      </c>
      <c r="K1255" t="s">
        <v>13</v>
      </c>
      <c r="L1255" t="s">
        <v>64</v>
      </c>
      <c r="M1255" t="s">
        <v>53</v>
      </c>
      <c r="N1255" t="s">
        <v>93</v>
      </c>
      <c r="O1255" t="s">
        <v>101</v>
      </c>
      <c r="P1255" t="s">
        <v>39</v>
      </c>
      <c r="Q1255" t="s">
        <v>50</v>
      </c>
      <c r="R1255" t="s">
        <v>6</v>
      </c>
      <c r="S1255">
        <v>4</v>
      </c>
      <c r="T1255">
        <v>2</v>
      </c>
      <c r="U1255">
        <v>134</v>
      </c>
      <c r="V1255" t="s">
        <v>5</v>
      </c>
      <c r="W1255" t="s">
        <v>5</v>
      </c>
      <c r="X1255" t="s">
        <v>0</v>
      </c>
      <c r="Y1255" t="s">
        <v>4</v>
      </c>
      <c r="Z1255" t="s">
        <v>5</v>
      </c>
      <c r="AA1255">
        <v>26.7</v>
      </c>
      <c r="AB1255">
        <v>0.54</v>
      </c>
      <c r="AC1255">
        <v>0.17</v>
      </c>
      <c r="AD1255" t="s">
        <v>3</v>
      </c>
      <c r="AE1255" t="s">
        <v>0</v>
      </c>
      <c r="AF1255" t="s">
        <v>3</v>
      </c>
      <c r="AG1255" t="s">
        <v>2</v>
      </c>
      <c r="AI1255" t="s">
        <v>23</v>
      </c>
      <c r="AJ1255">
        <v>3</v>
      </c>
      <c r="AK1255">
        <v>-42</v>
      </c>
      <c r="AL1255">
        <v>37</v>
      </c>
      <c r="AM1255" t="s">
        <v>5</v>
      </c>
      <c r="AN1255">
        <v>1</v>
      </c>
      <c r="AO1255">
        <v>1</v>
      </c>
      <c r="AP1255">
        <v>0</v>
      </c>
      <c r="AQ1255">
        <v>1</v>
      </c>
    </row>
    <row r="1256" spans="1:43" x14ac:dyDescent="0.25">
      <c r="A1256" t="s">
        <v>673</v>
      </c>
      <c r="B1256" t="s">
        <v>672</v>
      </c>
      <c r="C1256" t="s">
        <v>671</v>
      </c>
      <c r="D1256" s="1">
        <v>45931</v>
      </c>
      <c r="E1256" t="s">
        <v>45</v>
      </c>
      <c r="F1256" t="s">
        <v>670</v>
      </c>
      <c r="G1256" t="s">
        <v>17</v>
      </c>
      <c r="H1256" t="s">
        <v>77</v>
      </c>
      <c r="I1256" t="s">
        <v>28</v>
      </c>
      <c r="J1256" t="s">
        <v>55</v>
      </c>
      <c r="K1256" t="s">
        <v>54</v>
      </c>
      <c r="L1256" t="s">
        <v>12</v>
      </c>
      <c r="M1256" t="s">
        <v>11</v>
      </c>
      <c r="N1256" t="s">
        <v>41</v>
      </c>
      <c r="O1256" t="s">
        <v>26</v>
      </c>
      <c r="P1256" t="s">
        <v>39</v>
      </c>
      <c r="Q1256" t="s">
        <v>7</v>
      </c>
      <c r="R1256" t="s">
        <v>6</v>
      </c>
      <c r="S1256">
        <v>4</v>
      </c>
      <c r="T1256" t="s">
        <v>99</v>
      </c>
      <c r="U1256">
        <v>83</v>
      </c>
      <c r="V1256" t="s">
        <v>0</v>
      </c>
      <c r="W1256" t="s">
        <v>5</v>
      </c>
      <c r="X1256" t="s">
        <v>0</v>
      </c>
      <c r="Y1256" t="s">
        <v>4</v>
      </c>
      <c r="Z1256" t="s">
        <v>5</v>
      </c>
      <c r="AA1256">
        <v>167.88</v>
      </c>
      <c r="AB1256">
        <v>0.19</v>
      </c>
      <c r="AC1256">
        <v>0</v>
      </c>
      <c r="AD1256" t="s">
        <v>3</v>
      </c>
      <c r="AE1256" t="s">
        <v>0</v>
      </c>
      <c r="AF1256" t="s">
        <v>3</v>
      </c>
      <c r="AG1256" t="s">
        <v>2</v>
      </c>
      <c r="AI1256" t="s">
        <v>23</v>
      </c>
      <c r="AJ1256">
        <v>5</v>
      </c>
      <c r="AK1256">
        <v>28</v>
      </c>
      <c r="AL1256">
        <v>55</v>
      </c>
      <c r="AM1256" t="s">
        <v>5</v>
      </c>
      <c r="AN1256">
        <v>1</v>
      </c>
      <c r="AO1256">
        <v>1</v>
      </c>
      <c r="AP1256">
        <v>0</v>
      </c>
      <c r="AQ1256">
        <v>1</v>
      </c>
    </row>
    <row r="1257" spans="1:43" x14ac:dyDescent="0.25">
      <c r="A1257" t="s">
        <v>669</v>
      </c>
      <c r="B1257" t="s">
        <v>174</v>
      </c>
      <c r="C1257" t="s">
        <v>668</v>
      </c>
      <c r="D1257" s="1">
        <v>45862</v>
      </c>
      <c r="E1257" t="s">
        <v>32</v>
      </c>
      <c r="F1257" t="s">
        <v>31</v>
      </c>
      <c r="G1257" t="s">
        <v>17</v>
      </c>
      <c r="H1257" t="s">
        <v>43</v>
      </c>
      <c r="I1257" t="s">
        <v>28</v>
      </c>
      <c r="J1257" t="s">
        <v>55</v>
      </c>
      <c r="K1257" t="s">
        <v>54</v>
      </c>
      <c r="L1257" t="s">
        <v>64</v>
      </c>
      <c r="M1257" t="s">
        <v>11</v>
      </c>
      <c r="N1257" t="s">
        <v>93</v>
      </c>
      <c r="O1257" t="s">
        <v>101</v>
      </c>
      <c r="P1257" t="s">
        <v>63</v>
      </c>
      <c r="Q1257" t="s">
        <v>100</v>
      </c>
      <c r="R1257" t="s">
        <v>6</v>
      </c>
      <c r="S1257">
        <v>4</v>
      </c>
      <c r="T1257">
        <v>4</v>
      </c>
      <c r="U1257">
        <v>123</v>
      </c>
      <c r="V1257" t="s">
        <v>0</v>
      </c>
      <c r="W1257" t="s">
        <v>5</v>
      </c>
      <c r="X1257" t="s">
        <v>0</v>
      </c>
      <c r="Y1257" t="s">
        <v>4</v>
      </c>
      <c r="Z1257" t="s">
        <v>5</v>
      </c>
      <c r="AA1257">
        <v>138.33000000000001</v>
      </c>
      <c r="AB1257">
        <v>0.48</v>
      </c>
      <c r="AC1257">
        <v>0</v>
      </c>
      <c r="AD1257" t="s">
        <v>3</v>
      </c>
      <c r="AE1257" t="s">
        <v>0</v>
      </c>
      <c r="AF1257" t="s">
        <v>3</v>
      </c>
      <c r="AG1257" t="s">
        <v>2</v>
      </c>
      <c r="AI1257" t="s">
        <v>23</v>
      </c>
      <c r="AJ1257">
        <v>4</v>
      </c>
      <c r="AK1257">
        <v>-4</v>
      </c>
      <c r="AL1257">
        <v>0</v>
      </c>
      <c r="AM1257" t="s">
        <v>5</v>
      </c>
      <c r="AN1257">
        <v>1</v>
      </c>
      <c r="AO1257">
        <v>1</v>
      </c>
      <c r="AP1257">
        <v>0</v>
      </c>
      <c r="AQ1257">
        <v>1</v>
      </c>
    </row>
    <row r="1258" spans="1:43" x14ac:dyDescent="0.25">
      <c r="A1258" t="s">
        <v>667</v>
      </c>
      <c r="B1258" t="s">
        <v>666</v>
      </c>
      <c r="C1258" t="s">
        <v>665</v>
      </c>
      <c r="D1258" s="1">
        <v>46148</v>
      </c>
      <c r="E1258" t="s">
        <v>112</v>
      </c>
      <c r="F1258" t="s">
        <v>642</v>
      </c>
      <c r="G1258" t="s">
        <v>83</v>
      </c>
      <c r="H1258" t="s">
        <v>16</v>
      </c>
      <c r="I1258" t="s">
        <v>15</v>
      </c>
      <c r="J1258" t="s">
        <v>146</v>
      </c>
      <c r="K1258" t="s">
        <v>176</v>
      </c>
      <c r="L1258" t="s">
        <v>12</v>
      </c>
      <c r="M1258" t="s">
        <v>11</v>
      </c>
      <c r="N1258" t="s">
        <v>154</v>
      </c>
      <c r="O1258" t="s">
        <v>51</v>
      </c>
      <c r="P1258" t="s">
        <v>39</v>
      </c>
      <c r="Q1258" t="s">
        <v>100</v>
      </c>
      <c r="R1258" t="s">
        <v>38</v>
      </c>
      <c r="S1258">
        <v>6</v>
      </c>
      <c r="T1258">
        <v>6</v>
      </c>
      <c r="U1258">
        <v>155</v>
      </c>
      <c r="V1258" t="s">
        <v>0</v>
      </c>
      <c r="W1258" t="s">
        <v>0</v>
      </c>
      <c r="X1258" t="s">
        <v>182</v>
      </c>
      <c r="Y1258" t="s">
        <v>49</v>
      </c>
      <c r="Z1258" t="s">
        <v>0</v>
      </c>
      <c r="AA1258">
        <v>0</v>
      </c>
      <c r="AB1258">
        <v>0</v>
      </c>
      <c r="AC1258">
        <v>0</v>
      </c>
      <c r="AD1258" t="s">
        <v>187</v>
      </c>
      <c r="AE1258" t="s">
        <v>5</v>
      </c>
      <c r="AF1258" t="s">
        <v>187</v>
      </c>
      <c r="AG1258" t="s">
        <v>36</v>
      </c>
      <c r="AH1258">
        <v>5</v>
      </c>
      <c r="AI1258" t="s">
        <v>122</v>
      </c>
      <c r="AJ1258">
        <v>3</v>
      </c>
      <c r="AK1258">
        <v>38</v>
      </c>
      <c r="AL1258">
        <v>39</v>
      </c>
      <c r="AM1258" t="s">
        <v>0</v>
      </c>
      <c r="AN1258">
        <v>0</v>
      </c>
      <c r="AO1258">
        <v>0</v>
      </c>
      <c r="AP1258">
        <v>1</v>
      </c>
      <c r="AQ1258">
        <v>0</v>
      </c>
    </row>
    <row r="1259" spans="1:43" x14ac:dyDescent="0.25">
      <c r="A1259" t="s">
        <v>664</v>
      </c>
      <c r="B1259" t="s">
        <v>663</v>
      </c>
      <c r="C1259" t="s">
        <v>662</v>
      </c>
      <c r="D1259" s="1">
        <v>45880</v>
      </c>
      <c r="E1259" t="s">
        <v>162</v>
      </c>
      <c r="F1259" t="s">
        <v>200</v>
      </c>
      <c r="G1259" t="s">
        <v>17</v>
      </c>
      <c r="H1259" t="s">
        <v>16</v>
      </c>
      <c r="I1259" t="s">
        <v>28</v>
      </c>
      <c r="J1259" t="s">
        <v>55</v>
      </c>
      <c r="K1259" t="s">
        <v>54</v>
      </c>
      <c r="L1259" t="s">
        <v>88</v>
      </c>
      <c r="M1259" t="s">
        <v>53</v>
      </c>
      <c r="N1259" t="s">
        <v>10</v>
      </c>
      <c r="O1259" t="s">
        <v>199</v>
      </c>
      <c r="P1259" t="s">
        <v>39</v>
      </c>
      <c r="Q1259" t="s">
        <v>198</v>
      </c>
      <c r="R1259" t="s">
        <v>6</v>
      </c>
      <c r="S1259">
        <v>5</v>
      </c>
      <c r="T1259">
        <v>5</v>
      </c>
      <c r="U1259">
        <v>144</v>
      </c>
      <c r="V1259" t="s">
        <v>0</v>
      </c>
      <c r="W1259" t="s">
        <v>5</v>
      </c>
      <c r="X1259" t="s">
        <v>0</v>
      </c>
      <c r="Y1259" t="s">
        <v>4</v>
      </c>
      <c r="Z1259" t="s">
        <v>5</v>
      </c>
      <c r="AA1259">
        <v>104.86</v>
      </c>
      <c r="AB1259">
        <v>0</v>
      </c>
      <c r="AC1259">
        <v>0.17</v>
      </c>
      <c r="AD1259" t="s">
        <v>3</v>
      </c>
      <c r="AE1259" t="s">
        <v>0</v>
      </c>
      <c r="AF1259" t="s">
        <v>3</v>
      </c>
      <c r="AG1259" t="s">
        <v>2</v>
      </c>
      <c r="AI1259" t="s">
        <v>23</v>
      </c>
      <c r="AJ1259">
        <v>5</v>
      </c>
      <c r="AK1259">
        <v>38</v>
      </c>
      <c r="AL1259">
        <v>28</v>
      </c>
      <c r="AM1259" t="s">
        <v>0</v>
      </c>
      <c r="AN1259">
        <v>1</v>
      </c>
      <c r="AO1259">
        <v>1</v>
      </c>
      <c r="AP1259">
        <v>0</v>
      </c>
      <c r="AQ1259">
        <v>0</v>
      </c>
    </row>
    <row r="1260" spans="1:43" x14ac:dyDescent="0.25">
      <c r="A1260" t="s">
        <v>661</v>
      </c>
      <c r="B1260" t="s">
        <v>660</v>
      </c>
      <c r="C1260" t="s">
        <v>659</v>
      </c>
      <c r="D1260" s="1">
        <v>46102</v>
      </c>
      <c r="E1260" t="s">
        <v>45</v>
      </c>
      <c r="F1260" t="s">
        <v>348</v>
      </c>
      <c r="G1260" t="s">
        <v>131</v>
      </c>
      <c r="H1260" t="s">
        <v>77</v>
      </c>
      <c r="I1260" t="s">
        <v>28</v>
      </c>
      <c r="J1260" t="s">
        <v>55</v>
      </c>
      <c r="K1260" t="s">
        <v>54</v>
      </c>
      <c r="L1260" t="s">
        <v>117</v>
      </c>
      <c r="M1260" t="s">
        <v>11</v>
      </c>
      <c r="N1260" t="s">
        <v>75</v>
      </c>
      <c r="O1260" t="s">
        <v>87</v>
      </c>
      <c r="P1260" t="s">
        <v>39</v>
      </c>
      <c r="Q1260" t="s">
        <v>50</v>
      </c>
      <c r="R1260" t="s">
        <v>38</v>
      </c>
      <c r="S1260">
        <v>5</v>
      </c>
      <c r="T1260">
        <v>5</v>
      </c>
      <c r="U1260">
        <v>118</v>
      </c>
      <c r="V1260" t="s">
        <v>0</v>
      </c>
      <c r="W1260" t="s">
        <v>5</v>
      </c>
      <c r="X1260" t="s">
        <v>0</v>
      </c>
      <c r="Y1260" t="s">
        <v>4</v>
      </c>
      <c r="Z1260" t="s">
        <v>5</v>
      </c>
      <c r="AA1260">
        <v>125.08</v>
      </c>
      <c r="AB1260">
        <v>0</v>
      </c>
      <c r="AC1260">
        <v>0</v>
      </c>
      <c r="AD1260" t="s">
        <v>436</v>
      </c>
      <c r="AE1260" t="s">
        <v>5</v>
      </c>
      <c r="AF1260" t="s">
        <v>436</v>
      </c>
      <c r="AG1260" t="s">
        <v>36</v>
      </c>
      <c r="AH1260">
        <v>36</v>
      </c>
      <c r="AI1260" t="s">
        <v>23</v>
      </c>
      <c r="AJ1260">
        <v>5</v>
      </c>
      <c r="AK1260">
        <v>63</v>
      </c>
      <c r="AL1260">
        <v>50</v>
      </c>
      <c r="AM1260" t="s">
        <v>5</v>
      </c>
      <c r="AN1260">
        <v>1</v>
      </c>
      <c r="AO1260">
        <v>1</v>
      </c>
      <c r="AP1260">
        <v>0</v>
      </c>
      <c r="AQ1260">
        <v>1</v>
      </c>
    </row>
    <row r="1261" spans="1:43" x14ac:dyDescent="0.25">
      <c r="A1261" t="s">
        <v>658</v>
      </c>
      <c r="B1261" t="s">
        <v>657</v>
      </c>
      <c r="C1261" t="s">
        <v>656</v>
      </c>
      <c r="D1261" s="1">
        <v>45861</v>
      </c>
      <c r="E1261" t="s">
        <v>68</v>
      </c>
      <c r="F1261" t="s">
        <v>216</v>
      </c>
      <c r="G1261" t="s">
        <v>56</v>
      </c>
      <c r="H1261" t="s">
        <v>43</v>
      </c>
      <c r="I1261" t="s">
        <v>147</v>
      </c>
      <c r="J1261" t="s">
        <v>146</v>
      </c>
      <c r="K1261" t="s">
        <v>176</v>
      </c>
      <c r="L1261" t="s">
        <v>88</v>
      </c>
      <c r="M1261" t="s">
        <v>27</v>
      </c>
      <c r="N1261" t="s">
        <v>154</v>
      </c>
      <c r="O1261" t="s">
        <v>199</v>
      </c>
      <c r="P1261" t="s">
        <v>63</v>
      </c>
      <c r="Q1261" t="s">
        <v>7</v>
      </c>
      <c r="R1261" t="s">
        <v>6</v>
      </c>
      <c r="S1261">
        <v>5</v>
      </c>
      <c r="T1261">
        <v>5</v>
      </c>
      <c r="U1261">
        <v>177</v>
      </c>
      <c r="V1261" t="s">
        <v>0</v>
      </c>
      <c r="W1261" t="s">
        <v>5</v>
      </c>
      <c r="X1261" t="s">
        <v>5</v>
      </c>
      <c r="Y1261" t="s">
        <v>282</v>
      </c>
      <c r="Z1261" t="s">
        <v>5</v>
      </c>
      <c r="AA1261">
        <v>28.43</v>
      </c>
      <c r="AB1261">
        <v>0</v>
      </c>
      <c r="AC1261">
        <v>0.37</v>
      </c>
      <c r="AD1261" t="s">
        <v>3</v>
      </c>
      <c r="AE1261" t="s">
        <v>0</v>
      </c>
      <c r="AF1261" t="s">
        <v>3</v>
      </c>
      <c r="AG1261" t="s">
        <v>2</v>
      </c>
      <c r="AI1261" t="s">
        <v>23</v>
      </c>
      <c r="AJ1261">
        <v>3</v>
      </c>
      <c r="AK1261">
        <v>18</v>
      </c>
      <c r="AL1261" t="s">
        <v>347</v>
      </c>
      <c r="AM1261" t="s">
        <v>5</v>
      </c>
      <c r="AN1261">
        <v>1</v>
      </c>
      <c r="AO1261">
        <v>1</v>
      </c>
      <c r="AP1261">
        <v>1</v>
      </c>
      <c r="AQ1261">
        <v>1</v>
      </c>
    </row>
    <row r="1262" spans="1:43" x14ac:dyDescent="0.25">
      <c r="A1262" t="s">
        <v>655</v>
      </c>
      <c r="B1262" t="s">
        <v>654</v>
      </c>
      <c r="C1262" t="s">
        <v>653</v>
      </c>
      <c r="D1262" s="1">
        <v>45918</v>
      </c>
      <c r="E1262" t="s">
        <v>156</v>
      </c>
      <c r="F1262" t="s">
        <v>325</v>
      </c>
      <c r="G1262" t="s">
        <v>56</v>
      </c>
      <c r="H1262" t="s">
        <v>16</v>
      </c>
      <c r="I1262" t="s">
        <v>15</v>
      </c>
      <c r="J1262" t="s">
        <v>55</v>
      </c>
      <c r="K1262" t="s">
        <v>65</v>
      </c>
      <c r="L1262" t="s">
        <v>117</v>
      </c>
      <c r="M1262" t="s">
        <v>11</v>
      </c>
      <c r="N1262" t="s">
        <v>10</v>
      </c>
      <c r="O1262" t="s">
        <v>51</v>
      </c>
      <c r="P1262" t="s">
        <v>39</v>
      </c>
      <c r="Q1262" t="s">
        <v>7</v>
      </c>
      <c r="R1262" t="s">
        <v>6</v>
      </c>
      <c r="S1262">
        <v>6</v>
      </c>
      <c r="T1262">
        <v>6</v>
      </c>
      <c r="U1262">
        <v>122</v>
      </c>
      <c r="V1262" t="s">
        <v>0</v>
      </c>
      <c r="W1262" t="s">
        <v>5</v>
      </c>
      <c r="X1262" t="s">
        <v>0</v>
      </c>
      <c r="Y1262" t="s">
        <v>4</v>
      </c>
      <c r="Z1262" t="s">
        <v>0</v>
      </c>
      <c r="AA1262">
        <v>0</v>
      </c>
      <c r="AB1262">
        <v>0</v>
      </c>
      <c r="AC1262">
        <v>0</v>
      </c>
      <c r="AD1262" t="s">
        <v>3</v>
      </c>
      <c r="AE1262" t="s">
        <v>0</v>
      </c>
      <c r="AF1262" t="s">
        <v>3</v>
      </c>
      <c r="AG1262" t="s">
        <v>2</v>
      </c>
      <c r="AI1262" t="s">
        <v>23</v>
      </c>
      <c r="AJ1262">
        <v>3</v>
      </c>
      <c r="AK1262">
        <v>20</v>
      </c>
      <c r="AL1262" t="s">
        <v>652</v>
      </c>
      <c r="AM1262" t="s">
        <v>5</v>
      </c>
      <c r="AN1262">
        <v>1</v>
      </c>
      <c r="AO1262">
        <v>0</v>
      </c>
      <c r="AP1262">
        <v>0</v>
      </c>
      <c r="AQ1262">
        <v>1</v>
      </c>
    </row>
    <row r="1263" spans="1:43" x14ac:dyDescent="0.25">
      <c r="A1263" t="s">
        <v>651</v>
      </c>
      <c r="B1263" t="s">
        <v>650</v>
      </c>
      <c r="C1263" t="s">
        <v>649</v>
      </c>
      <c r="D1263" s="1">
        <v>45720</v>
      </c>
      <c r="E1263" t="s">
        <v>125</v>
      </c>
      <c r="F1263" t="s">
        <v>140</v>
      </c>
      <c r="G1263" t="s">
        <v>30</v>
      </c>
      <c r="H1263" t="s">
        <v>43</v>
      </c>
      <c r="I1263" t="s">
        <v>15</v>
      </c>
      <c r="J1263" t="s">
        <v>14</v>
      </c>
      <c r="K1263" t="s">
        <v>13</v>
      </c>
      <c r="L1263" t="s">
        <v>64</v>
      </c>
      <c r="M1263" t="s">
        <v>11</v>
      </c>
      <c r="N1263" t="s">
        <v>75</v>
      </c>
      <c r="O1263" t="s">
        <v>130</v>
      </c>
      <c r="P1263" t="s">
        <v>63</v>
      </c>
      <c r="Q1263" t="s">
        <v>7</v>
      </c>
      <c r="R1263" t="s">
        <v>6</v>
      </c>
      <c r="S1263">
        <v>5</v>
      </c>
      <c r="T1263">
        <v>5</v>
      </c>
      <c r="U1263">
        <v>164</v>
      </c>
      <c r="V1263" t="s">
        <v>0</v>
      </c>
      <c r="W1263" t="s">
        <v>0</v>
      </c>
      <c r="X1263" t="s">
        <v>5</v>
      </c>
      <c r="Y1263" t="s">
        <v>166</v>
      </c>
      <c r="Z1263" t="s">
        <v>0</v>
      </c>
      <c r="AA1263">
        <v>0</v>
      </c>
      <c r="AB1263">
        <v>0</v>
      </c>
      <c r="AC1263">
        <v>0</v>
      </c>
      <c r="AD1263" t="s">
        <v>3</v>
      </c>
      <c r="AE1263" t="s">
        <v>0</v>
      </c>
      <c r="AF1263" t="s">
        <v>3</v>
      </c>
      <c r="AG1263" t="s">
        <v>2</v>
      </c>
      <c r="AI1263" t="s">
        <v>122</v>
      </c>
      <c r="AJ1263">
        <v>3</v>
      </c>
      <c r="AK1263">
        <v>-18</v>
      </c>
      <c r="AL1263">
        <v>0</v>
      </c>
      <c r="AM1263" t="s">
        <v>0</v>
      </c>
      <c r="AN1263">
        <v>0</v>
      </c>
      <c r="AO1263">
        <v>0</v>
      </c>
      <c r="AP1263">
        <v>1</v>
      </c>
      <c r="AQ1263">
        <v>0</v>
      </c>
    </row>
    <row r="1264" spans="1:43" x14ac:dyDescent="0.25">
      <c r="A1264" t="s">
        <v>648</v>
      </c>
      <c r="B1264" t="s">
        <v>647</v>
      </c>
      <c r="C1264" t="s">
        <v>646</v>
      </c>
      <c r="D1264" s="1">
        <v>45904</v>
      </c>
      <c r="E1264" t="s">
        <v>45</v>
      </c>
      <c r="F1264" t="s">
        <v>348</v>
      </c>
      <c r="G1264" t="s">
        <v>30</v>
      </c>
      <c r="H1264" t="s">
        <v>77</v>
      </c>
      <c r="I1264" t="s">
        <v>15</v>
      </c>
      <c r="J1264" t="s">
        <v>55</v>
      </c>
      <c r="K1264" t="s">
        <v>54</v>
      </c>
      <c r="L1264" t="s">
        <v>64</v>
      </c>
      <c r="M1264" t="s">
        <v>299</v>
      </c>
      <c r="N1264" t="s">
        <v>116</v>
      </c>
      <c r="O1264" t="s">
        <v>9</v>
      </c>
      <c r="P1264" t="s">
        <v>63</v>
      </c>
      <c r="Q1264" t="s">
        <v>7</v>
      </c>
      <c r="R1264" t="s">
        <v>6</v>
      </c>
      <c r="S1264">
        <v>7</v>
      </c>
      <c r="T1264">
        <v>7</v>
      </c>
      <c r="U1264">
        <v>173</v>
      </c>
      <c r="V1264" t="s">
        <v>0</v>
      </c>
      <c r="W1264" t="s">
        <v>0</v>
      </c>
      <c r="X1264" t="s">
        <v>0</v>
      </c>
      <c r="Y1264" t="s">
        <v>4</v>
      </c>
      <c r="Z1264" t="s">
        <v>0</v>
      </c>
      <c r="AA1264">
        <v>0</v>
      </c>
      <c r="AB1264">
        <v>0</v>
      </c>
      <c r="AC1264">
        <v>0</v>
      </c>
      <c r="AD1264" t="s">
        <v>3</v>
      </c>
      <c r="AE1264" t="s">
        <v>0</v>
      </c>
      <c r="AF1264" t="s">
        <v>3</v>
      </c>
      <c r="AG1264" t="s">
        <v>2</v>
      </c>
      <c r="AI1264" t="s">
        <v>544</v>
      </c>
      <c r="AJ1264">
        <v>3</v>
      </c>
      <c r="AK1264">
        <v>1</v>
      </c>
      <c r="AL1264">
        <v>0</v>
      </c>
      <c r="AM1264" t="s">
        <v>0</v>
      </c>
      <c r="AN1264">
        <v>0</v>
      </c>
      <c r="AO1264">
        <v>0</v>
      </c>
      <c r="AP1264">
        <v>0</v>
      </c>
      <c r="AQ1264">
        <v>0</v>
      </c>
    </row>
    <row r="1265" spans="1:43" x14ac:dyDescent="0.25">
      <c r="A1265" t="s">
        <v>645</v>
      </c>
      <c r="B1265" t="s">
        <v>644</v>
      </c>
      <c r="C1265" t="s">
        <v>643</v>
      </c>
      <c r="D1265" s="1">
        <v>46178</v>
      </c>
      <c r="E1265" t="s">
        <v>112</v>
      </c>
      <c r="F1265" t="s">
        <v>642</v>
      </c>
      <c r="G1265" t="s">
        <v>17</v>
      </c>
      <c r="H1265" t="s">
        <v>29</v>
      </c>
      <c r="I1265" t="s">
        <v>28</v>
      </c>
      <c r="J1265" t="s">
        <v>55</v>
      </c>
      <c r="K1265" t="s">
        <v>54</v>
      </c>
      <c r="L1265" t="s">
        <v>64</v>
      </c>
      <c r="M1265" t="s">
        <v>11</v>
      </c>
      <c r="N1265" t="s">
        <v>52</v>
      </c>
      <c r="O1265" t="s">
        <v>51</v>
      </c>
      <c r="P1265" t="s">
        <v>39</v>
      </c>
      <c r="Q1265" t="s">
        <v>198</v>
      </c>
      <c r="R1265" t="s">
        <v>6</v>
      </c>
      <c r="S1265">
        <v>6</v>
      </c>
      <c r="T1265">
        <v>3</v>
      </c>
      <c r="U1265">
        <v>238</v>
      </c>
      <c r="V1265" t="s">
        <v>5</v>
      </c>
      <c r="W1265" t="s">
        <v>135</v>
      </c>
      <c r="X1265" t="s">
        <v>181</v>
      </c>
      <c r="Y1265" t="s">
        <v>4</v>
      </c>
      <c r="Z1265" t="s">
        <v>0</v>
      </c>
      <c r="AA1265">
        <v>0</v>
      </c>
      <c r="AB1265">
        <v>0</v>
      </c>
      <c r="AC1265">
        <v>0</v>
      </c>
      <c r="AD1265" t="s">
        <v>3</v>
      </c>
      <c r="AE1265" t="s">
        <v>0</v>
      </c>
      <c r="AF1265" t="s">
        <v>3</v>
      </c>
      <c r="AG1265" t="s">
        <v>2</v>
      </c>
      <c r="AI1265" t="s">
        <v>1</v>
      </c>
      <c r="AJ1265">
        <v>3</v>
      </c>
      <c r="AK1265">
        <v>-2</v>
      </c>
      <c r="AL1265">
        <v>40</v>
      </c>
      <c r="AM1265" t="s">
        <v>0</v>
      </c>
      <c r="AN1265">
        <v>0</v>
      </c>
      <c r="AO1265">
        <v>0</v>
      </c>
      <c r="AP1265">
        <v>0</v>
      </c>
      <c r="AQ1265">
        <v>0</v>
      </c>
    </row>
    <row r="1266" spans="1:43" x14ac:dyDescent="0.25">
      <c r="A1266" t="s">
        <v>641</v>
      </c>
      <c r="B1266" t="s">
        <v>640</v>
      </c>
      <c r="C1266" t="s">
        <v>639</v>
      </c>
      <c r="D1266" s="1">
        <v>46040</v>
      </c>
      <c r="E1266" t="s">
        <v>125</v>
      </c>
      <c r="F1266" t="s">
        <v>132</v>
      </c>
      <c r="G1266" t="s">
        <v>110</v>
      </c>
      <c r="H1266" t="s">
        <v>16</v>
      </c>
      <c r="I1266" t="s">
        <v>28</v>
      </c>
      <c r="J1266" t="s">
        <v>55</v>
      </c>
      <c r="K1266" t="s">
        <v>54</v>
      </c>
      <c r="L1266" t="s">
        <v>42</v>
      </c>
      <c r="M1266" t="s">
        <v>53</v>
      </c>
      <c r="N1266" t="s">
        <v>93</v>
      </c>
      <c r="O1266" t="s">
        <v>51</v>
      </c>
      <c r="P1266" t="s">
        <v>247</v>
      </c>
      <c r="Q1266" t="s">
        <v>100</v>
      </c>
      <c r="R1266" t="s">
        <v>38</v>
      </c>
      <c r="S1266">
        <v>6</v>
      </c>
      <c r="T1266">
        <v>5</v>
      </c>
      <c r="U1266">
        <v>198</v>
      </c>
      <c r="V1266" t="s">
        <v>5</v>
      </c>
      <c r="W1266" t="s">
        <v>0</v>
      </c>
      <c r="X1266" t="s">
        <v>5</v>
      </c>
      <c r="Y1266" t="s">
        <v>153</v>
      </c>
      <c r="Z1266" t="s">
        <v>0</v>
      </c>
      <c r="AA1266">
        <v>0</v>
      </c>
      <c r="AB1266">
        <v>0</v>
      </c>
      <c r="AC1266">
        <v>0</v>
      </c>
      <c r="AD1266" t="s">
        <v>3</v>
      </c>
      <c r="AE1266" t="s">
        <v>0</v>
      </c>
      <c r="AF1266" t="s">
        <v>3</v>
      </c>
      <c r="AG1266" t="s">
        <v>2</v>
      </c>
      <c r="AI1266" t="s">
        <v>122</v>
      </c>
      <c r="AJ1266">
        <v>2</v>
      </c>
      <c r="AK1266">
        <v>150</v>
      </c>
      <c r="AL1266" t="s">
        <v>638</v>
      </c>
      <c r="AM1266" t="s">
        <v>5</v>
      </c>
      <c r="AN1266">
        <v>0</v>
      </c>
      <c r="AO1266">
        <v>0</v>
      </c>
      <c r="AP1266">
        <v>1</v>
      </c>
      <c r="AQ1266">
        <v>1</v>
      </c>
    </row>
    <row r="1267" spans="1:43" x14ac:dyDescent="0.25">
      <c r="A1267" t="s">
        <v>637</v>
      </c>
      <c r="B1267" t="s">
        <v>636</v>
      </c>
      <c r="C1267" t="s">
        <v>635</v>
      </c>
      <c r="D1267" s="1">
        <v>45704</v>
      </c>
      <c r="E1267" t="s">
        <v>156</v>
      </c>
      <c r="F1267" t="s">
        <v>238</v>
      </c>
      <c r="G1267" t="s">
        <v>30</v>
      </c>
      <c r="H1267" t="s">
        <v>237</v>
      </c>
      <c r="I1267" t="s">
        <v>15</v>
      </c>
      <c r="J1267" t="s">
        <v>14</v>
      </c>
      <c r="K1267" t="s">
        <v>13</v>
      </c>
      <c r="L1267" t="s">
        <v>64</v>
      </c>
      <c r="M1267" t="s">
        <v>11</v>
      </c>
      <c r="N1267" t="s">
        <v>75</v>
      </c>
      <c r="O1267" t="s">
        <v>51</v>
      </c>
      <c r="P1267" t="s">
        <v>39</v>
      </c>
      <c r="Q1267" t="s">
        <v>198</v>
      </c>
      <c r="R1267" t="s">
        <v>38</v>
      </c>
      <c r="S1267">
        <v>6</v>
      </c>
      <c r="T1267">
        <v>6</v>
      </c>
      <c r="U1267">
        <v>208</v>
      </c>
      <c r="V1267" t="s">
        <v>0</v>
      </c>
      <c r="W1267" t="s">
        <v>0</v>
      </c>
      <c r="X1267" t="s">
        <v>5</v>
      </c>
      <c r="Y1267" t="s">
        <v>634</v>
      </c>
      <c r="Z1267" t="s">
        <v>0</v>
      </c>
      <c r="AA1267">
        <v>0</v>
      </c>
      <c r="AB1267">
        <v>0</v>
      </c>
      <c r="AC1267">
        <v>0</v>
      </c>
      <c r="AD1267" t="s">
        <v>61</v>
      </c>
      <c r="AE1267" t="s">
        <v>5</v>
      </c>
      <c r="AF1267" t="s">
        <v>61</v>
      </c>
      <c r="AG1267" t="s">
        <v>36</v>
      </c>
      <c r="AH1267">
        <v>36</v>
      </c>
      <c r="AI1267" t="s">
        <v>23</v>
      </c>
      <c r="AJ1267">
        <v>2</v>
      </c>
      <c r="AK1267">
        <v>-27</v>
      </c>
      <c r="AL1267">
        <v>44</v>
      </c>
      <c r="AM1267" t="s">
        <v>0</v>
      </c>
      <c r="AN1267">
        <v>0</v>
      </c>
      <c r="AO1267">
        <v>0</v>
      </c>
      <c r="AP1267">
        <v>1</v>
      </c>
      <c r="AQ1267">
        <v>0</v>
      </c>
    </row>
    <row r="1268" spans="1:43" x14ac:dyDescent="0.25">
      <c r="A1268" t="s">
        <v>633</v>
      </c>
      <c r="B1268" t="s">
        <v>632</v>
      </c>
      <c r="C1268" t="s">
        <v>631</v>
      </c>
      <c r="D1268" s="1">
        <v>46129</v>
      </c>
      <c r="E1268" t="s">
        <v>168</v>
      </c>
      <c r="F1268" t="s">
        <v>167</v>
      </c>
      <c r="G1268" t="s">
        <v>110</v>
      </c>
      <c r="H1268" t="s">
        <v>16</v>
      </c>
      <c r="I1268" t="s">
        <v>15</v>
      </c>
      <c r="J1268" t="s">
        <v>14</v>
      </c>
      <c r="K1268" t="s">
        <v>13</v>
      </c>
      <c r="L1268" t="s">
        <v>88</v>
      </c>
      <c r="M1268" t="s">
        <v>11</v>
      </c>
      <c r="N1268" t="s">
        <v>52</v>
      </c>
      <c r="O1268" t="s">
        <v>74</v>
      </c>
      <c r="P1268" t="s">
        <v>63</v>
      </c>
      <c r="Q1268" t="s">
        <v>7</v>
      </c>
      <c r="R1268" t="s">
        <v>6</v>
      </c>
      <c r="S1268">
        <v>6</v>
      </c>
      <c r="T1268">
        <v>6</v>
      </c>
      <c r="U1268">
        <v>239</v>
      </c>
      <c r="V1268" t="s">
        <v>0</v>
      </c>
      <c r="W1268" t="s">
        <v>0</v>
      </c>
      <c r="X1268" t="s">
        <v>5</v>
      </c>
      <c r="Y1268" t="s">
        <v>73</v>
      </c>
      <c r="Z1268" t="s">
        <v>0</v>
      </c>
      <c r="AA1268">
        <v>0</v>
      </c>
      <c r="AB1268">
        <v>0</v>
      </c>
      <c r="AC1268">
        <v>0</v>
      </c>
      <c r="AD1268" t="s">
        <v>3</v>
      </c>
      <c r="AE1268" t="s">
        <v>0</v>
      </c>
      <c r="AF1268" t="s">
        <v>3</v>
      </c>
      <c r="AG1268" t="s">
        <v>2</v>
      </c>
      <c r="AI1268" t="s">
        <v>122</v>
      </c>
      <c r="AJ1268">
        <v>3</v>
      </c>
      <c r="AK1268">
        <v>-31</v>
      </c>
      <c r="AL1268">
        <v>0</v>
      </c>
      <c r="AM1268" t="s">
        <v>0</v>
      </c>
      <c r="AN1268">
        <v>0</v>
      </c>
      <c r="AO1268">
        <v>0</v>
      </c>
      <c r="AP1268">
        <v>1</v>
      </c>
      <c r="AQ1268">
        <v>0</v>
      </c>
    </row>
    <row r="1269" spans="1:43" x14ac:dyDescent="0.25">
      <c r="A1269" t="s">
        <v>630</v>
      </c>
      <c r="B1269" t="s">
        <v>47</v>
      </c>
      <c r="C1269" t="s">
        <v>629</v>
      </c>
      <c r="D1269" s="1">
        <v>45820</v>
      </c>
      <c r="E1269" t="s">
        <v>79</v>
      </c>
      <c r="F1269" t="s">
        <v>102</v>
      </c>
      <c r="G1269" t="s">
        <v>17</v>
      </c>
      <c r="H1269" t="s">
        <v>77</v>
      </c>
      <c r="I1269" t="s">
        <v>15</v>
      </c>
      <c r="J1269" t="s">
        <v>14</v>
      </c>
      <c r="K1269" t="s">
        <v>13</v>
      </c>
      <c r="L1269" t="s">
        <v>64</v>
      </c>
      <c r="M1269" t="s">
        <v>11</v>
      </c>
      <c r="N1269" t="s">
        <v>41</v>
      </c>
      <c r="O1269" t="s">
        <v>51</v>
      </c>
      <c r="P1269" t="s">
        <v>63</v>
      </c>
      <c r="Q1269" t="s">
        <v>7</v>
      </c>
      <c r="R1269" t="s">
        <v>6</v>
      </c>
      <c r="S1269">
        <v>6</v>
      </c>
      <c r="T1269" t="s">
        <v>205</v>
      </c>
      <c r="U1269">
        <v>151</v>
      </c>
      <c r="V1269" t="s">
        <v>0</v>
      </c>
      <c r="W1269" t="s">
        <v>5</v>
      </c>
      <c r="X1269" t="s">
        <v>0</v>
      </c>
      <c r="Y1269" t="s">
        <v>4</v>
      </c>
      <c r="Z1269" t="s">
        <v>0</v>
      </c>
      <c r="AA1269">
        <v>0</v>
      </c>
      <c r="AB1269">
        <v>0</v>
      </c>
      <c r="AC1269">
        <v>0</v>
      </c>
      <c r="AD1269" t="s">
        <v>3</v>
      </c>
      <c r="AE1269" t="s">
        <v>0</v>
      </c>
      <c r="AF1269" t="s">
        <v>3</v>
      </c>
      <c r="AG1269" t="s">
        <v>2</v>
      </c>
      <c r="AI1269" t="s">
        <v>23</v>
      </c>
      <c r="AJ1269">
        <v>4</v>
      </c>
      <c r="AK1269">
        <v>54</v>
      </c>
      <c r="AL1269">
        <v>0</v>
      </c>
      <c r="AM1269" t="s">
        <v>5</v>
      </c>
      <c r="AN1269">
        <v>1</v>
      </c>
      <c r="AO1269">
        <v>0</v>
      </c>
      <c r="AP1269">
        <v>0</v>
      </c>
      <c r="AQ1269">
        <v>1</v>
      </c>
    </row>
    <row r="1270" spans="1:43" x14ac:dyDescent="0.25">
      <c r="A1270" t="s">
        <v>628</v>
      </c>
      <c r="B1270" t="s">
        <v>627</v>
      </c>
      <c r="C1270" t="s">
        <v>626</v>
      </c>
      <c r="D1270" s="1">
        <v>46086</v>
      </c>
      <c r="E1270" t="s">
        <v>112</v>
      </c>
      <c r="F1270" t="s">
        <v>307</v>
      </c>
      <c r="G1270" t="s">
        <v>17</v>
      </c>
      <c r="H1270" t="s">
        <v>43</v>
      </c>
      <c r="I1270" t="s">
        <v>28</v>
      </c>
      <c r="J1270" t="s">
        <v>14</v>
      </c>
      <c r="K1270" t="s">
        <v>13</v>
      </c>
      <c r="L1270" t="s">
        <v>12</v>
      </c>
      <c r="M1270" t="s">
        <v>11</v>
      </c>
      <c r="N1270" t="s">
        <v>52</v>
      </c>
      <c r="O1270" t="s">
        <v>87</v>
      </c>
      <c r="P1270" t="s">
        <v>39</v>
      </c>
      <c r="Q1270" t="s">
        <v>7</v>
      </c>
      <c r="R1270" t="s">
        <v>6</v>
      </c>
      <c r="S1270">
        <v>5</v>
      </c>
      <c r="T1270">
        <v>5</v>
      </c>
      <c r="U1270">
        <v>0</v>
      </c>
      <c r="V1270" t="s">
        <v>0</v>
      </c>
      <c r="W1270" t="s">
        <v>5</v>
      </c>
      <c r="X1270" t="s">
        <v>0</v>
      </c>
      <c r="Y1270" t="s">
        <v>4</v>
      </c>
      <c r="Z1270" t="s">
        <v>5</v>
      </c>
      <c r="AA1270">
        <v>24.79</v>
      </c>
      <c r="AB1270">
        <v>0</v>
      </c>
      <c r="AC1270">
        <v>0</v>
      </c>
      <c r="AD1270" t="s">
        <v>3</v>
      </c>
      <c r="AE1270" t="s">
        <v>0</v>
      </c>
      <c r="AF1270" t="s">
        <v>3</v>
      </c>
      <c r="AG1270" t="s">
        <v>2</v>
      </c>
      <c r="AI1270" t="s">
        <v>23</v>
      </c>
      <c r="AJ1270">
        <v>4</v>
      </c>
      <c r="AK1270">
        <v>60</v>
      </c>
      <c r="AL1270">
        <v>17</v>
      </c>
      <c r="AM1270" t="s">
        <v>5</v>
      </c>
      <c r="AN1270">
        <v>1</v>
      </c>
      <c r="AO1270">
        <v>1</v>
      </c>
      <c r="AP1270">
        <v>0</v>
      </c>
      <c r="AQ1270">
        <v>1</v>
      </c>
    </row>
    <row r="1271" spans="1:43" x14ac:dyDescent="0.25">
      <c r="A1271" t="s">
        <v>625</v>
      </c>
      <c r="B1271" t="s">
        <v>624</v>
      </c>
      <c r="C1271" t="s">
        <v>623</v>
      </c>
      <c r="D1271" s="1">
        <v>45720</v>
      </c>
      <c r="E1271" t="s">
        <v>45</v>
      </c>
      <c r="F1271" t="s">
        <v>44</v>
      </c>
      <c r="G1271" t="s">
        <v>110</v>
      </c>
      <c r="H1271" t="s">
        <v>77</v>
      </c>
      <c r="I1271" t="s">
        <v>15</v>
      </c>
      <c r="J1271" t="s">
        <v>55</v>
      </c>
      <c r="K1271" t="s">
        <v>54</v>
      </c>
      <c r="L1271" t="s">
        <v>64</v>
      </c>
      <c r="M1271" t="s">
        <v>27</v>
      </c>
      <c r="N1271" t="s">
        <v>75</v>
      </c>
      <c r="O1271" t="s">
        <v>9</v>
      </c>
      <c r="P1271" t="s">
        <v>39</v>
      </c>
      <c r="Q1271" t="s">
        <v>198</v>
      </c>
      <c r="R1271" t="s">
        <v>6</v>
      </c>
      <c r="S1271">
        <v>7</v>
      </c>
      <c r="T1271">
        <v>7</v>
      </c>
      <c r="U1271">
        <v>137</v>
      </c>
      <c r="V1271" t="s">
        <v>0</v>
      </c>
      <c r="W1271" t="s">
        <v>0</v>
      </c>
      <c r="X1271" t="s">
        <v>0</v>
      </c>
      <c r="Y1271" t="s">
        <v>4</v>
      </c>
      <c r="Z1271" t="s">
        <v>5</v>
      </c>
      <c r="AA1271">
        <v>0</v>
      </c>
      <c r="AB1271">
        <v>0</v>
      </c>
      <c r="AC1271">
        <v>0.37</v>
      </c>
      <c r="AD1271" t="s">
        <v>3</v>
      </c>
      <c r="AE1271" t="s">
        <v>0</v>
      </c>
      <c r="AF1271" t="s">
        <v>3</v>
      </c>
      <c r="AG1271" t="s">
        <v>2</v>
      </c>
      <c r="AI1271" t="s">
        <v>23</v>
      </c>
      <c r="AJ1271">
        <v>3</v>
      </c>
      <c r="AK1271">
        <v>24</v>
      </c>
      <c r="AL1271">
        <v>24</v>
      </c>
      <c r="AM1271" t="s">
        <v>0</v>
      </c>
      <c r="AN1271">
        <v>0</v>
      </c>
      <c r="AO1271">
        <v>1</v>
      </c>
      <c r="AP1271">
        <v>0</v>
      </c>
      <c r="AQ1271">
        <v>0</v>
      </c>
    </row>
    <row r="1272" spans="1:43" x14ac:dyDescent="0.25">
      <c r="A1272" t="s">
        <v>622</v>
      </c>
      <c r="B1272" t="s">
        <v>621</v>
      </c>
      <c r="C1272" t="s">
        <v>620</v>
      </c>
      <c r="D1272" s="1">
        <v>45873</v>
      </c>
      <c r="E1272" t="s">
        <v>112</v>
      </c>
      <c r="F1272" t="s">
        <v>111</v>
      </c>
      <c r="G1272" t="s">
        <v>17</v>
      </c>
      <c r="H1272" t="s">
        <v>43</v>
      </c>
      <c r="I1272" t="s">
        <v>15</v>
      </c>
      <c r="J1272" t="s">
        <v>14</v>
      </c>
      <c r="K1272" t="s">
        <v>13</v>
      </c>
      <c r="L1272" t="s">
        <v>64</v>
      </c>
      <c r="M1272" t="s">
        <v>11</v>
      </c>
      <c r="N1272" t="s">
        <v>10</v>
      </c>
      <c r="O1272" t="s">
        <v>74</v>
      </c>
      <c r="P1272" t="s">
        <v>63</v>
      </c>
      <c r="Q1272" t="s">
        <v>7</v>
      </c>
      <c r="R1272" t="s">
        <v>6</v>
      </c>
      <c r="S1272">
        <v>6</v>
      </c>
      <c r="T1272">
        <v>6</v>
      </c>
      <c r="U1272">
        <v>188</v>
      </c>
      <c r="V1272" t="s">
        <v>0</v>
      </c>
      <c r="W1272" t="s">
        <v>5</v>
      </c>
      <c r="X1272" t="s">
        <v>0</v>
      </c>
      <c r="Y1272" t="s">
        <v>4</v>
      </c>
      <c r="Z1272" t="s">
        <v>5</v>
      </c>
      <c r="AA1272">
        <v>0</v>
      </c>
      <c r="AB1272">
        <v>0</v>
      </c>
      <c r="AC1272">
        <v>0</v>
      </c>
      <c r="AD1272" t="s">
        <v>3</v>
      </c>
      <c r="AE1272" t="s">
        <v>0</v>
      </c>
      <c r="AF1272" t="s">
        <v>3</v>
      </c>
      <c r="AG1272" t="s">
        <v>2</v>
      </c>
      <c r="AI1272" t="s">
        <v>23</v>
      </c>
      <c r="AJ1272">
        <v>2</v>
      </c>
      <c r="AK1272">
        <v>-2</v>
      </c>
      <c r="AL1272" t="s">
        <v>347</v>
      </c>
      <c r="AM1272" t="s">
        <v>0</v>
      </c>
      <c r="AN1272">
        <v>1</v>
      </c>
      <c r="AO1272">
        <v>1</v>
      </c>
      <c r="AP1272">
        <v>0</v>
      </c>
      <c r="AQ1272">
        <v>0</v>
      </c>
    </row>
    <row r="1273" spans="1:43" x14ac:dyDescent="0.25">
      <c r="A1273" t="s">
        <v>619</v>
      </c>
      <c r="B1273" t="s">
        <v>618</v>
      </c>
      <c r="C1273" t="s">
        <v>617</v>
      </c>
      <c r="D1273" s="1">
        <v>46054</v>
      </c>
      <c r="E1273" t="s">
        <v>156</v>
      </c>
      <c r="F1273" t="s">
        <v>325</v>
      </c>
      <c r="G1273" t="s">
        <v>30</v>
      </c>
      <c r="H1273" t="s">
        <v>77</v>
      </c>
      <c r="I1273" t="s">
        <v>15</v>
      </c>
      <c r="J1273" t="s">
        <v>14</v>
      </c>
      <c r="K1273" t="s">
        <v>13</v>
      </c>
      <c r="L1273" t="s">
        <v>64</v>
      </c>
      <c r="M1273" t="s">
        <v>567</v>
      </c>
      <c r="N1273" t="s">
        <v>116</v>
      </c>
      <c r="O1273" t="s">
        <v>130</v>
      </c>
      <c r="P1273" t="s">
        <v>39</v>
      </c>
      <c r="Q1273" t="s">
        <v>24</v>
      </c>
      <c r="R1273" t="s">
        <v>38</v>
      </c>
      <c r="S1273">
        <v>5</v>
      </c>
      <c r="T1273">
        <v>5</v>
      </c>
      <c r="U1273">
        <v>109</v>
      </c>
      <c r="V1273" t="s">
        <v>0</v>
      </c>
      <c r="W1273" t="s">
        <v>5</v>
      </c>
      <c r="X1273" t="s">
        <v>0</v>
      </c>
      <c r="Y1273" t="s">
        <v>4</v>
      </c>
      <c r="Z1273" t="s">
        <v>5</v>
      </c>
      <c r="AA1273">
        <v>57.92</v>
      </c>
      <c r="AB1273">
        <v>0</v>
      </c>
      <c r="AC1273">
        <v>0.37</v>
      </c>
      <c r="AD1273" t="s">
        <v>3</v>
      </c>
      <c r="AE1273" t="s">
        <v>0</v>
      </c>
      <c r="AF1273" t="s">
        <v>3</v>
      </c>
      <c r="AG1273" t="s">
        <v>2</v>
      </c>
      <c r="AI1273" t="s">
        <v>23</v>
      </c>
      <c r="AJ1273">
        <v>5</v>
      </c>
      <c r="AK1273">
        <v>13</v>
      </c>
      <c r="AL1273">
        <v>54</v>
      </c>
      <c r="AM1273" t="s">
        <v>5</v>
      </c>
      <c r="AN1273">
        <v>1</v>
      </c>
      <c r="AO1273">
        <v>1</v>
      </c>
      <c r="AP1273">
        <v>0</v>
      </c>
      <c r="AQ1273">
        <v>1</v>
      </c>
    </row>
    <row r="1274" spans="1:43" x14ac:dyDescent="0.25">
      <c r="A1274" t="s">
        <v>616</v>
      </c>
      <c r="B1274" t="s">
        <v>615</v>
      </c>
      <c r="C1274" t="s">
        <v>614</v>
      </c>
      <c r="D1274" s="1">
        <v>45883</v>
      </c>
      <c r="E1274" t="s">
        <v>112</v>
      </c>
      <c r="F1274" t="s">
        <v>307</v>
      </c>
      <c r="G1274" t="s">
        <v>56</v>
      </c>
      <c r="H1274" t="s">
        <v>29</v>
      </c>
      <c r="I1274" t="s">
        <v>28</v>
      </c>
      <c r="J1274" t="s">
        <v>55</v>
      </c>
      <c r="K1274" t="s">
        <v>54</v>
      </c>
      <c r="L1274" t="s">
        <v>88</v>
      </c>
      <c r="M1274" t="s">
        <v>11</v>
      </c>
      <c r="N1274" t="s">
        <v>93</v>
      </c>
      <c r="O1274" t="s">
        <v>51</v>
      </c>
      <c r="P1274" t="s">
        <v>39</v>
      </c>
      <c r="Q1274" t="s">
        <v>7</v>
      </c>
      <c r="R1274" t="s">
        <v>6</v>
      </c>
      <c r="S1274">
        <v>6</v>
      </c>
      <c r="T1274">
        <v>3</v>
      </c>
      <c r="U1274">
        <v>295</v>
      </c>
      <c r="V1274" t="s">
        <v>5</v>
      </c>
      <c r="W1274" t="s">
        <v>0</v>
      </c>
      <c r="X1274" t="s">
        <v>5</v>
      </c>
      <c r="Y1274" t="s">
        <v>153</v>
      </c>
      <c r="Z1274" t="s">
        <v>0</v>
      </c>
      <c r="AA1274">
        <v>0</v>
      </c>
      <c r="AB1274">
        <v>0</v>
      </c>
      <c r="AC1274">
        <v>0</v>
      </c>
      <c r="AD1274" t="s">
        <v>3</v>
      </c>
      <c r="AE1274" t="s">
        <v>0</v>
      </c>
      <c r="AF1274" t="s">
        <v>3</v>
      </c>
      <c r="AG1274" t="s">
        <v>2</v>
      </c>
      <c r="AI1274" t="s">
        <v>332</v>
      </c>
      <c r="AJ1274">
        <v>3</v>
      </c>
      <c r="AK1274">
        <v>-29</v>
      </c>
      <c r="AL1274">
        <v>17</v>
      </c>
      <c r="AM1274" t="s">
        <v>0</v>
      </c>
      <c r="AN1274">
        <v>0</v>
      </c>
      <c r="AO1274">
        <v>0</v>
      </c>
      <c r="AP1274">
        <v>1</v>
      </c>
      <c r="AQ1274">
        <v>0</v>
      </c>
    </row>
    <row r="1275" spans="1:43" x14ac:dyDescent="0.25">
      <c r="A1275" t="s">
        <v>613</v>
      </c>
      <c r="B1275" t="s">
        <v>612</v>
      </c>
      <c r="C1275" t="s">
        <v>611</v>
      </c>
      <c r="D1275" s="1">
        <v>45819</v>
      </c>
      <c r="E1275" t="s">
        <v>45</v>
      </c>
      <c r="F1275" t="s">
        <v>57</v>
      </c>
      <c r="G1275" t="s">
        <v>83</v>
      </c>
      <c r="H1275" t="s">
        <v>77</v>
      </c>
      <c r="I1275" t="s">
        <v>28</v>
      </c>
      <c r="J1275" t="s">
        <v>14</v>
      </c>
      <c r="K1275" t="s">
        <v>13</v>
      </c>
      <c r="L1275" t="s">
        <v>12</v>
      </c>
      <c r="M1275" t="s">
        <v>53</v>
      </c>
      <c r="N1275" t="s">
        <v>154</v>
      </c>
      <c r="O1275" t="s">
        <v>40</v>
      </c>
      <c r="P1275" t="s">
        <v>39</v>
      </c>
      <c r="Q1275" t="s">
        <v>7</v>
      </c>
      <c r="R1275" t="s">
        <v>6</v>
      </c>
      <c r="S1275" t="s">
        <v>106</v>
      </c>
      <c r="T1275">
        <v>8</v>
      </c>
      <c r="U1275">
        <v>146</v>
      </c>
      <c r="V1275" t="s">
        <v>0</v>
      </c>
      <c r="W1275" t="s">
        <v>0</v>
      </c>
      <c r="X1275" t="s">
        <v>0</v>
      </c>
      <c r="Y1275" t="s">
        <v>4</v>
      </c>
      <c r="Z1275" t="s">
        <v>0</v>
      </c>
      <c r="AA1275">
        <v>0</v>
      </c>
      <c r="AB1275">
        <v>0</v>
      </c>
      <c r="AC1275">
        <v>0</v>
      </c>
      <c r="AD1275" t="s">
        <v>3</v>
      </c>
      <c r="AE1275" t="s">
        <v>0</v>
      </c>
      <c r="AF1275" t="s">
        <v>3</v>
      </c>
      <c r="AG1275" t="s">
        <v>2</v>
      </c>
      <c r="AI1275" t="s">
        <v>191</v>
      </c>
      <c r="AJ1275">
        <v>3</v>
      </c>
      <c r="AK1275">
        <v>31</v>
      </c>
      <c r="AL1275">
        <v>-5</v>
      </c>
      <c r="AM1275" t="s">
        <v>0</v>
      </c>
      <c r="AN1275">
        <v>0</v>
      </c>
      <c r="AO1275">
        <v>0</v>
      </c>
      <c r="AP1275">
        <v>0</v>
      </c>
      <c r="AQ1275">
        <v>0</v>
      </c>
    </row>
    <row r="1276" spans="1:43" x14ac:dyDescent="0.25">
      <c r="A1276" t="s">
        <v>610</v>
      </c>
      <c r="B1276" t="s">
        <v>609</v>
      </c>
      <c r="C1276" t="s">
        <v>608</v>
      </c>
      <c r="D1276" s="1">
        <v>46080</v>
      </c>
      <c r="E1276" t="s">
        <v>32</v>
      </c>
      <c r="F1276" t="s">
        <v>31</v>
      </c>
      <c r="G1276" t="s">
        <v>56</v>
      </c>
      <c r="H1276" t="s">
        <v>77</v>
      </c>
      <c r="I1276" t="s">
        <v>28</v>
      </c>
      <c r="J1276" t="s">
        <v>55</v>
      </c>
      <c r="K1276" t="s">
        <v>54</v>
      </c>
      <c r="L1276" t="s">
        <v>88</v>
      </c>
      <c r="M1276" t="s">
        <v>11</v>
      </c>
      <c r="N1276" t="s">
        <v>10</v>
      </c>
      <c r="O1276" t="s">
        <v>199</v>
      </c>
      <c r="P1276" t="s">
        <v>8</v>
      </c>
      <c r="Q1276" t="s">
        <v>198</v>
      </c>
      <c r="R1276" t="s">
        <v>38</v>
      </c>
      <c r="S1276">
        <v>5</v>
      </c>
      <c r="T1276">
        <v>5</v>
      </c>
      <c r="U1276">
        <v>96</v>
      </c>
      <c r="V1276" t="s">
        <v>0</v>
      </c>
      <c r="W1276" t="s">
        <v>5</v>
      </c>
      <c r="X1276" t="s">
        <v>0</v>
      </c>
      <c r="Y1276" t="s">
        <v>4</v>
      </c>
      <c r="Z1276" t="s">
        <v>5</v>
      </c>
      <c r="AA1276">
        <v>17.86</v>
      </c>
      <c r="AB1276">
        <v>0</v>
      </c>
      <c r="AC1276">
        <v>0</v>
      </c>
      <c r="AD1276" t="s">
        <v>479</v>
      </c>
      <c r="AE1276" t="s">
        <v>0</v>
      </c>
      <c r="AF1276" t="s">
        <v>479</v>
      </c>
      <c r="AG1276" t="s">
        <v>2</v>
      </c>
      <c r="AI1276" t="s">
        <v>23</v>
      </c>
      <c r="AJ1276">
        <v>5</v>
      </c>
      <c r="AK1276">
        <v>44</v>
      </c>
      <c r="AL1276">
        <v>20</v>
      </c>
      <c r="AM1276" t="s">
        <v>0</v>
      </c>
      <c r="AN1276">
        <v>1</v>
      </c>
      <c r="AO1276">
        <v>1</v>
      </c>
      <c r="AP1276">
        <v>0</v>
      </c>
      <c r="AQ1276">
        <v>0</v>
      </c>
    </row>
    <row r="1277" spans="1:43" x14ac:dyDescent="0.25">
      <c r="A1277" t="s">
        <v>607</v>
      </c>
      <c r="B1277" t="s">
        <v>606</v>
      </c>
      <c r="C1277" t="s">
        <v>605</v>
      </c>
      <c r="D1277" s="1">
        <v>45688</v>
      </c>
      <c r="E1277" t="s">
        <v>149</v>
      </c>
      <c r="F1277" t="s">
        <v>148</v>
      </c>
      <c r="G1277" t="s">
        <v>17</v>
      </c>
      <c r="H1277" t="s">
        <v>29</v>
      </c>
      <c r="I1277" t="s">
        <v>15</v>
      </c>
      <c r="J1277" t="s">
        <v>55</v>
      </c>
      <c r="K1277" t="s">
        <v>54</v>
      </c>
      <c r="L1277" t="s">
        <v>64</v>
      </c>
      <c r="M1277" t="s">
        <v>53</v>
      </c>
      <c r="N1277" t="s">
        <v>269</v>
      </c>
      <c r="O1277" t="s">
        <v>74</v>
      </c>
      <c r="P1277" t="s">
        <v>39</v>
      </c>
      <c r="Q1277" t="s">
        <v>24</v>
      </c>
      <c r="R1277" t="s">
        <v>6</v>
      </c>
      <c r="S1277">
        <v>6</v>
      </c>
      <c r="T1277">
        <v>6</v>
      </c>
      <c r="U1277">
        <v>190</v>
      </c>
      <c r="V1277" t="s">
        <v>0</v>
      </c>
      <c r="W1277" t="s">
        <v>0</v>
      </c>
      <c r="X1277" t="s">
        <v>0</v>
      </c>
      <c r="Y1277" t="s">
        <v>4</v>
      </c>
      <c r="Z1277" t="s">
        <v>5</v>
      </c>
      <c r="AA1277">
        <v>0</v>
      </c>
      <c r="AB1277">
        <v>0</v>
      </c>
      <c r="AC1277">
        <v>0.17</v>
      </c>
      <c r="AD1277" t="s">
        <v>3</v>
      </c>
      <c r="AE1277" t="s">
        <v>0</v>
      </c>
      <c r="AF1277" t="s">
        <v>3</v>
      </c>
      <c r="AG1277" t="s">
        <v>2</v>
      </c>
      <c r="AI1277" t="s">
        <v>23</v>
      </c>
      <c r="AJ1277">
        <v>4</v>
      </c>
      <c r="AK1277">
        <v>33</v>
      </c>
      <c r="AL1277">
        <v>25</v>
      </c>
      <c r="AM1277" t="s">
        <v>0</v>
      </c>
      <c r="AN1277">
        <v>0</v>
      </c>
      <c r="AO1277">
        <v>1</v>
      </c>
      <c r="AP1277">
        <v>0</v>
      </c>
      <c r="AQ1277">
        <v>0</v>
      </c>
    </row>
    <row r="1278" spans="1:43" x14ac:dyDescent="0.25">
      <c r="A1278" t="s">
        <v>604</v>
      </c>
      <c r="B1278" t="s">
        <v>603</v>
      </c>
      <c r="C1278" t="s">
        <v>602</v>
      </c>
      <c r="D1278" s="1">
        <v>45862</v>
      </c>
      <c r="E1278" t="s">
        <v>32</v>
      </c>
      <c r="F1278" t="s">
        <v>356</v>
      </c>
      <c r="G1278" t="s">
        <v>17</v>
      </c>
      <c r="H1278" t="s">
        <v>77</v>
      </c>
      <c r="I1278" t="s">
        <v>28</v>
      </c>
      <c r="J1278" t="s">
        <v>146</v>
      </c>
      <c r="K1278" t="s">
        <v>460</v>
      </c>
      <c r="L1278" t="s">
        <v>42</v>
      </c>
      <c r="M1278" t="s">
        <v>11</v>
      </c>
      <c r="N1278" t="s">
        <v>154</v>
      </c>
      <c r="O1278" t="s">
        <v>26</v>
      </c>
      <c r="P1278" t="s">
        <v>8</v>
      </c>
      <c r="Q1278" t="s">
        <v>24</v>
      </c>
      <c r="R1278" t="s">
        <v>6</v>
      </c>
      <c r="S1278">
        <v>4</v>
      </c>
      <c r="T1278" t="s">
        <v>601</v>
      </c>
      <c r="U1278">
        <v>126</v>
      </c>
      <c r="V1278" t="s">
        <v>5</v>
      </c>
      <c r="W1278" t="s">
        <v>5</v>
      </c>
      <c r="X1278" t="s">
        <v>0</v>
      </c>
      <c r="Y1278" t="s">
        <v>4</v>
      </c>
      <c r="Z1278" t="s">
        <v>5</v>
      </c>
      <c r="AA1278">
        <v>120.53</v>
      </c>
      <c r="AB1278">
        <v>0.23</v>
      </c>
      <c r="AC1278">
        <v>0</v>
      </c>
      <c r="AD1278" t="s">
        <v>3</v>
      </c>
      <c r="AE1278" t="s">
        <v>0</v>
      </c>
      <c r="AF1278" t="s">
        <v>3</v>
      </c>
      <c r="AG1278" t="s">
        <v>2</v>
      </c>
      <c r="AI1278" t="s">
        <v>23</v>
      </c>
      <c r="AJ1278">
        <v>3</v>
      </c>
      <c r="AK1278">
        <v>-37</v>
      </c>
      <c r="AL1278">
        <v>34</v>
      </c>
      <c r="AM1278" t="s">
        <v>0</v>
      </c>
      <c r="AN1278">
        <v>1</v>
      </c>
      <c r="AO1278">
        <v>1</v>
      </c>
      <c r="AP1278">
        <v>0</v>
      </c>
      <c r="AQ1278">
        <v>0</v>
      </c>
    </row>
    <row r="1279" spans="1:43" x14ac:dyDescent="0.25">
      <c r="A1279" t="s">
        <v>600</v>
      </c>
      <c r="B1279" t="s">
        <v>599</v>
      </c>
      <c r="C1279" t="s">
        <v>598</v>
      </c>
      <c r="D1279" s="1">
        <v>45729</v>
      </c>
      <c r="E1279" t="s">
        <v>32</v>
      </c>
      <c r="F1279" t="s">
        <v>382</v>
      </c>
      <c r="G1279" t="s">
        <v>30</v>
      </c>
      <c r="H1279" t="s">
        <v>16</v>
      </c>
      <c r="I1279" t="s">
        <v>15</v>
      </c>
      <c r="J1279" t="s">
        <v>55</v>
      </c>
      <c r="K1279" t="s">
        <v>65</v>
      </c>
      <c r="L1279" t="s">
        <v>64</v>
      </c>
      <c r="M1279" t="s">
        <v>11</v>
      </c>
      <c r="N1279" t="s">
        <v>93</v>
      </c>
      <c r="O1279" t="s">
        <v>51</v>
      </c>
      <c r="P1279" t="s">
        <v>39</v>
      </c>
      <c r="Q1279" t="s">
        <v>24</v>
      </c>
      <c r="R1279" t="s">
        <v>6</v>
      </c>
      <c r="S1279">
        <v>6</v>
      </c>
      <c r="T1279">
        <v>6</v>
      </c>
      <c r="U1279">
        <v>127</v>
      </c>
      <c r="V1279" t="s">
        <v>0</v>
      </c>
      <c r="W1279" t="s">
        <v>0</v>
      </c>
      <c r="X1279" t="s">
        <v>0</v>
      </c>
      <c r="Y1279" t="s">
        <v>4</v>
      </c>
      <c r="Z1279" t="s">
        <v>0</v>
      </c>
      <c r="AA1279">
        <v>0</v>
      </c>
      <c r="AB1279">
        <v>0</v>
      </c>
      <c r="AC1279">
        <v>0</v>
      </c>
      <c r="AD1279" t="s">
        <v>3</v>
      </c>
      <c r="AE1279" t="s">
        <v>0</v>
      </c>
      <c r="AF1279" t="s">
        <v>3</v>
      </c>
      <c r="AG1279" t="s">
        <v>2</v>
      </c>
      <c r="AI1279" t="s">
        <v>122</v>
      </c>
      <c r="AJ1279">
        <v>3</v>
      </c>
      <c r="AK1279">
        <v>27</v>
      </c>
      <c r="AL1279">
        <v>8</v>
      </c>
      <c r="AM1279" t="s">
        <v>0</v>
      </c>
      <c r="AN1279">
        <v>0</v>
      </c>
      <c r="AO1279">
        <v>0</v>
      </c>
      <c r="AP1279">
        <v>0</v>
      </c>
      <c r="AQ1279">
        <v>0</v>
      </c>
    </row>
    <row r="1280" spans="1:43" x14ac:dyDescent="0.25">
      <c r="A1280" t="s">
        <v>597</v>
      </c>
      <c r="B1280" t="s">
        <v>596</v>
      </c>
      <c r="C1280" t="s">
        <v>595</v>
      </c>
      <c r="D1280" s="1">
        <v>45778</v>
      </c>
      <c r="E1280" t="s">
        <v>112</v>
      </c>
      <c r="F1280" t="s">
        <v>307</v>
      </c>
      <c r="G1280" t="s">
        <v>17</v>
      </c>
      <c r="H1280" t="s">
        <v>16</v>
      </c>
      <c r="I1280" t="s">
        <v>15</v>
      </c>
      <c r="J1280" t="s">
        <v>146</v>
      </c>
      <c r="K1280" t="s">
        <v>176</v>
      </c>
      <c r="L1280" t="s">
        <v>42</v>
      </c>
      <c r="M1280" t="s">
        <v>11</v>
      </c>
      <c r="N1280" t="s">
        <v>52</v>
      </c>
      <c r="O1280" t="s">
        <v>101</v>
      </c>
      <c r="P1280" t="s">
        <v>63</v>
      </c>
      <c r="Q1280" t="s">
        <v>7</v>
      </c>
      <c r="R1280" t="s">
        <v>6</v>
      </c>
      <c r="S1280">
        <v>4</v>
      </c>
      <c r="T1280">
        <v>4</v>
      </c>
      <c r="U1280">
        <v>103</v>
      </c>
      <c r="V1280" t="s">
        <v>0</v>
      </c>
      <c r="W1280" t="s">
        <v>5</v>
      </c>
      <c r="X1280" t="s">
        <v>0</v>
      </c>
      <c r="Y1280" t="s">
        <v>4</v>
      </c>
      <c r="Z1280" t="s">
        <v>5</v>
      </c>
      <c r="AA1280">
        <v>63.58</v>
      </c>
      <c r="AB1280">
        <v>0.5</v>
      </c>
      <c r="AC1280">
        <v>0</v>
      </c>
      <c r="AD1280" t="s">
        <v>3</v>
      </c>
      <c r="AE1280" t="s">
        <v>0</v>
      </c>
      <c r="AF1280" t="s">
        <v>3</v>
      </c>
      <c r="AG1280" t="s">
        <v>2</v>
      </c>
      <c r="AI1280" t="s">
        <v>23</v>
      </c>
      <c r="AJ1280">
        <v>5</v>
      </c>
      <c r="AK1280">
        <v>-7</v>
      </c>
      <c r="AL1280">
        <v>0</v>
      </c>
      <c r="AM1280" t="s">
        <v>5</v>
      </c>
      <c r="AN1280">
        <v>1</v>
      </c>
      <c r="AO1280">
        <v>1</v>
      </c>
      <c r="AP1280">
        <v>0</v>
      </c>
      <c r="AQ1280">
        <v>1</v>
      </c>
    </row>
    <row r="1281" spans="1:43" x14ac:dyDescent="0.25">
      <c r="A1281" t="s">
        <v>594</v>
      </c>
      <c r="B1281" t="s">
        <v>142</v>
      </c>
      <c r="C1281" t="s">
        <v>593</v>
      </c>
      <c r="D1281" s="1">
        <v>46054</v>
      </c>
      <c r="E1281" t="s">
        <v>19</v>
      </c>
      <c r="F1281" t="s">
        <v>18</v>
      </c>
      <c r="G1281" t="s">
        <v>83</v>
      </c>
      <c r="H1281" t="s">
        <v>29</v>
      </c>
      <c r="I1281" t="s">
        <v>15</v>
      </c>
      <c r="J1281" t="s">
        <v>14</v>
      </c>
      <c r="K1281" t="s">
        <v>13</v>
      </c>
      <c r="L1281" t="s">
        <v>42</v>
      </c>
      <c r="M1281" t="s">
        <v>11</v>
      </c>
      <c r="N1281" t="s">
        <v>116</v>
      </c>
      <c r="O1281" t="s">
        <v>74</v>
      </c>
      <c r="P1281" t="s">
        <v>63</v>
      </c>
      <c r="Q1281" t="s">
        <v>100</v>
      </c>
      <c r="R1281" t="s">
        <v>6</v>
      </c>
      <c r="S1281">
        <v>6</v>
      </c>
      <c r="T1281">
        <v>6</v>
      </c>
      <c r="U1281">
        <v>191</v>
      </c>
      <c r="V1281" t="s">
        <v>0</v>
      </c>
      <c r="W1281" t="s">
        <v>0</v>
      </c>
      <c r="X1281" t="s">
        <v>0</v>
      </c>
      <c r="Y1281" t="s">
        <v>4</v>
      </c>
      <c r="Z1281" t="s">
        <v>0</v>
      </c>
      <c r="AA1281">
        <v>0</v>
      </c>
      <c r="AB1281">
        <v>0</v>
      </c>
      <c r="AC1281">
        <v>0</v>
      </c>
      <c r="AD1281" t="s">
        <v>3</v>
      </c>
      <c r="AE1281" t="s">
        <v>0</v>
      </c>
      <c r="AF1281" t="s">
        <v>3</v>
      </c>
      <c r="AG1281" t="s">
        <v>2</v>
      </c>
      <c r="AI1281" t="s">
        <v>23</v>
      </c>
      <c r="AJ1281">
        <v>3</v>
      </c>
      <c r="AK1281">
        <v>18</v>
      </c>
      <c r="AL1281">
        <v>0</v>
      </c>
      <c r="AM1281" t="s">
        <v>0</v>
      </c>
      <c r="AN1281">
        <v>0</v>
      </c>
      <c r="AO1281">
        <v>0</v>
      </c>
      <c r="AP1281">
        <v>0</v>
      </c>
      <c r="AQ1281">
        <v>0</v>
      </c>
    </row>
    <row r="1282" spans="1:43" x14ac:dyDescent="0.25">
      <c r="A1282" t="s">
        <v>592</v>
      </c>
      <c r="B1282" t="s">
        <v>591</v>
      </c>
      <c r="C1282" t="s">
        <v>590</v>
      </c>
      <c r="D1282" s="1">
        <v>45682</v>
      </c>
      <c r="E1282" t="s">
        <v>149</v>
      </c>
      <c r="F1282" t="s">
        <v>589</v>
      </c>
      <c r="G1282" t="s">
        <v>110</v>
      </c>
      <c r="H1282" t="s">
        <v>237</v>
      </c>
      <c r="I1282" t="s">
        <v>28</v>
      </c>
      <c r="J1282" t="s">
        <v>14</v>
      </c>
      <c r="K1282" t="s">
        <v>13</v>
      </c>
      <c r="L1282" t="s">
        <v>42</v>
      </c>
      <c r="M1282" t="s">
        <v>11</v>
      </c>
      <c r="N1282" t="s">
        <v>116</v>
      </c>
      <c r="O1282" t="s">
        <v>199</v>
      </c>
      <c r="P1282" t="s">
        <v>39</v>
      </c>
      <c r="Q1282" t="s">
        <v>7</v>
      </c>
      <c r="R1282" t="s">
        <v>6</v>
      </c>
      <c r="S1282">
        <v>5</v>
      </c>
      <c r="T1282">
        <v>4</v>
      </c>
      <c r="U1282">
        <v>277</v>
      </c>
      <c r="V1282" t="s">
        <v>5</v>
      </c>
      <c r="W1282" t="s">
        <v>5</v>
      </c>
      <c r="X1282" t="s">
        <v>5</v>
      </c>
      <c r="Y1282" t="s">
        <v>282</v>
      </c>
      <c r="Z1282" t="s">
        <v>5</v>
      </c>
      <c r="AA1282">
        <v>5.69</v>
      </c>
      <c r="AB1282">
        <v>0</v>
      </c>
      <c r="AC1282">
        <v>0</v>
      </c>
      <c r="AD1282" t="s">
        <v>3</v>
      </c>
      <c r="AE1282" t="s">
        <v>0</v>
      </c>
      <c r="AF1282" t="s">
        <v>3</v>
      </c>
      <c r="AG1282" t="s">
        <v>2</v>
      </c>
      <c r="AI1282" t="s">
        <v>23</v>
      </c>
      <c r="AJ1282">
        <v>3</v>
      </c>
      <c r="AK1282">
        <v>-25</v>
      </c>
      <c r="AL1282">
        <v>14</v>
      </c>
      <c r="AM1282" t="s">
        <v>0</v>
      </c>
      <c r="AN1282">
        <v>1</v>
      </c>
      <c r="AO1282">
        <v>1</v>
      </c>
      <c r="AP1282">
        <v>1</v>
      </c>
      <c r="AQ1282">
        <v>0</v>
      </c>
    </row>
    <row r="1283" spans="1:43" x14ac:dyDescent="0.25">
      <c r="A1283" t="s">
        <v>588</v>
      </c>
      <c r="B1283" t="s">
        <v>587</v>
      </c>
      <c r="C1283" t="s">
        <v>586</v>
      </c>
      <c r="D1283" s="1">
        <v>45985</v>
      </c>
      <c r="E1283" t="s">
        <v>45</v>
      </c>
      <c r="F1283" t="s">
        <v>57</v>
      </c>
      <c r="G1283" t="s">
        <v>131</v>
      </c>
      <c r="H1283" t="s">
        <v>43</v>
      </c>
      <c r="I1283" t="s">
        <v>15</v>
      </c>
      <c r="J1283" t="s">
        <v>146</v>
      </c>
      <c r="K1283" t="s">
        <v>176</v>
      </c>
      <c r="L1283" t="s">
        <v>12</v>
      </c>
      <c r="M1283" t="s">
        <v>11</v>
      </c>
      <c r="N1283" t="s">
        <v>75</v>
      </c>
      <c r="O1283" t="s">
        <v>26</v>
      </c>
      <c r="P1283" t="s">
        <v>39</v>
      </c>
      <c r="Q1283" t="s">
        <v>7</v>
      </c>
      <c r="R1283" t="s">
        <v>6</v>
      </c>
      <c r="S1283">
        <v>4</v>
      </c>
      <c r="T1283">
        <v>4</v>
      </c>
      <c r="U1283">
        <v>99</v>
      </c>
      <c r="V1283" t="s">
        <v>0</v>
      </c>
      <c r="W1283" t="s">
        <v>5</v>
      </c>
      <c r="X1283" t="s">
        <v>0</v>
      </c>
      <c r="Y1283" t="s">
        <v>4</v>
      </c>
      <c r="Z1283" t="s">
        <v>0</v>
      </c>
      <c r="AA1283">
        <v>-10</v>
      </c>
      <c r="AB1283">
        <v>0</v>
      </c>
      <c r="AC1283">
        <v>0</v>
      </c>
      <c r="AD1283" t="s">
        <v>187</v>
      </c>
      <c r="AE1283" t="s">
        <v>5</v>
      </c>
      <c r="AF1283" t="s">
        <v>187</v>
      </c>
      <c r="AG1283" t="s">
        <v>36</v>
      </c>
      <c r="AH1283">
        <v>5</v>
      </c>
      <c r="AI1283" t="s">
        <v>23</v>
      </c>
      <c r="AJ1283">
        <v>4</v>
      </c>
      <c r="AK1283">
        <v>0</v>
      </c>
      <c r="AL1283">
        <v>24</v>
      </c>
      <c r="AM1283" t="s">
        <v>5</v>
      </c>
      <c r="AN1283">
        <v>1</v>
      </c>
      <c r="AO1283">
        <v>0</v>
      </c>
      <c r="AP1283">
        <v>0</v>
      </c>
      <c r="AQ1283">
        <v>1</v>
      </c>
    </row>
    <row r="1284" spans="1:43" x14ac:dyDescent="0.25">
      <c r="A1284" t="s">
        <v>585</v>
      </c>
      <c r="B1284" t="s">
        <v>487</v>
      </c>
      <c r="C1284" t="s">
        <v>584</v>
      </c>
      <c r="D1284" s="1">
        <v>45765</v>
      </c>
      <c r="E1284" t="s">
        <v>125</v>
      </c>
      <c r="F1284" t="s">
        <v>124</v>
      </c>
      <c r="G1284" t="s">
        <v>123</v>
      </c>
      <c r="H1284" t="s">
        <v>16</v>
      </c>
      <c r="I1284" t="s">
        <v>28</v>
      </c>
      <c r="J1284" t="s">
        <v>14</v>
      </c>
      <c r="K1284" t="s">
        <v>13</v>
      </c>
      <c r="L1284" t="s">
        <v>117</v>
      </c>
      <c r="M1284" t="s">
        <v>11</v>
      </c>
      <c r="N1284" t="s">
        <v>154</v>
      </c>
      <c r="O1284" t="s">
        <v>199</v>
      </c>
      <c r="P1284" t="s">
        <v>63</v>
      </c>
      <c r="Q1284" t="s">
        <v>7</v>
      </c>
      <c r="R1284" t="s">
        <v>6</v>
      </c>
      <c r="S1284" t="s">
        <v>277</v>
      </c>
      <c r="T1284">
        <v>5</v>
      </c>
      <c r="U1284">
        <v>103</v>
      </c>
      <c r="V1284" t="s">
        <v>0</v>
      </c>
      <c r="W1284" t="s">
        <v>0</v>
      </c>
      <c r="X1284" t="s">
        <v>0</v>
      </c>
      <c r="Y1284" t="s">
        <v>4</v>
      </c>
      <c r="Z1284" t="s">
        <v>0</v>
      </c>
      <c r="AA1284">
        <v>0</v>
      </c>
      <c r="AB1284">
        <v>0</v>
      </c>
      <c r="AC1284">
        <v>0</v>
      </c>
      <c r="AD1284" t="s">
        <v>3</v>
      </c>
      <c r="AE1284" t="s">
        <v>0</v>
      </c>
      <c r="AF1284" t="s">
        <v>3</v>
      </c>
      <c r="AG1284" t="s">
        <v>2</v>
      </c>
      <c r="AI1284" t="s">
        <v>332</v>
      </c>
      <c r="AJ1284">
        <v>4</v>
      </c>
      <c r="AK1284">
        <v>48</v>
      </c>
      <c r="AL1284">
        <v>0</v>
      </c>
      <c r="AM1284" t="s">
        <v>0</v>
      </c>
      <c r="AN1284">
        <v>0</v>
      </c>
      <c r="AO1284">
        <v>0</v>
      </c>
      <c r="AP1284">
        <v>0</v>
      </c>
      <c r="AQ1284">
        <v>0</v>
      </c>
    </row>
    <row r="1285" spans="1:43" x14ac:dyDescent="0.25">
      <c r="A1285" t="s">
        <v>583</v>
      </c>
      <c r="B1285" t="s">
        <v>582</v>
      </c>
      <c r="C1285" t="s">
        <v>581</v>
      </c>
      <c r="D1285" s="1">
        <v>46042</v>
      </c>
      <c r="E1285" t="s">
        <v>32</v>
      </c>
      <c r="F1285" t="s">
        <v>356</v>
      </c>
      <c r="G1285" t="s">
        <v>17</v>
      </c>
      <c r="H1285" t="s">
        <v>29</v>
      </c>
      <c r="I1285" t="s">
        <v>15</v>
      </c>
      <c r="J1285" t="s">
        <v>55</v>
      </c>
      <c r="K1285" t="s">
        <v>54</v>
      </c>
      <c r="L1285" t="s">
        <v>64</v>
      </c>
      <c r="M1285" t="s">
        <v>53</v>
      </c>
      <c r="N1285" t="s">
        <v>52</v>
      </c>
      <c r="O1285" t="s">
        <v>26</v>
      </c>
      <c r="P1285" t="s">
        <v>39</v>
      </c>
      <c r="Q1285" t="s">
        <v>198</v>
      </c>
      <c r="R1285" t="s">
        <v>6</v>
      </c>
      <c r="S1285">
        <v>4</v>
      </c>
      <c r="T1285">
        <v>3</v>
      </c>
      <c r="U1285">
        <v>167</v>
      </c>
      <c r="V1285" t="s">
        <v>5</v>
      </c>
      <c r="W1285" t="s">
        <v>5</v>
      </c>
      <c r="X1285" t="s">
        <v>0</v>
      </c>
      <c r="Y1285" t="s">
        <v>4</v>
      </c>
      <c r="Z1285" t="s">
        <v>5</v>
      </c>
      <c r="AA1285">
        <v>109.5</v>
      </c>
      <c r="AB1285">
        <v>0.2</v>
      </c>
      <c r="AC1285">
        <v>0.17</v>
      </c>
      <c r="AD1285" t="s">
        <v>187</v>
      </c>
      <c r="AE1285" t="s">
        <v>5</v>
      </c>
      <c r="AF1285" t="s">
        <v>187</v>
      </c>
      <c r="AG1285" t="s">
        <v>36</v>
      </c>
      <c r="AH1285">
        <v>36</v>
      </c>
      <c r="AI1285" t="s">
        <v>23</v>
      </c>
      <c r="AJ1285">
        <v>3</v>
      </c>
      <c r="AK1285">
        <v>2</v>
      </c>
      <c r="AL1285">
        <v>20</v>
      </c>
      <c r="AM1285" t="s">
        <v>0</v>
      </c>
      <c r="AN1285">
        <v>1</v>
      </c>
      <c r="AO1285">
        <v>1</v>
      </c>
      <c r="AP1285">
        <v>0</v>
      </c>
      <c r="AQ1285">
        <v>0</v>
      </c>
    </row>
    <row r="1286" spans="1:43" x14ac:dyDescent="0.25">
      <c r="A1286" t="s">
        <v>580</v>
      </c>
      <c r="B1286" t="s">
        <v>579</v>
      </c>
      <c r="C1286" t="s">
        <v>578</v>
      </c>
      <c r="D1286" s="1">
        <v>46005</v>
      </c>
      <c r="E1286" t="s">
        <v>112</v>
      </c>
      <c r="F1286" t="s">
        <v>111</v>
      </c>
      <c r="G1286" t="s">
        <v>17</v>
      </c>
      <c r="H1286" t="s">
        <v>16</v>
      </c>
      <c r="I1286" t="s">
        <v>28</v>
      </c>
      <c r="J1286" t="s">
        <v>14</v>
      </c>
      <c r="K1286" t="s">
        <v>13</v>
      </c>
      <c r="L1286" t="s">
        <v>12</v>
      </c>
      <c r="M1286" t="s">
        <v>11</v>
      </c>
      <c r="N1286" t="s">
        <v>41</v>
      </c>
      <c r="O1286" t="s">
        <v>101</v>
      </c>
      <c r="P1286" t="s">
        <v>8</v>
      </c>
      <c r="Q1286" t="s">
        <v>7</v>
      </c>
      <c r="R1286" t="s">
        <v>6</v>
      </c>
      <c r="S1286">
        <v>4</v>
      </c>
      <c r="T1286">
        <v>4</v>
      </c>
      <c r="U1286">
        <v>108</v>
      </c>
      <c r="V1286" t="s">
        <v>0</v>
      </c>
      <c r="W1286" t="s">
        <v>5</v>
      </c>
      <c r="X1286" t="s">
        <v>0</v>
      </c>
      <c r="Y1286" t="s">
        <v>4</v>
      </c>
      <c r="Z1286" t="s">
        <v>5</v>
      </c>
      <c r="AA1286">
        <v>85.73</v>
      </c>
      <c r="AB1286">
        <v>0.56999999999999995</v>
      </c>
      <c r="AC1286">
        <v>0</v>
      </c>
      <c r="AD1286" t="s">
        <v>37</v>
      </c>
      <c r="AE1286" t="s">
        <v>5</v>
      </c>
      <c r="AF1286" t="s">
        <v>37</v>
      </c>
      <c r="AG1286" t="s">
        <v>36</v>
      </c>
      <c r="AH1286">
        <v>54</v>
      </c>
      <c r="AI1286" t="s">
        <v>23</v>
      </c>
      <c r="AJ1286">
        <v>4</v>
      </c>
      <c r="AK1286">
        <v>35</v>
      </c>
      <c r="AL1286">
        <v>36</v>
      </c>
      <c r="AM1286" t="s">
        <v>5</v>
      </c>
      <c r="AN1286">
        <v>1</v>
      </c>
      <c r="AO1286">
        <v>1</v>
      </c>
      <c r="AP1286">
        <v>0</v>
      </c>
      <c r="AQ1286">
        <v>1</v>
      </c>
    </row>
    <row r="1287" spans="1:43" x14ac:dyDescent="0.25">
      <c r="A1287" t="s">
        <v>577</v>
      </c>
      <c r="B1287" t="s">
        <v>235</v>
      </c>
      <c r="C1287" t="s">
        <v>576</v>
      </c>
      <c r="D1287" s="1">
        <v>45781</v>
      </c>
      <c r="E1287" t="s">
        <v>19</v>
      </c>
      <c r="F1287" t="s">
        <v>575</v>
      </c>
      <c r="G1287" t="s">
        <v>123</v>
      </c>
      <c r="H1287" t="s">
        <v>43</v>
      </c>
      <c r="I1287" t="s">
        <v>28</v>
      </c>
      <c r="J1287" t="s">
        <v>14</v>
      </c>
      <c r="K1287" t="s">
        <v>13</v>
      </c>
      <c r="L1287" t="s">
        <v>64</v>
      </c>
      <c r="M1287" t="s">
        <v>11</v>
      </c>
      <c r="N1287" t="s">
        <v>269</v>
      </c>
      <c r="O1287" t="s">
        <v>101</v>
      </c>
      <c r="P1287" t="s">
        <v>25</v>
      </c>
      <c r="Q1287" t="s">
        <v>7</v>
      </c>
      <c r="R1287" t="s">
        <v>6</v>
      </c>
      <c r="S1287">
        <v>4</v>
      </c>
      <c r="T1287">
        <v>4</v>
      </c>
      <c r="U1287">
        <v>127</v>
      </c>
      <c r="V1287" t="s">
        <v>0</v>
      </c>
      <c r="W1287" t="s">
        <v>5</v>
      </c>
      <c r="X1287" t="s">
        <v>0</v>
      </c>
      <c r="Y1287" t="s">
        <v>4</v>
      </c>
      <c r="Z1287" t="s">
        <v>5</v>
      </c>
      <c r="AA1287">
        <v>27.82</v>
      </c>
      <c r="AB1287">
        <v>0.46</v>
      </c>
      <c r="AC1287">
        <v>0</v>
      </c>
      <c r="AD1287" t="s">
        <v>37</v>
      </c>
      <c r="AE1287" t="s">
        <v>5</v>
      </c>
      <c r="AF1287" t="s">
        <v>37</v>
      </c>
      <c r="AG1287" t="s">
        <v>36</v>
      </c>
      <c r="AH1287">
        <v>17</v>
      </c>
      <c r="AI1287" t="s">
        <v>23</v>
      </c>
      <c r="AJ1287">
        <v>5</v>
      </c>
      <c r="AK1287">
        <v>78</v>
      </c>
      <c r="AL1287" t="s">
        <v>574</v>
      </c>
      <c r="AM1287" t="s">
        <v>5</v>
      </c>
      <c r="AN1287">
        <v>1</v>
      </c>
      <c r="AO1287">
        <v>1</v>
      </c>
      <c r="AP1287">
        <v>0</v>
      </c>
      <c r="AQ1287">
        <v>1</v>
      </c>
    </row>
    <row r="1288" spans="1:43" x14ac:dyDescent="0.25">
      <c r="A1288" t="s">
        <v>573</v>
      </c>
      <c r="B1288" t="s">
        <v>572</v>
      </c>
      <c r="C1288" t="s">
        <v>571</v>
      </c>
      <c r="D1288" s="1">
        <v>45718</v>
      </c>
      <c r="E1288" t="s">
        <v>95</v>
      </c>
      <c r="F1288" t="s">
        <v>94</v>
      </c>
      <c r="G1288" t="s">
        <v>17</v>
      </c>
      <c r="H1288" t="s">
        <v>77</v>
      </c>
      <c r="I1288" t="s">
        <v>147</v>
      </c>
      <c r="J1288" t="s">
        <v>14</v>
      </c>
      <c r="K1288" t="s">
        <v>13</v>
      </c>
      <c r="L1288" t="s">
        <v>64</v>
      </c>
      <c r="M1288" t="s">
        <v>11</v>
      </c>
      <c r="N1288" t="s">
        <v>269</v>
      </c>
      <c r="O1288" t="s">
        <v>199</v>
      </c>
      <c r="P1288" t="s">
        <v>63</v>
      </c>
      <c r="Q1288" t="s">
        <v>7</v>
      </c>
      <c r="R1288" t="s">
        <v>6</v>
      </c>
      <c r="S1288">
        <v>5</v>
      </c>
      <c r="T1288">
        <v>5</v>
      </c>
      <c r="U1288">
        <v>135</v>
      </c>
      <c r="V1288" t="s">
        <v>0</v>
      </c>
      <c r="W1288" t="s">
        <v>5</v>
      </c>
      <c r="X1288" t="s">
        <v>0</v>
      </c>
      <c r="Y1288" t="s">
        <v>4</v>
      </c>
      <c r="Z1288" t="s">
        <v>5</v>
      </c>
      <c r="AA1288">
        <v>73.16</v>
      </c>
      <c r="AB1288">
        <v>0</v>
      </c>
      <c r="AC1288">
        <v>0</v>
      </c>
      <c r="AD1288" t="s">
        <v>3</v>
      </c>
      <c r="AE1288" t="s">
        <v>0</v>
      </c>
      <c r="AF1288" t="s">
        <v>3</v>
      </c>
      <c r="AG1288" t="s">
        <v>2</v>
      </c>
      <c r="AI1288" t="s">
        <v>23</v>
      </c>
      <c r="AJ1288">
        <v>4</v>
      </c>
      <c r="AK1288">
        <v>-4</v>
      </c>
      <c r="AL1288">
        <v>0</v>
      </c>
      <c r="AM1288" t="s">
        <v>5</v>
      </c>
      <c r="AN1288">
        <v>1</v>
      </c>
      <c r="AO1288">
        <v>1</v>
      </c>
      <c r="AP1288">
        <v>0</v>
      </c>
      <c r="AQ1288">
        <v>1</v>
      </c>
    </row>
    <row r="1289" spans="1:43" x14ac:dyDescent="0.25">
      <c r="A1289" t="s">
        <v>570</v>
      </c>
      <c r="B1289" t="s">
        <v>569</v>
      </c>
      <c r="C1289" t="s">
        <v>568</v>
      </c>
      <c r="D1289" s="1">
        <v>46146</v>
      </c>
      <c r="E1289" t="s">
        <v>32</v>
      </c>
      <c r="F1289" t="s">
        <v>382</v>
      </c>
      <c r="G1289" t="s">
        <v>56</v>
      </c>
      <c r="H1289" t="s">
        <v>29</v>
      </c>
      <c r="I1289" t="s">
        <v>28</v>
      </c>
      <c r="J1289" t="s">
        <v>55</v>
      </c>
      <c r="K1289" t="s">
        <v>54</v>
      </c>
      <c r="L1289" t="s">
        <v>117</v>
      </c>
      <c r="M1289" t="s">
        <v>567</v>
      </c>
      <c r="N1289" t="s">
        <v>52</v>
      </c>
      <c r="O1289" t="s">
        <v>26</v>
      </c>
      <c r="P1289" t="s">
        <v>39</v>
      </c>
      <c r="Q1289" t="s">
        <v>7</v>
      </c>
      <c r="R1289" t="s">
        <v>6</v>
      </c>
      <c r="S1289">
        <v>4</v>
      </c>
      <c r="T1289">
        <v>4</v>
      </c>
      <c r="U1289">
        <v>93</v>
      </c>
      <c r="V1289" t="s">
        <v>0</v>
      </c>
      <c r="W1289" t="s">
        <v>0</v>
      </c>
      <c r="X1289" t="s">
        <v>0</v>
      </c>
      <c r="Y1289" t="s">
        <v>4</v>
      </c>
      <c r="Z1289" t="s">
        <v>5</v>
      </c>
      <c r="AA1289">
        <v>41.67</v>
      </c>
      <c r="AB1289">
        <v>0.2</v>
      </c>
      <c r="AC1289">
        <v>0.37</v>
      </c>
      <c r="AD1289" t="s">
        <v>187</v>
      </c>
      <c r="AE1289" t="s">
        <v>5</v>
      </c>
      <c r="AF1289" t="s">
        <v>187</v>
      </c>
      <c r="AG1289" t="s">
        <v>36</v>
      </c>
      <c r="AH1289">
        <v>28</v>
      </c>
      <c r="AI1289" t="s">
        <v>129</v>
      </c>
      <c r="AJ1289">
        <v>5</v>
      </c>
      <c r="AK1289">
        <v>0</v>
      </c>
      <c r="AL1289">
        <v>15</v>
      </c>
      <c r="AM1289" t="s">
        <v>0</v>
      </c>
      <c r="AN1289">
        <v>0</v>
      </c>
      <c r="AO1289">
        <v>1</v>
      </c>
      <c r="AP1289">
        <v>0</v>
      </c>
      <c r="AQ1289">
        <v>0</v>
      </c>
    </row>
    <row r="1290" spans="1:43" x14ac:dyDescent="0.25">
      <c r="A1290" t="s">
        <v>566</v>
      </c>
      <c r="B1290" t="s">
        <v>185</v>
      </c>
      <c r="C1290" t="s">
        <v>565</v>
      </c>
      <c r="D1290" s="1">
        <v>45874</v>
      </c>
      <c r="E1290" t="s">
        <v>32</v>
      </c>
      <c r="F1290" t="s">
        <v>107</v>
      </c>
      <c r="G1290" t="s">
        <v>17</v>
      </c>
      <c r="H1290" t="s">
        <v>77</v>
      </c>
      <c r="I1290" t="s">
        <v>15</v>
      </c>
      <c r="J1290" t="s">
        <v>14</v>
      </c>
      <c r="K1290" t="s">
        <v>13</v>
      </c>
      <c r="L1290" t="s">
        <v>42</v>
      </c>
      <c r="M1290" t="s">
        <v>53</v>
      </c>
      <c r="N1290" t="s">
        <v>41</v>
      </c>
      <c r="O1290" t="s">
        <v>51</v>
      </c>
      <c r="P1290" t="s">
        <v>39</v>
      </c>
      <c r="Q1290" t="s">
        <v>24</v>
      </c>
      <c r="R1290" t="s">
        <v>6</v>
      </c>
      <c r="S1290" t="s">
        <v>205</v>
      </c>
      <c r="T1290">
        <v>4</v>
      </c>
      <c r="U1290">
        <v>283</v>
      </c>
      <c r="V1290" t="s">
        <v>5</v>
      </c>
      <c r="W1290" t="s">
        <v>5</v>
      </c>
      <c r="X1290" t="s">
        <v>0</v>
      </c>
      <c r="Y1290" t="s">
        <v>4</v>
      </c>
      <c r="Z1290" t="s">
        <v>5</v>
      </c>
      <c r="AA1290">
        <v>126.55</v>
      </c>
      <c r="AB1290">
        <v>0.09</v>
      </c>
      <c r="AC1290">
        <v>0.17</v>
      </c>
      <c r="AD1290" t="s">
        <v>3</v>
      </c>
      <c r="AE1290" t="s">
        <v>0</v>
      </c>
      <c r="AF1290" t="s">
        <v>3</v>
      </c>
      <c r="AG1290" t="s">
        <v>2</v>
      </c>
      <c r="AI1290" t="s">
        <v>23</v>
      </c>
      <c r="AJ1290">
        <v>4</v>
      </c>
      <c r="AK1290">
        <v>-1</v>
      </c>
      <c r="AL1290">
        <v>44</v>
      </c>
      <c r="AM1290" t="s">
        <v>5</v>
      </c>
      <c r="AN1290">
        <v>1</v>
      </c>
      <c r="AO1290">
        <v>1</v>
      </c>
      <c r="AP1290">
        <v>0</v>
      </c>
      <c r="AQ1290">
        <v>1</v>
      </c>
    </row>
    <row r="1291" spans="1:43" x14ac:dyDescent="0.25">
      <c r="A1291" t="s">
        <v>564</v>
      </c>
      <c r="B1291" t="s">
        <v>250</v>
      </c>
      <c r="C1291" t="s">
        <v>563</v>
      </c>
      <c r="D1291" s="1">
        <v>46018</v>
      </c>
      <c r="E1291" t="s">
        <v>125</v>
      </c>
      <c r="F1291" t="s">
        <v>140</v>
      </c>
      <c r="G1291" t="s">
        <v>131</v>
      </c>
      <c r="H1291" t="s">
        <v>66</v>
      </c>
      <c r="I1291" t="s">
        <v>15</v>
      </c>
      <c r="J1291" t="s">
        <v>14</v>
      </c>
      <c r="K1291" t="s">
        <v>13</v>
      </c>
      <c r="L1291" t="s">
        <v>117</v>
      </c>
      <c r="M1291" t="s">
        <v>11</v>
      </c>
      <c r="N1291" t="s">
        <v>41</v>
      </c>
      <c r="O1291" t="s">
        <v>87</v>
      </c>
      <c r="P1291" t="s">
        <v>63</v>
      </c>
      <c r="Q1291" t="s">
        <v>7</v>
      </c>
      <c r="R1291" t="s">
        <v>6</v>
      </c>
      <c r="S1291">
        <v>5</v>
      </c>
      <c r="T1291">
        <v>3</v>
      </c>
      <c r="U1291">
        <v>196</v>
      </c>
      <c r="V1291" t="s">
        <v>5</v>
      </c>
      <c r="W1291" t="s">
        <v>5</v>
      </c>
      <c r="X1291" t="s">
        <v>0</v>
      </c>
      <c r="Y1291" t="s">
        <v>4</v>
      </c>
      <c r="Z1291" t="s">
        <v>5</v>
      </c>
      <c r="AA1291">
        <v>91.76</v>
      </c>
      <c r="AB1291">
        <v>0</v>
      </c>
      <c r="AC1291">
        <v>0</v>
      </c>
      <c r="AD1291" t="s">
        <v>3</v>
      </c>
      <c r="AE1291" t="s">
        <v>0</v>
      </c>
      <c r="AF1291" t="s">
        <v>3</v>
      </c>
      <c r="AG1291" t="s">
        <v>2</v>
      </c>
      <c r="AI1291" t="s">
        <v>23</v>
      </c>
      <c r="AJ1291">
        <v>3</v>
      </c>
      <c r="AK1291">
        <v>-10</v>
      </c>
      <c r="AL1291">
        <v>0</v>
      </c>
      <c r="AM1291" t="s">
        <v>0</v>
      </c>
      <c r="AN1291">
        <v>1</v>
      </c>
      <c r="AO1291">
        <v>1</v>
      </c>
      <c r="AP1291">
        <v>0</v>
      </c>
      <c r="AQ1291">
        <v>0</v>
      </c>
    </row>
    <row r="1292" spans="1:43" x14ac:dyDescent="0.25">
      <c r="A1292" t="s">
        <v>562</v>
      </c>
      <c r="B1292" t="s">
        <v>561</v>
      </c>
      <c r="C1292" t="s">
        <v>560</v>
      </c>
      <c r="D1292" s="1">
        <v>45853</v>
      </c>
      <c r="E1292" t="s">
        <v>45</v>
      </c>
      <c r="F1292" t="s">
        <v>559</v>
      </c>
      <c r="G1292" t="s">
        <v>110</v>
      </c>
      <c r="H1292" t="s">
        <v>29</v>
      </c>
      <c r="I1292" t="s">
        <v>28</v>
      </c>
      <c r="J1292" t="s">
        <v>14</v>
      </c>
      <c r="K1292" t="s">
        <v>13</v>
      </c>
      <c r="L1292" t="s">
        <v>42</v>
      </c>
      <c r="M1292" t="s">
        <v>53</v>
      </c>
      <c r="N1292" t="s">
        <v>154</v>
      </c>
      <c r="O1292" t="s">
        <v>193</v>
      </c>
      <c r="P1292" t="s">
        <v>8</v>
      </c>
      <c r="Q1292" t="s">
        <v>7</v>
      </c>
      <c r="R1292" t="s">
        <v>6</v>
      </c>
      <c r="S1292" t="s">
        <v>232</v>
      </c>
      <c r="T1292">
        <v>9</v>
      </c>
      <c r="U1292">
        <v>254</v>
      </c>
      <c r="V1292" t="s">
        <v>0</v>
      </c>
      <c r="W1292" t="s">
        <v>0</v>
      </c>
      <c r="X1292" t="s">
        <v>0</v>
      </c>
      <c r="Y1292" t="s">
        <v>4</v>
      </c>
      <c r="Z1292" t="s">
        <v>0</v>
      </c>
      <c r="AA1292">
        <v>0</v>
      </c>
      <c r="AB1292">
        <v>0</v>
      </c>
      <c r="AC1292">
        <v>0</v>
      </c>
      <c r="AD1292" t="s">
        <v>3</v>
      </c>
      <c r="AE1292" t="s">
        <v>0</v>
      </c>
      <c r="AF1292" t="s">
        <v>3</v>
      </c>
      <c r="AG1292" t="s">
        <v>2</v>
      </c>
      <c r="AI1292" t="s">
        <v>23</v>
      </c>
      <c r="AJ1292">
        <v>3</v>
      </c>
      <c r="AK1292">
        <v>1</v>
      </c>
      <c r="AL1292">
        <v>25</v>
      </c>
      <c r="AM1292" t="s">
        <v>0</v>
      </c>
      <c r="AN1292">
        <v>0</v>
      </c>
      <c r="AO1292">
        <v>0</v>
      </c>
      <c r="AP1292">
        <v>0</v>
      </c>
      <c r="AQ1292">
        <v>0</v>
      </c>
    </row>
    <row r="1293" spans="1:43" x14ac:dyDescent="0.25">
      <c r="A1293" t="s">
        <v>558</v>
      </c>
      <c r="B1293" t="s">
        <v>557</v>
      </c>
      <c r="C1293" t="s">
        <v>556</v>
      </c>
      <c r="D1293" s="1">
        <v>45866</v>
      </c>
      <c r="E1293" t="s">
        <v>79</v>
      </c>
      <c r="F1293" t="s">
        <v>78</v>
      </c>
      <c r="G1293" t="s">
        <v>17</v>
      </c>
      <c r="H1293" t="s">
        <v>66</v>
      </c>
      <c r="I1293" t="s">
        <v>15</v>
      </c>
      <c r="J1293" t="s">
        <v>55</v>
      </c>
      <c r="K1293" t="s">
        <v>54</v>
      </c>
      <c r="L1293" t="s">
        <v>88</v>
      </c>
      <c r="M1293" t="s">
        <v>11</v>
      </c>
      <c r="N1293" t="s">
        <v>75</v>
      </c>
      <c r="O1293" t="s">
        <v>199</v>
      </c>
      <c r="P1293" t="s">
        <v>39</v>
      </c>
      <c r="Q1293" t="s">
        <v>7</v>
      </c>
      <c r="R1293" t="s">
        <v>6</v>
      </c>
      <c r="S1293">
        <v>5</v>
      </c>
      <c r="T1293">
        <v>5</v>
      </c>
      <c r="U1293">
        <v>154</v>
      </c>
      <c r="V1293" t="s">
        <v>0</v>
      </c>
      <c r="W1293" t="s">
        <v>5</v>
      </c>
      <c r="X1293" t="s">
        <v>0</v>
      </c>
      <c r="Y1293" t="s">
        <v>4</v>
      </c>
      <c r="Z1293" t="s">
        <v>5</v>
      </c>
      <c r="AA1293">
        <v>88.52</v>
      </c>
      <c r="AB1293">
        <v>0</v>
      </c>
      <c r="AC1293">
        <v>0</v>
      </c>
      <c r="AD1293" t="s">
        <v>3</v>
      </c>
      <c r="AE1293" t="s">
        <v>0</v>
      </c>
      <c r="AF1293" t="s">
        <v>3</v>
      </c>
      <c r="AG1293" t="s">
        <v>2</v>
      </c>
      <c r="AI1293" t="s">
        <v>23</v>
      </c>
      <c r="AJ1293">
        <v>5</v>
      </c>
      <c r="AK1293">
        <v>16</v>
      </c>
      <c r="AL1293">
        <v>42</v>
      </c>
      <c r="AM1293" t="s">
        <v>0</v>
      </c>
      <c r="AN1293">
        <v>1</v>
      </c>
      <c r="AO1293">
        <v>1</v>
      </c>
      <c r="AP1293">
        <v>0</v>
      </c>
      <c r="AQ1293">
        <v>0</v>
      </c>
    </row>
    <row r="1294" spans="1:43" x14ac:dyDescent="0.25">
      <c r="A1294" t="s">
        <v>555</v>
      </c>
      <c r="B1294" t="s">
        <v>448</v>
      </c>
      <c r="C1294" t="s">
        <v>554</v>
      </c>
      <c r="D1294" s="1">
        <v>45821</v>
      </c>
      <c r="E1294" t="s">
        <v>45</v>
      </c>
      <c r="F1294" t="s">
        <v>348</v>
      </c>
      <c r="G1294" t="s">
        <v>83</v>
      </c>
      <c r="H1294" t="s">
        <v>29</v>
      </c>
      <c r="I1294" t="s">
        <v>28</v>
      </c>
      <c r="J1294" t="s">
        <v>55</v>
      </c>
      <c r="K1294" t="s">
        <v>54</v>
      </c>
      <c r="L1294" t="s">
        <v>88</v>
      </c>
      <c r="M1294" t="s">
        <v>27</v>
      </c>
      <c r="N1294" t="s">
        <v>154</v>
      </c>
      <c r="O1294" t="s">
        <v>87</v>
      </c>
      <c r="P1294" t="s">
        <v>39</v>
      </c>
      <c r="Q1294" t="s">
        <v>7</v>
      </c>
      <c r="R1294" t="s">
        <v>6</v>
      </c>
      <c r="S1294">
        <v>5</v>
      </c>
      <c r="T1294">
        <v>5</v>
      </c>
      <c r="U1294">
        <v>157</v>
      </c>
      <c r="V1294" t="s">
        <v>0</v>
      </c>
      <c r="W1294" t="s">
        <v>5</v>
      </c>
      <c r="X1294" t="s">
        <v>0</v>
      </c>
      <c r="Y1294" t="s">
        <v>4</v>
      </c>
      <c r="Z1294" t="s">
        <v>5</v>
      </c>
      <c r="AA1294">
        <v>53.59</v>
      </c>
      <c r="AB1294">
        <v>0</v>
      </c>
      <c r="AC1294">
        <v>0.37</v>
      </c>
      <c r="AD1294" t="s">
        <v>3</v>
      </c>
      <c r="AE1294" t="s">
        <v>0</v>
      </c>
      <c r="AF1294" t="s">
        <v>3</v>
      </c>
      <c r="AG1294" t="s">
        <v>2</v>
      </c>
      <c r="AI1294" t="s">
        <v>23</v>
      </c>
      <c r="AJ1294">
        <v>5</v>
      </c>
      <c r="AK1294">
        <v>-13</v>
      </c>
      <c r="AL1294">
        <v>30</v>
      </c>
      <c r="AM1294" t="s">
        <v>5</v>
      </c>
      <c r="AN1294">
        <v>1</v>
      </c>
      <c r="AO1294">
        <v>1</v>
      </c>
      <c r="AP1294">
        <v>0</v>
      </c>
      <c r="AQ1294">
        <v>1</v>
      </c>
    </row>
    <row r="1295" spans="1:43" x14ac:dyDescent="0.25">
      <c r="A1295" t="s">
        <v>553</v>
      </c>
      <c r="B1295" t="s">
        <v>552</v>
      </c>
      <c r="C1295" t="s">
        <v>551</v>
      </c>
      <c r="D1295" s="1">
        <v>45894</v>
      </c>
      <c r="E1295" t="s">
        <v>156</v>
      </c>
      <c r="F1295" t="s">
        <v>550</v>
      </c>
      <c r="G1295" t="s">
        <v>30</v>
      </c>
      <c r="H1295" t="s">
        <v>43</v>
      </c>
      <c r="I1295" t="s">
        <v>15</v>
      </c>
      <c r="J1295" t="s">
        <v>55</v>
      </c>
      <c r="K1295" t="s">
        <v>54</v>
      </c>
      <c r="L1295" t="s">
        <v>117</v>
      </c>
      <c r="M1295" t="s">
        <v>11</v>
      </c>
      <c r="N1295" t="s">
        <v>41</v>
      </c>
      <c r="O1295" t="s">
        <v>87</v>
      </c>
      <c r="P1295" t="s">
        <v>39</v>
      </c>
      <c r="Q1295" t="s">
        <v>198</v>
      </c>
      <c r="R1295" t="s">
        <v>38</v>
      </c>
      <c r="S1295">
        <v>5</v>
      </c>
      <c r="T1295">
        <v>4</v>
      </c>
      <c r="U1295">
        <v>155</v>
      </c>
      <c r="V1295" t="s">
        <v>5</v>
      </c>
      <c r="W1295" t="s">
        <v>5</v>
      </c>
      <c r="X1295" t="s">
        <v>0</v>
      </c>
      <c r="Y1295" t="s">
        <v>4</v>
      </c>
      <c r="Z1295" t="s">
        <v>5</v>
      </c>
      <c r="AA1295">
        <v>40.81</v>
      </c>
      <c r="AB1295">
        <v>0</v>
      </c>
      <c r="AC1295">
        <v>0</v>
      </c>
      <c r="AD1295" t="s">
        <v>3</v>
      </c>
      <c r="AE1295" t="s">
        <v>0</v>
      </c>
      <c r="AF1295" t="s">
        <v>3</v>
      </c>
      <c r="AG1295" t="s">
        <v>2</v>
      </c>
      <c r="AI1295" t="s">
        <v>23</v>
      </c>
      <c r="AJ1295">
        <v>3</v>
      </c>
      <c r="AK1295">
        <v>1</v>
      </c>
      <c r="AL1295" t="s">
        <v>549</v>
      </c>
      <c r="AM1295" t="s">
        <v>5</v>
      </c>
      <c r="AN1295">
        <v>1</v>
      </c>
      <c r="AO1295">
        <v>1</v>
      </c>
      <c r="AP1295">
        <v>0</v>
      </c>
      <c r="AQ1295">
        <v>1</v>
      </c>
    </row>
    <row r="1296" spans="1:43" x14ac:dyDescent="0.25">
      <c r="A1296" t="s">
        <v>548</v>
      </c>
      <c r="B1296" t="s">
        <v>547</v>
      </c>
      <c r="C1296" t="s">
        <v>546</v>
      </c>
      <c r="D1296" s="1">
        <v>46123</v>
      </c>
      <c r="E1296" t="s">
        <v>68</v>
      </c>
      <c r="F1296" t="s">
        <v>216</v>
      </c>
      <c r="G1296" t="s">
        <v>30</v>
      </c>
      <c r="H1296" t="s">
        <v>77</v>
      </c>
      <c r="I1296" t="s">
        <v>15</v>
      </c>
      <c r="J1296" t="s">
        <v>14</v>
      </c>
      <c r="K1296" t="s">
        <v>13</v>
      </c>
      <c r="L1296" t="s">
        <v>12</v>
      </c>
      <c r="M1296" t="s">
        <v>53</v>
      </c>
      <c r="N1296" t="s">
        <v>116</v>
      </c>
      <c r="O1296" t="s">
        <v>101</v>
      </c>
      <c r="P1296" t="s">
        <v>39</v>
      </c>
      <c r="Q1296" t="s">
        <v>7</v>
      </c>
      <c r="R1296" t="s">
        <v>6</v>
      </c>
      <c r="S1296">
        <v>4</v>
      </c>
      <c r="T1296">
        <v>4</v>
      </c>
      <c r="U1296">
        <v>123</v>
      </c>
      <c r="V1296" t="s">
        <v>0</v>
      </c>
      <c r="W1296" t="s">
        <v>0</v>
      </c>
      <c r="X1296" t="s">
        <v>5</v>
      </c>
      <c r="Y1296" t="s">
        <v>545</v>
      </c>
      <c r="Z1296" t="s">
        <v>0</v>
      </c>
      <c r="AA1296">
        <v>0</v>
      </c>
      <c r="AB1296">
        <v>0</v>
      </c>
      <c r="AC1296">
        <v>0</v>
      </c>
      <c r="AD1296" t="s">
        <v>3</v>
      </c>
      <c r="AE1296" t="s">
        <v>0</v>
      </c>
      <c r="AF1296" t="s">
        <v>3</v>
      </c>
      <c r="AG1296" t="s">
        <v>2</v>
      </c>
      <c r="AI1296" t="s">
        <v>544</v>
      </c>
      <c r="AJ1296">
        <v>3</v>
      </c>
      <c r="AK1296">
        <v>-18</v>
      </c>
      <c r="AL1296">
        <v>54</v>
      </c>
      <c r="AM1296" t="s">
        <v>5</v>
      </c>
      <c r="AN1296">
        <v>0</v>
      </c>
      <c r="AO1296">
        <v>0</v>
      </c>
      <c r="AP1296">
        <v>1</v>
      </c>
      <c r="AQ1296">
        <v>1</v>
      </c>
    </row>
    <row r="1297" spans="1:43" x14ac:dyDescent="0.25">
      <c r="A1297" t="s">
        <v>543</v>
      </c>
      <c r="B1297" t="s">
        <v>542</v>
      </c>
      <c r="C1297" t="s">
        <v>541</v>
      </c>
      <c r="D1297" s="1">
        <v>45769</v>
      </c>
      <c r="E1297" t="s">
        <v>162</v>
      </c>
      <c r="F1297" t="s">
        <v>540</v>
      </c>
      <c r="G1297" t="s">
        <v>56</v>
      </c>
      <c r="H1297" t="s">
        <v>16</v>
      </c>
      <c r="I1297" t="s">
        <v>28</v>
      </c>
      <c r="J1297" t="s">
        <v>14</v>
      </c>
      <c r="K1297" t="s">
        <v>13</v>
      </c>
      <c r="L1297" t="s">
        <v>42</v>
      </c>
      <c r="M1297" t="s">
        <v>53</v>
      </c>
      <c r="N1297" t="s">
        <v>41</v>
      </c>
      <c r="O1297" t="s">
        <v>9</v>
      </c>
      <c r="P1297" t="s">
        <v>8</v>
      </c>
      <c r="Q1297" t="s">
        <v>198</v>
      </c>
      <c r="R1297" t="s">
        <v>38</v>
      </c>
      <c r="S1297">
        <v>-1</v>
      </c>
      <c r="T1297">
        <v>7</v>
      </c>
      <c r="U1297">
        <v>219</v>
      </c>
      <c r="V1297" t="s">
        <v>0</v>
      </c>
      <c r="W1297" t="s">
        <v>5</v>
      </c>
      <c r="X1297" t="s">
        <v>0</v>
      </c>
      <c r="Y1297" t="s">
        <v>4</v>
      </c>
      <c r="Z1297" t="s">
        <v>5</v>
      </c>
      <c r="AA1297">
        <v>0</v>
      </c>
      <c r="AB1297">
        <v>0</v>
      </c>
      <c r="AC1297">
        <v>0.17</v>
      </c>
      <c r="AD1297" t="s">
        <v>3</v>
      </c>
      <c r="AE1297" t="s">
        <v>0</v>
      </c>
      <c r="AF1297" t="s">
        <v>3</v>
      </c>
      <c r="AG1297" t="s">
        <v>2</v>
      </c>
      <c r="AI1297" t="s">
        <v>23</v>
      </c>
      <c r="AJ1297">
        <v>4</v>
      </c>
      <c r="AK1297">
        <v>20</v>
      </c>
      <c r="AL1297">
        <v>2</v>
      </c>
      <c r="AM1297" t="s">
        <v>5</v>
      </c>
      <c r="AN1297">
        <v>1</v>
      </c>
      <c r="AO1297">
        <v>1</v>
      </c>
      <c r="AP1297">
        <v>0</v>
      </c>
      <c r="AQ1297">
        <v>1</v>
      </c>
    </row>
    <row r="1298" spans="1:43" x14ac:dyDescent="0.25">
      <c r="A1298" t="s">
        <v>539</v>
      </c>
      <c r="B1298" t="s">
        <v>538</v>
      </c>
      <c r="C1298" t="s">
        <v>537</v>
      </c>
      <c r="D1298" s="1">
        <v>45885</v>
      </c>
      <c r="E1298" t="s">
        <v>156</v>
      </c>
      <c r="F1298" t="s">
        <v>238</v>
      </c>
      <c r="G1298" t="s">
        <v>17</v>
      </c>
      <c r="H1298" t="s">
        <v>16</v>
      </c>
      <c r="I1298" t="s">
        <v>15</v>
      </c>
      <c r="J1298" t="s">
        <v>14</v>
      </c>
      <c r="K1298" t="s">
        <v>13</v>
      </c>
      <c r="L1298" t="s">
        <v>88</v>
      </c>
      <c r="M1298" t="s">
        <v>11</v>
      </c>
      <c r="N1298" t="s">
        <v>41</v>
      </c>
      <c r="O1298" t="s">
        <v>26</v>
      </c>
      <c r="P1298" t="s">
        <v>39</v>
      </c>
      <c r="Q1298" t="s">
        <v>7</v>
      </c>
      <c r="R1298" t="s">
        <v>6</v>
      </c>
      <c r="S1298" t="s">
        <v>99</v>
      </c>
      <c r="T1298">
        <v>2</v>
      </c>
      <c r="U1298">
        <v>114</v>
      </c>
      <c r="V1298" t="s">
        <v>5</v>
      </c>
      <c r="W1298" t="s">
        <v>5</v>
      </c>
      <c r="X1298" t="s">
        <v>0</v>
      </c>
      <c r="Y1298" t="s">
        <v>4</v>
      </c>
      <c r="Z1298" t="s">
        <v>5</v>
      </c>
      <c r="AA1298">
        <v>223.24</v>
      </c>
      <c r="AB1298">
        <v>0.18</v>
      </c>
      <c r="AC1298">
        <v>0</v>
      </c>
      <c r="AD1298" t="s">
        <v>3</v>
      </c>
      <c r="AE1298" t="s">
        <v>0</v>
      </c>
      <c r="AF1298" t="s">
        <v>3</v>
      </c>
      <c r="AG1298" t="s">
        <v>2</v>
      </c>
      <c r="AI1298" t="s">
        <v>23</v>
      </c>
      <c r="AJ1298">
        <v>3</v>
      </c>
      <c r="AK1298">
        <v>54</v>
      </c>
      <c r="AL1298">
        <v>26</v>
      </c>
      <c r="AM1298" t="s">
        <v>5</v>
      </c>
      <c r="AN1298">
        <v>1</v>
      </c>
      <c r="AO1298">
        <v>1</v>
      </c>
      <c r="AP1298">
        <v>0</v>
      </c>
      <c r="AQ1298">
        <v>1</v>
      </c>
    </row>
    <row r="1299" spans="1:43" x14ac:dyDescent="0.25">
      <c r="A1299" t="s">
        <v>536</v>
      </c>
      <c r="B1299" t="s">
        <v>535</v>
      </c>
      <c r="C1299" t="s">
        <v>534</v>
      </c>
      <c r="D1299" s="1">
        <v>45829</v>
      </c>
      <c r="E1299" t="s">
        <v>112</v>
      </c>
      <c r="F1299" t="s">
        <v>111</v>
      </c>
      <c r="G1299" t="s">
        <v>30</v>
      </c>
      <c r="H1299" t="s">
        <v>16</v>
      </c>
      <c r="I1299" t="s">
        <v>28</v>
      </c>
      <c r="J1299" t="s">
        <v>55</v>
      </c>
      <c r="K1299" t="s">
        <v>54</v>
      </c>
      <c r="L1299" t="s">
        <v>64</v>
      </c>
      <c r="M1299" t="s">
        <v>11</v>
      </c>
      <c r="N1299" t="s">
        <v>10</v>
      </c>
      <c r="O1299" t="s">
        <v>40</v>
      </c>
      <c r="P1299" t="s">
        <v>25</v>
      </c>
      <c r="Q1299" t="s">
        <v>7</v>
      </c>
      <c r="R1299" t="s">
        <v>6</v>
      </c>
      <c r="S1299">
        <v>8</v>
      </c>
      <c r="T1299">
        <v>5</v>
      </c>
      <c r="U1299">
        <v>307</v>
      </c>
      <c r="V1299" t="s">
        <v>5</v>
      </c>
      <c r="W1299" t="s">
        <v>5</v>
      </c>
      <c r="X1299" t="s">
        <v>0</v>
      </c>
      <c r="Y1299" t="s">
        <v>4</v>
      </c>
      <c r="Z1299" t="s">
        <v>5</v>
      </c>
      <c r="AA1299">
        <v>389.44</v>
      </c>
      <c r="AB1299">
        <v>2.44</v>
      </c>
      <c r="AC1299">
        <v>0</v>
      </c>
      <c r="AD1299" t="s">
        <v>3</v>
      </c>
      <c r="AE1299" t="s">
        <v>0</v>
      </c>
      <c r="AF1299" t="s">
        <v>3</v>
      </c>
      <c r="AG1299" t="s">
        <v>2</v>
      </c>
      <c r="AI1299" t="s">
        <v>23</v>
      </c>
      <c r="AJ1299">
        <v>3</v>
      </c>
      <c r="AK1299">
        <v>-13</v>
      </c>
      <c r="AL1299">
        <v>35</v>
      </c>
      <c r="AM1299" t="s">
        <v>5</v>
      </c>
      <c r="AN1299">
        <v>1</v>
      </c>
      <c r="AO1299">
        <v>1</v>
      </c>
      <c r="AP1299">
        <v>0</v>
      </c>
      <c r="AQ1299">
        <v>1</v>
      </c>
    </row>
    <row r="1300" spans="1:43" x14ac:dyDescent="0.25">
      <c r="A1300" t="s">
        <v>533</v>
      </c>
      <c r="B1300" t="s">
        <v>532</v>
      </c>
      <c r="C1300" t="s">
        <v>531</v>
      </c>
      <c r="D1300" s="1">
        <v>45658</v>
      </c>
      <c r="E1300" t="s">
        <v>19</v>
      </c>
      <c r="F1300" t="s">
        <v>295</v>
      </c>
      <c r="G1300" t="s">
        <v>17</v>
      </c>
      <c r="H1300" t="s">
        <v>29</v>
      </c>
      <c r="I1300" t="s">
        <v>28</v>
      </c>
      <c r="J1300" t="s">
        <v>55</v>
      </c>
      <c r="K1300" t="s">
        <v>54</v>
      </c>
      <c r="L1300" t="s">
        <v>42</v>
      </c>
      <c r="M1300" t="s">
        <v>11</v>
      </c>
      <c r="N1300" t="s">
        <v>52</v>
      </c>
      <c r="O1300" t="s">
        <v>101</v>
      </c>
      <c r="P1300" t="s">
        <v>39</v>
      </c>
      <c r="Q1300" t="s">
        <v>24</v>
      </c>
      <c r="R1300" t="s">
        <v>6</v>
      </c>
      <c r="S1300">
        <v>4</v>
      </c>
      <c r="T1300">
        <v>4</v>
      </c>
      <c r="U1300">
        <v>90</v>
      </c>
      <c r="V1300" t="s">
        <v>0</v>
      </c>
      <c r="W1300" t="s">
        <v>5</v>
      </c>
      <c r="X1300" t="s">
        <v>0</v>
      </c>
      <c r="Y1300" t="s">
        <v>4</v>
      </c>
      <c r="Z1300" t="s">
        <v>5</v>
      </c>
      <c r="AA1300">
        <v>62.74</v>
      </c>
      <c r="AB1300">
        <v>0.47</v>
      </c>
      <c r="AC1300">
        <v>0</v>
      </c>
      <c r="AD1300" t="s">
        <v>3</v>
      </c>
      <c r="AE1300" t="s">
        <v>0</v>
      </c>
      <c r="AF1300" t="s">
        <v>3</v>
      </c>
      <c r="AG1300" t="s">
        <v>2</v>
      </c>
      <c r="AI1300" t="s">
        <v>23</v>
      </c>
      <c r="AJ1300">
        <v>5</v>
      </c>
      <c r="AK1300">
        <v>37</v>
      </c>
      <c r="AL1300">
        <v>8</v>
      </c>
      <c r="AM1300" t="s">
        <v>5</v>
      </c>
      <c r="AN1300">
        <v>1</v>
      </c>
      <c r="AO1300">
        <v>1</v>
      </c>
      <c r="AP1300">
        <v>0</v>
      </c>
      <c r="AQ1300">
        <v>1</v>
      </c>
    </row>
    <row r="1301" spans="1:43" x14ac:dyDescent="0.25">
      <c r="A1301" t="s">
        <v>530</v>
      </c>
      <c r="B1301" t="s">
        <v>529</v>
      </c>
      <c r="C1301" t="s">
        <v>528</v>
      </c>
      <c r="D1301" s="1">
        <v>45778</v>
      </c>
      <c r="E1301" t="s">
        <v>32</v>
      </c>
      <c r="F1301" t="s">
        <v>356</v>
      </c>
      <c r="G1301" t="s">
        <v>110</v>
      </c>
      <c r="H1301" t="s">
        <v>43</v>
      </c>
      <c r="I1301" t="s">
        <v>15</v>
      </c>
      <c r="J1301" t="s">
        <v>14</v>
      </c>
      <c r="K1301" t="s">
        <v>13</v>
      </c>
      <c r="L1301" t="s">
        <v>12</v>
      </c>
      <c r="M1301" t="s">
        <v>11</v>
      </c>
      <c r="N1301" t="s">
        <v>116</v>
      </c>
      <c r="O1301" t="s">
        <v>199</v>
      </c>
      <c r="P1301" t="s">
        <v>8</v>
      </c>
      <c r="Q1301" t="s">
        <v>24</v>
      </c>
      <c r="R1301" t="s">
        <v>38</v>
      </c>
      <c r="S1301" t="s">
        <v>527</v>
      </c>
      <c r="T1301">
        <v>5</v>
      </c>
      <c r="U1301">
        <v>107</v>
      </c>
      <c r="V1301" t="s">
        <v>0</v>
      </c>
      <c r="W1301" t="s">
        <v>5</v>
      </c>
      <c r="X1301" t="s">
        <v>0</v>
      </c>
      <c r="Y1301" t="s">
        <v>4</v>
      </c>
      <c r="Z1301" t="s">
        <v>5</v>
      </c>
      <c r="AA1301">
        <v>77.61</v>
      </c>
      <c r="AB1301">
        <v>0</v>
      </c>
      <c r="AC1301">
        <v>0</v>
      </c>
      <c r="AD1301" t="s">
        <v>3</v>
      </c>
      <c r="AE1301" t="s">
        <v>0</v>
      </c>
      <c r="AF1301" t="s">
        <v>3</v>
      </c>
      <c r="AG1301" t="s">
        <v>2</v>
      </c>
      <c r="AI1301" t="s">
        <v>23</v>
      </c>
      <c r="AJ1301">
        <v>5</v>
      </c>
      <c r="AK1301">
        <v>78</v>
      </c>
      <c r="AL1301">
        <v>14</v>
      </c>
      <c r="AM1301" t="s">
        <v>5</v>
      </c>
      <c r="AN1301">
        <v>1</v>
      </c>
      <c r="AO1301">
        <v>1</v>
      </c>
      <c r="AP1301">
        <v>0</v>
      </c>
      <c r="AQ1301">
        <v>1</v>
      </c>
    </row>
    <row r="1302" spans="1:43" x14ac:dyDescent="0.25">
      <c r="A1302" t="s">
        <v>526</v>
      </c>
      <c r="B1302" t="s">
        <v>525</v>
      </c>
      <c r="C1302" t="s">
        <v>524</v>
      </c>
      <c r="D1302" s="1">
        <v>45947</v>
      </c>
      <c r="E1302" t="s">
        <v>95</v>
      </c>
      <c r="F1302" t="s">
        <v>94</v>
      </c>
      <c r="G1302" t="s">
        <v>56</v>
      </c>
      <c r="H1302" t="s">
        <v>16</v>
      </c>
      <c r="I1302" t="s">
        <v>28</v>
      </c>
      <c r="J1302" t="s">
        <v>14</v>
      </c>
      <c r="K1302" t="s">
        <v>13</v>
      </c>
      <c r="L1302" t="s">
        <v>117</v>
      </c>
      <c r="M1302" t="s">
        <v>11</v>
      </c>
      <c r="N1302" t="s">
        <v>116</v>
      </c>
      <c r="O1302" t="s">
        <v>101</v>
      </c>
      <c r="P1302" t="s">
        <v>39</v>
      </c>
      <c r="Q1302" t="s">
        <v>100</v>
      </c>
      <c r="R1302" t="s">
        <v>6</v>
      </c>
      <c r="S1302">
        <v>4</v>
      </c>
      <c r="T1302">
        <v>4</v>
      </c>
      <c r="U1302">
        <v>94</v>
      </c>
      <c r="V1302" t="s">
        <v>0</v>
      </c>
      <c r="W1302" t="s">
        <v>135</v>
      </c>
      <c r="X1302" t="s">
        <v>0</v>
      </c>
      <c r="Y1302" t="s">
        <v>4</v>
      </c>
      <c r="Z1302" t="s">
        <v>5</v>
      </c>
      <c r="AA1302">
        <v>86.67</v>
      </c>
      <c r="AB1302">
        <v>0.55000000000000004</v>
      </c>
      <c r="AC1302">
        <v>0</v>
      </c>
      <c r="AD1302" t="s">
        <v>3</v>
      </c>
      <c r="AE1302" t="s">
        <v>0</v>
      </c>
      <c r="AF1302" t="s">
        <v>3</v>
      </c>
      <c r="AG1302" t="s">
        <v>2</v>
      </c>
      <c r="AI1302" t="s">
        <v>23</v>
      </c>
      <c r="AJ1302">
        <v>3</v>
      </c>
      <c r="AK1302">
        <v>21</v>
      </c>
      <c r="AL1302">
        <v>63</v>
      </c>
      <c r="AM1302" t="s">
        <v>5</v>
      </c>
      <c r="AN1302">
        <v>0</v>
      </c>
      <c r="AO1302">
        <v>1</v>
      </c>
      <c r="AP1302">
        <v>0</v>
      </c>
      <c r="AQ1302">
        <v>1</v>
      </c>
    </row>
    <row r="1303" spans="1:43" x14ac:dyDescent="0.25">
      <c r="A1303" t="s">
        <v>523</v>
      </c>
      <c r="B1303" t="s">
        <v>522</v>
      </c>
      <c r="C1303" t="s">
        <v>521</v>
      </c>
      <c r="D1303" s="1">
        <v>46151</v>
      </c>
      <c r="E1303" t="s">
        <v>32</v>
      </c>
      <c r="F1303" t="s">
        <v>107</v>
      </c>
      <c r="G1303" t="s">
        <v>17</v>
      </c>
      <c r="H1303" t="s">
        <v>237</v>
      </c>
      <c r="I1303" t="s">
        <v>15</v>
      </c>
      <c r="J1303" t="s">
        <v>55</v>
      </c>
      <c r="K1303" t="s">
        <v>54</v>
      </c>
      <c r="L1303" t="s">
        <v>42</v>
      </c>
      <c r="M1303" t="s">
        <v>27</v>
      </c>
      <c r="N1303" t="s">
        <v>52</v>
      </c>
      <c r="O1303" t="s">
        <v>9</v>
      </c>
      <c r="P1303" t="s">
        <v>39</v>
      </c>
      <c r="Q1303" t="s">
        <v>50</v>
      </c>
      <c r="R1303" t="s">
        <v>38</v>
      </c>
      <c r="S1303">
        <v>7</v>
      </c>
      <c r="T1303">
        <v>7</v>
      </c>
      <c r="U1303">
        <v>182</v>
      </c>
      <c r="V1303" t="s">
        <v>0</v>
      </c>
      <c r="W1303" t="s">
        <v>5</v>
      </c>
      <c r="X1303" t="s">
        <v>0</v>
      </c>
      <c r="Y1303" t="s">
        <v>4</v>
      </c>
      <c r="Z1303" t="s">
        <v>0</v>
      </c>
      <c r="AA1303">
        <v>0</v>
      </c>
      <c r="AB1303">
        <v>0</v>
      </c>
      <c r="AC1303">
        <v>0</v>
      </c>
      <c r="AD1303" t="s">
        <v>436</v>
      </c>
      <c r="AE1303" t="s">
        <v>5</v>
      </c>
      <c r="AF1303" t="s">
        <v>436</v>
      </c>
      <c r="AG1303" t="s">
        <v>139</v>
      </c>
      <c r="AH1303">
        <v>21</v>
      </c>
      <c r="AI1303" t="s">
        <v>23</v>
      </c>
      <c r="AJ1303">
        <v>5</v>
      </c>
      <c r="AK1303">
        <v>-17</v>
      </c>
      <c r="AL1303">
        <v>12</v>
      </c>
      <c r="AM1303" t="s">
        <v>0</v>
      </c>
      <c r="AN1303">
        <v>1</v>
      </c>
      <c r="AO1303">
        <v>0</v>
      </c>
      <c r="AP1303">
        <v>0</v>
      </c>
      <c r="AQ1303">
        <v>0</v>
      </c>
    </row>
    <row r="1304" spans="1:43" x14ac:dyDescent="0.25">
      <c r="A1304" t="s">
        <v>520</v>
      </c>
      <c r="B1304" t="s">
        <v>519</v>
      </c>
      <c r="C1304" t="s">
        <v>518</v>
      </c>
      <c r="D1304" s="1">
        <v>45673</v>
      </c>
      <c r="E1304" t="s">
        <v>19</v>
      </c>
      <c r="F1304" t="s">
        <v>89</v>
      </c>
      <c r="G1304" t="s">
        <v>30</v>
      </c>
      <c r="H1304" t="s">
        <v>43</v>
      </c>
      <c r="I1304" t="s">
        <v>15</v>
      </c>
      <c r="J1304" t="s">
        <v>14</v>
      </c>
      <c r="K1304" t="s">
        <v>13</v>
      </c>
      <c r="L1304" t="s">
        <v>117</v>
      </c>
      <c r="M1304" t="s">
        <v>11</v>
      </c>
      <c r="N1304" t="s">
        <v>75</v>
      </c>
      <c r="O1304" t="s">
        <v>193</v>
      </c>
      <c r="P1304" t="s">
        <v>39</v>
      </c>
      <c r="Q1304" t="s">
        <v>100</v>
      </c>
      <c r="R1304" t="s">
        <v>38</v>
      </c>
      <c r="S1304">
        <v>9</v>
      </c>
      <c r="T1304">
        <v>8</v>
      </c>
      <c r="U1304">
        <v>338</v>
      </c>
      <c r="V1304" t="s">
        <v>5</v>
      </c>
      <c r="W1304" t="s">
        <v>5</v>
      </c>
      <c r="X1304" t="s">
        <v>0</v>
      </c>
      <c r="Y1304" t="s">
        <v>4</v>
      </c>
      <c r="Z1304" t="s">
        <v>0</v>
      </c>
      <c r="AA1304">
        <v>0</v>
      </c>
      <c r="AB1304">
        <v>0</v>
      </c>
      <c r="AC1304">
        <v>0</v>
      </c>
      <c r="AD1304" t="s">
        <v>3</v>
      </c>
      <c r="AE1304" t="s">
        <v>0</v>
      </c>
      <c r="AF1304" t="s">
        <v>3</v>
      </c>
      <c r="AG1304" t="s">
        <v>2</v>
      </c>
      <c r="AI1304" t="s">
        <v>23</v>
      </c>
      <c r="AJ1304">
        <v>2</v>
      </c>
      <c r="AK1304">
        <v>-35</v>
      </c>
      <c r="AL1304">
        <v>1</v>
      </c>
      <c r="AM1304" t="s">
        <v>5</v>
      </c>
      <c r="AN1304">
        <v>1</v>
      </c>
      <c r="AO1304">
        <v>0</v>
      </c>
      <c r="AP1304">
        <v>0</v>
      </c>
      <c r="AQ1304">
        <v>1</v>
      </c>
    </row>
    <row r="1305" spans="1:43" x14ac:dyDescent="0.25">
      <c r="A1305" t="s">
        <v>517</v>
      </c>
      <c r="B1305" t="s">
        <v>516</v>
      </c>
      <c r="C1305" t="s">
        <v>515</v>
      </c>
      <c r="D1305" s="1">
        <v>45847</v>
      </c>
      <c r="E1305" t="s">
        <v>95</v>
      </c>
      <c r="F1305" t="s">
        <v>321</v>
      </c>
      <c r="G1305" t="s">
        <v>110</v>
      </c>
      <c r="H1305" t="s">
        <v>16</v>
      </c>
      <c r="I1305" t="s">
        <v>28</v>
      </c>
      <c r="J1305" t="s">
        <v>14</v>
      </c>
      <c r="K1305" t="s">
        <v>13</v>
      </c>
      <c r="L1305" t="s">
        <v>88</v>
      </c>
      <c r="M1305" t="s">
        <v>53</v>
      </c>
      <c r="N1305" t="s">
        <v>52</v>
      </c>
      <c r="O1305" t="s">
        <v>130</v>
      </c>
      <c r="P1305" t="s">
        <v>63</v>
      </c>
      <c r="Q1305" t="s">
        <v>7</v>
      </c>
      <c r="R1305" t="s">
        <v>6</v>
      </c>
      <c r="S1305">
        <v>5</v>
      </c>
      <c r="T1305">
        <v>4</v>
      </c>
      <c r="U1305">
        <v>179</v>
      </c>
      <c r="V1305" t="s">
        <v>5</v>
      </c>
      <c r="W1305" t="s">
        <v>5</v>
      </c>
      <c r="X1305" t="s">
        <v>0</v>
      </c>
      <c r="Y1305" t="s">
        <v>4</v>
      </c>
      <c r="Z1305" t="s">
        <v>5</v>
      </c>
      <c r="AA1305">
        <v>47.77</v>
      </c>
      <c r="AB1305">
        <v>0</v>
      </c>
      <c r="AC1305">
        <v>0.17</v>
      </c>
      <c r="AD1305" t="s">
        <v>3</v>
      </c>
      <c r="AE1305" t="s">
        <v>0</v>
      </c>
      <c r="AF1305" t="s">
        <v>3</v>
      </c>
      <c r="AG1305" t="s">
        <v>2</v>
      </c>
      <c r="AI1305" t="s">
        <v>23</v>
      </c>
      <c r="AJ1305">
        <v>4</v>
      </c>
      <c r="AK1305">
        <v>2</v>
      </c>
      <c r="AL1305">
        <v>0</v>
      </c>
      <c r="AM1305" t="s">
        <v>5</v>
      </c>
      <c r="AN1305">
        <v>1</v>
      </c>
      <c r="AO1305">
        <v>1</v>
      </c>
      <c r="AP1305">
        <v>0</v>
      </c>
      <c r="AQ1305">
        <v>1</v>
      </c>
    </row>
    <row r="1306" spans="1:43" x14ac:dyDescent="0.25">
      <c r="A1306" t="s">
        <v>514</v>
      </c>
      <c r="B1306" t="s">
        <v>513</v>
      </c>
      <c r="C1306" t="s">
        <v>512</v>
      </c>
      <c r="D1306" s="1">
        <v>45990</v>
      </c>
      <c r="E1306" t="s">
        <v>19</v>
      </c>
      <c r="F1306" t="s">
        <v>511</v>
      </c>
      <c r="G1306" t="s">
        <v>110</v>
      </c>
      <c r="H1306" t="s">
        <v>77</v>
      </c>
      <c r="I1306" t="s">
        <v>15</v>
      </c>
      <c r="J1306" t="s">
        <v>55</v>
      </c>
      <c r="K1306" t="s">
        <v>54</v>
      </c>
      <c r="L1306" t="s">
        <v>42</v>
      </c>
      <c r="M1306" t="s">
        <v>53</v>
      </c>
      <c r="N1306" t="s">
        <v>269</v>
      </c>
      <c r="O1306" t="s">
        <v>26</v>
      </c>
      <c r="P1306" t="s">
        <v>25</v>
      </c>
      <c r="Q1306" t="s">
        <v>50</v>
      </c>
      <c r="R1306" t="s">
        <v>38</v>
      </c>
      <c r="S1306">
        <v>4</v>
      </c>
      <c r="T1306">
        <v>4</v>
      </c>
      <c r="U1306">
        <v>184</v>
      </c>
      <c r="V1306" t="s">
        <v>0</v>
      </c>
      <c r="W1306" t="s">
        <v>287</v>
      </c>
      <c r="X1306" t="s">
        <v>5</v>
      </c>
      <c r="Y1306" t="s">
        <v>62</v>
      </c>
      <c r="Z1306" t="s">
        <v>0</v>
      </c>
      <c r="AA1306">
        <v>0</v>
      </c>
      <c r="AB1306">
        <v>0</v>
      </c>
      <c r="AC1306">
        <v>0</v>
      </c>
      <c r="AD1306" t="s">
        <v>3</v>
      </c>
      <c r="AE1306" t="s">
        <v>0</v>
      </c>
      <c r="AF1306" t="s">
        <v>3</v>
      </c>
      <c r="AG1306" t="s">
        <v>2</v>
      </c>
      <c r="AI1306" t="s">
        <v>23</v>
      </c>
      <c r="AJ1306">
        <v>5</v>
      </c>
      <c r="AK1306">
        <v>42</v>
      </c>
      <c r="AL1306">
        <v>35</v>
      </c>
      <c r="AM1306" t="s">
        <v>0</v>
      </c>
      <c r="AN1306">
        <v>1</v>
      </c>
      <c r="AO1306">
        <v>0</v>
      </c>
      <c r="AP1306">
        <v>1</v>
      </c>
      <c r="AQ1306">
        <v>0</v>
      </c>
    </row>
    <row r="1307" spans="1:43" x14ac:dyDescent="0.25">
      <c r="A1307" t="s">
        <v>510</v>
      </c>
      <c r="B1307" t="s">
        <v>509</v>
      </c>
      <c r="C1307" t="s">
        <v>508</v>
      </c>
      <c r="D1307" s="1">
        <v>45791</v>
      </c>
      <c r="E1307" t="s">
        <v>19</v>
      </c>
      <c r="F1307" t="s">
        <v>18</v>
      </c>
      <c r="G1307" t="s">
        <v>56</v>
      </c>
      <c r="H1307" t="s">
        <v>237</v>
      </c>
      <c r="I1307" t="s">
        <v>28</v>
      </c>
      <c r="J1307" t="s">
        <v>14</v>
      </c>
      <c r="K1307" t="s">
        <v>13</v>
      </c>
      <c r="L1307" t="s">
        <v>64</v>
      </c>
      <c r="M1307" t="s">
        <v>11</v>
      </c>
      <c r="N1307" t="s">
        <v>93</v>
      </c>
      <c r="O1307" t="s">
        <v>74</v>
      </c>
      <c r="P1307" t="s">
        <v>8</v>
      </c>
      <c r="Q1307" t="s">
        <v>7</v>
      </c>
      <c r="R1307" t="s">
        <v>6</v>
      </c>
      <c r="S1307">
        <v>6</v>
      </c>
      <c r="T1307" t="s">
        <v>205</v>
      </c>
      <c r="U1307">
        <v>150</v>
      </c>
      <c r="V1307" t="s">
        <v>0</v>
      </c>
      <c r="W1307" t="s">
        <v>5</v>
      </c>
      <c r="X1307" t="s">
        <v>0</v>
      </c>
      <c r="Y1307" t="s">
        <v>4</v>
      </c>
      <c r="Z1307" t="s">
        <v>5</v>
      </c>
      <c r="AA1307">
        <v>6.69</v>
      </c>
      <c r="AB1307">
        <v>0</v>
      </c>
      <c r="AC1307">
        <v>0</v>
      </c>
      <c r="AD1307" t="s">
        <v>3</v>
      </c>
      <c r="AE1307" t="s">
        <v>0</v>
      </c>
      <c r="AF1307" t="s">
        <v>3</v>
      </c>
      <c r="AG1307" t="s">
        <v>2</v>
      </c>
      <c r="AI1307" t="s">
        <v>23</v>
      </c>
      <c r="AJ1307">
        <v>4</v>
      </c>
      <c r="AK1307">
        <v>68</v>
      </c>
      <c r="AL1307">
        <v>8</v>
      </c>
      <c r="AM1307" t="s">
        <v>5</v>
      </c>
      <c r="AN1307">
        <v>1</v>
      </c>
      <c r="AO1307">
        <v>1</v>
      </c>
      <c r="AP1307">
        <v>0</v>
      </c>
      <c r="AQ1307">
        <v>1</v>
      </c>
    </row>
    <row r="1308" spans="1:43" x14ac:dyDescent="0.25">
      <c r="A1308" t="s">
        <v>507</v>
      </c>
      <c r="B1308" t="s">
        <v>506</v>
      </c>
      <c r="C1308" t="s">
        <v>505</v>
      </c>
      <c r="D1308" s="1">
        <v>46140</v>
      </c>
      <c r="E1308" t="s">
        <v>68</v>
      </c>
      <c r="F1308" t="s">
        <v>243</v>
      </c>
      <c r="G1308" t="s">
        <v>30</v>
      </c>
      <c r="H1308" t="s">
        <v>77</v>
      </c>
      <c r="I1308" t="s">
        <v>28</v>
      </c>
      <c r="J1308" t="s">
        <v>14</v>
      </c>
      <c r="K1308" t="s">
        <v>13</v>
      </c>
      <c r="L1308" t="s">
        <v>42</v>
      </c>
      <c r="M1308" t="s">
        <v>11</v>
      </c>
      <c r="N1308" t="s">
        <v>75</v>
      </c>
      <c r="O1308" t="s">
        <v>101</v>
      </c>
      <c r="P1308" t="s">
        <v>39</v>
      </c>
      <c r="Q1308" t="s">
        <v>172</v>
      </c>
      <c r="R1308" t="s">
        <v>38</v>
      </c>
      <c r="S1308">
        <v>4</v>
      </c>
      <c r="T1308">
        <v>4</v>
      </c>
      <c r="U1308">
        <v>104</v>
      </c>
      <c r="V1308" t="s">
        <v>0</v>
      </c>
      <c r="W1308" t="s">
        <v>5</v>
      </c>
      <c r="X1308" t="s">
        <v>0</v>
      </c>
      <c r="Y1308" t="s">
        <v>4</v>
      </c>
      <c r="Z1308" t="s">
        <v>5</v>
      </c>
      <c r="AA1308">
        <v>42.41</v>
      </c>
      <c r="AB1308">
        <v>0</v>
      </c>
      <c r="AC1308">
        <v>0</v>
      </c>
      <c r="AD1308" t="s">
        <v>3</v>
      </c>
      <c r="AE1308" t="s">
        <v>0</v>
      </c>
      <c r="AF1308" t="s">
        <v>3</v>
      </c>
      <c r="AG1308" t="s">
        <v>2</v>
      </c>
      <c r="AI1308" t="s">
        <v>23</v>
      </c>
      <c r="AJ1308">
        <v>5</v>
      </c>
      <c r="AK1308">
        <v>55</v>
      </c>
      <c r="AL1308">
        <v>68</v>
      </c>
      <c r="AM1308" t="s">
        <v>0</v>
      </c>
      <c r="AN1308">
        <v>1</v>
      </c>
      <c r="AO1308">
        <v>1</v>
      </c>
      <c r="AP1308">
        <v>0</v>
      </c>
      <c r="AQ1308">
        <v>0</v>
      </c>
    </row>
    <row r="1309" spans="1:43" x14ac:dyDescent="0.25">
      <c r="A1309" t="s">
        <v>504</v>
      </c>
      <c r="B1309" t="s">
        <v>503</v>
      </c>
      <c r="C1309" t="s">
        <v>502</v>
      </c>
      <c r="D1309" s="1">
        <v>45898</v>
      </c>
      <c r="E1309" t="s">
        <v>95</v>
      </c>
      <c r="F1309" t="s">
        <v>321</v>
      </c>
      <c r="G1309" t="s">
        <v>110</v>
      </c>
      <c r="H1309" t="s">
        <v>43</v>
      </c>
      <c r="I1309" t="s">
        <v>15</v>
      </c>
      <c r="J1309" t="s">
        <v>14</v>
      </c>
      <c r="K1309" t="s">
        <v>13</v>
      </c>
      <c r="L1309" t="s">
        <v>42</v>
      </c>
      <c r="M1309" t="s">
        <v>53</v>
      </c>
      <c r="N1309" t="s">
        <v>75</v>
      </c>
      <c r="O1309" t="s">
        <v>26</v>
      </c>
      <c r="P1309" t="s">
        <v>63</v>
      </c>
      <c r="Q1309" t="s">
        <v>7</v>
      </c>
      <c r="R1309" t="s">
        <v>6</v>
      </c>
      <c r="S1309">
        <v>4</v>
      </c>
      <c r="T1309">
        <v>4</v>
      </c>
      <c r="U1309">
        <v>89</v>
      </c>
      <c r="V1309" t="s">
        <v>0</v>
      </c>
      <c r="W1309" t="s">
        <v>5</v>
      </c>
      <c r="X1309" t="s">
        <v>135</v>
      </c>
      <c r="Y1309" t="s">
        <v>4</v>
      </c>
      <c r="Z1309" t="s">
        <v>5</v>
      </c>
      <c r="AA1309">
        <v>205.96</v>
      </c>
      <c r="AB1309">
        <v>0.19</v>
      </c>
      <c r="AC1309">
        <v>0.17</v>
      </c>
      <c r="AD1309" t="s">
        <v>37</v>
      </c>
      <c r="AE1309" t="s">
        <v>5</v>
      </c>
      <c r="AF1309" t="s">
        <v>37</v>
      </c>
      <c r="AG1309" t="s">
        <v>36</v>
      </c>
      <c r="AH1309">
        <v>26</v>
      </c>
      <c r="AI1309" t="s">
        <v>23</v>
      </c>
      <c r="AJ1309">
        <v>3</v>
      </c>
      <c r="AK1309">
        <v>16</v>
      </c>
      <c r="AL1309">
        <v>0</v>
      </c>
      <c r="AM1309" t="s">
        <v>5</v>
      </c>
      <c r="AN1309">
        <v>1</v>
      </c>
      <c r="AO1309">
        <v>1</v>
      </c>
      <c r="AP1309">
        <v>0</v>
      </c>
      <c r="AQ1309">
        <v>1</v>
      </c>
    </row>
    <row r="1310" spans="1:43" x14ac:dyDescent="0.25">
      <c r="A1310" t="s">
        <v>501</v>
      </c>
      <c r="B1310" t="s">
        <v>500</v>
      </c>
      <c r="C1310" t="s">
        <v>499</v>
      </c>
      <c r="D1310" s="1">
        <v>45770</v>
      </c>
      <c r="E1310" t="s">
        <v>32</v>
      </c>
      <c r="F1310" t="s">
        <v>107</v>
      </c>
      <c r="G1310" t="s">
        <v>17</v>
      </c>
      <c r="H1310" t="s">
        <v>77</v>
      </c>
      <c r="I1310" t="s">
        <v>28</v>
      </c>
      <c r="J1310" t="s">
        <v>55</v>
      </c>
      <c r="K1310" t="s">
        <v>54</v>
      </c>
      <c r="L1310" t="s">
        <v>12</v>
      </c>
      <c r="M1310" t="s">
        <v>11</v>
      </c>
      <c r="N1310" t="s">
        <v>75</v>
      </c>
      <c r="O1310" t="s">
        <v>193</v>
      </c>
      <c r="P1310" t="s">
        <v>8</v>
      </c>
      <c r="Q1310" t="s">
        <v>24</v>
      </c>
      <c r="R1310" t="s">
        <v>38</v>
      </c>
      <c r="S1310">
        <v>9</v>
      </c>
      <c r="T1310">
        <v>9</v>
      </c>
      <c r="U1310">
        <v>229</v>
      </c>
      <c r="V1310" t="s">
        <v>0</v>
      </c>
      <c r="W1310" t="s">
        <v>0</v>
      </c>
      <c r="X1310" t="s">
        <v>0</v>
      </c>
      <c r="Y1310" t="s">
        <v>4</v>
      </c>
      <c r="Z1310" t="s">
        <v>5</v>
      </c>
      <c r="AA1310">
        <v>108.04</v>
      </c>
      <c r="AB1310">
        <v>3.11</v>
      </c>
      <c r="AC1310">
        <v>0</v>
      </c>
      <c r="AD1310" t="s">
        <v>3</v>
      </c>
      <c r="AE1310" t="s">
        <v>0</v>
      </c>
      <c r="AF1310" t="s">
        <v>3</v>
      </c>
      <c r="AG1310" t="s">
        <v>2</v>
      </c>
      <c r="AI1310" t="s">
        <v>332</v>
      </c>
      <c r="AJ1310">
        <v>3</v>
      </c>
      <c r="AK1310">
        <v>24</v>
      </c>
      <c r="AL1310">
        <v>10</v>
      </c>
      <c r="AM1310" t="s">
        <v>0</v>
      </c>
      <c r="AN1310">
        <v>0</v>
      </c>
      <c r="AO1310">
        <v>1</v>
      </c>
      <c r="AP1310">
        <v>0</v>
      </c>
      <c r="AQ1310">
        <v>0</v>
      </c>
    </row>
    <row r="1311" spans="1:43" x14ac:dyDescent="0.25">
      <c r="A1311" t="s">
        <v>498</v>
      </c>
      <c r="B1311" t="s">
        <v>497</v>
      </c>
      <c r="C1311" t="s">
        <v>496</v>
      </c>
      <c r="D1311" s="1">
        <v>45770</v>
      </c>
      <c r="E1311" t="s">
        <v>95</v>
      </c>
      <c r="F1311" t="s">
        <v>270</v>
      </c>
      <c r="G1311" t="s">
        <v>17</v>
      </c>
      <c r="H1311" t="s">
        <v>43</v>
      </c>
      <c r="I1311" t="s">
        <v>15</v>
      </c>
      <c r="J1311" t="s">
        <v>55</v>
      </c>
      <c r="K1311" t="s">
        <v>54</v>
      </c>
      <c r="L1311" t="s">
        <v>12</v>
      </c>
      <c r="M1311" t="s">
        <v>11</v>
      </c>
      <c r="N1311" t="s">
        <v>52</v>
      </c>
      <c r="O1311" t="s">
        <v>9</v>
      </c>
      <c r="P1311" t="s">
        <v>39</v>
      </c>
      <c r="Q1311" t="s">
        <v>7</v>
      </c>
      <c r="R1311" t="s">
        <v>6</v>
      </c>
      <c r="S1311">
        <v>7</v>
      </c>
      <c r="T1311">
        <v>7</v>
      </c>
      <c r="U1311">
        <v>194</v>
      </c>
      <c r="V1311" t="s">
        <v>0</v>
      </c>
      <c r="W1311" t="s">
        <v>5</v>
      </c>
      <c r="X1311" t="s">
        <v>0</v>
      </c>
      <c r="Y1311" t="s">
        <v>4</v>
      </c>
      <c r="Z1311" t="s">
        <v>0</v>
      </c>
      <c r="AA1311">
        <v>0</v>
      </c>
      <c r="AB1311">
        <v>0</v>
      </c>
      <c r="AC1311">
        <v>0</v>
      </c>
      <c r="AD1311" t="s">
        <v>3</v>
      </c>
      <c r="AE1311" t="s">
        <v>0</v>
      </c>
      <c r="AF1311" t="s">
        <v>3</v>
      </c>
      <c r="AG1311" t="s">
        <v>2</v>
      </c>
      <c r="AI1311" t="s">
        <v>23</v>
      </c>
      <c r="AJ1311">
        <v>3</v>
      </c>
      <c r="AK1311">
        <v>-34</v>
      </c>
      <c r="AL1311">
        <v>26</v>
      </c>
      <c r="AM1311" t="s">
        <v>5</v>
      </c>
      <c r="AN1311">
        <v>1</v>
      </c>
      <c r="AO1311">
        <v>0</v>
      </c>
      <c r="AP1311">
        <v>0</v>
      </c>
      <c r="AQ1311">
        <v>1</v>
      </c>
    </row>
    <row r="1312" spans="1:43" x14ac:dyDescent="0.25">
      <c r="A1312" t="s">
        <v>495</v>
      </c>
      <c r="B1312" t="s">
        <v>494</v>
      </c>
      <c r="C1312" t="s">
        <v>493</v>
      </c>
      <c r="D1312" s="1">
        <v>45734</v>
      </c>
      <c r="E1312" t="s">
        <v>95</v>
      </c>
      <c r="F1312" t="s">
        <v>94</v>
      </c>
      <c r="G1312" t="s">
        <v>110</v>
      </c>
      <c r="H1312" t="s">
        <v>77</v>
      </c>
      <c r="I1312" t="s">
        <v>15</v>
      </c>
      <c r="J1312" t="s">
        <v>55</v>
      </c>
      <c r="K1312" t="s">
        <v>54</v>
      </c>
      <c r="L1312" t="s">
        <v>64</v>
      </c>
      <c r="M1312" t="s">
        <v>11</v>
      </c>
      <c r="N1312" t="s">
        <v>93</v>
      </c>
      <c r="O1312" t="s">
        <v>26</v>
      </c>
      <c r="P1312" t="s">
        <v>63</v>
      </c>
      <c r="Q1312" t="s">
        <v>7</v>
      </c>
      <c r="R1312" t="s">
        <v>6</v>
      </c>
      <c r="S1312" t="s">
        <v>99</v>
      </c>
      <c r="T1312">
        <v>3</v>
      </c>
      <c r="U1312">
        <v>162</v>
      </c>
      <c r="V1312" t="s">
        <v>5</v>
      </c>
      <c r="W1312" t="s">
        <v>135</v>
      </c>
      <c r="X1312" t="s">
        <v>0</v>
      </c>
      <c r="Y1312" t="s">
        <v>4</v>
      </c>
      <c r="Z1312" t="s">
        <v>5</v>
      </c>
      <c r="AA1312">
        <v>120.75</v>
      </c>
      <c r="AB1312">
        <v>0.21</v>
      </c>
      <c r="AC1312">
        <v>0</v>
      </c>
      <c r="AD1312" t="s">
        <v>3</v>
      </c>
      <c r="AE1312" t="s">
        <v>0</v>
      </c>
      <c r="AF1312" t="s">
        <v>3</v>
      </c>
      <c r="AG1312" t="s">
        <v>2</v>
      </c>
      <c r="AI1312" t="s">
        <v>1</v>
      </c>
      <c r="AJ1312">
        <v>3</v>
      </c>
      <c r="AK1312">
        <v>-18</v>
      </c>
      <c r="AL1312">
        <v>0</v>
      </c>
      <c r="AM1312" t="s">
        <v>0</v>
      </c>
      <c r="AN1312">
        <v>0</v>
      </c>
      <c r="AO1312">
        <v>1</v>
      </c>
      <c r="AP1312">
        <v>0</v>
      </c>
      <c r="AQ1312">
        <v>0</v>
      </c>
    </row>
    <row r="1313" spans="1:43" x14ac:dyDescent="0.25">
      <c r="A1313" t="s">
        <v>492</v>
      </c>
      <c r="B1313" t="s">
        <v>491</v>
      </c>
      <c r="C1313" t="s">
        <v>490</v>
      </c>
      <c r="D1313" s="1">
        <v>45966</v>
      </c>
      <c r="E1313" t="s">
        <v>162</v>
      </c>
      <c r="F1313" t="s">
        <v>310</v>
      </c>
      <c r="G1313" t="s">
        <v>30</v>
      </c>
      <c r="H1313" t="s">
        <v>43</v>
      </c>
      <c r="I1313" t="s">
        <v>28</v>
      </c>
      <c r="J1313" t="s">
        <v>55</v>
      </c>
      <c r="K1313" t="s">
        <v>54</v>
      </c>
      <c r="L1313" t="s">
        <v>88</v>
      </c>
      <c r="M1313" t="s">
        <v>53</v>
      </c>
      <c r="N1313" t="s">
        <v>75</v>
      </c>
      <c r="O1313" t="s">
        <v>40</v>
      </c>
      <c r="P1313" t="s">
        <v>39</v>
      </c>
      <c r="Q1313" t="s">
        <v>7</v>
      </c>
      <c r="R1313" t="s">
        <v>6</v>
      </c>
      <c r="S1313">
        <v>8</v>
      </c>
      <c r="T1313">
        <v>8</v>
      </c>
      <c r="U1313">
        <v>203</v>
      </c>
      <c r="V1313" t="s">
        <v>0</v>
      </c>
      <c r="W1313" t="s">
        <v>0</v>
      </c>
      <c r="X1313" t="s">
        <v>5</v>
      </c>
      <c r="Y1313" t="s">
        <v>489</v>
      </c>
      <c r="Z1313" t="s">
        <v>0</v>
      </c>
      <c r="AA1313">
        <v>0</v>
      </c>
      <c r="AB1313">
        <v>0</v>
      </c>
      <c r="AC1313">
        <v>0</v>
      </c>
      <c r="AD1313" t="s">
        <v>3</v>
      </c>
      <c r="AE1313" t="s">
        <v>0</v>
      </c>
      <c r="AF1313" t="s">
        <v>3</v>
      </c>
      <c r="AG1313" t="s">
        <v>2</v>
      </c>
      <c r="AI1313" t="s">
        <v>23</v>
      </c>
      <c r="AJ1313">
        <v>4</v>
      </c>
      <c r="AK1313">
        <v>-43</v>
      </c>
      <c r="AL1313">
        <v>7</v>
      </c>
      <c r="AM1313" t="s">
        <v>5</v>
      </c>
      <c r="AN1313">
        <v>0</v>
      </c>
      <c r="AO1313">
        <v>0</v>
      </c>
      <c r="AP1313">
        <v>1</v>
      </c>
      <c r="AQ1313">
        <v>1</v>
      </c>
    </row>
    <row r="1314" spans="1:43" x14ac:dyDescent="0.25">
      <c r="A1314" t="s">
        <v>488</v>
      </c>
      <c r="B1314" t="s">
        <v>487</v>
      </c>
      <c r="C1314" t="s">
        <v>486</v>
      </c>
      <c r="D1314" s="1">
        <v>45702</v>
      </c>
      <c r="E1314" t="s">
        <v>156</v>
      </c>
      <c r="F1314" t="s">
        <v>238</v>
      </c>
      <c r="G1314" t="s">
        <v>30</v>
      </c>
      <c r="H1314" t="s">
        <v>43</v>
      </c>
      <c r="I1314" t="s">
        <v>28</v>
      </c>
      <c r="J1314" t="s">
        <v>55</v>
      </c>
      <c r="K1314" t="s">
        <v>54</v>
      </c>
      <c r="L1314" t="s">
        <v>12</v>
      </c>
      <c r="M1314" t="s">
        <v>27</v>
      </c>
      <c r="N1314" t="s">
        <v>52</v>
      </c>
      <c r="O1314" t="s">
        <v>9</v>
      </c>
      <c r="P1314" t="s">
        <v>39</v>
      </c>
      <c r="Q1314" t="s">
        <v>7</v>
      </c>
      <c r="R1314" t="s">
        <v>6</v>
      </c>
      <c r="S1314" t="s">
        <v>242</v>
      </c>
      <c r="T1314">
        <v>7</v>
      </c>
      <c r="U1314">
        <v>171</v>
      </c>
      <c r="V1314" t="s">
        <v>0</v>
      </c>
      <c r="W1314" t="s">
        <v>5</v>
      </c>
      <c r="X1314" t="s">
        <v>0</v>
      </c>
      <c r="Y1314" t="s">
        <v>4</v>
      </c>
      <c r="Z1314" t="s">
        <v>0</v>
      </c>
      <c r="AA1314">
        <v>0</v>
      </c>
      <c r="AB1314">
        <v>0</v>
      </c>
      <c r="AC1314">
        <v>0</v>
      </c>
      <c r="AD1314" t="s">
        <v>3</v>
      </c>
      <c r="AE1314" t="s">
        <v>0</v>
      </c>
      <c r="AF1314" t="s">
        <v>3</v>
      </c>
      <c r="AG1314" t="s">
        <v>2</v>
      </c>
      <c r="AI1314" t="s">
        <v>23</v>
      </c>
      <c r="AJ1314">
        <v>4</v>
      </c>
      <c r="AK1314">
        <v>-5</v>
      </c>
      <c r="AL1314">
        <v>35</v>
      </c>
      <c r="AM1314" t="s">
        <v>5</v>
      </c>
      <c r="AN1314">
        <v>1</v>
      </c>
      <c r="AO1314">
        <v>0</v>
      </c>
      <c r="AP1314">
        <v>0</v>
      </c>
      <c r="AQ1314">
        <v>1</v>
      </c>
    </row>
    <row r="1315" spans="1:43" x14ac:dyDescent="0.25">
      <c r="A1315" t="s">
        <v>485</v>
      </c>
      <c r="B1315" t="s">
        <v>484</v>
      </c>
      <c r="C1315" t="s">
        <v>483</v>
      </c>
      <c r="D1315" s="1">
        <v>45700</v>
      </c>
      <c r="E1315" t="s">
        <v>32</v>
      </c>
      <c r="F1315" t="s">
        <v>107</v>
      </c>
      <c r="G1315" t="s">
        <v>30</v>
      </c>
      <c r="H1315" t="s">
        <v>66</v>
      </c>
      <c r="I1315" t="s">
        <v>15</v>
      </c>
      <c r="J1315" t="s">
        <v>14</v>
      </c>
      <c r="K1315" t="s">
        <v>13</v>
      </c>
      <c r="L1315" t="s">
        <v>42</v>
      </c>
      <c r="M1315" t="s">
        <v>53</v>
      </c>
      <c r="N1315" t="s">
        <v>10</v>
      </c>
      <c r="O1315" t="s">
        <v>51</v>
      </c>
      <c r="P1315" t="s">
        <v>39</v>
      </c>
      <c r="Q1315" t="s">
        <v>7</v>
      </c>
      <c r="R1315" t="s">
        <v>6</v>
      </c>
      <c r="S1315">
        <v>6</v>
      </c>
      <c r="T1315">
        <v>6</v>
      </c>
      <c r="U1315">
        <v>110</v>
      </c>
      <c r="V1315" t="s">
        <v>0</v>
      </c>
      <c r="W1315" t="s">
        <v>5</v>
      </c>
      <c r="X1315" t="s">
        <v>0</v>
      </c>
      <c r="Y1315" t="s">
        <v>4</v>
      </c>
      <c r="Z1315" t="s">
        <v>0</v>
      </c>
      <c r="AA1315">
        <v>0</v>
      </c>
      <c r="AB1315">
        <v>0</v>
      </c>
      <c r="AC1315">
        <v>0</v>
      </c>
      <c r="AD1315" t="s">
        <v>3</v>
      </c>
      <c r="AE1315" t="s">
        <v>0</v>
      </c>
      <c r="AF1315" t="s">
        <v>3</v>
      </c>
      <c r="AG1315" t="s">
        <v>2</v>
      </c>
      <c r="AI1315" t="s">
        <v>23</v>
      </c>
      <c r="AJ1315">
        <v>5</v>
      </c>
      <c r="AK1315">
        <v>-42</v>
      </c>
      <c r="AL1315">
        <v>12</v>
      </c>
      <c r="AM1315" t="s">
        <v>5</v>
      </c>
      <c r="AN1315">
        <v>1</v>
      </c>
      <c r="AO1315">
        <v>0</v>
      </c>
      <c r="AP1315">
        <v>0</v>
      </c>
      <c r="AQ1315">
        <v>1</v>
      </c>
    </row>
    <row r="1316" spans="1:43" x14ac:dyDescent="0.25">
      <c r="A1316" t="s">
        <v>482</v>
      </c>
      <c r="B1316" t="s">
        <v>481</v>
      </c>
      <c r="C1316" t="s">
        <v>480</v>
      </c>
      <c r="D1316" s="1">
        <v>45746</v>
      </c>
      <c r="E1316" t="s">
        <v>95</v>
      </c>
      <c r="F1316" t="s">
        <v>270</v>
      </c>
      <c r="G1316" t="s">
        <v>56</v>
      </c>
      <c r="H1316" t="s">
        <v>77</v>
      </c>
      <c r="I1316" t="s">
        <v>15</v>
      </c>
      <c r="J1316" t="s">
        <v>14</v>
      </c>
      <c r="K1316" t="s">
        <v>13</v>
      </c>
      <c r="L1316" t="s">
        <v>88</v>
      </c>
      <c r="M1316" t="s">
        <v>11</v>
      </c>
      <c r="N1316" t="s">
        <v>93</v>
      </c>
      <c r="O1316" t="s">
        <v>40</v>
      </c>
      <c r="P1316" t="s">
        <v>39</v>
      </c>
      <c r="Q1316" t="s">
        <v>24</v>
      </c>
      <c r="R1316" t="s">
        <v>6</v>
      </c>
      <c r="S1316">
        <v>8</v>
      </c>
      <c r="T1316" t="s">
        <v>479</v>
      </c>
      <c r="U1316">
        <v>309</v>
      </c>
      <c r="V1316" t="s">
        <v>0</v>
      </c>
      <c r="W1316" t="s">
        <v>181</v>
      </c>
      <c r="X1316" t="s">
        <v>5</v>
      </c>
      <c r="Y1316" t="s">
        <v>160</v>
      </c>
      <c r="Z1316" t="s">
        <v>0</v>
      </c>
      <c r="AA1316">
        <v>0</v>
      </c>
      <c r="AB1316">
        <v>0</v>
      </c>
      <c r="AC1316">
        <v>0</v>
      </c>
      <c r="AD1316" t="s">
        <v>3</v>
      </c>
      <c r="AE1316" t="s">
        <v>0</v>
      </c>
      <c r="AF1316" t="s">
        <v>3</v>
      </c>
      <c r="AG1316" t="s">
        <v>2</v>
      </c>
      <c r="AI1316" t="s">
        <v>122</v>
      </c>
      <c r="AJ1316">
        <v>2</v>
      </c>
      <c r="AK1316">
        <v>-19</v>
      </c>
      <c r="AL1316">
        <v>34</v>
      </c>
      <c r="AM1316" t="s">
        <v>0</v>
      </c>
      <c r="AN1316">
        <v>0</v>
      </c>
      <c r="AO1316">
        <v>0</v>
      </c>
      <c r="AP1316">
        <v>1</v>
      </c>
      <c r="AQ1316">
        <v>0</v>
      </c>
    </row>
    <row r="1317" spans="1:43" x14ac:dyDescent="0.25">
      <c r="A1317" t="s">
        <v>478</v>
      </c>
      <c r="B1317" t="s">
        <v>477</v>
      </c>
      <c r="C1317" t="s">
        <v>476</v>
      </c>
      <c r="D1317" s="1">
        <v>45899</v>
      </c>
      <c r="E1317" t="s">
        <v>125</v>
      </c>
      <c r="F1317" t="s">
        <v>124</v>
      </c>
      <c r="G1317" t="s">
        <v>17</v>
      </c>
      <c r="H1317" t="s">
        <v>29</v>
      </c>
      <c r="I1317" t="s">
        <v>28</v>
      </c>
      <c r="J1317" t="s">
        <v>146</v>
      </c>
      <c r="K1317" t="s">
        <v>145</v>
      </c>
      <c r="L1317" t="s">
        <v>117</v>
      </c>
      <c r="M1317" t="s">
        <v>11</v>
      </c>
      <c r="N1317" t="s">
        <v>52</v>
      </c>
      <c r="O1317" t="s">
        <v>193</v>
      </c>
      <c r="P1317" t="s">
        <v>39</v>
      </c>
      <c r="Q1317" t="s">
        <v>7</v>
      </c>
      <c r="R1317" t="s">
        <v>6</v>
      </c>
      <c r="S1317">
        <v>9</v>
      </c>
      <c r="T1317">
        <v>5</v>
      </c>
      <c r="U1317">
        <v>417</v>
      </c>
      <c r="V1317" t="s">
        <v>5</v>
      </c>
      <c r="W1317" t="s">
        <v>5</v>
      </c>
      <c r="X1317" t="s">
        <v>5</v>
      </c>
      <c r="Y1317" t="s">
        <v>475</v>
      </c>
      <c r="Z1317" t="s">
        <v>0</v>
      </c>
      <c r="AA1317">
        <v>0</v>
      </c>
      <c r="AB1317">
        <v>0</v>
      </c>
      <c r="AC1317">
        <v>0</v>
      </c>
      <c r="AD1317" t="s">
        <v>3</v>
      </c>
      <c r="AE1317" t="s">
        <v>0</v>
      </c>
      <c r="AF1317" t="s">
        <v>3</v>
      </c>
      <c r="AG1317" t="s">
        <v>2</v>
      </c>
      <c r="AI1317" t="s">
        <v>23</v>
      </c>
      <c r="AJ1317">
        <v>3</v>
      </c>
      <c r="AK1317">
        <v>-69</v>
      </c>
      <c r="AL1317">
        <v>25</v>
      </c>
      <c r="AM1317" t="s">
        <v>0</v>
      </c>
      <c r="AN1317">
        <v>1</v>
      </c>
      <c r="AO1317">
        <v>0</v>
      </c>
      <c r="AP1317">
        <v>1</v>
      </c>
      <c r="AQ1317">
        <v>0</v>
      </c>
    </row>
    <row r="1318" spans="1:43" x14ac:dyDescent="0.25">
      <c r="A1318" t="s">
        <v>474</v>
      </c>
      <c r="B1318" t="s">
        <v>473</v>
      </c>
      <c r="C1318" t="s">
        <v>472</v>
      </c>
      <c r="D1318" s="1">
        <v>46023</v>
      </c>
      <c r="E1318" t="s">
        <v>149</v>
      </c>
      <c r="F1318" t="s">
        <v>471</v>
      </c>
      <c r="G1318" t="s">
        <v>30</v>
      </c>
      <c r="H1318" t="s">
        <v>29</v>
      </c>
      <c r="I1318" t="s">
        <v>15</v>
      </c>
      <c r="J1318" t="s">
        <v>55</v>
      </c>
      <c r="K1318" t="s">
        <v>54</v>
      </c>
      <c r="L1318" t="s">
        <v>117</v>
      </c>
      <c r="M1318" t="s">
        <v>53</v>
      </c>
      <c r="N1318" t="s">
        <v>10</v>
      </c>
      <c r="O1318" t="s">
        <v>40</v>
      </c>
      <c r="P1318" t="s">
        <v>63</v>
      </c>
      <c r="Q1318" t="s">
        <v>24</v>
      </c>
      <c r="R1318" t="s">
        <v>38</v>
      </c>
      <c r="S1318">
        <v>8</v>
      </c>
      <c r="T1318">
        <v>5</v>
      </c>
      <c r="U1318">
        <v>235</v>
      </c>
      <c r="V1318" t="s">
        <v>5</v>
      </c>
      <c r="W1318" t="s">
        <v>0</v>
      </c>
      <c r="X1318" t="s">
        <v>0</v>
      </c>
      <c r="Y1318" t="s">
        <v>4</v>
      </c>
      <c r="Z1318" t="s">
        <v>0</v>
      </c>
      <c r="AA1318">
        <v>0</v>
      </c>
      <c r="AB1318">
        <v>0</v>
      </c>
      <c r="AC1318">
        <v>0</v>
      </c>
      <c r="AD1318" t="s">
        <v>3</v>
      </c>
      <c r="AE1318" t="s">
        <v>0</v>
      </c>
      <c r="AF1318" t="s">
        <v>3</v>
      </c>
      <c r="AG1318" t="s">
        <v>2</v>
      </c>
      <c r="AI1318" t="s">
        <v>332</v>
      </c>
      <c r="AJ1318">
        <v>1</v>
      </c>
      <c r="AK1318">
        <v>-19</v>
      </c>
      <c r="AL1318" t="s">
        <v>347</v>
      </c>
      <c r="AM1318" t="s">
        <v>0</v>
      </c>
      <c r="AN1318">
        <v>0</v>
      </c>
      <c r="AO1318">
        <v>0</v>
      </c>
      <c r="AP1318">
        <v>0</v>
      </c>
      <c r="AQ1318">
        <v>0</v>
      </c>
    </row>
    <row r="1319" spans="1:43" x14ac:dyDescent="0.25">
      <c r="A1319" t="s">
        <v>470</v>
      </c>
      <c r="B1319" t="s">
        <v>469</v>
      </c>
      <c r="C1319" t="s">
        <v>468</v>
      </c>
      <c r="D1319" s="1">
        <v>45870</v>
      </c>
      <c r="E1319" t="s">
        <v>149</v>
      </c>
      <c r="F1319" t="s">
        <v>183</v>
      </c>
      <c r="G1319" t="s">
        <v>83</v>
      </c>
      <c r="H1319" t="s">
        <v>29</v>
      </c>
      <c r="I1319" t="s">
        <v>28</v>
      </c>
      <c r="J1319" t="s">
        <v>55</v>
      </c>
      <c r="K1319" t="s">
        <v>54</v>
      </c>
      <c r="L1319" t="s">
        <v>42</v>
      </c>
      <c r="M1319" t="s">
        <v>11</v>
      </c>
      <c r="N1319" t="s">
        <v>93</v>
      </c>
      <c r="O1319" t="s">
        <v>130</v>
      </c>
      <c r="P1319" t="s">
        <v>39</v>
      </c>
      <c r="Q1319" t="s">
        <v>50</v>
      </c>
      <c r="R1319" t="s">
        <v>38</v>
      </c>
      <c r="S1319">
        <v>5</v>
      </c>
      <c r="T1319">
        <v>5</v>
      </c>
      <c r="U1319">
        <v>113</v>
      </c>
      <c r="V1319" t="s">
        <v>0</v>
      </c>
      <c r="W1319" t="s">
        <v>5</v>
      </c>
      <c r="X1319" t="s">
        <v>0</v>
      </c>
      <c r="Y1319" t="s">
        <v>4</v>
      </c>
      <c r="Z1319" t="s">
        <v>5</v>
      </c>
      <c r="AA1319">
        <v>0</v>
      </c>
      <c r="AB1319">
        <v>0</v>
      </c>
      <c r="AC1319">
        <v>0</v>
      </c>
      <c r="AD1319" t="s">
        <v>3</v>
      </c>
      <c r="AE1319" t="s">
        <v>0</v>
      </c>
      <c r="AF1319" t="s">
        <v>3</v>
      </c>
      <c r="AG1319" t="s">
        <v>2</v>
      </c>
      <c r="AI1319" t="s">
        <v>23</v>
      </c>
      <c r="AJ1319">
        <v>4</v>
      </c>
      <c r="AK1319">
        <v>52</v>
      </c>
      <c r="AL1319">
        <v>18</v>
      </c>
      <c r="AM1319" t="s">
        <v>5</v>
      </c>
      <c r="AN1319">
        <v>1</v>
      </c>
      <c r="AO1319">
        <v>1</v>
      </c>
      <c r="AP1319">
        <v>0</v>
      </c>
      <c r="AQ1319">
        <v>1</v>
      </c>
    </row>
    <row r="1320" spans="1:43" x14ac:dyDescent="0.25">
      <c r="A1320" t="s">
        <v>467</v>
      </c>
      <c r="B1320" t="s">
        <v>466</v>
      </c>
      <c r="C1320" t="s">
        <v>465</v>
      </c>
      <c r="D1320" s="1">
        <v>45956</v>
      </c>
      <c r="E1320" t="s">
        <v>79</v>
      </c>
      <c r="F1320" t="s">
        <v>102</v>
      </c>
      <c r="G1320" t="s">
        <v>17</v>
      </c>
      <c r="H1320" t="s">
        <v>77</v>
      </c>
      <c r="I1320" t="s">
        <v>28</v>
      </c>
      <c r="J1320" t="s">
        <v>14</v>
      </c>
      <c r="K1320" t="s">
        <v>13</v>
      </c>
      <c r="L1320" t="s">
        <v>88</v>
      </c>
      <c r="M1320" t="s">
        <v>27</v>
      </c>
      <c r="N1320" t="s">
        <v>52</v>
      </c>
      <c r="O1320" t="s">
        <v>199</v>
      </c>
      <c r="P1320" t="s">
        <v>39</v>
      </c>
      <c r="Q1320" t="s">
        <v>100</v>
      </c>
      <c r="R1320" t="s">
        <v>6</v>
      </c>
      <c r="S1320">
        <v>5</v>
      </c>
      <c r="T1320">
        <v>5</v>
      </c>
      <c r="U1320">
        <v>162</v>
      </c>
      <c r="V1320" t="s">
        <v>0</v>
      </c>
      <c r="W1320" t="s">
        <v>0</v>
      </c>
      <c r="X1320" t="s">
        <v>5</v>
      </c>
      <c r="Y1320" t="s">
        <v>410</v>
      </c>
      <c r="Z1320" t="s">
        <v>0</v>
      </c>
      <c r="AA1320">
        <v>0</v>
      </c>
      <c r="AB1320">
        <v>0</v>
      </c>
      <c r="AC1320">
        <v>0</v>
      </c>
      <c r="AD1320" t="s">
        <v>436</v>
      </c>
      <c r="AE1320" t="s">
        <v>5</v>
      </c>
      <c r="AF1320" t="s">
        <v>436</v>
      </c>
      <c r="AG1320" t="s">
        <v>139</v>
      </c>
      <c r="AH1320">
        <v>24</v>
      </c>
      <c r="AI1320" t="s">
        <v>23</v>
      </c>
      <c r="AJ1320">
        <v>2</v>
      </c>
      <c r="AK1320">
        <v>39</v>
      </c>
      <c r="AL1320">
        <v>25</v>
      </c>
      <c r="AM1320" t="s">
        <v>0</v>
      </c>
      <c r="AN1320">
        <v>0</v>
      </c>
      <c r="AO1320">
        <v>0</v>
      </c>
      <c r="AP1320">
        <v>1</v>
      </c>
      <c r="AQ1320">
        <v>0</v>
      </c>
    </row>
    <row r="1321" spans="1:43" x14ac:dyDescent="0.25">
      <c r="A1321" t="s">
        <v>464</v>
      </c>
      <c r="B1321" t="s">
        <v>463</v>
      </c>
      <c r="C1321" t="s">
        <v>462</v>
      </c>
      <c r="D1321" s="1">
        <v>46098</v>
      </c>
      <c r="E1321" t="s">
        <v>112</v>
      </c>
      <c r="F1321" t="s">
        <v>461</v>
      </c>
      <c r="G1321" t="s">
        <v>17</v>
      </c>
      <c r="H1321" t="s">
        <v>237</v>
      </c>
      <c r="I1321" t="s">
        <v>15</v>
      </c>
      <c r="J1321" t="s">
        <v>146</v>
      </c>
      <c r="K1321" t="s">
        <v>460</v>
      </c>
      <c r="L1321" t="s">
        <v>12</v>
      </c>
      <c r="M1321" t="s">
        <v>11</v>
      </c>
      <c r="N1321" t="s">
        <v>93</v>
      </c>
      <c r="O1321" t="s">
        <v>101</v>
      </c>
      <c r="P1321" t="s">
        <v>63</v>
      </c>
      <c r="Q1321" t="s">
        <v>7</v>
      </c>
      <c r="R1321" t="s">
        <v>6</v>
      </c>
      <c r="S1321">
        <v>4</v>
      </c>
      <c r="T1321">
        <v>4</v>
      </c>
      <c r="U1321">
        <v>126</v>
      </c>
      <c r="V1321" t="s">
        <v>0</v>
      </c>
      <c r="W1321" t="s">
        <v>5</v>
      </c>
      <c r="X1321" t="s">
        <v>181</v>
      </c>
      <c r="Y1321" t="s">
        <v>4</v>
      </c>
      <c r="Z1321" t="s">
        <v>5</v>
      </c>
      <c r="AA1321">
        <v>99.81</v>
      </c>
      <c r="AB1321">
        <v>0.52</v>
      </c>
      <c r="AC1321">
        <v>0</v>
      </c>
      <c r="AD1321" t="s">
        <v>61</v>
      </c>
      <c r="AE1321" t="s">
        <v>5</v>
      </c>
      <c r="AF1321" t="s">
        <v>61</v>
      </c>
      <c r="AG1321" t="s">
        <v>139</v>
      </c>
      <c r="AH1321">
        <v>40</v>
      </c>
      <c r="AI1321" t="s">
        <v>23</v>
      </c>
      <c r="AJ1321">
        <v>4</v>
      </c>
      <c r="AK1321">
        <v>29</v>
      </c>
      <c r="AL1321">
        <v>0</v>
      </c>
      <c r="AM1321" t="s">
        <v>5</v>
      </c>
      <c r="AN1321">
        <v>1</v>
      </c>
      <c r="AO1321">
        <v>1</v>
      </c>
      <c r="AP1321">
        <v>0</v>
      </c>
      <c r="AQ1321">
        <v>1</v>
      </c>
    </row>
    <row r="1322" spans="1:43" x14ac:dyDescent="0.25">
      <c r="A1322" t="s">
        <v>459</v>
      </c>
      <c r="B1322" t="s">
        <v>458</v>
      </c>
      <c r="C1322" t="s">
        <v>457</v>
      </c>
      <c r="D1322" s="1">
        <v>45689</v>
      </c>
      <c r="E1322" t="s">
        <v>79</v>
      </c>
      <c r="F1322" t="s">
        <v>206</v>
      </c>
      <c r="G1322" t="s">
        <v>83</v>
      </c>
      <c r="H1322" t="s">
        <v>29</v>
      </c>
      <c r="I1322" t="s">
        <v>28</v>
      </c>
      <c r="J1322" t="s">
        <v>146</v>
      </c>
      <c r="K1322" t="s">
        <v>145</v>
      </c>
      <c r="L1322" t="s">
        <v>117</v>
      </c>
      <c r="M1322" t="s">
        <v>11</v>
      </c>
      <c r="N1322" t="s">
        <v>75</v>
      </c>
      <c r="O1322" t="s">
        <v>26</v>
      </c>
      <c r="P1322" t="s">
        <v>39</v>
      </c>
      <c r="Q1322" t="s">
        <v>100</v>
      </c>
      <c r="R1322" t="s">
        <v>38</v>
      </c>
      <c r="S1322">
        <v>4</v>
      </c>
      <c r="T1322">
        <v>4</v>
      </c>
      <c r="U1322">
        <v>106</v>
      </c>
      <c r="V1322" t="s">
        <v>0</v>
      </c>
      <c r="W1322" t="s">
        <v>5</v>
      </c>
      <c r="X1322" t="s">
        <v>0</v>
      </c>
      <c r="Y1322" t="s">
        <v>4</v>
      </c>
      <c r="Z1322" t="s">
        <v>5</v>
      </c>
      <c r="AA1322">
        <v>173.97</v>
      </c>
      <c r="AB1322">
        <v>0.19</v>
      </c>
      <c r="AC1322">
        <v>0</v>
      </c>
      <c r="AD1322" t="s">
        <v>3</v>
      </c>
      <c r="AE1322" t="s">
        <v>0</v>
      </c>
      <c r="AF1322" t="s">
        <v>3</v>
      </c>
      <c r="AG1322" t="s">
        <v>2</v>
      </c>
      <c r="AI1322" t="s">
        <v>23</v>
      </c>
      <c r="AJ1322">
        <v>5</v>
      </c>
      <c r="AK1322">
        <v>94</v>
      </c>
      <c r="AL1322">
        <v>33</v>
      </c>
      <c r="AM1322" t="s">
        <v>5</v>
      </c>
      <c r="AN1322">
        <v>1</v>
      </c>
      <c r="AO1322">
        <v>1</v>
      </c>
      <c r="AP1322">
        <v>0</v>
      </c>
      <c r="AQ1322">
        <v>1</v>
      </c>
    </row>
    <row r="1323" spans="1:43" x14ac:dyDescent="0.25">
      <c r="A1323" t="s">
        <v>456</v>
      </c>
      <c r="B1323" t="s">
        <v>455</v>
      </c>
      <c r="C1323" t="s">
        <v>454</v>
      </c>
      <c r="D1323" s="1">
        <v>45830</v>
      </c>
      <c r="E1323" t="s">
        <v>19</v>
      </c>
      <c r="F1323" t="s">
        <v>18</v>
      </c>
      <c r="G1323" t="s">
        <v>83</v>
      </c>
      <c r="H1323" t="s">
        <v>29</v>
      </c>
      <c r="I1323" t="s">
        <v>28</v>
      </c>
      <c r="J1323" t="s">
        <v>14</v>
      </c>
      <c r="K1323" t="s">
        <v>13</v>
      </c>
      <c r="L1323" t="s">
        <v>117</v>
      </c>
      <c r="M1323" t="s">
        <v>53</v>
      </c>
      <c r="N1323" t="s">
        <v>52</v>
      </c>
      <c r="O1323" t="s">
        <v>87</v>
      </c>
      <c r="P1323" t="s">
        <v>39</v>
      </c>
      <c r="Q1323" t="s">
        <v>7</v>
      </c>
      <c r="R1323" t="s">
        <v>6</v>
      </c>
      <c r="S1323" t="s">
        <v>277</v>
      </c>
      <c r="T1323">
        <v>5</v>
      </c>
      <c r="U1323">
        <v>144</v>
      </c>
      <c r="V1323" t="s">
        <v>0</v>
      </c>
      <c r="W1323" t="s">
        <v>5</v>
      </c>
      <c r="X1323" t="s">
        <v>0</v>
      </c>
      <c r="Y1323" t="s">
        <v>4</v>
      </c>
      <c r="Z1323" t="s">
        <v>5</v>
      </c>
      <c r="AA1323">
        <v>58.65</v>
      </c>
      <c r="AB1323">
        <v>0</v>
      </c>
      <c r="AC1323">
        <v>0.17</v>
      </c>
      <c r="AD1323" t="s">
        <v>3</v>
      </c>
      <c r="AE1323" t="s">
        <v>0</v>
      </c>
      <c r="AF1323" t="s">
        <v>3</v>
      </c>
      <c r="AG1323" t="s">
        <v>2</v>
      </c>
      <c r="AI1323" t="s">
        <v>23</v>
      </c>
      <c r="AJ1323">
        <v>5</v>
      </c>
      <c r="AK1323">
        <v>13</v>
      </c>
      <c r="AL1323">
        <v>20</v>
      </c>
      <c r="AM1323" t="s">
        <v>0</v>
      </c>
      <c r="AN1323">
        <v>1</v>
      </c>
      <c r="AO1323">
        <v>1</v>
      </c>
      <c r="AP1323">
        <v>0</v>
      </c>
      <c r="AQ1323">
        <v>0</v>
      </c>
    </row>
    <row r="1324" spans="1:43" x14ac:dyDescent="0.25">
      <c r="A1324" t="s">
        <v>453</v>
      </c>
      <c r="B1324" t="s">
        <v>452</v>
      </c>
      <c r="C1324" t="s">
        <v>451</v>
      </c>
      <c r="D1324" s="1">
        <v>45993</v>
      </c>
      <c r="E1324" t="s">
        <v>68</v>
      </c>
      <c r="F1324" t="s">
        <v>216</v>
      </c>
      <c r="G1324" t="s">
        <v>110</v>
      </c>
      <c r="H1324" t="s">
        <v>77</v>
      </c>
      <c r="I1324" t="s">
        <v>28</v>
      </c>
      <c r="J1324" t="s">
        <v>14</v>
      </c>
      <c r="K1324" t="s">
        <v>13</v>
      </c>
      <c r="L1324" t="s">
        <v>64</v>
      </c>
      <c r="M1324" t="s">
        <v>11</v>
      </c>
      <c r="N1324" t="s">
        <v>116</v>
      </c>
      <c r="O1324" t="s">
        <v>9</v>
      </c>
      <c r="P1324" t="s">
        <v>63</v>
      </c>
      <c r="Q1324" t="s">
        <v>7</v>
      </c>
      <c r="R1324" t="s">
        <v>6</v>
      </c>
      <c r="S1324">
        <v>7</v>
      </c>
      <c r="T1324">
        <v>7</v>
      </c>
      <c r="U1324">
        <v>200</v>
      </c>
      <c r="V1324" t="s">
        <v>0</v>
      </c>
      <c r="W1324" t="s">
        <v>5</v>
      </c>
      <c r="X1324" t="s">
        <v>5</v>
      </c>
      <c r="Y1324" t="s">
        <v>450</v>
      </c>
      <c r="Z1324" t="s">
        <v>0</v>
      </c>
      <c r="AA1324">
        <v>0</v>
      </c>
      <c r="AB1324">
        <v>0</v>
      </c>
      <c r="AC1324">
        <v>0</v>
      </c>
      <c r="AD1324" t="s">
        <v>3</v>
      </c>
      <c r="AE1324" t="s">
        <v>0</v>
      </c>
      <c r="AF1324" t="s">
        <v>3</v>
      </c>
      <c r="AG1324" t="s">
        <v>2</v>
      </c>
      <c r="AI1324" t="s">
        <v>23</v>
      </c>
      <c r="AJ1324">
        <v>2</v>
      </c>
      <c r="AK1324">
        <v>3</v>
      </c>
      <c r="AL1324" t="s">
        <v>347</v>
      </c>
      <c r="AM1324" t="s">
        <v>5</v>
      </c>
      <c r="AN1324">
        <v>1</v>
      </c>
      <c r="AO1324">
        <v>0</v>
      </c>
      <c r="AP1324">
        <v>1</v>
      </c>
      <c r="AQ1324">
        <v>1</v>
      </c>
    </row>
    <row r="1325" spans="1:43" x14ac:dyDescent="0.25">
      <c r="A1325" t="s">
        <v>449</v>
      </c>
      <c r="B1325" t="s">
        <v>448</v>
      </c>
      <c r="C1325" t="s">
        <v>447</v>
      </c>
      <c r="D1325" s="1">
        <v>45790</v>
      </c>
      <c r="E1325" t="s">
        <v>68</v>
      </c>
      <c r="F1325" t="s">
        <v>216</v>
      </c>
      <c r="G1325" t="s">
        <v>131</v>
      </c>
      <c r="H1325" t="s">
        <v>43</v>
      </c>
      <c r="I1325" t="s">
        <v>15</v>
      </c>
      <c r="J1325" t="s">
        <v>14</v>
      </c>
      <c r="K1325" t="s">
        <v>13</v>
      </c>
      <c r="L1325" t="s">
        <v>42</v>
      </c>
      <c r="M1325" t="s">
        <v>11</v>
      </c>
      <c r="N1325" t="s">
        <v>93</v>
      </c>
      <c r="O1325" t="s">
        <v>247</v>
      </c>
      <c r="P1325" t="s">
        <v>25</v>
      </c>
      <c r="Q1325" t="s">
        <v>24</v>
      </c>
      <c r="R1325" t="s">
        <v>38</v>
      </c>
      <c r="S1325">
        <v>8</v>
      </c>
      <c r="T1325">
        <v>6</v>
      </c>
      <c r="U1325">
        <v>250</v>
      </c>
      <c r="V1325" t="s">
        <v>5</v>
      </c>
      <c r="W1325" t="s">
        <v>0</v>
      </c>
      <c r="X1325" t="s">
        <v>0</v>
      </c>
      <c r="Y1325" t="s">
        <v>4</v>
      </c>
      <c r="Z1325" t="s">
        <v>0</v>
      </c>
      <c r="AA1325">
        <v>0</v>
      </c>
      <c r="AB1325">
        <v>0</v>
      </c>
      <c r="AC1325">
        <v>0</v>
      </c>
      <c r="AD1325" t="s">
        <v>3</v>
      </c>
      <c r="AE1325" t="s">
        <v>0</v>
      </c>
      <c r="AF1325" t="s">
        <v>3</v>
      </c>
      <c r="AG1325" t="s">
        <v>2</v>
      </c>
      <c r="AI1325" t="s">
        <v>332</v>
      </c>
      <c r="AJ1325">
        <v>3</v>
      </c>
      <c r="AK1325">
        <v>1</v>
      </c>
      <c r="AL1325">
        <v>21</v>
      </c>
      <c r="AM1325" t="s">
        <v>0</v>
      </c>
      <c r="AN1325">
        <v>0</v>
      </c>
      <c r="AO1325">
        <v>0</v>
      </c>
      <c r="AP1325">
        <v>0</v>
      </c>
      <c r="AQ1325">
        <v>0</v>
      </c>
    </row>
    <row r="1326" spans="1:43" x14ac:dyDescent="0.25">
      <c r="A1326" t="s">
        <v>446</v>
      </c>
      <c r="B1326" t="s">
        <v>445</v>
      </c>
      <c r="C1326" t="s">
        <v>444</v>
      </c>
      <c r="D1326" s="1">
        <v>45955</v>
      </c>
      <c r="E1326" t="s">
        <v>45</v>
      </c>
      <c r="F1326" t="s">
        <v>348</v>
      </c>
      <c r="G1326" t="s">
        <v>83</v>
      </c>
      <c r="H1326" t="s">
        <v>66</v>
      </c>
      <c r="I1326" t="s">
        <v>15</v>
      </c>
      <c r="J1326" t="s">
        <v>14</v>
      </c>
      <c r="K1326" t="s">
        <v>13</v>
      </c>
      <c r="L1326" t="s">
        <v>12</v>
      </c>
      <c r="M1326" t="s">
        <v>11</v>
      </c>
      <c r="N1326" t="s">
        <v>75</v>
      </c>
      <c r="O1326" t="s">
        <v>40</v>
      </c>
      <c r="P1326" t="s">
        <v>39</v>
      </c>
      <c r="Q1326" t="s">
        <v>7</v>
      </c>
      <c r="R1326" t="s">
        <v>6</v>
      </c>
      <c r="S1326">
        <v>8</v>
      </c>
      <c r="T1326">
        <v>8</v>
      </c>
      <c r="U1326">
        <v>183</v>
      </c>
      <c r="V1326" t="s">
        <v>0</v>
      </c>
      <c r="W1326" t="s">
        <v>287</v>
      </c>
      <c r="X1326" t="s">
        <v>0</v>
      </c>
      <c r="Y1326" t="s">
        <v>4</v>
      </c>
      <c r="Z1326" t="s">
        <v>0</v>
      </c>
      <c r="AA1326">
        <v>0</v>
      </c>
      <c r="AB1326">
        <v>0</v>
      </c>
      <c r="AC1326">
        <v>0</v>
      </c>
      <c r="AD1326" t="s">
        <v>3</v>
      </c>
      <c r="AE1326" t="s">
        <v>0</v>
      </c>
      <c r="AF1326" t="s">
        <v>3</v>
      </c>
      <c r="AG1326" t="s">
        <v>2</v>
      </c>
      <c r="AI1326" t="s">
        <v>23</v>
      </c>
      <c r="AJ1326">
        <v>4</v>
      </c>
      <c r="AK1326">
        <v>9</v>
      </c>
      <c r="AL1326">
        <v>14</v>
      </c>
      <c r="AM1326" t="s">
        <v>5</v>
      </c>
      <c r="AN1326">
        <v>1</v>
      </c>
      <c r="AO1326">
        <v>0</v>
      </c>
      <c r="AP1326">
        <v>0</v>
      </c>
      <c r="AQ1326">
        <v>1</v>
      </c>
    </row>
    <row r="1327" spans="1:43" x14ac:dyDescent="0.25">
      <c r="A1327" t="s">
        <v>443</v>
      </c>
      <c r="B1327" t="s">
        <v>442</v>
      </c>
      <c r="C1327" t="s">
        <v>441</v>
      </c>
      <c r="D1327" s="1">
        <v>45754</v>
      </c>
      <c r="E1327" t="s">
        <v>68</v>
      </c>
      <c r="F1327" t="s">
        <v>278</v>
      </c>
      <c r="G1327" t="s">
        <v>30</v>
      </c>
      <c r="H1327" t="s">
        <v>16</v>
      </c>
      <c r="I1327" t="s">
        <v>15</v>
      </c>
      <c r="J1327" t="s">
        <v>55</v>
      </c>
      <c r="K1327" t="s">
        <v>54</v>
      </c>
      <c r="L1327" t="s">
        <v>88</v>
      </c>
      <c r="M1327" t="s">
        <v>11</v>
      </c>
      <c r="N1327" t="s">
        <v>247</v>
      </c>
      <c r="O1327" t="s">
        <v>87</v>
      </c>
      <c r="P1327" t="s">
        <v>39</v>
      </c>
      <c r="Q1327" t="s">
        <v>198</v>
      </c>
      <c r="R1327" t="s">
        <v>38</v>
      </c>
      <c r="S1327">
        <v>5</v>
      </c>
      <c r="T1327">
        <v>5</v>
      </c>
      <c r="U1327">
        <v>118</v>
      </c>
      <c r="V1327" t="s">
        <v>0</v>
      </c>
      <c r="W1327" t="s">
        <v>0</v>
      </c>
      <c r="X1327" t="s">
        <v>135</v>
      </c>
      <c r="Y1327" t="s">
        <v>4</v>
      </c>
      <c r="Z1327" t="s">
        <v>5</v>
      </c>
      <c r="AA1327">
        <v>134.71</v>
      </c>
      <c r="AB1327">
        <v>0</v>
      </c>
      <c r="AC1327">
        <v>0</v>
      </c>
      <c r="AD1327" t="s">
        <v>3</v>
      </c>
      <c r="AE1327" t="s">
        <v>0</v>
      </c>
      <c r="AF1327" t="s">
        <v>3</v>
      </c>
      <c r="AG1327" t="s">
        <v>2</v>
      </c>
      <c r="AI1327" t="s">
        <v>1</v>
      </c>
      <c r="AJ1327">
        <v>4</v>
      </c>
      <c r="AK1327">
        <v>54</v>
      </c>
      <c r="AL1327">
        <v>45</v>
      </c>
      <c r="AM1327" t="s">
        <v>0</v>
      </c>
      <c r="AN1327">
        <v>0</v>
      </c>
      <c r="AO1327">
        <v>1</v>
      </c>
      <c r="AP1327">
        <v>0</v>
      </c>
      <c r="AQ1327">
        <v>0</v>
      </c>
    </row>
    <row r="1328" spans="1:43" x14ac:dyDescent="0.25">
      <c r="A1328" t="s">
        <v>359</v>
      </c>
      <c r="B1328" t="s">
        <v>358</v>
      </c>
      <c r="C1328" t="s">
        <v>357</v>
      </c>
      <c r="D1328" s="1">
        <v>45737</v>
      </c>
      <c r="E1328" t="s">
        <v>32</v>
      </c>
      <c r="F1328" t="s">
        <v>356</v>
      </c>
      <c r="G1328" t="s">
        <v>83</v>
      </c>
      <c r="H1328" t="s">
        <v>43</v>
      </c>
      <c r="I1328" t="s">
        <v>15</v>
      </c>
      <c r="J1328" t="s">
        <v>14</v>
      </c>
      <c r="K1328" t="s">
        <v>13</v>
      </c>
      <c r="L1328" t="s">
        <v>88</v>
      </c>
      <c r="M1328" t="s">
        <v>299</v>
      </c>
      <c r="N1328" t="s">
        <v>75</v>
      </c>
      <c r="O1328" t="s">
        <v>26</v>
      </c>
      <c r="P1328" t="s">
        <v>39</v>
      </c>
      <c r="Q1328" t="s">
        <v>24</v>
      </c>
      <c r="R1328" t="s">
        <v>38</v>
      </c>
      <c r="S1328">
        <v>4</v>
      </c>
      <c r="T1328">
        <v>4</v>
      </c>
      <c r="U1328">
        <v>147</v>
      </c>
      <c r="V1328" t="s">
        <v>0</v>
      </c>
      <c r="W1328" t="s">
        <v>5</v>
      </c>
      <c r="X1328" t="s">
        <v>5</v>
      </c>
      <c r="Y1328" t="s">
        <v>355</v>
      </c>
      <c r="Z1328" t="s">
        <v>0</v>
      </c>
      <c r="AA1328">
        <v>0</v>
      </c>
      <c r="AB1328">
        <v>0</v>
      </c>
      <c r="AC1328">
        <v>0</v>
      </c>
      <c r="AD1328" t="s">
        <v>3</v>
      </c>
      <c r="AE1328" t="s">
        <v>0</v>
      </c>
      <c r="AF1328" t="s">
        <v>3</v>
      </c>
      <c r="AG1328" t="s">
        <v>2</v>
      </c>
      <c r="AI1328" t="s">
        <v>23</v>
      </c>
      <c r="AJ1328">
        <v>5</v>
      </c>
      <c r="AK1328">
        <v>11</v>
      </c>
      <c r="AL1328" t="s">
        <v>440</v>
      </c>
      <c r="AM1328" t="s">
        <v>0</v>
      </c>
      <c r="AN1328">
        <v>1</v>
      </c>
      <c r="AO1328">
        <v>0</v>
      </c>
      <c r="AP1328">
        <v>1</v>
      </c>
      <c r="AQ1328">
        <v>0</v>
      </c>
    </row>
    <row r="1329" spans="1:43" x14ac:dyDescent="0.25">
      <c r="A1329" t="s">
        <v>439</v>
      </c>
      <c r="B1329" t="s">
        <v>438</v>
      </c>
      <c r="C1329" t="s">
        <v>437</v>
      </c>
      <c r="D1329" s="1">
        <v>46187</v>
      </c>
      <c r="E1329" t="s">
        <v>95</v>
      </c>
      <c r="F1329" t="s">
        <v>321</v>
      </c>
      <c r="G1329" t="s">
        <v>30</v>
      </c>
      <c r="H1329" t="s">
        <v>16</v>
      </c>
      <c r="I1329" t="s">
        <v>28</v>
      </c>
      <c r="J1329" t="s">
        <v>14</v>
      </c>
      <c r="K1329" t="s">
        <v>13</v>
      </c>
      <c r="L1329" t="s">
        <v>88</v>
      </c>
      <c r="M1329" t="s">
        <v>53</v>
      </c>
      <c r="N1329" t="s">
        <v>154</v>
      </c>
      <c r="O1329" t="s">
        <v>74</v>
      </c>
      <c r="P1329" t="s">
        <v>39</v>
      </c>
      <c r="Q1329" t="s">
        <v>7</v>
      </c>
      <c r="R1329" t="s">
        <v>6</v>
      </c>
      <c r="S1329">
        <v>6</v>
      </c>
      <c r="T1329">
        <v>3</v>
      </c>
      <c r="U1329">
        <v>0</v>
      </c>
      <c r="V1329" t="s">
        <v>5</v>
      </c>
      <c r="W1329" t="s">
        <v>0</v>
      </c>
      <c r="X1329" t="s">
        <v>0</v>
      </c>
      <c r="Y1329" t="s">
        <v>4</v>
      </c>
      <c r="Z1329" t="s">
        <v>0</v>
      </c>
      <c r="AA1329">
        <v>0</v>
      </c>
      <c r="AB1329">
        <v>0</v>
      </c>
      <c r="AC1329">
        <v>0</v>
      </c>
      <c r="AD1329" t="s">
        <v>436</v>
      </c>
      <c r="AE1329" t="s">
        <v>5</v>
      </c>
      <c r="AF1329" t="s">
        <v>436</v>
      </c>
      <c r="AG1329" t="s">
        <v>139</v>
      </c>
      <c r="AH1329">
        <v>22</v>
      </c>
      <c r="AI1329" t="s">
        <v>332</v>
      </c>
      <c r="AJ1329">
        <v>3</v>
      </c>
      <c r="AK1329">
        <v>-35</v>
      </c>
      <c r="AL1329">
        <v>49</v>
      </c>
      <c r="AM1329" t="s">
        <v>0</v>
      </c>
      <c r="AN1329">
        <v>0</v>
      </c>
      <c r="AO1329">
        <v>0</v>
      </c>
      <c r="AP1329">
        <v>0</v>
      </c>
      <c r="AQ1329">
        <v>0</v>
      </c>
    </row>
    <row r="1330" spans="1:43" x14ac:dyDescent="0.25">
      <c r="A1330" t="s">
        <v>435</v>
      </c>
      <c r="B1330" t="s">
        <v>434</v>
      </c>
      <c r="C1330" t="s">
        <v>433</v>
      </c>
      <c r="D1330" s="1">
        <v>45826</v>
      </c>
      <c r="E1330" t="s">
        <v>112</v>
      </c>
      <c r="F1330" t="s">
        <v>307</v>
      </c>
      <c r="G1330" t="s">
        <v>110</v>
      </c>
      <c r="H1330" t="s">
        <v>66</v>
      </c>
      <c r="I1330" t="s">
        <v>15</v>
      </c>
      <c r="J1330" t="s">
        <v>14</v>
      </c>
      <c r="K1330" t="s">
        <v>13</v>
      </c>
      <c r="L1330" t="s">
        <v>64</v>
      </c>
      <c r="M1330" t="s">
        <v>11</v>
      </c>
      <c r="N1330" t="s">
        <v>52</v>
      </c>
      <c r="O1330" t="s">
        <v>193</v>
      </c>
      <c r="P1330" t="s">
        <v>39</v>
      </c>
      <c r="Q1330" t="s">
        <v>24</v>
      </c>
      <c r="R1330" t="s">
        <v>38</v>
      </c>
      <c r="S1330">
        <v>9</v>
      </c>
      <c r="T1330">
        <v>9</v>
      </c>
      <c r="U1330">
        <v>192</v>
      </c>
      <c r="V1330" t="s">
        <v>0</v>
      </c>
      <c r="W1330" t="s">
        <v>5</v>
      </c>
      <c r="X1330" t="s">
        <v>0</v>
      </c>
      <c r="Y1330" t="s">
        <v>4</v>
      </c>
      <c r="Z1330" t="s">
        <v>5</v>
      </c>
      <c r="AA1330">
        <v>222.81</v>
      </c>
      <c r="AB1330">
        <v>2.58</v>
      </c>
      <c r="AC1330">
        <v>0</v>
      </c>
      <c r="AD1330" t="s">
        <v>3</v>
      </c>
      <c r="AE1330" t="s">
        <v>0</v>
      </c>
      <c r="AF1330" t="s">
        <v>3</v>
      </c>
      <c r="AG1330" t="s">
        <v>2</v>
      </c>
      <c r="AI1330" t="s">
        <v>23</v>
      </c>
      <c r="AJ1330">
        <v>5</v>
      </c>
      <c r="AK1330">
        <v>24</v>
      </c>
      <c r="AL1330">
        <v>28</v>
      </c>
      <c r="AM1330" t="s">
        <v>5</v>
      </c>
      <c r="AN1330">
        <v>1</v>
      </c>
      <c r="AO1330">
        <v>1</v>
      </c>
      <c r="AP1330">
        <v>0</v>
      </c>
      <c r="AQ1330">
        <v>1</v>
      </c>
    </row>
    <row r="1331" spans="1:43" x14ac:dyDescent="0.25">
      <c r="A1331" t="s">
        <v>432</v>
      </c>
      <c r="B1331" t="s">
        <v>431</v>
      </c>
      <c r="C1331" t="s">
        <v>430</v>
      </c>
      <c r="D1331" s="1">
        <v>45750</v>
      </c>
      <c r="E1331" t="s">
        <v>162</v>
      </c>
      <c r="F1331" t="s">
        <v>161</v>
      </c>
      <c r="G1331" t="s">
        <v>83</v>
      </c>
      <c r="H1331" t="s">
        <v>77</v>
      </c>
      <c r="I1331" t="s">
        <v>28</v>
      </c>
      <c r="J1331" t="s">
        <v>55</v>
      </c>
      <c r="K1331" t="s">
        <v>54</v>
      </c>
      <c r="L1331" t="s">
        <v>117</v>
      </c>
      <c r="M1331" t="s">
        <v>11</v>
      </c>
      <c r="N1331" t="s">
        <v>52</v>
      </c>
      <c r="O1331" t="s">
        <v>40</v>
      </c>
      <c r="P1331" t="s">
        <v>39</v>
      </c>
      <c r="Q1331" t="s">
        <v>198</v>
      </c>
      <c r="R1331" t="s">
        <v>6</v>
      </c>
      <c r="S1331">
        <v>8</v>
      </c>
      <c r="T1331">
        <v>4</v>
      </c>
      <c r="U1331">
        <v>338</v>
      </c>
      <c r="V1331" t="s">
        <v>182</v>
      </c>
      <c r="W1331" t="s">
        <v>0</v>
      </c>
      <c r="X1331" t="s">
        <v>0</v>
      </c>
      <c r="Y1331" t="s">
        <v>4</v>
      </c>
      <c r="Z1331" t="s">
        <v>5</v>
      </c>
      <c r="AA1331">
        <v>355.45</v>
      </c>
      <c r="AB1331">
        <v>2.61</v>
      </c>
      <c r="AC1331">
        <v>0</v>
      </c>
      <c r="AD1331" t="s">
        <v>3</v>
      </c>
      <c r="AE1331" t="s">
        <v>0</v>
      </c>
      <c r="AF1331" t="s">
        <v>3</v>
      </c>
      <c r="AG1331" t="s">
        <v>2</v>
      </c>
      <c r="AI1331" t="s">
        <v>1</v>
      </c>
      <c r="AJ1331">
        <v>2</v>
      </c>
      <c r="AK1331">
        <v>-9</v>
      </c>
      <c r="AL1331">
        <v>33</v>
      </c>
      <c r="AM1331" t="s">
        <v>5</v>
      </c>
      <c r="AN1331">
        <v>0</v>
      </c>
      <c r="AO1331">
        <v>1</v>
      </c>
      <c r="AP1331">
        <v>0</v>
      </c>
      <c r="AQ1331">
        <v>1</v>
      </c>
    </row>
    <row r="1332" spans="1:43" x14ac:dyDescent="0.25">
      <c r="A1332" t="s">
        <v>429</v>
      </c>
      <c r="B1332" t="s">
        <v>428</v>
      </c>
      <c r="C1332" t="s">
        <v>427</v>
      </c>
      <c r="D1332" s="1">
        <v>45820</v>
      </c>
      <c r="E1332" t="s">
        <v>68</v>
      </c>
      <c r="F1332" t="s">
        <v>278</v>
      </c>
      <c r="G1332" t="s">
        <v>123</v>
      </c>
      <c r="H1332" t="s">
        <v>29</v>
      </c>
      <c r="I1332" t="s">
        <v>28</v>
      </c>
      <c r="J1332" t="s">
        <v>14</v>
      </c>
      <c r="K1332" t="s">
        <v>13</v>
      </c>
      <c r="L1332" t="s">
        <v>117</v>
      </c>
      <c r="M1332" t="s">
        <v>53</v>
      </c>
      <c r="N1332" t="s">
        <v>116</v>
      </c>
      <c r="O1332" t="s">
        <v>199</v>
      </c>
      <c r="P1332" t="s">
        <v>63</v>
      </c>
      <c r="Q1332" t="s">
        <v>100</v>
      </c>
      <c r="R1332" t="s">
        <v>38</v>
      </c>
      <c r="S1332">
        <v>5</v>
      </c>
      <c r="T1332">
        <v>5</v>
      </c>
      <c r="U1332">
        <v>189</v>
      </c>
      <c r="V1332" t="s">
        <v>0</v>
      </c>
      <c r="W1332" t="s">
        <v>5</v>
      </c>
      <c r="X1332" t="s">
        <v>5</v>
      </c>
      <c r="Y1332" t="s">
        <v>410</v>
      </c>
      <c r="Z1332" t="s">
        <v>0</v>
      </c>
      <c r="AA1332">
        <v>0</v>
      </c>
      <c r="AB1332">
        <v>0</v>
      </c>
      <c r="AC1332">
        <v>0</v>
      </c>
      <c r="AD1332" t="s">
        <v>187</v>
      </c>
      <c r="AE1332" t="s">
        <v>5</v>
      </c>
      <c r="AF1332" t="s">
        <v>187</v>
      </c>
      <c r="AG1332" t="s">
        <v>36</v>
      </c>
      <c r="AH1332">
        <v>17</v>
      </c>
      <c r="AI1332" t="s">
        <v>23</v>
      </c>
      <c r="AJ1332">
        <v>5</v>
      </c>
      <c r="AK1332">
        <v>4</v>
      </c>
      <c r="AL1332">
        <v>0</v>
      </c>
      <c r="AM1332" t="s">
        <v>0</v>
      </c>
      <c r="AN1332">
        <v>1</v>
      </c>
      <c r="AO1332">
        <v>0</v>
      </c>
      <c r="AP1332">
        <v>1</v>
      </c>
      <c r="AQ1332">
        <v>0</v>
      </c>
    </row>
    <row r="1333" spans="1:43" x14ac:dyDescent="0.25">
      <c r="A1333" t="s">
        <v>426</v>
      </c>
      <c r="B1333" t="s">
        <v>425</v>
      </c>
      <c r="C1333" t="s">
        <v>424</v>
      </c>
      <c r="D1333" s="1">
        <v>45916</v>
      </c>
      <c r="E1333" t="s">
        <v>149</v>
      </c>
      <c r="F1333" t="s">
        <v>148</v>
      </c>
      <c r="G1333" t="s">
        <v>56</v>
      </c>
      <c r="H1333" t="s">
        <v>16</v>
      </c>
      <c r="I1333" t="s">
        <v>15</v>
      </c>
      <c r="J1333" t="s">
        <v>14</v>
      </c>
      <c r="K1333" t="s">
        <v>13</v>
      </c>
      <c r="L1333" t="s">
        <v>88</v>
      </c>
      <c r="M1333" t="s">
        <v>11</v>
      </c>
      <c r="N1333" t="s">
        <v>93</v>
      </c>
      <c r="O1333" t="s">
        <v>26</v>
      </c>
      <c r="P1333" t="s">
        <v>39</v>
      </c>
      <c r="Q1333" t="s">
        <v>7</v>
      </c>
      <c r="R1333" t="s">
        <v>6</v>
      </c>
      <c r="S1333">
        <v>4</v>
      </c>
      <c r="T1333">
        <v>4</v>
      </c>
      <c r="U1333">
        <v>123</v>
      </c>
      <c r="V1333" t="s">
        <v>0</v>
      </c>
      <c r="W1333" t="s">
        <v>5</v>
      </c>
      <c r="X1333" t="s">
        <v>5</v>
      </c>
      <c r="Y1333" t="s">
        <v>355</v>
      </c>
      <c r="Z1333" t="s">
        <v>5</v>
      </c>
      <c r="AA1333">
        <v>198.41</v>
      </c>
      <c r="AB1333">
        <v>0.2</v>
      </c>
      <c r="AC1333">
        <v>0</v>
      </c>
      <c r="AD1333" t="s">
        <v>3</v>
      </c>
      <c r="AE1333" t="s">
        <v>0</v>
      </c>
      <c r="AF1333" t="s">
        <v>3</v>
      </c>
      <c r="AG1333" t="s">
        <v>2</v>
      </c>
      <c r="AI1333" t="s">
        <v>23</v>
      </c>
      <c r="AJ1333">
        <v>4</v>
      </c>
      <c r="AK1333">
        <v>-20</v>
      </c>
      <c r="AL1333">
        <v>10</v>
      </c>
      <c r="AM1333" t="s">
        <v>5</v>
      </c>
      <c r="AN1333">
        <v>1</v>
      </c>
      <c r="AO1333">
        <v>1</v>
      </c>
      <c r="AP1333">
        <v>1</v>
      </c>
      <c r="AQ1333">
        <v>1</v>
      </c>
    </row>
    <row r="1334" spans="1:43" x14ac:dyDescent="0.25">
      <c r="A1334" t="s">
        <v>423</v>
      </c>
      <c r="B1334" t="s">
        <v>422</v>
      </c>
      <c r="C1334" t="s">
        <v>421</v>
      </c>
      <c r="D1334" s="1">
        <v>46199</v>
      </c>
      <c r="E1334" t="s">
        <v>32</v>
      </c>
      <c r="F1334" t="s">
        <v>356</v>
      </c>
      <c r="G1334" t="s">
        <v>56</v>
      </c>
      <c r="H1334" t="s">
        <v>29</v>
      </c>
      <c r="I1334" t="s">
        <v>15</v>
      </c>
      <c r="J1334" t="s">
        <v>14</v>
      </c>
      <c r="K1334" t="s">
        <v>13</v>
      </c>
      <c r="L1334" t="s">
        <v>12</v>
      </c>
      <c r="M1334" t="s">
        <v>11</v>
      </c>
      <c r="N1334" t="s">
        <v>269</v>
      </c>
      <c r="O1334" t="s">
        <v>26</v>
      </c>
      <c r="P1334" t="s">
        <v>39</v>
      </c>
      <c r="Q1334" t="s">
        <v>7</v>
      </c>
      <c r="R1334" t="s">
        <v>6</v>
      </c>
      <c r="S1334">
        <v>4</v>
      </c>
      <c r="T1334">
        <v>2</v>
      </c>
      <c r="U1334">
        <v>177</v>
      </c>
      <c r="V1334" t="s">
        <v>5</v>
      </c>
      <c r="W1334" t="s">
        <v>5</v>
      </c>
      <c r="X1334" t="s">
        <v>0</v>
      </c>
      <c r="Y1334" t="s">
        <v>4</v>
      </c>
      <c r="Z1334" t="s">
        <v>5</v>
      </c>
      <c r="AA1334">
        <v>77.27</v>
      </c>
      <c r="AB1334">
        <v>0.22</v>
      </c>
      <c r="AC1334">
        <v>0</v>
      </c>
      <c r="AD1334" t="s">
        <v>3</v>
      </c>
      <c r="AE1334" t="s">
        <v>0</v>
      </c>
      <c r="AF1334" t="s">
        <v>3</v>
      </c>
      <c r="AG1334" t="s">
        <v>2</v>
      </c>
      <c r="AI1334" t="s">
        <v>23</v>
      </c>
      <c r="AJ1334">
        <v>3</v>
      </c>
      <c r="AK1334">
        <v>8</v>
      </c>
      <c r="AL1334" t="s">
        <v>420</v>
      </c>
      <c r="AM1334" t="s">
        <v>5</v>
      </c>
      <c r="AN1334">
        <v>1</v>
      </c>
      <c r="AO1334">
        <v>1</v>
      </c>
      <c r="AP1334">
        <v>0</v>
      </c>
      <c r="AQ1334">
        <v>1</v>
      </c>
    </row>
    <row r="1335" spans="1:43" x14ac:dyDescent="0.25">
      <c r="A1335" t="s">
        <v>419</v>
      </c>
      <c r="B1335" t="s">
        <v>418</v>
      </c>
      <c r="C1335" t="s">
        <v>417</v>
      </c>
      <c r="D1335" s="1">
        <v>45949</v>
      </c>
      <c r="E1335" t="s">
        <v>162</v>
      </c>
      <c r="F1335" t="s">
        <v>200</v>
      </c>
      <c r="G1335" t="s">
        <v>17</v>
      </c>
      <c r="H1335" t="s">
        <v>77</v>
      </c>
      <c r="I1335" t="s">
        <v>15</v>
      </c>
      <c r="J1335" t="s">
        <v>55</v>
      </c>
      <c r="K1335" t="s">
        <v>54</v>
      </c>
      <c r="L1335" t="s">
        <v>12</v>
      </c>
      <c r="M1335" t="s">
        <v>11</v>
      </c>
      <c r="N1335" t="s">
        <v>41</v>
      </c>
      <c r="O1335" t="s">
        <v>26</v>
      </c>
      <c r="P1335" t="s">
        <v>63</v>
      </c>
      <c r="Q1335" t="s">
        <v>24</v>
      </c>
      <c r="R1335" t="s">
        <v>6</v>
      </c>
      <c r="S1335">
        <v>4</v>
      </c>
      <c r="T1335">
        <v>4</v>
      </c>
      <c r="U1335">
        <v>122</v>
      </c>
      <c r="V1335" t="s">
        <v>0</v>
      </c>
      <c r="W1335" t="s">
        <v>0</v>
      </c>
      <c r="X1335" t="s">
        <v>0</v>
      </c>
      <c r="Y1335" t="s">
        <v>4</v>
      </c>
      <c r="Z1335" t="s">
        <v>0</v>
      </c>
      <c r="AA1335">
        <v>0</v>
      </c>
      <c r="AB1335">
        <v>0</v>
      </c>
      <c r="AC1335">
        <v>0</v>
      </c>
      <c r="AD1335" t="s">
        <v>3</v>
      </c>
      <c r="AE1335" t="s">
        <v>0</v>
      </c>
      <c r="AF1335" t="s">
        <v>3</v>
      </c>
      <c r="AG1335" t="s">
        <v>2</v>
      </c>
      <c r="AI1335" t="s">
        <v>23</v>
      </c>
      <c r="AJ1335">
        <v>4</v>
      </c>
      <c r="AK1335">
        <v>27</v>
      </c>
      <c r="AL1335">
        <v>0</v>
      </c>
      <c r="AM1335" t="s">
        <v>5</v>
      </c>
      <c r="AN1335">
        <v>0</v>
      </c>
      <c r="AO1335">
        <v>0</v>
      </c>
      <c r="AP1335">
        <v>0</v>
      </c>
      <c r="AQ1335">
        <v>1</v>
      </c>
    </row>
    <row r="1336" spans="1:43" x14ac:dyDescent="0.25">
      <c r="A1336" t="s">
        <v>416</v>
      </c>
      <c r="B1336" t="s">
        <v>415</v>
      </c>
      <c r="C1336" t="s">
        <v>414</v>
      </c>
      <c r="D1336" s="1">
        <v>46087</v>
      </c>
      <c r="E1336" t="s">
        <v>125</v>
      </c>
      <c r="F1336" t="s">
        <v>140</v>
      </c>
      <c r="G1336" t="s">
        <v>131</v>
      </c>
      <c r="H1336" t="s">
        <v>16</v>
      </c>
      <c r="I1336" t="s">
        <v>15</v>
      </c>
      <c r="J1336" t="s">
        <v>146</v>
      </c>
      <c r="K1336" t="s">
        <v>145</v>
      </c>
      <c r="L1336" t="s">
        <v>64</v>
      </c>
      <c r="M1336" t="s">
        <v>11</v>
      </c>
      <c r="N1336" t="s">
        <v>75</v>
      </c>
      <c r="O1336" t="s">
        <v>101</v>
      </c>
      <c r="P1336" t="s">
        <v>63</v>
      </c>
      <c r="Q1336" t="s">
        <v>7</v>
      </c>
      <c r="R1336" t="s">
        <v>6</v>
      </c>
      <c r="S1336">
        <v>4</v>
      </c>
      <c r="T1336">
        <v>4</v>
      </c>
      <c r="U1336">
        <v>121</v>
      </c>
      <c r="V1336" t="s">
        <v>0</v>
      </c>
      <c r="W1336" t="s">
        <v>0</v>
      </c>
      <c r="X1336" t="s">
        <v>0</v>
      </c>
      <c r="Y1336" t="s">
        <v>4</v>
      </c>
      <c r="Z1336" t="s">
        <v>0</v>
      </c>
      <c r="AA1336">
        <v>0</v>
      </c>
      <c r="AB1336">
        <v>0</v>
      </c>
      <c r="AC1336">
        <v>0</v>
      </c>
      <c r="AD1336" t="s">
        <v>3</v>
      </c>
      <c r="AE1336" t="s">
        <v>0</v>
      </c>
      <c r="AF1336" t="s">
        <v>3</v>
      </c>
      <c r="AG1336" t="s">
        <v>2</v>
      </c>
      <c r="AI1336" t="s">
        <v>332</v>
      </c>
      <c r="AJ1336">
        <v>4</v>
      </c>
      <c r="AK1336">
        <v>54</v>
      </c>
      <c r="AL1336">
        <v>0</v>
      </c>
      <c r="AM1336" t="s">
        <v>5</v>
      </c>
      <c r="AN1336">
        <v>0</v>
      </c>
      <c r="AO1336">
        <v>0</v>
      </c>
      <c r="AP1336">
        <v>0</v>
      </c>
      <c r="AQ1336">
        <v>1</v>
      </c>
    </row>
    <row r="1337" spans="1:43" x14ac:dyDescent="0.25">
      <c r="A1337" t="s">
        <v>413</v>
      </c>
      <c r="B1337" t="s">
        <v>412</v>
      </c>
      <c r="C1337" t="s">
        <v>411</v>
      </c>
      <c r="D1337" s="1">
        <v>46163</v>
      </c>
      <c r="E1337" t="s">
        <v>95</v>
      </c>
      <c r="F1337" t="s">
        <v>118</v>
      </c>
      <c r="G1337" t="s">
        <v>131</v>
      </c>
      <c r="H1337" t="s">
        <v>66</v>
      </c>
      <c r="I1337" t="s">
        <v>15</v>
      </c>
      <c r="J1337" t="s">
        <v>146</v>
      </c>
      <c r="K1337" t="s">
        <v>176</v>
      </c>
      <c r="L1337" t="s">
        <v>88</v>
      </c>
      <c r="M1337" t="s">
        <v>11</v>
      </c>
      <c r="N1337" t="s">
        <v>93</v>
      </c>
      <c r="O1337" t="s">
        <v>199</v>
      </c>
      <c r="P1337" t="s">
        <v>25</v>
      </c>
      <c r="Q1337" t="s">
        <v>198</v>
      </c>
      <c r="R1337" t="s">
        <v>6</v>
      </c>
      <c r="S1337">
        <v>5</v>
      </c>
      <c r="T1337">
        <v>5</v>
      </c>
      <c r="U1337">
        <v>180</v>
      </c>
      <c r="V1337" t="s">
        <v>0</v>
      </c>
      <c r="W1337" t="s">
        <v>0</v>
      </c>
      <c r="X1337" t="s">
        <v>5</v>
      </c>
      <c r="Y1337" t="s">
        <v>410</v>
      </c>
      <c r="Z1337" t="s">
        <v>5</v>
      </c>
      <c r="AA1337">
        <v>21.3</v>
      </c>
      <c r="AB1337">
        <v>0</v>
      </c>
      <c r="AC1337">
        <v>0</v>
      </c>
      <c r="AD1337" t="s">
        <v>3</v>
      </c>
      <c r="AE1337" t="s">
        <v>0</v>
      </c>
      <c r="AF1337" t="s">
        <v>3</v>
      </c>
      <c r="AG1337" t="s">
        <v>2</v>
      </c>
      <c r="AI1337" t="s">
        <v>122</v>
      </c>
      <c r="AJ1337">
        <v>4</v>
      </c>
      <c r="AK1337">
        <v>7</v>
      </c>
      <c r="AL1337">
        <v>1</v>
      </c>
      <c r="AM1337" t="s">
        <v>5</v>
      </c>
      <c r="AN1337">
        <v>0</v>
      </c>
      <c r="AO1337">
        <v>1</v>
      </c>
      <c r="AP1337">
        <v>1</v>
      </c>
      <c r="AQ1337">
        <v>1</v>
      </c>
    </row>
    <row r="1338" spans="1:43" x14ac:dyDescent="0.25">
      <c r="A1338" t="s">
        <v>409</v>
      </c>
      <c r="B1338" t="s">
        <v>408</v>
      </c>
      <c r="C1338" t="s">
        <v>407</v>
      </c>
      <c r="D1338" s="1">
        <v>45951</v>
      </c>
      <c r="E1338" t="s">
        <v>125</v>
      </c>
      <c r="F1338" t="s">
        <v>265</v>
      </c>
      <c r="G1338" t="s">
        <v>110</v>
      </c>
      <c r="H1338" t="s">
        <v>66</v>
      </c>
      <c r="I1338" t="s">
        <v>15</v>
      </c>
      <c r="J1338" t="s">
        <v>146</v>
      </c>
      <c r="K1338" t="s">
        <v>145</v>
      </c>
      <c r="L1338" t="s">
        <v>42</v>
      </c>
      <c r="M1338" t="s">
        <v>11</v>
      </c>
      <c r="N1338" t="s">
        <v>269</v>
      </c>
      <c r="O1338" t="s">
        <v>74</v>
      </c>
      <c r="P1338" t="s">
        <v>39</v>
      </c>
      <c r="Q1338" t="s">
        <v>50</v>
      </c>
      <c r="R1338" t="s">
        <v>38</v>
      </c>
      <c r="S1338" t="s">
        <v>205</v>
      </c>
      <c r="T1338" t="s">
        <v>99</v>
      </c>
      <c r="U1338">
        <v>239</v>
      </c>
      <c r="V1338" t="s">
        <v>5</v>
      </c>
      <c r="W1338" t="s">
        <v>0</v>
      </c>
      <c r="X1338" t="s">
        <v>0</v>
      </c>
      <c r="Y1338" t="s">
        <v>4</v>
      </c>
      <c r="Z1338" t="s">
        <v>5</v>
      </c>
      <c r="AA1338">
        <v>7.91</v>
      </c>
      <c r="AB1338">
        <v>0</v>
      </c>
      <c r="AC1338">
        <v>0</v>
      </c>
      <c r="AD1338" t="s">
        <v>3</v>
      </c>
      <c r="AE1338" t="s">
        <v>0</v>
      </c>
      <c r="AF1338" t="s">
        <v>3</v>
      </c>
      <c r="AG1338" t="s">
        <v>2</v>
      </c>
      <c r="AI1338" t="s">
        <v>1</v>
      </c>
      <c r="AJ1338">
        <v>3</v>
      </c>
      <c r="AK1338">
        <v>0</v>
      </c>
      <c r="AL1338">
        <v>36</v>
      </c>
      <c r="AM1338" t="s">
        <v>0</v>
      </c>
      <c r="AN1338">
        <v>0</v>
      </c>
      <c r="AO1338">
        <v>1</v>
      </c>
      <c r="AP1338">
        <v>0</v>
      </c>
      <c r="AQ1338">
        <v>0</v>
      </c>
    </row>
    <row r="1339" spans="1:43" x14ac:dyDescent="0.25">
      <c r="A1339" t="s">
        <v>406</v>
      </c>
      <c r="B1339" t="s">
        <v>405</v>
      </c>
      <c r="C1339" t="s">
        <v>404</v>
      </c>
      <c r="D1339" s="1">
        <v>45751</v>
      </c>
      <c r="E1339" t="s">
        <v>79</v>
      </c>
      <c r="F1339" t="s">
        <v>102</v>
      </c>
      <c r="G1339" t="s">
        <v>17</v>
      </c>
      <c r="H1339" t="s">
        <v>16</v>
      </c>
      <c r="I1339" t="s">
        <v>15</v>
      </c>
      <c r="J1339" t="s">
        <v>55</v>
      </c>
      <c r="K1339" t="s">
        <v>54</v>
      </c>
      <c r="L1339" t="s">
        <v>42</v>
      </c>
      <c r="M1339" t="s">
        <v>299</v>
      </c>
      <c r="N1339" t="s">
        <v>93</v>
      </c>
      <c r="O1339" t="s">
        <v>199</v>
      </c>
      <c r="P1339" t="s">
        <v>63</v>
      </c>
      <c r="Q1339" t="s">
        <v>198</v>
      </c>
      <c r="R1339" t="s">
        <v>38</v>
      </c>
      <c r="S1339">
        <v>5</v>
      </c>
      <c r="T1339" t="s">
        <v>277</v>
      </c>
      <c r="U1339">
        <v>209</v>
      </c>
      <c r="V1339" t="s">
        <v>0</v>
      </c>
      <c r="W1339" t="s">
        <v>0</v>
      </c>
      <c r="X1339" t="s">
        <v>5</v>
      </c>
      <c r="Y1339" t="s">
        <v>282</v>
      </c>
      <c r="Z1339" t="s">
        <v>0</v>
      </c>
      <c r="AA1339">
        <v>0</v>
      </c>
      <c r="AB1339">
        <v>0</v>
      </c>
      <c r="AC1339">
        <v>0</v>
      </c>
      <c r="AD1339" t="s">
        <v>3</v>
      </c>
      <c r="AE1339" t="s">
        <v>0</v>
      </c>
      <c r="AF1339" t="s">
        <v>3</v>
      </c>
      <c r="AG1339" t="s">
        <v>2</v>
      </c>
      <c r="AI1339" t="s">
        <v>122</v>
      </c>
      <c r="AJ1339">
        <v>2</v>
      </c>
      <c r="AK1339">
        <v>4</v>
      </c>
      <c r="AL1339">
        <v>0</v>
      </c>
      <c r="AM1339" t="s">
        <v>5</v>
      </c>
      <c r="AN1339">
        <v>0</v>
      </c>
      <c r="AO1339">
        <v>0</v>
      </c>
      <c r="AP1339">
        <v>1</v>
      </c>
      <c r="AQ1339">
        <v>1</v>
      </c>
    </row>
    <row r="1340" spans="1:43" x14ac:dyDescent="0.25">
      <c r="A1340" t="s">
        <v>403</v>
      </c>
      <c r="B1340" t="s">
        <v>402</v>
      </c>
      <c r="C1340" t="s">
        <v>401</v>
      </c>
      <c r="D1340" s="1">
        <v>45664</v>
      </c>
      <c r="E1340" t="s">
        <v>162</v>
      </c>
      <c r="F1340" t="s">
        <v>161</v>
      </c>
      <c r="G1340" t="s">
        <v>131</v>
      </c>
      <c r="H1340" t="s">
        <v>29</v>
      </c>
      <c r="I1340" t="s">
        <v>28</v>
      </c>
      <c r="J1340" t="s">
        <v>146</v>
      </c>
      <c r="K1340" t="s">
        <v>176</v>
      </c>
      <c r="L1340" t="s">
        <v>42</v>
      </c>
      <c r="M1340" t="s">
        <v>11</v>
      </c>
      <c r="N1340" t="s">
        <v>75</v>
      </c>
      <c r="O1340" t="s">
        <v>51</v>
      </c>
      <c r="P1340" t="s">
        <v>39</v>
      </c>
      <c r="Q1340" t="s">
        <v>7</v>
      </c>
      <c r="R1340" t="s">
        <v>6</v>
      </c>
      <c r="S1340">
        <v>6</v>
      </c>
      <c r="T1340">
        <v>6</v>
      </c>
      <c r="U1340">
        <v>180</v>
      </c>
      <c r="V1340" t="s">
        <v>0</v>
      </c>
      <c r="W1340" t="s">
        <v>5</v>
      </c>
      <c r="X1340" t="s">
        <v>0</v>
      </c>
      <c r="Y1340" t="s">
        <v>4</v>
      </c>
      <c r="Z1340" t="s">
        <v>5</v>
      </c>
      <c r="AA1340">
        <v>33.69</v>
      </c>
      <c r="AB1340">
        <v>0.11</v>
      </c>
      <c r="AC1340">
        <v>0</v>
      </c>
      <c r="AD1340" t="s">
        <v>3</v>
      </c>
      <c r="AE1340" t="s">
        <v>0</v>
      </c>
      <c r="AF1340" t="s">
        <v>3</v>
      </c>
      <c r="AG1340" t="s">
        <v>2</v>
      </c>
      <c r="AI1340" t="s">
        <v>23</v>
      </c>
      <c r="AJ1340">
        <v>3</v>
      </c>
      <c r="AK1340">
        <v>13</v>
      </c>
      <c r="AL1340">
        <v>33</v>
      </c>
      <c r="AM1340" t="s">
        <v>5</v>
      </c>
      <c r="AN1340">
        <v>1</v>
      </c>
      <c r="AO1340">
        <v>1</v>
      </c>
      <c r="AP1340">
        <v>0</v>
      </c>
      <c r="AQ1340">
        <v>1</v>
      </c>
    </row>
    <row r="1341" spans="1:43" x14ac:dyDescent="0.25">
      <c r="A1341" t="s">
        <v>400</v>
      </c>
      <c r="B1341" t="s">
        <v>399</v>
      </c>
      <c r="C1341" t="s">
        <v>398</v>
      </c>
      <c r="D1341" s="1">
        <v>45888</v>
      </c>
      <c r="E1341" t="s">
        <v>19</v>
      </c>
      <c r="F1341" t="s">
        <v>255</v>
      </c>
      <c r="G1341" t="s">
        <v>30</v>
      </c>
      <c r="H1341" t="s">
        <v>43</v>
      </c>
      <c r="I1341" t="s">
        <v>15</v>
      </c>
      <c r="J1341" t="s">
        <v>55</v>
      </c>
      <c r="K1341" t="s">
        <v>54</v>
      </c>
      <c r="L1341" t="s">
        <v>117</v>
      </c>
      <c r="M1341" t="s">
        <v>11</v>
      </c>
      <c r="N1341" t="s">
        <v>52</v>
      </c>
      <c r="O1341" t="s">
        <v>9</v>
      </c>
      <c r="P1341" t="s">
        <v>39</v>
      </c>
      <c r="Q1341" t="s">
        <v>7</v>
      </c>
      <c r="R1341" t="s">
        <v>6</v>
      </c>
      <c r="S1341">
        <v>7</v>
      </c>
      <c r="T1341">
        <v>7</v>
      </c>
      <c r="U1341">
        <v>162</v>
      </c>
      <c r="V1341" t="s">
        <v>0</v>
      </c>
      <c r="W1341" t="s">
        <v>5</v>
      </c>
      <c r="X1341" t="s">
        <v>0</v>
      </c>
      <c r="Y1341" t="s">
        <v>4</v>
      </c>
      <c r="Z1341" t="s">
        <v>5</v>
      </c>
      <c r="AA1341">
        <v>9.39</v>
      </c>
      <c r="AB1341">
        <v>0</v>
      </c>
      <c r="AC1341">
        <v>0</v>
      </c>
      <c r="AD1341" t="s">
        <v>3</v>
      </c>
      <c r="AE1341" t="s">
        <v>0</v>
      </c>
      <c r="AF1341" t="s">
        <v>3</v>
      </c>
      <c r="AG1341" t="s">
        <v>2</v>
      </c>
      <c r="AI1341" t="s">
        <v>23</v>
      </c>
      <c r="AJ1341">
        <v>4</v>
      </c>
      <c r="AK1341">
        <v>35</v>
      </c>
      <c r="AL1341">
        <v>7</v>
      </c>
      <c r="AM1341" t="s">
        <v>0</v>
      </c>
      <c r="AN1341">
        <v>1</v>
      </c>
      <c r="AO1341">
        <v>1</v>
      </c>
      <c r="AP1341">
        <v>0</v>
      </c>
      <c r="AQ1341">
        <v>0</v>
      </c>
    </row>
    <row r="1342" spans="1:43" x14ac:dyDescent="0.25">
      <c r="A1342" t="s">
        <v>397</v>
      </c>
      <c r="B1342" t="s">
        <v>396</v>
      </c>
      <c r="C1342" t="s">
        <v>395</v>
      </c>
      <c r="D1342" s="1">
        <v>45746</v>
      </c>
      <c r="E1342" t="s">
        <v>168</v>
      </c>
      <c r="F1342" t="s">
        <v>283</v>
      </c>
      <c r="G1342" t="s">
        <v>30</v>
      </c>
      <c r="H1342" t="s">
        <v>77</v>
      </c>
      <c r="I1342" t="s">
        <v>28</v>
      </c>
      <c r="J1342" t="s">
        <v>55</v>
      </c>
      <c r="K1342" t="s">
        <v>54</v>
      </c>
      <c r="L1342" t="s">
        <v>42</v>
      </c>
      <c r="M1342" t="s">
        <v>11</v>
      </c>
      <c r="N1342" t="s">
        <v>93</v>
      </c>
      <c r="O1342" t="s">
        <v>26</v>
      </c>
      <c r="P1342" t="s">
        <v>63</v>
      </c>
      <c r="Q1342" t="s">
        <v>50</v>
      </c>
      <c r="R1342" t="s">
        <v>38</v>
      </c>
      <c r="S1342">
        <v>4</v>
      </c>
      <c r="T1342">
        <v>4</v>
      </c>
      <c r="U1342">
        <v>112</v>
      </c>
      <c r="V1342" t="s">
        <v>0</v>
      </c>
      <c r="W1342" t="s">
        <v>5</v>
      </c>
      <c r="X1342" t="s">
        <v>0</v>
      </c>
      <c r="Y1342" t="s">
        <v>4</v>
      </c>
      <c r="Z1342" t="s">
        <v>5</v>
      </c>
      <c r="AA1342">
        <v>175.52</v>
      </c>
      <c r="AB1342">
        <v>0.19</v>
      </c>
      <c r="AC1342">
        <v>0</v>
      </c>
      <c r="AD1342" t="s">
        <v>3</v>
      </c>
      <c r="AE1342" t="s">
        <v>0</v>
      </c>
      <c r="AF1342" t="s">
        <v>3</v>
      </c>
      <c r="AG1342" t="s">
        <v>2</v>
      </c>
      <c r="AI1342" t="s">
        <v>23</v>
      </c>
      <c r="AJ1342">
        <v>4</v>
      </c>
      <c r="AK1342">
        <v>63</v>
      </c>
      <c r="AL1342">
        <v>0</v>
      </c>
      <c r="AM1342" t="s">
        <v>5</v>
      </c>
      <c r="AN1342">
        <v>1</v>
      </c>
      <c r="AO1342">
        <v>1</v>
      </c>
      <c r="AP1342">
        <v>0</v>
      </c>
      <c r="AQ1342">
        <v>1</v>
      </c>
    </row>
    <row r="1343" spans="1:43" x14ac:dyDescent="0.25">
      <c r="A1343" t="s">
        <v>394</v>
      </c>
      <c r="B1343" t="s">
        <v>393</v>
      </c>
      <c r="C1343" t="s">
        <v>392</v>
      </c>
      <c r="D1343" s="1">
        <v>45758</v>
      </c>
      <c r="E1343" t="s">
        <v>168</v>
      </c>
      <c r="F1343" t="s">
        <v>283</v>
      </c>
      <c r="G1343" t="s">
        <v>247</v>
      </c>
      <c r="H1343" t="s">
        <v>77</v>
      </c>
      <c r="I1343" t="s">
        <v>28</v>
      </c>
      <c r="J1343" t="s">
        <v>55</v>
      </c>
      <c r="K1343" t="s">
        <v>54</v>
      </c>
      <c r="L1343" t="s">
        <v>117</v>
      </c>
      <c r="M1343" t="s">
        <v>11</v>
      </c>
      <c r="N1343" t="s">
        <v>10</v>
      </c>
      <c r="O1343" t="s">
        <v>9</v>
      </c>
      <c r="P1343" t="s">
        <v>39</v>
      </c>
      <c r="Q1343" t="s">
        <v>100</v>
      </c>
      <c r="R1343" t="s">
        <v>6</v>
      </c>
      <c r="S1343">
        <v>7</v>
      </c>
      <c r="T1343">
        <v>4</v>
      </c>
      <c r="U1343">
        <v>303</v>
      </c>
      <c r="V1343" t="s">
        <v>5</v>
      </c>
      <c r="W1343" t="s">
        <v>0</v>
      </c>
      <c r="X1343" t="s">
        <v>0</v>
      </c>
      <c r="Y1343" t="s">
        <v>4</v>
      </c>
      <c r="Z1343" t="s">
        <v>5</v>
      </c>
      <c r="AA1343">
        <v>28.4</v>
      </c>
      <c r="AB1343">
        <v>0</v>
      </c>
      <c r="AC1343">
        <v>0</v>
      </c>
      <c r="AD1343" t="s">
        <v>3</v>
      </c>
      <c r="AE1343" t="s">
        <v>0</v>
      </c>
      <c r="AF1343" t="s">
        <v>3</v>
      </c>
      <c r="AG1343" t="s">
        <v>2</v>
      </c>
      <c r="AI1343" t="s">
        <v>1</v>
      </c>
      <c r="AJ1343">
        <v>2</v>
      </c>
      <c r="AK1343">
        <v>-22</v>
      </c>
      <c r="AL1343">
        <v>37</v>
      </c>
      <c r="AM1343" t="s">
        <v>0</v>
      </c>
      <c r="AN1343">
        <v>0</v>
      </c>
      <c r="AO1343">
        <v>1</v>
      </c>
      <c r="AP1343">
        <v>0</v>
      </c>
      <c r="AQ1343">
        <v>0</v>
      </c>
    </row>
    <row r="1344" spans="1:43" x14ac:dyDescent="0.25">
      <c r="A1344" t="s">
        <v>391</v>
      </c>
      <c r="B1344" t="s">
        <v>390</v>
      </c>
      <c r="C1344" t="s">
        <v>389</v>
      </c>
      <c r="D1344" s="1">
        <v>45887</v>
      </c>
      <c r="E1344" t="s">
        <v>95</v>
      </c>
      <c r="F1344" t="s">
        <v>338</v>
      </c>
      <c r="G1344" t="s">
        <v>56</v>
      </c>
      <c r="H1344" t="s">
        <v>77</v>
      </c>
      <c r="I1344" t="s">
        <v>15</v>
      </c>
      <c r="J1344" t="s">
        <v>55</v>
      </c>
      <c r="K1344" t="s">
        <v>54</v>
      </c>
      <c r="L1344" t="s">
        <v>88</v>
      </c>
      <c r="M1344" t="s">
        <v>11</v>
      </c>
      <c r="N1344" t="s">
        <v>52</v>
      </c>
      <c r="O1344" t="s">
        <v>87</v>
      </c>
      <c r="P1344" t="s">
        <v>39</v>
      </c>
      <c r="Q1344" t="s">
        <v>24</v>
      </c>
      <c r="R1344" t="s">
        <v>38</v>
      </c>
      <c r="S1344">
        <v>5</v>
      </c>
      <c r="T1344">
        <v>5</v>
      </c>
      <c r="U1344">
        <v>135</v>
      </c>
      <c r="V1344" t="s">
        <v>0</v>
      </c>
      <c r="W1344" t="s">
        <v>5</v>
      </c>
      <c r="X1344" t="s">
        <v>0</v>
      </c>
      <c r="Y1344" t="s">
        <v>4</v>
      </c>
      <c r="Z1344" t="s">
        <v>0</v>
      </c>
      <c r="AA1344">
        <v>0</v>
      </c>
      <c r="AB1344">
        <v>0</v>
      </c>
      <c r="AC1344">
        <v>0</v>
      </c>
      <c r="AD1344" t="s">
        <v>3</v>
      </c>
      <c r="AE1344" t="s">
        <v>0</v>
      </c>
      <c r="AF1344" t="s">
        <v>3</v>
      </c>
      <c r="AG1344" t="s">
        <v>2</v>
      </c>
      <c r="AI1344" t="s">
        <v>23</v>
      </c>
      <c r="AJ1344">
        <v>5</v>
      </c>
      <c r="AK1344">
        <v>43</v>
      </c>
      <c r="AL1344">
        <v>22</v>
      </c>
      <c r="AM1344" t="s">
        <v>5</v>
      </c>
      <c r="AN1344">
        <v>1</v>
      </c>
      <c r="AO1344">
        <v>0</v>
      </c>
      <c r="AP1344">
        <v>0</v>
      </c>
      <c r="AQ1344">
        <v>1</v>
      </c>
    </row>
    <row r="1345" spans="1:43" x14ac:dyDescent="0.25">
      <c r="A1345" t="s">
        <v>388</v>
      </c>
      <c r="B1345" t="s">
        <v>387</v>
      </c>
      <c r="C1345" t="s">
        <v>386</v>
      </c>
      <c r="D1345" s="1">
        <v>46040</v>
      </c>
      <c r="E1345" t="s">
        <v>45</v>
      </c>
      <c r="F1345" t="s">
        <v>57</v>
      </c>
      <c r="G1345" t="s">
        <v>30</v>
      </c>
      <c r="H1345" t="s">
        <v>16</v>
      </c>
      <c r="I1345" t="s">
        <v>28</v>
      </c>
      <c r="J1345" t="s">
        <v>14</v>
      </c>
      <c r="K1345" t="s">
        <v>13</v>
      </c>
      <c r="L1345" t="s">
        <v>12</v>
      </c>
      <c r="M1345" t="s">
        <v>11</v>
      </c>
      <c r="N1345" t="s">
        <v>10</v>
      </c>
      <c r="O1345" t="s">
        <v>193</v>
      </c>
      <c r="P1345" t="s">
        <v>8</v>
      </c>
      <c r="Q1345" t="s">
        <v>198</v>
      </c>
      <c r="R1345" t="s">
        <v>38</v>
      </c>
      <c r="S1345">
        <v>9</v>
      </c>
      <c r="T1345">
        <v>9</v>
      </c>
      <c r="U1345">
        <v>277</v>
      </c>
      <c r="V1345" t="s">
        <v>0</v>
      </c>
      <c r="W1345" t="s">
        <v>0</v>
      </c>
      <c r="X1345" t="s">
        <v>0</v>
      </c>
      <c r="Y1345" t="s">
        <v>4</v>
      </c>
      <c r="Z1345" t="s">
        <v>0</v>
      </c>
      <c r="AA1345">
        <v>0</v>
      </c>
      <c r="AB1345">
        <v>0</v>
      </c>
      <c r="AC1345">
        <v>0</v>
      </c>
      <c r="AD1345" t="s">
        <v>3</v>
      </c>
      <c r="AE1345" t="s">
        <v>0</v>
      </c>
      <c r="AF1345" t="s">
        <v>3</v>
      </c>
      <c r="AG1345" t="s">
        <v>2</v>
      </c>
      <c r="AI1345" t="s">
        <v>23</v>
      </c>
      <c r="AJ1345">
        <v>3</v>
      </c>
      <c r="AK1345">
        <v>31</v>
      </c>
      <c r="AL1345">
        <v>16</v>
      </c>
      <c r="AM1345" t="s">
        <v>5</v>
      </c>
      <c r="AN1345">
        <v>0</v>
      </c>
      <c r="AO1345">
        <v>0</v>
      </c>
      <c r="AP1345">
        <v>0</v>
      </c>
      <c r="AQ1345">
        <v>1</v>
      </c>
    </row>
    <row r="1346" spans="1:43" x14ac:dyDescent="0.25">
      <c r="A1346" t="s">
        <v>385</v>
      </c>
      <c r="B1346" t="s">
        <v>384</v>
      </c>
      <c r="C1346" t="s">
        <v>383</v>
      </c>
      <c r="D1346" s="1">
        <v>46068</v>
      </c>
      <c r="E1346" t="s">
        <v>32</v>
      </c>
      <c r="F1346" t="s">
        <v>382</v>
      </c>
      <c r="G1346" t="s">
        <v>123</v>
      </c>
      <c r="H1346" t="s">
        <v>29</v>
      </c>
      <c r="I1346" t="s">
        <v>15</v>
      </c>
      <c r="J1346" t="s">
        <v>146</v>
      </c>
      <c r="K1346" t="s">
        <v>145</v>
      </c>
      <c r="L1346" t="s">
        <v>12</v>
      </c>
      <c r="M1346" t="s">
        <v>11</v>
      </c>
      <c r="N1346" t="s">
        <v>93</v>
      </c>
      <c r="O1346" t="s">
        <v>199</v>
      </c>
      <c r="P1346" t="s">
        <v>39</v>
      </c>
      <c r="Q1346" t="s">
        <v>7</v>
      </c>
      <c r="R1346" t="s">
        <v>6</v>
      </c>
      <c r="S1346">
        <v>5</v>
      </c>
      <c r="T1346">
        <v>5</v>
      </c>
      <c r="U1346">
        <v>111</v>
      </c>
      <c r="V1346" t="s">
        <v>0</v>
      </c>
      <c r="W1346" t="s">
        <v>5</v>
      </c>
      <c r="X1346" t="s">
        <v>0</v>
      </c>
      <c r="Y1346" t="s">
        <v>4</v>
      </c>
      <c r="Z1346" t="s">
        <v>5</v>
      </c>
      <c r="AA1346">
        <v>85.22</v>
      </c>
      <c r="AB1346">
        <v>0</v>
      </c>
      <c r="AC1346">
        <v>0</v>
      </c>
      <c r="AD1346" t="s">
        <v>3</v>
      </c>
      <c r="AE1346" t="s">
        <v>0</v>
      </c>
      <c r="AF1346" t="s">
        <v>3</v>
      </c>
      <c r="AG1346" t="s">
        <v>2</v>
      </c>
      <c r="AI1346" t="s">
        <v>23</v>
      </c>
      <c r="AJ1346">
        <v>4</v>
      </c>
      <c r="AK1346">
        <v>25</v>
      </c>
      <c r="AL1346">
        <v>12</v>
      </c>
      <c r="AM1346" t="s">
        <v>5</v>
      </c>
      <c r="AN1346">
        <v>1</v>
      </c>
      <c r="AO1346">
        <v>1</v>
      </c>
      <c r="AP1346">
        <v>0</v>
      </c>
      <c r="AQ1346">
        <v>1</v>
      </c>
    </row>
    <row r="1347" spans="1:43" x14ac:dyDescent="0.25">
      <c r="A1347" t="s">
        <v>381</v>
      </c>
      <c r="B1347" t="s">
        <v>380</v>
      </c>
      <c r="C1347" t="s">
        <v>379</v>
      </c>
      <c r="D1347" s="1">
        <v>45687</v>
      </c>
      <c r="E1347" t="s">
        <v>168</v>
      </c>
      <c r="F1347" t="s">
        <v>167</v>
      </c>
      <c r="G1347" t="s">
        <v>110</v>
      </c>
      <c r="H1347" t="s">
        <v>77</v>
      </c>
      <c r="I1347" t="s">
        <v>28</v>
      </c>
      <c r="J1347" t="s">
        <v>55</v>
      </c>
      <c r="K1347" t="s">
        <v>54</v>
      </c>
      <c r="L1347" t="s">
        <v>64</v>
      </c>
      <c r="M1347" t="s">
        <v>11</v>
      </c>
      <c r="N1347" t="s">
        <v>75</v>
      </c>
      <c r="O1347" t="s">
        <v>26</v>
      </c>
      <c r="P1347" t="s">
        <v>63</v>
      </c>
      <c r="Q1347" t="s">
        <v>100</v>
      </c>
      <c r="R1347" t="s">
        <v>6</v>
      </c>
      <c r="S1347">
        <v>4</v>
      </c>
      <c r="T1347">
        <v>4</v>
      </c>
      <c r="U1347">
        <v>119</v>
      </c>
      <c r="V1347" t="s">
        <v>0</v>
      </c>
      <c r="W1347" t="s">
        <v>5</v>
      </c>
      <c r="X1347" t="s">
        <v>0</v>
      </c>
      <c r="Y1347" t="s">
        <v>4</v>
      </c>
      <c r="Z1347" t="s">
        <v>5</v>
      </c>
      <c r="AA1347">
        <v>185.66</v>
      </c>
      <c r="AB1347">
        <v>0.22</v>
      </c>
      <c r="AC1347">
        <v>0</v>
      </c>
      <c r="AD1347" t="s">
        <v>3</v>
      </c>
      <c r="AE1347" t="s">
        <v>0</v>
      </c>
      <c r="AF1347" t="s">
        <v>3</v>
      </c>
      <c r="AG1347" t="s">
        <v>2</v>
      </c>
      <c r="AI1347" t="s">
        <v>23</v>
      </c>
      <c r="AJ1347">
        <v>4</v>
      </c>
      <c r="AK1347">
        <v>18</v>
      </c>
      <c r="AL1347">
        <v>0</v>
      </c>
      <c r="AM1347" t="s">
        <v>5</v>
      </c>
      <c r="AN1347">
        <v>1</v>
      </c>
      <c r="AO1347">
        <v>1</v>
      </c>
      <c r="AP1347">
        <v>0</v>
      </c>
      <c r="AQ1347">
        <v>1</v>
      </c>
    </row>
    <row r="1348" spans="1:43" x14ac:dyDescent="0.25">
      <c r="A1348" t="s">
        <v>378</v>
      </c>
      <c r="B1348" t="s">
        <v>267</v>
      </c>
      <c r="C1348" t="s">
        <v>377</v>
      </c>
      <c r="D1348" s="1">
        <v>46171</v>
      </c>
      <c r="E1348" t="s">
        <v>19</v>
      </c>
      <c r="F1348" t="s">
        <v>18</v>
      </c>
      <c r="G1348" t="s">
        <v>17</v>
      </c>
      <c r="H1348" t="s">
        <v>43</v>
      </c>
      <c r="I1348" t="s">
        <v>15</v>
      </c>
      <c r="J1348" t="s">
        <v>14</v>
      </c>
      <c r="K1348" t="s">
        <v>13</v>
      </c>
      <c r="L1348" t="s">
        <v>88</v>
      </c>
      <c r="M1348" t="s">
        <v>11</v>
      </c>
      <c r="N1348" t="s">
        <v>154</v>
      </c>
      <c r="O1348" t="s">
        <v>9</v>
      </c>
      <c r="P1348" t="s">
        <v>63</v>
      </c>
      <c r="Q1348" t="s">
        <v>172</v>
      </c>
      <c r="R1348" t="s">
        <v>6</v>
      </c>
      <c r="S1348">
        <v>7</v>
      </c>
      <c r="T1348">
        <v>6</v>
      </c>
      <c r="U1348">
        <v>209</v>
      </c>
      <c r="V1348" t="s">
        <v>5</v>
      </c>
      <c r="W1348" t="s">
        <v>5</v>
      </c>
      <c r="X1348" t="s">
        <v>0</v>
      </c>
      <c r="Y1348" t="s">
        <v>4</v>
      </c>
      <c r="Z1348" t="s">
        <v>0</v>
      </c>
      <c r="AA1348">
        <v>0</v>
      </c>
      <c r="AB1348">
        <v>0</v>
      </c>
      <c r="AC1348">
        <v>0</v>
      </c>
      <c r="AD1348" t="s">
        <v>187</v>
      </c>
      <c r="AE1348" t="s">
        <v>5</v>
      </c>
      <c r="AF1348" t="s">
        <v>187</v>
      </c>
      <c r="AG1348" t="s">
        <v>139</v>
      </c>
      <c r="AH1348">
        <v>62</v>
      </c>
      <c r="AI1348" t="s">
        <v>23</v>
      </c>
      <c r="AJ1348">
        <v>3</v>
      </c>
      <c r="AK1348">
        <v>-9</v>
      </c>
      <c r="AL1348">
        <v>0</v>
      </c>
      <c r="AM1348" t="s">
        <v>0</v>
      </c>
      <c r="AN1348">
        <v>1</v>
      </c>
      <c r="AO1348">
        <v>0</v>
      </c>
      <c r="AP1348">
        <v>0</v>
      </c>
      <c r="AQ1348">
        <v>0</v>
      </c>
    </row>
    <row r="1349" spans="1:43" x14ac:dyDescent="0.25">
      <c r="A1349" t="s">
        <v>376</v>
      </c>
      <c r="B1349" t="s">
        <v>375</v>
      </c>
      <c r="C1349" t="s">
        <v>374</v>
      </c>
      <c r="D1349" s="1">
        <v>45695</v>
      </c>
      <c r="E1349" t="s">
        <v>149</v>
      </c>
      <c r="F1349" t="s">
        <v>148</v>
      </c>
      <c r="G1349" t="s">
        <v>30</v>
      </c>
      <c r="H1349" t="s">
        <v>77</v>
      </c>
      <c r="I1349" t="s">
        <v>15</v>
      </c>
      <c r="J1349" t="s">
        <v>55</v>
      </c>
      <c r="K1349" t="s">
        <v>54</v>
      </c>
      <c r="L1349" t="s">
        <v>42</v>
      </c>
      <c r="M1349" t="s">
        <v>11</v>
      </c>
      <c r="N1349" t="s">
        <v>75</v>
      </c>
      <c r="O1349" t="s">
        <v>9</v>
      </c>
      <c r="P1349" t="s">
        <v>39</v>
      </c>
      <c r="Q1349" t="s">
        <v>50</v>
      </c>
      <c r="R1349" t="s">
        <v>38</v>
      </c>
      <c r="S1349">
        <v>7</v>
      </c>
      <c r="T1349">
        <v>7</v>
      </c>
      <c r="U1349">
        <v>186</v>
      </c>
      <c r="V1349" t="s">
        <v>0</v>
      </c>
      <c r="W1349" t="s">
        <v>0</v>
      </c>
      <c r="X1349" t="s">
        <v>5</v>
      </c>
      <c r="Y1349" t="s">
        <v>373</v>
      </c>
      <c r="Z1349" t="s">
        <v>0</v>
      </c>
      <c r="AA1349">
        <v>0</v>
      </c>
      <c r="AB1349">
        <v>0</v>
      </c>
      <c r="AC1349">
        <v>0</v>
      </c>
      <c r="AD1349" t="s">
        <v>3</v>
      </c>
      <c r="AE1349" t="s">
        <v>0</v>
      </c>
      <c r="AF1349" t="s">
        <v>3</v>
      </c>
      <c r="AG1349" t="s">
        <v>2</v>
      </c>
      <c r="AH1349">
        <v>-5</v>
      </c>
      <c r="AI1349" t="s">
        <v>122</v>
      </c>
      <c r="AJ1349">
        <v>4</v>
      </c>
      <c r="AK1349">
        <v>13</v>
      </c>
      <c r="AL1349">
        <v>36</v>
      </c>
      <c r="AM1349" t="s">
        <v>0</v>
      </c>
      <c r="AN1349">
        <v>0</v>
      </c>
      <c r="AO1349">
        <v>0</v>
      </c>
      <c r="AP1349">
        <v>1</v>
      </c>
      <c r="AQ1349">
        <v>0</v>
      </c>
    </row>
    <row r="1350" spans="1:43" x14ac:dyDescent="0.25">
      <c r="A1350" t="s">
        <v>372</v>
      </c>
      <c r="B1350" t="s">
        <v>371</v>
      </c>
      <c r="C1350" t="s">
        <v>370</v>
      </c>
      <c r="D1350" s="1">
        <v>46066</v>
      </c>
      <c r="E1350" t="s">
        <v>162</v>
      </c>
      <c r="F1350" t="s">
        <v>310</v>
      </c>
      <c r="G1350" t="s">
        <v>110</v>
      </c>
      <c r="H1350" t="s">
        <v>16</v>
      </c>
      <c r="I1350" t="s">
        <v>28</v>
      </c>
      <c r="J1350" t="s">
        <v>14</v>
      </c>
      <c r="K1350" t="s">
        <v>13</v>
      </c>
      <c r="L1350" t="s">
        <v>42</v>
      </c>
      <c r="M1350" t="s">
        <v>53</v>
      </c>
      <c r="N1350" t="s">
        <v>269</v>
      </c>
      <c r="O1350" t="s">
        <v>193</v>
      </c>
      <c r="P1350" t="s">
        <v>39</v>
      </c>
      <c r="Q1350" t="s">
        <v>7</v>
      </c>
      <c r="R1350" t="s">
        <v>6</v>
      </c>
      <c r="S1350">
        <v>9</v>
      </c>
      <c r="T1350">
        <v>9</v>
      </c>
      <c r="U1350">
        <v>217</v>
      </c>
      <c r="V1350" t="s">
        <v>0</v>
      </c>
      <c r="W1350" t="s">
        <v>5</v>
      </c>
      <c r="X1350" t="s">
        <v>0</v>
      </c>
      <c r="Y1350" t="s">
        <v>4</v>
      </c>
      <c r="Z1350" t="s">
        <v>5</v>
      </c>
      <c r="AA1350">
        <v>174.01</v>
      </c>
      <c r="AB1350">
        <v>3.35</v>
      </c>
      <c r="AC1350">
        <v>0.17</v>
      </c>
      <c r="AD1350" t="s">
        <v>3</v>
      </c>
      <c r="AE1350" t="s">
        <v>0</v>
      </c>
      <c r="AF1350" t="s">
        <v>3</v>
      </c>
      <c r="AG1350" t="s">
        <v>2</v>
      </c>
      <c r="AI1350" t="s">
        <v>23</v>
      </c>
      <c r="AJ1350">
        <v>4</v>
      </c>
      <c r="AK1350">
        <v>-30</v>
      </c>
      <c r="AL1350">
        <v>34</v>
      </c>
      <c r="AM1350" t="s">
        <v>0</v>
      </c>
      <c r="AN1350">
        <v>1</v>
      </c>
      <c r="AO1350">
        <v>1</v>
      </c>
      <c r="AP1350">
        <v>0</v>
      </c>
      <c r="AQ1350">
        <v>0</v>
      </c>
    </row>
    <row r="1351" spans="1:43" x14ac:dyDescent="0.25">
      <c r="A1351" t="s">
        <v>369</v>
      </c>
      <c r="B1351" t="s">
        <v>368</v>
      </c>
      <c r="C1351" t="s">
        <v>367</v>
      </c>
      <c r="D1351" s="1">
        <v>45739</v>
      </c>
      <c r="E1351" t="s">
        <v>68</v>
      </c>
      <c r="F1351" t="s">
        <v>67</v>
      </c>
      <c r="G1351" t="s">
        <v>83</v>
      </c>
      <c r="H1351" t="s">
        <v>29</v>
      </c>
      <c r="I1351" t="s">
        <v>28</v>
      </c>
      <c r="J1351" t="s">
        <v>55</v>
      </c>
      <c r="K1351" t="s">
        <v>54</v>
      </c>
      <c r="L1351" t="s">
        <v>64</v>
      </c>
      <c r="M1351" t="s">
        <v>11</v>
      </c>
      <c r="N1351" t="s">
        <v>41</v>
      </c>
      <c r="O1351" t="s">
        <v>74</v>
      </c>
      <c r="P1351" t="s">
        <v>39</v>
      </c>
      <c r="Q1351" t="s">
        <v>50</v>
      </c>
      <c r="R1351" t="s">
        <v>38</v>
      </c>
      <c r="S1351">
        <v>6</v>
      </c>
      <c r="T1351">
        <v>6</v>
      </c>
      <c r="U1351">
        <v>150</v>
      </c>
      <c r="V1351" t="s">
        <v>0</v>
      </c>
      <c r="W1351" t="s">
        <v>5</v>
      </c>
      <c r="X1351" t="s">
        <v>0</v>
      </c>
      <c r="Y1351" t="s">
        <v>4</v>
      </c>
      <c r="Z1351" t="s">
        <v>5</v>
      </c>
      <c r="AA1351">
        <v>0</v>
      </c>
      <c r="AB1351">
        <v>0</v>
      </c>
      <c r="AC1351">
        <v>0</v>
      </c>
      <c r="AD1351" t="s">
        <v>3</v>
      </c>
      <c r="AE1351" t="s">
        <v>0</v>
      </c>
      <c r="AF1351" t="s">
        <v>3</v>
      </c>
      <c r="AG1351" t="s">
        <v>2</v>
      </c>
      <c r="AI1351" t="s">
        <v>23</v>
      </c>
      <c r="AJ1351">
        <v>5</v>
      </c>
      <c r="AK1351">
        <v>30</v>
      </c>
      <c r="AL1351">
        <v>27</v>
      </c>
      <c r="AM1351" t="s">
        <v>5</v>
      </c>
      <c r="AN1351">
        <v>1</v>
      </c>
      <c r="AO1351">
        <v>1</v>
      </c>
      <c r="AP1351">
        <v>0</v>
      </c>
      <c r="AQ1351">
        <v>1</v>
      </c>
    </row>
    <row r="1352" spans="1:43" x14ac:dyDescent="0.25">
      <c r="A1352" t="s">
        <v>366</v>
      </c>
      <c r="B1352" t="s">
        <v>365</v>
      </c>
      <c r="C1352" t="s">
        <v>364</v>
      </c>
      <c r="D1352" s="1">
        <v>46137</v>
      </c>
      <c r="E1352" t="s">
        <v>162</v>
      </c>
      <c r="F1352" t="s">
        <v>161</v>
      </c>
      <c r="G1352" t="s">
        <v>17</v>
      </c>
      <c r="H1352" t="s">
        <v>77</v>
      </c>
      <c r="I1352" t="s">
        <v>147</v>
      </c>
      <c r="J1352" t="s">
        <v>55</v>
      </c>
      <c r="K1352" t="s">
        <v>54</v>
      </c>
      <c r="L1352" t="s">
        <v>117</v>
      </c>
      <c r="M1352" t="s">
        <v>11</v>
      </c>
      <c r="N1352" t="s">
        <v>93</v>
      </c>
      <c r="O1352" t="s">
        <v>9</v>
      </c>
      <c r="P1352" t="s">
        <v>39</v>
      </c>
      <c r="Q1352" t="s">
        <v>7</v>
      </c>
      <c r="R1352" t="s">
        <v>6</v>
      </c>
      <c r="S1352">
        <v>7</v>
      </c>
      <c r="T1352">
        <v>7</v>
      </c>
      <c r="U1352">
        <v>285</v>
      </c>
      <c r="V1352" t="s">
        <v>0</v>
      </c>
      <c r="W1352" t="s">
        <v>0</v>
      </c>
      <c r="X1352" t="s">
        <v>5</v>
      </c>
      <c r="Y1352" t="s">
        <v>228</v>
      </c>
      <c r="Z1352" t="s">
        <v>0</v>
      </c>
      <c r="AA1352">
        <v>0</v>
      </c>
      <c r="AB1352">
        <v>0</v>
      </c>
      <c r="AC1352">
        <v>0</v>
      </c>
      <c r="AD1352" t="s">
        <v>37</v>
      </c>
      <c r="AE1352" t="s">
        <v>5</v>
      </c>
      <c r="AF1352" t="s">
        <v>37</v>
      </c>
      <c r="AG1352" t="s">
        <v>36</v>
      </c>
      <c r="AH1352">
        <v>44</v>
      </c>
      <c r="AI1352" t="s">
        <v>122</v>
      </c>
      <c r="AJ1352">
        <v>3</v>
      </c>
      <c r="AK1352">
        <v>-2</v>
      </c>
      <c r="AL1352">
        <v>34</v>
      </c>
      <c r="AM1352" t="s">
        <v>5</v>
      </c>
      <c r="AN1352">
        <v>0</v>
      </c>
      <c r="AO1352">
        <v>0</v>
      </c>
      <c r="AP1352">
        <v>1</v>
      </c>
      <c r="AQ1352">
        <v>1</v>
      </c>
    </row>
    <row r="1353" spans="1:43" x14ac:dyDescent="0.25">
      <c r="A1353" t="s">
        <v>363</v>
      </c>
      <c r="B1353" t="s">
        <v>362</v>
      </c>
      <c r="C1353" t="s">
        <v>361</v>
      </c>
      <c r="D1353" s="1">
        <v>45845</v>
      </c>
      <c r="E1353" t="s">
        <v>112</v>
      </c>
      <c r="F1353" t="s">
        <v>360</v>
      </c>
      <c r="G1353" t="s">
        <v>56</v>
      </c>
      <c r="H1353" t="s">
        <v>29</v>
      </c>
      <c r="I1353" t="s">
        <v>28</v>
      </c>
      <c r="J1353" t="s">
        <v>14</v>
      </c>
      <c r="K1353" t="s">
        <v>13</v>
      </c>
      <c r="L1353" t="s">
        <v>117</v>
      </c>
      <c r="M1353" t="s">
        <v>27</v>
      </c>
      <c r="N1353" t="s">
        <v>52</v>
      </c>
      <c r="O1353" t="s">
        <v>26</v>
      </c>
      <c r="P1353" t="s">
        <v>39</v>
      </c>
      <c r="Q1353" t="s">
        <v>172</v>
      </c>
      <c r="R1353" t="s">
        <v>6</v>
      </c>
      <c r="S1353">
        <v>4</v>
      </c>
      <c r="T1353">
        <v>4</v>
      </c>
      <c r="U1353">
        <v>151</v>
      </c>
      <c r="V1353" t="s">
        <v>0</v>
      </c>
      <c r="W1353" t="s">
        <v>5</v>
      </c>
      <c r="X1353" t="s">
        <v>247</v>
      </c>
      <c r="Y1353" t="s">
        <v>62</v>
      </c>
      <c r="Z1353" t="s">
        <v>5</v>
      </c>
      <c r="AA1353">
        <v>147.96</v>
      </c>
      <c r="AB1353">
        <v>0.19</v>
      </c>
      <c r="AC1353">
        <v>0.37</v>
      </c>
      <c r="AD1353" t="s">
        <v>227</v>
      </c>
      <c r="AE1353" t="s">
        <v>5</v>
      </c>
      <c r="AF1353" t="s">
        <v>227</v>
      </c>
      <c r="AG1353" t="s">
        <v>36</v>
      </c>
      <c r="AH1353">
        <v>23</v>
      </c>
      <c r="AI1353" t="s">
        <v>23</v>
      </c>
      <c r="AJ1353">
        <v>3</v>
      </c>
      <c r="AK1353">
        <v>-6</v>
      </c>
      <c r="AL1353">
        <v>37</v>
      </c>
      <c r="AM1353" t="s">
        <v>5</v>
      </c>
      <c r="AN1353">
        <v>1</v>
      </c>
      <c r="AO1353">
        <v>1</v>
      </c>
      <c r="AP1353">
        <v>0</v>
      </c>
      <c r="AQ1353">
        <v>1</v>
      </c>
    </row>
    <row r="1354" spans="1:43" x14ac:dyDescent="0.25">
      <c r="A1354" t="s">
        <v>359</v>
      </c>
      <c r="B1354" t="s">
        <v>358</v>
      </c>
      <c r="C1354" t="s">
        <v>357</v>
      </c>
      <c r="D1354" s="1">
        <v>45737</v>
      </c>
      <c r="E1354" t="s">
        <v>32</v>
      </c>
      <c r="F1354" t="s">
        <v>356</v>
      </c>
      <c r="G1354" t="s">
        <v>83</v>
      </c>
      <c r="H1354" t="s">
        <v>43</v>
      </c>
      <c r="I1354" t="s">
        <v>15</v>
      </c>
      <c r="J1354" t="s">
        <v>14</v>
      </c>
      <c r="K1354" t="s">
        <v>13</v>
      </c>
      <c r="L1354" t="s">
        <v>88</v>
      </c>
      <c r="M1354" t="s">
        <v>11</v>
      </c>
      <c r="N1354" t="s">
        <v>75</v>
      </c>
      <c r="O1354" t="s">
        <v>26</v>
      </c>
      <c r="P1354" t="s">
        <v>39</v>
      </c>
      <c r="Q1354" t="s">
        <v>24</v>
      </c>
      <c r="R1354" t="s">
        <v>38</v>
      </c>
      <c r="S1354">
        <v>4</v>
      </c>
      <c r="T1354">
        <v>4</v>
      </c>
      <c r="U1354">
        <v>147</v>
      </c>
      <c r="V1354" t="s">
        <v>0</v>
      </c>
      <c r="W1354" t="s">
        <v>5</v>
      </c>
      <c r="X1354" t="s">
        <v>5</v>
      </c>
      <c r="Y1354" t="s">
        <v>355</v>
      </c>
      <c r="Z1354" t="s">
        <v>0</v>
      </c>
      <c r="AA1354">
        <v>0</v>
      </c>
      <c r="AB1354">
        <v>0</v>
      </c>
      <c r="AC1354">
        <v>0</v>
      </c>
      <c r="AD1354" t="s">
        <v>3</v>
      </c>
      <c r="AE1354" t="s">
        <v>0</v>
      </c>
      <c r="AF1354" t="s">
        <v>3</v>
      </c>
      <c r="AG1354" t="s">
        <v>2</v>
      </c>
      <c r="AI1354" t="s">
        <v>23</v>
      </c>
      <c r="AJ1354">
        <v>5</v>
      </c>
      <c r="AK1354">
        <v>11</v>
      </c>
      <c r="AL1354">
        <v>1</v>
      </c>
      <c r="AM1354" t="s">
        <v>0</v>
      </c>
      <c r="AN1354">
        <v>1</v>
      </c>
      <c r="AO1354">
        <v>0</v>
      </c>
      <c r="AP1354">
        <v>1</v>
      </c>
      <c r="AQ1354">
        <v>0</v>
      </c>
    </row>
    <row r="1355" spans="1:43" x14ac:dyDescent="0.25">
      <c r="A1355" t="s">
        <v>354</v>
      </c>
      <c r="B1355" t="s">
        <v>353</v>
      </c>
      <c r="C1355" t="s">
        <v>352</v>
      </c>
      <c r="D1355" s="1">
        <v>45700</v>
      </c>
      <c r="E1355" t="s">
        <v>45</v>
      </c>
      <c r="F1355" t="s">
        <v>44</v>
      </c>
      <c r="G1355" t="s">
        <v>123</v>
      </c>
      <c r="H1355" t="s">
        <v>77</v>
      </c>
      <c r="I1355" t="s">
        <v>15</v>
      </c>
      <c r="J1355" t="s">
        <v>55</v>
      </c>
      <c r="K1355" t="s">
        <v>54</v>
      </c>
      <c r="L1355" t="s">
        <v>64</v>
      </c>
      <c r="M1355" t="s">
        <v>11</v>
      </c>
      <c r="N1355" t="s">
        <v>52</v>
      </c>
      <c r="O1355" t="s">
        <v>74</v>
      </c>
      <c r="P1355" t="s">
        <v>63</v>
      </c>
      <c r="Q1355" t="s">
        <v>7</v>
      </c>
      <c r="R1355" t="s">
        <v>6</v>
      </c>
      <c r="S1355">
        <v>6</v>
      </c>
      <c r="T1355">
        <v>6</v>
      </c>
      <c r="U1355">
        <v>148</v>
      </c>
      <c r="V1355" t="s">
        <v>0</v>
      </c>
      <c r="W1355" t="s">
        <v>5</v>
      </c>
      <c r="X1355" t="s">
        <v>0</v>
      </c>
      <c r="Y1355" t="s">
        <v>4</v>
      </c>
      <c r="Z1355" t="s">
        <v>5</v>
      </c>
      <c r="AA1355">
        <v>0</v>
      </c>
      <c r="AB1355">
        <v>0</v>
      </c>
      <c r="AC1355">
        <v>0</v>
      </c>
      <c r="AD1355" t="s">
        <v>3</v>
      </c>
      <c r="AE1355" t="s">
        <v>0</v>
      </c>
      <c r="AF1355" t="s">
        <v>3</v>
      </c>
      <c r="AG1355" t="s">
        <v>2</v>
      </c>
      <c r="AI1355" t="s">
        <v>23</v>
      </c>
      <c r="AJ1355">
        <v>5</v>
      </c>
      <c r="AK1355">
        <v>7</v>
      </c>
      <c r="AL1355">
        <v>0</v>
      </c>
      <c r="AM1355" t="s">
        <v>5</v>
      </c>
      <c r="AN1355">
        <v>1</v>
      </c>
      <c r="AO1355">
        <v>1</v>
      </c>
      <c r="AP1355">
        <v>0</v>
      </c>
      <c r="AQ1355">
        <v>1</v>
      </c>
    </row>
    <row r="1356" spans="1:43" x14ac:dyDescent="0.25">
      <c r="A1356" t="s">
        <v>351</v>
      </c>
      <c r="B1356" t="s">
        <v>350</v>
      </c>
      <c r="C1356" t="s">
        <v>349</v>
      </c>
      <c r="D1356" s="1">
        <v>45962</v>
      </c>
      <c r="E1356" t="s">
        <v>45</v>
      </c>
      <c r="F1356" t="s">
        <v>348</v>
      </c>
      <c r="G1356" t="s">
        <v>30</v>
      </c>
      <c r="H1356" t="s">
        <v>29</v>
      </c>
      <c r="I1356" t="s">
        <v>28</v>
      </c>
      <c r="J1356" t="s">
        <v>14</v>
      </c>
      <c r="K1356" t="s">
        <v>13</v>
      </c>
      <c r="L1356" t="s">
        <v>64</v>
      </c>
      <c r="M1356" t="s">
        <v>53</v>
      </c>
      <c r="N1356" t="s">
        <v>154</v>
      </c>
      <c r="O1356" t="s">
        <v>87</v>
      </c>
      <c r="P1356" t="s">
        <v>63</v>
      </c>
      <c r="Q1356" t="s">
        <v>7</v>
      </c>
      <c r="R1356" t="s">
        <v>6</v>
      </c>
      <c r="S1356">
        <v>5</v>
      </c>
      <c r="T1356">
        <v>3</v>
      </c>
      <c r="U1356">
        <v>166</v>
      </c>
      <c r="V1356" t="s">
        <v>5</v>
      </c>
      <c r="W1356" t="s">
        <v>0</v>
      </c>
      <c r="X1356" t="s">
        <v>0</v>
      </c>
      <c r="Y1356" t="s">
        <v>4</v>
      </c>
      <c r="Z1356" t="s">
        <v>0</v>
      </c>
      <c r="AA1356">
        <v>0</v>
      </c>
      <c r="AB1356">
        <v>0</v>
      </c>
      <c r="AC1356">
        <v>0</v>
      </c>
      <c r="AD1356" t="s">
        <v>3</v>
      </c>
      <c r="AE1356" t="s">
        <v>0</v>
      </c>
      <c r="AF1356" t="s">
        <v>3</v>
      </c>
      <c r="AG1356" t="s">
        <v>2</v>
      </c>
      <c r="AI1356" t="s">
        <v>332</v>
      </c>
      <c r="AJ1356">
        <v>4</v>
      </c>
      <c r="AK1356">
        <v>9</v>
      </c>
      <c r="AL1356" t="s">
        <v>347</v>
      </c>
      <c r="AM1356" t="s">
        <v>247</v>
      </c>
      <c r="AN1356">
        <v>0</v>
      </c>
      <c r="AO1356">
        <v>0</v>
      </c>
      <c r="AP1356">
        <v>0</v>
      </c>
      <c r="AQ1356">
        <v>0</v>
      </c>
    </row>
    <row r="1357" spans="1:43" x14ac:dyDescent="0.25">
      <c r="A1357" t="s">
        <v>346</v>
      </c>
      <c r="B1357" t="s">
        <v>289</v>
      </c>
      <c r="C1357" t="s">
        <v>345</v>
      </c>
      <c r="D1357" s="1">
        <v>45816</v>
      </c>
      <c r="E1357" t="s">
        <v>68</v>
      </c>
      <c r="F1357" t="s">
        <v>216</v>
      </c>
      <c r="G1357" t="s">
        <v>110</v>
      </c>
      <c r="H1357" t="s">
        <v>77</v>
      </c>
      <c r="I1357" t="s">
        <v>28</v>
      </c>
      <c r="J1357" t="s">
        <v>14</v>
      </c>
      <c r="K1357" t="s">
        <v>13</v>
      </c>
      <c r="L1357" t="s">
        <v>12</v>
      </c>
      <c r="M1357" t="s">
        <v>11</v>
      </c>
      <c r="N1357" t="s">
        <v>10</v>
      </c>
      <c r="O1357" t="s">
        <v>26</v>
      </c>
      <c r="P1357" t="s">
        <v>39</v>
      </c>
      <c r="Q1357" t="s">
        <v>7</v>
      </c>
      <c r="R1357" t="s">
        <v>6</v>
      </c>
      <c r="S1357">
        <v>4</v>
      </c>
      <c r="T1357">
        <v>4</v>
      </c>
      <c r="U1357">
        <v>72</v>
      </c>
      <c r="V1357" t="s">
        <v>0</v>
      </c>
      <c r="W1357" t="s">
        <v>5</v>
      </c>
      <c r="X1357" t="s">
        <v>0</v>
      </c>
      <c r="Y1357" t="s">
        <v>4</v>
      </c>
      <c r="Z1357" t="s">
        <v>0</v>
      </c>
      <c r="AA1357">
        <v>0</v>
      </c>
      <c r="AB1357">
        <v>0</v>
      </c>
      <c r="AC1357">
        <v>0</v>
      </c>
      <c r="AD1357" t="s">
        <v>61</v>
      </c>
      <c r="AE1357" t="s">
        <v>5</v>
      </c>
      <c r="AF1357" t="s">
        <v>61</v>
      </c>
      <c r="AG1357" t="s">
        <v>36</v>
      </c>
      <c r="AH1357">
        <v>14</v>
      </c>
      <c r="AI1357" t="s">
        <v>23</v>
      </c>
      <c r="AJ1357">
        <v>5</v>
      </c>
      <c r="AK1357">
        <v>-22</v>
      </c>
      <c r="AL1357">
        <v>55</v>
      </c>
      <c r="AM1357" t="s">
        <v>5</v>
      </c>
      <c r="AN1357">
        <v>1</v>
      </c>
      <c r="AO1357">
        <v>0</v>
      </c>
      <c r="AP1357">
        <v>0</v>
      </c>
      <c r="AQ1357">
        <v>1</v>
      </c>
    </row>
    <row r="1358" spans="1:43" x14ac:dyDescent="0.25">
      <c r="A1358" t="s">
        <v>344</v>
      </c>
      <c r="B1358" t="s">
        <v>343</v>
      </c>
      <c r="C1358" t="s">
        <v>342</v>
      </c>
      <c r="D1358" s="1">
        <v>45707</v>
      </c>
      <c r="E1358" t="s">
        <v>79</v>
      </c>
      <c r="F1358" t="s">
        <v>223</v>
      </c>
      <c r="G1358" t="s">
        <v>17</v>
      </c>
      <c r="H1358" t="s">
        <v>43</v>
      </c>
      <c r="I1358" t="s">
        <v>28</v>
      </c>
      <c r="J1358" t="s">
        <v>146</v>
      </c>
      <c r="K1358" t="s">
        <v>176</v>
      </c>
      <c r="L1358" t="s">
        <v>88</v>
      </c>
      <c r="M1358" t="s">
        <v>11</v>
      </c>
      <c r="N1358" t="s">
        <v>41</v>
      </c>
      <c r="O1358" t="s">
        <v>51</v>
      </c>
      <c r="P1358" t="s">
        <v>39</v>
      </c>
      <c r="Q1358" t="s">
        <v>24</v>
      </c>
      <c r="R1358" t="s">
        <v>6</v>
      </c>
      <c r="S1358">
        <v>6</v>
      </c>
      <c r="T1358">
        <v>6</v>
      </c>
      <c r="U1358">
        <v>150</v>
      </c>
      <c r="V1358" t="s">
        <v>0</v>
      </c>
      <c r="W1358" t="s">
        <v>5</v>
      </c>
      <c r="X1358" t="s">
        <v>0</v>
      </c>
      <c r="Y1358" t="s">
        <v>4</v>
      </c>
      <c r="Z1358" t="s">
        <v>5</v>
      </c>
      <c r="AA1358">
        <v>22.58</v>
      </c>
      <c r="AB1358">
        <v>0.09</v>
      </c>
      <c r="AC1358">
        <v>0</v>
      </c>
      <c r="AD1358" t="s">
        <v>3</v>
      </c>
      <c r="AE1358" t="s">
        <v>0</v>
      </c>
      <c r="AF1358" t="s">
        <v>3</v>
      </c>
      <c r="AG1358" t="s">
        <v>2</v>
      </c>
      <c r="AI1358" t="s">
        <v>23</v>
      </c>
      <c r="AJ1358">
        <v>4</v>
      </c>
      <c r="AK1358">
        <v>12</v>
      </c>
      <c r="AL1358">
        <v>11</v>
      </c>
      <c r="AM1358" t="s">
        <v>0</v>
      </c>
      <c r="AN1358">
        <v>1</v>
      </c>
      <c r="AO1358">
        <v>1</v>
      </c>
      <c r="AP1358">
        <v>0</v>
      </c>
      <c r="AQ1358">
        <v>0</v>
      </c>
    </row>
    <row r="1359" spans="1:43" x14ac:dyDescent="0.25">
      <c r="A1359" t="s">
        <v>341</v>
      </c>
      <c r="B1359" t="s">
        <v>340</v>
      </c>
      <c r="C1359" t="s">
        <v>339</v>
      </c>
      <c r="D1359" s="1">
        <v>45829</v>
      </c>
      <c r="E1359" t="s">
        <v>95</v>
      </c>
      <c r="F1359" t="s">
        <v>338</v>
      </c>
      <c r="G1359" t="s">
        <v>17</v>
      </c>
      <c r="H1359" t="s">
        <v>66</v>
      </c>
      <c r="I1359" t="s">
        <v>15</v>
      </c>
      <c r="J1359" t="s">
        <v>146</v>
      </c>
      <c r="K1359" t="s">
        <v>145</v>
      </c>
      <c r="L1359" t="s">
        <v>64</v>
      </c>
      <c r="M1359" t="s">
        <v>11</v>
      </c>
      <c r="N1359" t="s">
        <v>269</v>
      </c>
      <c r="O1359" t="s">
        <v>199</v>
      </c>
      <c r="P1359" t="s">
        <v>39</v>
      </c>
      <c r="Q1359" t="s">
        <v>7</v>
      </c>
      <c r="R1359" t="s">
        <v>6</v>
      </c>
      <c r="S1359">
        <v>5</v>
      </c>
      <c r="T1359">
        <v>3</v>
      </c>
      <c r="U1359">
        <v>151</v>
      </c>
      <c r="V1359" t="s">
        <v>5</v>
      </c>
      <c r="W1359" t="s">
        <v>5</v>
      </c>
      <c r="X1359" t="s">
        <v>0</v>
      </c>
      <c r="Y1359" t="s">
        <v>4</v>
      </c>
      <c r="Z1359" t="s">
        <v>5</v>
      </c>
      <c r="AA1359">
        <v>26.49</v>
      </c>
      <c r="AB1359">
        <v>0</v>
      </c>
      <c r="AC1359">
        <v>0</v>
      </c>
      <c r="AD1359" t="s">
        <v>3</v>
      </c>
      <c r="AE1359" t="s">
        <v>0</v>
      </c>
      <c r="AF1359" t="s">
        <v>3</v>
      </c>
      <c r="AG1359" t="s">
        <v>2</v>
      </c>
      <c r="AI1359" t="s">
        <v>23</v>
      </c>
      <c r="AJ1359">
        <v>3</v>
      </c>
      <c r="AK1359">
        <v>2</v>
      </c>
      <c r="AL1359">
        <v>37</v>
      </c>
      <c r="AM1359" t="s">
        <v>5</v>
      </c>
      <c r="AN1359">
        <v>1</v>
      </c>
      <c r="AO1359">
        <v>1</v>
      </c>
      <c r="AP1359">
        <v>0</v>
      </c>
      <c r="AQ1359">
        <v>1</v>
      </c>
    </row>
    <row r="1360" spans="1:43" x14ac:dyDescent="0.25">
      <c r="A1360" t="s">
        <v>337</v>
      </c>
      <c r="B1360" t="s">
        <v>302</v>
      </c>
      <c r="C1360" t="s">
        <v>336</v>
      </c>
      <c r="D1360" s="1">
        <v>45847</v>
      </c>
      <c r="E1360" t="s">
        <v>162</v>
      </c>
      <c r="F1360" t="s">
        <v>310</v>
      </c>
      <c r="G1360" t="s">
        <v>131</v>
      </c>
      <c r="H1360" t="s">
        <v>29</v>
      </c>
      <c r="I1360" t="s">
        <v>28</v>
      </c>
      <c r="J1360" t="s">
        <v>55</v>
      </c>
      <c r="K1360" t="s">
        <v>54</v>
      </c>
      <c r="L1360" t="s">
        <v>88</v>
      </c>
      <c r="M1360" t="s">
        <v>11</v>
      </c>
      <c r="N1360" t="s">
        <v>41</v>
      </c>
      <c r="O1360" t="s">
        <v>101</v>
      </c>
      <c r="P1360" t="s">
        <v>63</v>
      </c>
      <c r="Q1360" t="s">
        <v>24</v>
      </c>
      <c r="R1360" t="s">
        <v>38</v>
      </c>
      <c r="S1360">
        <v>4</v>
      </c>
      <c r="T1360" t="s">
        <v>99</v>
      </c>
      <c r="U1360">
        <v>92</v>
      </c>
      <c r="V1360" t="s">
        <v>0</v>
      </c>
      <c r="W1360" t="s">
        <v>5</v>
      </c>
      <c r="X1360" t="s">
        <v>0</v>
      </c>
      <c r="Y1360" t="s">
        <v>4</v>
      </c>
      <c r="Z1360" t="s">
        <v>5</v>
      </c>
      <c r="AA1360">
        <v>49.34</v>
      </c>
      <c r="AB1360">
        <v>0.52</v>
      </c>
      <c r="AC1360">
        <v>0</v>
      </c>
      <c r="AD1360" t="s">
        <v>3</v>
      </c>
      <c r="AE1360" t="s">
        <v>0</v>
      </c>
      <c r="AF1360" t="s">
        <v>3</v>
      </c>
      <c r="AG1360" t="s">
        <v>2</v>
      </c>
      <c r="AI1360" t="s">
        <v>23</v>
      </c>
      <c r="AJ1360">
        <v>5</v>
      </c>
      <c r="AK1360">
        <v>43</v>
      </c>
      <c r="AL1360">
        <v>0</v>
      </c>
      <c r="AM1360" t="s">
        <v>5</v>
      </c>
      <c r="AN1360">
        <v>1</v>
      </c>
      <c r="AO1360">
        <v>1</v>
      </c>
      <c r="AP1360">
        <v>0</v>
      </c>
      <c r="AQ1360">
        <v>1</v>
      </c>
    </row>
    <row r="1361" spans="1:43" x14ac:dyDescent="0.25">
      <c r="A1361" t="s">
        <v>335</v>
      </c>
      <c r="B1361" t="s">
        <v>334</v>
      </c>
      <c r="C1361" t="s">
        <v>333</v>
      </c>
      <c r="D1361" s="1">
        <v>46112</v>
      </c>
      <c r="E1361" t="s">
        <v>79</v>
      </c>
      <c r="F1361" t="s">
        <v>206</v>
      </c>
      <c r="G1361" t="s">
        <v>123</v>
      </c>
      <c r="H1361" t="s">
        <v>77</v>
      </c>
      <c r="I1361" t="s">
        <v>15</v>
      </c>
      <c r="J1361" t="s">
        <v>146</v>
      </c>
      <c r="K1361" t="s">
        <v>145</v>
      </c>
      <c r="L1361" t="s">
        <v>42</v>
      </c>
      <c r="M1361" t="s">
        <v>11</v>
      </c>
      <c r="N1361" t="s">
        <v>93</v>
      </c>
      <c r="O1361" t="s">
        <v>74</v>
      </c>
      <c r="P1361" t="s">
        <v>39</v>
      </c>
      <c r="Q1361" t="s">
        <v>247</v>
      </c>
      <c r="R1361" t="s">
        <v>38</v>
      </c>
      <c r="S1361">
        <v>6</v>
      </c>
      <c r="T1361">
        <v>6</v>
      </c>
      <c r="U1361">
        <v>204</v>
      </c>
      <c r="V1361" t="s">
        <v>0</v>
      </c>
      <c r="W1361" t="s">
        <v>0</v>
      </c>
      <c r="X1361" t="s">
        <v>5</v>
      </c>
      <c r="Y1361" t="s">
        <v>314</v>
      </c>
      <c r="Z1361" t="s">
        <v>0</v>
      </c>
      <c r="AA1361">
        <v>0</v>
      </c>
      <c r="AB1361">
        <v>0</v>
      </c>
      <c r="AC1361">
        <v>0</v>
      </c>
      <c r="AD1361" t="s">
        <v>3</v>
      </c>
      <c r="AE1361" t="s">
        <v>0</v>
      </c>
      <c r="AF1361" t="s">
        <v>3</v>
      </c>
      <c r="AG1361" t="s">
        <v>2</v>
      </c>
      <c r="AI1361" t="s">
        <v>332</v>
      </c>
      <c r="AJ1361">
        <v>3</v>
      </c>
      <c r="AK1361">
        <v>-8</v>
      </c>
      <c r="AL1361">
        <v>69</v>
      </c>
      <c r="AM1361" t="s">
        <v>0</v>
      </c>
      <c r="AN1361">
        <v>0</v>
      </c>
      <c r="AO1361">
        <v>0</v>
      </c>
      <c r="AP1361">
        <v>1</v>
      </c>
      <c r="AQ1361">
        <v>0</v>
      </c>
    </row>
    <row r="1362" spans="1:43" x14ac:dyDescent="0.25">
      <c r="A1362" t="s">
        <v>331</v>
      </c>
      <c r="B1362" t="s">
        <v>330</v>
      </c>
      <c r="C1362" t="s">
        <v>329</v>
      </c>
      <c r="D1362" s="1">
        <v>46082</v>
      </c>
      <c r="E1362" t="s">
        <v>19</v>
      </c>
      <c r="F1362" t="s">
        <v>89</v>
      </c>
      <c r="G1362" t="s">
        <v>17</v>
      </c>
      <c r="H1362" t="s">
        <v>66</v>
      </c>
      <c r="I1362" t="s">
        <v>28</v>
      </c>
      <c r="J1362" t="s">
        <v>55</v>
      </c>
      <c r="K1362" t="s">
        <v>54</v>
      </c>
      <c r="L1362" t="s">
        <v>64</v>
      </c>
      <c r="M1362" t="s">
        <v>53</v>
      </c>
      <c r="N1362" t="s">
        <v>10</v>
      </c>
      <c r="O1362" t="s">
        <v>87</v>
      </c>
      <c r="P1362" t="s">
        <v>39</v>
      </c>
      <c r="Q1362" t="s">
        <v>7</v>
      </c>
      <c r="R1362" t="s">
        <v>6</v>
      </c>
      <c r="S1362">
        <v>5</v>
      </c>
      <c r="T1362">
        <v>5</v>
      </c>
      <c r="U1362">
        <v>135</v>
      </c>
      <c r="V1362" t="s">
        <v>0</v>
      </c>
      <c r="W1362" t="s">
        <v>5</v>
      </c>
      <c r="X1362" t="s">
        <v>0</v>
      </c>
      <c r="Y1362" t="s">
        <v>4</v>
      </c>
      <c r="Z1362" t="s">
        <v>0</v>
      </c>
      <c r="AA1362">
        <v>0</v>
      </c>
      <c r="AB1362">
        <v>0</v>
      </c>
      <c r="AC1362">
        <v>0</v>
      </c>
      <c r="AD1362" t="s">
        <v>3</v>
      </c>
      <c r="AE1362" t="s">
        <v>0</v>
      </c>
      <c r="AF1362" t="s">
        <v>3</v>
      </c>
      <c r="AG1362" t="s">
        <v>2</v>
      </c>
      <c r="AI1362" t="s">
        <v>23</v>
      </c>
      <c r="AJ1362">
        <v>4</v>
      </c>
      <c r="AK1362">
        <v>39</v>
      </c>
      <c r="AL1362">
        <v>35</v>
      </c>
      <c r="AM1362" t="s">
        <v>5</v>
      </c>
      <c r="AN1362">
        <v>1</v>
      </c>
      <c r="AO1362">
        <v>0</v>
      </c>
      <c r="AP1362">
        <v>0</v>
      </c>
      <c r="AQ1362">
        <v>1</v>
      </c>
    </row>
    <row r="1363" spans="1:43" x14ac:dyDescent="0.25">
      <c r="A1363" t="s">
        <v>328</v>
      </c>
      <c r="B1363" t="s">
        <v>327</v>
      </c>
      <c r="C1363" t="s">
        <v>326</v>
      </c>
      <c r="D1363" s="1">
        <v>46001</v>
      </c>
      <c r="E1363" t="s">
        <v>156</v>
      </c>
      <c r="F1363" t="s">
        <v>325</v>
      </c>
      <c r="G1363" t="s">
        <v>30</v>
      </c>
      <c r="H1363" t="s">
        <v>66</v>
      </c>
      <c r="I1363" t="s">
        <v>28</v>
      </c>
      <c r="J1363" t="s">
        <v>55</v>
      </c>
      <c r="K1363" t="s">
        <v>54</v>
      </c>
      <c r="L1363" t="s">
        <v>117</v>
      </c>
      <c r="M1363" t="s">
        <v>11</v>
      </c>
      <c r="N1363" t="s">
        <v>75</v>
      </c>
      <c r="O1363" t="s">
        <v>87</v>
      </c>
      <c r="P1363" t="s">
        <v>39</v>
      </c>
      <c r="Q1363" t="s">
        <v>172</v>
      </c>
      <c r="R1363" t="s">
        <v>6</v>
      </c>
      <c r="S1363">
        <v>5</v>
      </c>
      <c r="T1363">
        <v>5</v>
      </c>
      <c r="U1363">
        <v>139</v>
      </c>
      <c r="V1363" t="s">
        <v>0</v>
      </c>
      <c r="W1363" t="s">
        <v>5</v>
      </c>
      <c r="X1363" t="s">
        <v>0</v>
      </c>
      <c r="Y1363" t="s">
        <v>4</v>
      </c>
      <c r="Z1363" t="s">
        <v>5</v>
      </c>
      <c r="AA1363">
        <v>121.39</v>
      </c>
      <c r="AB1363">
        <v>0</v>
      </c>
      <c r="AC1363">
        <v>0</v>
      </c>
      <c r="AD1363" t="s">
        <v>3</v>
      </c>
      <c r="AE1363" t="s">
        <v>0</v>
      </c>
      <c r="AF1363" t="s">
        <v>3</v>
      </c>
      <c r="AG1363" t="s">
        <v>2</v>
      </c>
      <c r="AI1363" t="s">
        <v>23</v>
      </c>
      <c r="AJ1363">
        <v>4</v>
      </c>
      <c r="AK1363">
        <v>21</v>
      </c>
      <c r="AL1363">
        <v>44</v>
      </c>
      <c r="AM1363" t="s">
        <v>5</v>
      </c>
      <c r="AN1363">
        <v>1</v>
      </c>
      <c r="AO1363">
        <v>1</v>
      </c>
      <c r="AP1363">
        <v>0</v>
      </c>
      <c r="AQ1363">
        <v>1</v>
      </c>
    </row>
    <row r="1364" spans="1:43" x14ac:dyDescent="0.25">
      <c r="A1364" t="s">
        <v>324</v>
      </c>
      <c r="B1364" t="s">
        <v>323</v>
      </c>
      <c r="C1364" t="s">
        <v>322</v>
      </c>
      <c r="D1364" s="1">
        <v>45781</v>
      </c>
      <c r="E1364" t="s">
        <v>95</v>
      </c>
      <c r="F1364" t="s">
        <v>321</v>
      </c>
      <c r="G1364" t="s">
        <v>56</v>
      </c>
      <c r="H1364" t="s">
        <v>29</v>
      </c>
      <c r="I1364" t="s">
        <v>15</v>
      </c>
      <c r="J1364" t="s">
        <v>55</v>
      </c>
      <c r="K1364" t="s">
        <v>54</v>
      </c>
      <c r="L1364" t="s">
        <v>12</v>
      </c>
      <c r="M1364" t="s">
        <v>299</v>
      </c>
      <c r="N1364" t="s">
        <v>41</v>
      </c>
      <c r="O1364" t="s">
        <v>26</v>
      </c>
      <c r="P1364" t="s">
        <v>25</v>
      </c>
      <c r="Q1364" t="s">
        <v>7</v>
      </c>
      <c r="R1364" t="s">
        <v>6</v>
      </c>
      <c r="S1364">
        <v>4</v>
      </c>
      <c r="T1364">
        <v>4</v>
      </c>
      <c r="U1364">
        <v>96</v>
      </c>
      <c r="V1364" t="s">
        <v>0</v>
      </c>
      <c r="W1364" t="s">
        <v>5</v>
      </c>
      <c r="X1364" t="s">
        <v>0</v>
      </c>
      <c r="Y1364" t="s">
        <v>4</v>
      </c>
      <c r="Z1364" t="s">
        <v>5</v>
      </c>
      <c r="AA1364">
        <v>131.51</v>
      </c>
      <c r="AB1364">
        <v>0.18</v>
      </c>
      <c r="AC1364">
        <v>0</v>
      </c>
      <c r="AD1364" t="s">
        <v>3</v>
      </c>
      <c r="AE1364" t="s">
        <v>0</v>
      </c>
      <c r="AF1364" t="s">
        <v>3</v>
      </c>
      <c r="AG1364" t="s">
        <v>2</v>
      </c>
      <c r="AI1364" t="s">
        <v>23</v>
      </c>
      <c r="AJ1364">
        <v>5</v>
      </c>
      <c r="AK1364">
        <v>60</v>
      </c>
      <c r="AL1364">
        <v>49</v>
      </c>
      <c r="AM1364" t="s">
        <v>0</v>
      </c>
      <c r="AN1364">
        <v>1</v>
      </c>
      <c r="AO1364">
        <v>1</v>
      </c>
      <c r="AP1364">
        <v>0</v>
      </c>
      <c r="AQ1364">
        <v>0</v>
      </c>
    </row>
    <row r="1365" spans="1:43" x14ac:dyDescent="0.25">
      <c r="A1365" t="s">
        <v>320</v>
      </c>
      <c r="B1365" t="s">
        <v>319</v>
      </c>
      <c r="C1365" t="s">
        <v>318</v>
      </c>
      <c r="D1365" s="1">
        <v>45820</v>
      </c>
      <c r="E1365" t="s">
        <v>125</v>
      </c>
      <c r="F1365" t="s">
        <v>132</v>
      </c>
      <c r="G1365" t="s">
        <v>56</v>
      </c>
      <c r="H1365" t="s">
        <v>77</v>
      </c>
      <c r="I1365" t="s">
        <v>28</v>
      </c>
      <c r="J1365" t="s">
        <v>55</v>
      </c>
      <c r="K1365" t="s">
        <v>54</v>
      </c>
      <c r="L1365" t="s">
        <v>12</v>
      </c>
      <c r="M1365" t="s">
        <v>27</v>
      </c>
      <c r="N1365" t="s">
        <v>93</v>
      </c>
      <c r="O1365" t="s">
        <v>101</v>
      </c>
      <c r="P1365" t="s">
        <v>8</v>
      </c>
      <c r="Q1365" t="s">
        <v>7</v>
      </c>
      <c r="R1365" t="s">
        <v>6</v>
      </c>
      <c r="S1365" t="s">
        <v>99</v>
      </c>
      <c r="T1365">
        <v>4</v>
      </c>
      <c r="U1365">
        <v>101</v>
      </c>
      <c r="V1365" t="s">
        <v>0</v>
      </c>
      <c r="W1365" t="s">
        <v>5</v>
      </c>
      <c r="X1365" t="s">
        <v>0</v>
      </c>
      <c r="Y1365" t="s">
        <v>4</v>
      </c>
      <c r="Z1365" t="s">
        <v>5</v>
      </c>
      <c r="AA1365">
        <v>96.26</v>
      </c>
      <c r="AB1365">
        <v>0.48</v>
      </c>
      <c r="AC1365">
        <v>0.37</v>
      </c>
      <c r="AD1365" t="s">
        <v>3</v>
      </c>
      <c r="AE1365" t="s">
        <v>0</v>
      </c>
      <c r="AF1365" t="s">
        <v>3</v>
      </c>
      <c r="AG1365" t="s">
        <v>2</v>
      </c>
      <c r="AI1365" t="s">
        <v>23</v>
      </c>
      <c r="AJ1365">
        <v>4</v>
      </c>
      <c r="AK1365">
        <v>60</v>
      </c>
      <c r="AL1365">
        <v>27</v>
      </c>
      <c r="AM1365" t="s">
        <v>5</v>
      </c>
      <c r="AN1365">
        <v>1</v>
      </c>
      <c r="AO1365">
        <v>1</v>
      </c>
      <c r="AP1365">
        <v>0</v>
      </c>
      <c r="AQ1365">
        <v>1</v>
      </c>
    </row>
    <row r="1366" spans="1:43" x14ac:dyDescent="0.25">
      <c r="A1366" t="s">
        <v>317</v>
      </c>
      <c r="B1366" t="s">
        <v>316</v>
      </c>
      <c r="C1366" t="s">
        <v>315</v>
      </c>
      <c r="D1366" s="1">
        <v>45854</v>
      </c>
      <c r="E1366" t="s">
        <v>19</v>
      </c>
      <c r="F1366" t="s">
        <v>89</v>
      </c>
      <c r="G1366" t="s">
        <v>56</v>
      </c>
      <c r="H1366" t="s">
        <v>77</v>
      </c>
      <c r="I1366" t="s">
        <v>15</v>
      </c>
      <c r="J1366" t="s">
        <v>14</v>
      </c>
      <c r="K1366" t="s">
        <v>13</v>
      </c>
      <c r="L1366" t="s">
        <v>64</v>
      </c>
      <c r="M1366" t="s">
        <v>11</v>
      </c>
      <c r="N1366" t="s">
        <v>75</v>
      </c>
      <c r="O1366" t="s">
        <v>74</v>
      </c>
      <c r="P1366" t="s">
        <v>39</v>
      </c>
      <c r="Q1366" t="s">
        <v>24</v>
      </c>
      <c r="R1366" t="s">
        <v>6</v>
      </c>
      <c r="S1366">
        <v>6</v>
      </c>
      <c r="T1366">
        <v>6</v>
      </c>
      <c r="U1366">
        <v>184</v>
      </c>
      <c r="V1366" t="s">
        <v>0</v>
      </c>
      <c r="W1366" t="s">
        <v>0</v>
      </c>
      <c r="X1366" t="s">
        <v>5</v>
      </c>
      <c r="Y1366" t="s">
        <v>314</v>
      </c>
      <c r="Z1366" t="s">
        <v>0</v>
      </c>
      <c r="AA1366">
        <v>0</v>
      </c>
      <c r="AB1366">
        <v>0</v>
      </c>
      <c r="AC1366">
        <v>0</v>
      </c>
      <c r="AD1366" t="s">
        <v>3</v>
      </c>
      <c r="AE1366" t="s">
        <v>0</v>
      </c>
      <c r="AF1366" t="s">
        <v>3</v>
      </c>
      <c r="AG1366" t="s">
        <v>2</v>
      </c>
      <c r="AI1366" t="s">
        <v>23</v>
      </c>
      <c r="AJ1366">
        <v>2</v>
      </c>
      <c r="AK1366">
        <v>-2</v>
      </c>
      <c r="AL1366">
        <v>11</v>
      </c>
      <c r="AM1366" t="s">
        <v>0</v>
      </c>
      <c r="AN1366">
        <v>0</v>
      </c>
      <c r="AO1366">
        <v>0</v>
      </c>
      <c r="AP1366">
        <v>1</v>
      </c>
      <c r="AQ1366">
        <v>0</v>
      </c>
    </row>
    <row r="1367" spans="1:43" x14ac:dyDescent="0.25">
      <c r="A1367" t="s">
        <v>313</v>
      </c>
      <c r="B1367" t="s">
        <v>312</v>
      </c>
      <c r="C1367" t="s">
        <v>311</v>
      </c>
      <c r="D1367" s="1">
        <v>45857</v>
      </c>
      <c r="E1367" t="s">
        <v>162</v>
      </c>
      <c r="F1367" t="s">
        <v>310</v>
      </c>
      <c r="G1367" t="s">
        <v>83</v>
      </c>
      <c r="H1367" t="s">
        <v>29</v>
      </c>
      <c r="I1367" t="s">
        <v>28</v>
      </c>
      <c r="J1367" t="s">
        <v>55</v>
      </c>
      <c r="K1367" t="s">
        <v>54</v>
      </c>
      <c r="L1367" t="s">
        <v>42</v>
      </c>
      <c r="M1367" t="s">
        <v>11</v>
      </c>
      <c r="N1367" t="s">
        <v>10</v>
      </c>
      <c r="O1367" t="s">
        <v>9</v>
      </c>
      <c r="P1367" t="s">
        <v>25</v>
      </c>
      <c r="Q1367" t="s">
        <v>198</v>
      </c>
      <c r="R1367" t="s">
        <v>38</v>
      </c>
      <c r="S1367">
        <v>7</v>
      </c>
      <c r="T1367">
        <v>7</v>
      </c>
      <c r="U1367">
        <v>132</v>
      </c>
      <c r="V1367" t="s">
        <v>0</v>
      </c>
      <c r="W1367" t="s">
        <v>5</v>
      </c>
      <c r="X1367" t="s">
        <v>0</v>
      </c>
      <c r="Y1367" t="s">
        <v>4</v>
      </c>
      <c r="Z1367" t="s">
        <v>5</v>
      </c>
      <c r="AA1367">
        <v>0</v>
      </c>
      <c r="AB1367">
        <v>0</v>
      </c>
      <c r="AC1367">
        <v>0</v>
      </c>
      <c r="AD1367" t="s">
        <v>3</v>
      </c>
      <c r="AE1367" t="s">
        <v>0</v>
      </c>
      <c r="AF1367" t="s">
        <v>3</v>
      </c>
      <c r="AG1367" t="s">
        <v>2</v>
      </c>
      <c r="AI1367" t="s">
        <v>23</v>
      </c>
      <c r="AJ1367">
        <v>3</v>
      </c>
      <c r="AK1367">
        <v>21</v>
      </c>
      <c r="AL1367">
        <v>24</v>
      </c>
      <c r="AM1367" t="s">
        <v>5</v>
      </c>
      <c r="AN1367">
        <v>1</v>
      </c>
      <c r="AO1367">
        <v>1</v>
      </c>
      <c r="AP1367">
        <v>0</v>
      </c>
      <c r="AQ1367">
        <v>1</v>
      </c>
    </row>
    <row r="1368" spans="1:43" x14ac:dyDescent="0.25">
      <c r="A1368" t="s">
        <v>309</v>
      </c>
      <c r="B1368" t="s">
        <v>137</v>
      </c>
      <c r="C1368" t="s">
        <v>308</v>
      </c>
      <c r="D1368" s="1">
        <v>46013</v>
      </c>
      <c r="E1368" t="s">
        <v>112</v>
      </c>
      <c r="F1368" t="s">
        <v>307</v>
      </c>
      <c r="G1368" t="s">
        <v>30</v>
      </c>
      <c r="H1368" t="s">
        <v>237</v>
      </c>
      <c r="I1368" t="s">
        <v>15</v>
      </c>
      <c r="J1368" t="s">
        <v>14</v>
      </c>
      <c r="K1368" t="s">
        <v>13</v>
      </c>
      <c r="L1368" t="s">
        <v>88</v>
      </c>
      <c r="M1368" t="s">
        <v>27</v>
      </c>
      <c r="N1368" t="s">
        <v>10</v>
      </c>
      <c r="O1368" t="s">
        <v>9</v>
      </c>
      <c r="P1368" t="s">
        <v>39</v>
      </c>
      <c r="Q1368" t="s">
        <v>198</v>
      </c>
      <c r="R1368" t="s">
        <v>38</v>
      </c>
      <c r="S1368">
        <v>7</v>
      </c>
      <c r="T1368">
        <v>7</v>
      </c>
      <c r="U1368">
        <v>223</v>
      </c>
      <c r="V1368" t="s">
        <v>0</v>
      </c>
      <c r="W1368" t="s">
        <v>5</v>
      </c>
      <c r="X1368" t="s">
        <v>0</v>
      </c>
      <c r="Y1368" t="s">
        <v>4</v>
      </c>
      <c r="Z1368" t="s">
        <v>5</v>
      </c>
      <c r="AA1368">
        <v>0</v>
      </c>
      <c r="AB1368">
        <v>0</v>
      </c>
      <c r="AC1368">
        <v>0.37</v>
      </c>
      <c r="AD1368" t="s">
        <v>3</v>
      </c>
      <c r="AE1368" t="s">
        <v>0</v>
      </c>
      <c r="AF1368" t="s">
        <v>3</v>
      </c>
      <c r="AG1368" t="s">
        <v>2</v>
      </c>
      <c r="AI1368" t="s">
        <v>23</v>
      </c>
      <c r="AJ1368">
        <v>4</v>
      </c>
      <c r="AK1368">
        <v>29</v>
      </c>
      <c r="AL1368">
        <v>25</v>
      </c>
      <c r="AM1368" t="s">
        <v>5</v>
      </c>
      <c r="AN1368">
        <v>1</v>
      </c>
      <c r="AO1368">
        <v>1</v>
      </c>
      <c r="AP1368">
        <v>0</v>
      </c>
      <c r="AQ1368">
        <v>1</v>
      </c>
    </row>
    <row r="1369" spans="1:43" x14ac:dyDescent="0.25">
      <c r="A1369" t="s">
        <v>306</v>
      </c>
      <c r="B1369" t="s">
        <v>305</v>
      </c>
      <c r="C1369" t="s">
        <v>304</v>
      </c>
      <c r="D1369" s="1">
        <v>45968</v>
      </c>
      <c r="E1369" t="s">
        <v>19</v>
      </c>
      <c r="F1369" t="s">
        <v>295</v>
      </c>
      <c r="G1369" t="s">
        <v>110</v>
      </c>
      <c r="H1369" t="s">
        <v>29</v>
      </c>
      <c r="I1369" t="s">
        <v>15</v>
      </c>
      <c r="J1369" t="s">
        <v>14</v>
      </c>
      <c r="K1369" t="s">
        <v>13</v>
      </c>
      <c r="L1369" t="s">
        <v>117</v>
      </c>
      <c r="M1369" t="s">
        <v>11</v>
      </c>
      <c r="N1369" t="s">
        <v>41</v>
      </c>
      <c r="O1369" t="s">
        <v>87</v>
      </c>
      <c r="P1369" t="s">
        <v>39</v>
      </c>
      <c r="Q1369" t="s">
        <v>100</v>
      </c>
      <c r="R1369" t="s">
        <v>6</v>
      </c>
      <c r="S1369">
        <v>5</v>
      </c>
      <c r="T1369" t="s">
        <v>277</v>
      </c>
      <c r="U1369">
        <v>124</v>
      </c>
      <c r="V1369" t="s">
        <v>0</v>
      </c>
      <c r="W1369" t="s">
        <v>5</v>
      </c>
      <c r="X1369" t="s">
        <v>0</v>
      </c>
      <c r="Y1369" t="s">
        <v>4</v>
      </c>
      <c r="Z1369" t="s">
        <v>0</v>
      </c>
      <c r="AA1369">
        <v>0</v>
      </c>
      <c r="AB1369">
        <v>0</v>
      </c>
      <c r="AC1369">
        <v>0</v>
      </c>
      <c r="AD1369" t="s">
        <v>3</v>
      </c>
      <c r="AE1369" t="s">
        <v>0</v>
      </c>
      <c r="AF1369" t="s">
        <v>3</v>
      </c>
      <c r="AG1369" t="s">
        <v>2</v>
      </c>
      <c r="AI1369" t="s">
        <v>23</v>
      </c>
      <c r="AJ1369">
        <v>4</v>
      </c>
      <c r="AK1369">
        <v>8</v>
      </c>
      <c r="AL1369">
        <v>56</v>
      </c>
      <c r="AM1369" t="s">
        <v>5</v>
      </c>
      <c r="AN1369">
        <v>1</v>
      </c>
      <c r="AO1369">
        <v>0</v>
      </c>
      <c r="AP1369">
        <v>0</v>
      </c>
      <c r="AQ1369">
        <v>1</v>
      </c>
    </row>
    <row r="1370" spans="1:43" x14ac:dyDescent="0.25">
      <c r="A1370" t="s">
        <v>303</v>
      </c>
      <c r="B1370" t="s">
        <v>302</v>
      </c>
      <c r="C1370" t="s">
        <v>301</v>
      </c>
      <c r="D1370" s="1">
        <v>45692</v>
      </c>
      <c r="E1370" t="s">
        <v>162</v>
      </c>
      <c r="F1370" t="s">
        <v>300</v>
      </c>
      <c r="G1370" t="s">
        <v>30</v>
      </c>
      <c r="H1370" t="s">
        <v>77</v>
      </c>
      <c r="I1370" t="s">
        <v>28</v>
      </c>
      <c r="J1370" t="s">
        <v>14</v>
      </c>
      <c r="K1370" t="s">
        <v>13</v>
      </c>
      <c r="L1370" t="s">
        <v>88</v>
      </c>
      <c r="M1370" t="s">
        <v>299</v>
      </c>
      <c r="N1370" t="s">
        <v>41</v>
      </c>
      <c r="O1370" t="s">
        <v>101</v>
      </c>
      <c r="P1370" t="s">
        <v>39</v>
      </c>
      <c r="Q1370" t="s">
        <v>198</v>
      </c>
      <c r="R1370" t="s">
        <v>6</v>
      </c>
      <c r="S1370" t="s">
        <v>99</v>
      </c>
      <c r="T1370">
        <v>4</v>
      </c>
      <c r="U1370">
        <v>89</v>
      </c>
      <c r="V1370" t="s">
        <v>0</v>
      </c>
      <c r="W1370" t="s">
        <v>5</v>
      </c>
      <c r="X1370" t="s">
        <v>0</v>
      </c>
      <c r="Y1370" t="s">
        <v>4</v>
      </c>
      <c r="Z1370" t="s">
        <v>5</v>
      </c>
      <c r="AA1370">
        <v>88.19</v>
      </c>
      <c r="AB1370">
        <v>0.51</v>
      </c>
      <c r="AC1370">
        <v>0</v>
      </c>
      <c r="AD1370" t="s">
        <v>3</v>
      </c>
      <c r="AE1370" t="s">
        <v>0</v>
      </c>
      <c r="AF1370" t="s">
        <v>3</v>
      </c>
      <c r="AG1370" t="s">
        <v>2</v>
      </c>
      <c r="AI1370" t="s">
        <v>23</v>
      </c>
      <c r="AJ1370">
        <v>5</v>
      </c>
      <c r="AK1370">
        <v>11</v>
      </c>
      <c r="AL1370">
        <v>27</v>
      </c>
      <c r="AM1370" t="s">
        <v>5</v>
      </c>
      <c r="AN1370">
        <v>1</v>
      </c>
      <c r="AO1370">
        <v>1</v>
      </c>
      <c r="AP1370">
        <v>0</v>
      </c>
      <c r="AQ1370">
        <v>1</v>
      </c>
    </row>
    <row r="1371" spans="1:43" x14ac:dyDescent="0.25">
      <c r="A1371" t="s">
        <v>298</v>
      </c>
      <c r="B1371" t="s">
        <v>297</v>
      </c>
      <c r="C1371" t="s">
        <v>296</v>
      </c>
      <c r="D1371" s="1">
        <v>46117</v>
      </c>
      <c r="E1371" t="s">
        <v>19</v>
      </c>
      <c r="F1371" t="s">
        <v>295</v>
      </c>
      <c r="G1371" t="s">
        <v>110</v>
      </c>
      <c r="H1371" t="s">
        <v>29</v>
      </c>
      <c r="I1371" t="s">
        <v>28</v>
      </c>
      <c r="J1371" t="s">
        <v>55</v>
      </c>
      <c r="K1371" t="s">
        <v>54</v>
      </c>
      <c r="L1371" t="s">
        <v>42</v>
      </c>
      <c r="M1371" t="s">
        <v>27</v>
      </c>
      <c r="N1371" t="s">
        <v>52</v>
      </c>
      <c r="O1371" t="s">
        <v>9</v>
      </c>
      <c r="P1371" t="s">
        <v>39</v>
      </c>
      <c r="Q1371" t="s">
        <v>7</v>
      </c>
      <c r="R1371" t="s">
        <v>6</v>
      </c>
      <c r="S1371">
        <v>7</v>
      </c>
      <c r="T1371">
        <v>7</v>
      </c>
      <c r="U1371">
        <v>298</v>
      </c>
      <c r="V1371" t="s">
        <v>0</v>
      </c>
      <c r="W1371" t="s">
        <v>0</v>
      </c>
      <c r="X1371" t="s">
        <v>5</v>
      </c>
      <c r="Y1371" t="s">
        <v>294</v>
      </c>
      <c r="Z1371" t="s">
        <v>5</v>
      </c>
      <c r="AA1371">
        <v>62.19</v>
      </c>
      <c r="AB1371">
        <v>0</v>
      </c>
      <c r="AC1371">
        <v>0.37</v>
      </c>
      <c r="AD1371" t="s">
        <v>3</v>
      </c>
      <c r="AE1371" t="s">
        <v>0</v>
      </c>
      <c r="AF1371" t="s">
        <v>3</v>
      </c>
      <c r="AG1371" t="s">
        <v>2</v>
      </c>
      <c r="AI1371" t="s">
        <v>122</v>
      </c>
      <c r="AJ1371">
        <v>2</v>
      </c>
      <c r="AK1371">
        <v>-49</v>
      </c>
      <c r="AL1371">
        <v>22</v>
      </c>
      <c r="AM1371" t="s">
        <v>0</v>
      </c>
      <c r="AN1371">
        <v>0</v>
      </c>
      <c r="AO1371">
        <v>1</v>
      </c>
      <c r="AP1371">
        <v>1</v>
      </c>
      <c r="AQ1371">
        <v>0</v>
      </c>
    </row>
    <row r="1372" spans="1:43" x14ac:dyDescent="0.25">
      <c r="A1372" t="s">
        <v>293</v>
      </c>
      <c r="B1372" t="s">
        <v>292</v>
      </c>
      <c r="C1372" t="s">
        <v>291</v>
      </c>
      <c r="D1372" s="1">
        <v>45789</v>
      </c>
      <c r="E1372" t="s">
        <v>168</v>
      </c>
      <c r="F1372" t="s">
        <v>167</v>
      </c>
      <c r="G1372" t="s">
        <v>17</v>
      </c>
      <c r="H1372" t="s">
        <v>66</v>
      </c>
      <c r="I1372" t="s">
        <v>15</v>
      </c>
      <c r="J1372" t="s">
        <v>146</v>
      </c>
      <c r="K1372" t="s">
        <v>145</v>
      </c>
      <c r="L1372" t="s">
        <v>64</v>
      </c>
      <c r="M1372" t="s">
        <v>53</v>
      </c>
      <c r="N1372" t="s">
        <v>269</v>
      </c>
      <c r="O1372" t="s">
        <v>40</v>
      </c>
      <c r="P1372" t="s">
        <v>25</v>
      </c>
      <c r="Q1372" t="s">
        <v>7</v>
      </c>
      <c r="R1372" t="s">
        <v>6</v>
      </c>
      <c r="S1372">
        <v>8</v>
      </c>
      <c r="T1372">
        <v>8</v>
      </c>
      <c r="U1372">
        <v>237</v>
      </c>
      <c r="V1372" t="s">
        <v>0</v>
      </c>
      <c r="W1372" t="s">
        <v>5</v>
      </c>
      <c r="X1372" t="s">
        <v>135</v>
      </c>
      <c r="Y1372" t="s">
        <v>4</v>
      </c>
      <c r="Z1372" t="s">
        <v>5</v>
      </c>
      <c r="AA1372">
        <v>433.96</v>
      </c>
      <c r="AB1372">
        <v>2.16</v>
      </c>
      <c r="AC1372">
        <v>0.17</v>
      </c>
      <c r="AD1372" t="s">
        <v>3</v>
      </c>
      <c r="AE1372" t="s">
        <v>0</v>
      </c>
      <c r="AF1372" t="s">
        <v>3</v>
      </c>
      <c r="AG1372" t="s">
        <v>2</v>
      </c>
      <c r="AI1372" t="s">
        <v>23</v>
      </c>
      <c r="AJ1372">
        <v>5</v>
      </c>
      <c r="AK1372">
        <v>-15</v>
      </c>
      <c r="AL1372">
        <v>19</v>
      </c>
      <c r="AM1372" t="s">
        <v>0</v>
      </c>
      <c r="AN1372">
        <v>1</v>
      </c>
      <c r="AO1372">
        <v>1</v>
      </c>
      <c r="AP1372">
        <v>0</v>
      </c>
      <c r="AQ1372">
        <v>0</v>
      </c>
    </row>
    <row r="1373" spans="1:43" x14ac:dyDescent="0.25">
      <c r="A1373" t="s">
        <v>290</v>
      </c>
      <c r="B1373" t="s">
        <v>289</v>
      </c>
      <c r="C1373" t="s">
        <v>288</v>
      </c>
      <c r="D1373" s="1">
        <v>45817</v>
      </c>
      <c r="E1373" t="s">
        <v>79</v>
      </c>
      <c r="F1373" t="s">
        <v>102</v>
      </c>
      <c r="G1373" t="s">
        <v>56</v>
      </c>
      <c r="H1373" t="s">
        <v>43</v>
      </c>
      <c r="I1373" t="s">
        <v>28</v>
      </c>
      <c r="J1373" t="s">
        <v>55</v>
      </c>
      <c r="K1373" t="s">
        <v>54</v>
      </c>
      <c r="L1373" t="s">
        <v>88</v>
      </c>
      <c r="M1373" t="s">
        <v>11</v>
      </c>
      <c r="N1373" t="s">
        <v>93</v>
      </c>
      <c r="O1373" t="s">
        <v>101</v>
      </c>
      <c r="P1373" t="s">
        <v>63</v>
      </c>
      <c r="Q1373" t="s">
        <v>24</v>
      </c>
      <c r="R1373" t="s">
        <v>247</v>
      </c>
      <c r="S1373">
        <v>4</v>
      </c>
      <c r="T1373">
        <v>4</v>
      </c>
      <c r="U1373">
        <v>75</v>
      </c>
      <c r="V1373" t="s">
        <v>0</v>
      </c>
      <c r="W1373" t="s">
        <v>287</v>
      </c>
      <c r="X1373" t="s">
        <v>0</v>
      </c>
      <c r="Y1373" t="s">
        <v>4</v>
      </c>
      <c r="Z1373" t="s">
        <v>5</v>
      </c>
      <c r="AA1373">
        <v>36.090000000000003</v>
      </c>
      <c r="AB1373">
        <v>0.53</v>
      </c>
      <c r="AC1373">
        <v>0</v>
      </c>
      <c r="AD1373" t="s">
        <v>3</v>
      </c>
      <c r="AE1373" t="s">
        <v>0</v>
      </c>
      <c r="AF1373" t="s">
        <v>3</v>
      </c>
      <c r="AG1373" t="s">
        <v>2</v>
      </c>
      <c r="AI1373" t="s">
        <v>23</v>
      </c>
      <c r="AJ1373">
        <v>5</v>
      </c>
      <c r="AK1373">
        <v>77</v>
      </c>
      <c r="AL1373">
        <v>0</v>
      </c>
      <c r="AM1373" t="s">
        <v>5</v>
      </c>
      <c r="AN1373">
        <v>1</v>
      </c>
      <c r="AO1373">
        <v>1</v>
      </c>
      <c r="AP1373">
        <v>0</v>
      </c>
      <c r="AQ1373">
        <v>1</v>
      </c>
    </row>
    <row r="1374" spans="1:43" x14ac:dyDescent="0.25">
      <c r="A1374" t="s">
        <v>286</v>
      </c>
      <c r="B1374" t="s">
        <v>285</v>
      </c>
      <c r="C1374" t="s">
        <v>284</v>
      </c>
      <c r="D1374" s="1">
        <v>45723</v>
      </c>
      <c r="E1374" t="s">
        <v>168</v>
      </c>
      <c r="F1374" t="s">
        <v>283</v>
      </c>
      <c r="G1374" t="s">
        <v>30</v>
      </c>
      <c r="H1374" t="s">
        <v>77</v>
      </c>
      <c r="I1374" t="s">
        <v>28</v>
      </c>
      <c r="J1374" t="s">
        <v>14</v>
      </c>
      <c r="K1374" t="s">
        <v>13</v>
      </c>
      <c r="L1374" t="s">
        <v>88</v>
      </c>
      <c r="M1374" t="s">
        <v>53</v>
      </c>
      <c r="N1374" t="s">
        <v>116</v>
      </c>
      <c r="O1374" t="s">
        <v>199</v>
      </c>
      <c r="P1374" t="s">
        <v>8</v>
      </c>
      <c r="Q1374" t="s">
        <v>24</v>
      </c>
      <c r="R1374" t="s">
        <v>38</v>
      </c>
      <c r="S1374">
        <v>5</v>
      </c>
      <c r="T1374">
        <v>5</v>
      </c>
      <c r="U1374">
        <v>146</v>
      </c>
      <c r="V1374" t="s">
        <v>0</v>
      </c>
      <c r="W1374" t="s">
        <v>5</v>
      </c>
      <c r="X1374" t="s">
        <v>5</v>
      </c>
      <c r="Y1374" t="s">
        <v>282</v>
      </c>
      <c r="Z1374" t="s">
        <v>0</v>
      </c>
      <c r="AA1374">
        <v>0</v>
      </c>
      <c r="AB1374">
        <v>0</v>
      </c>
      <c r="AC1374">
        <v>0</v>
      </c>
      <c r="AD1374" t="s">
        <v>3</v>
      </c>
      <c r="AE1374" t="s">
        <v>0</v>
      </c>
      <c r="AF1374" t="s">
        <v>3</v>
      </c>
      <c r="AG1374" t="s">
        <v>2</v>
      </c>
      <c r="AI1374" t="s">
        <v>23</v>
      </c>
      <c r="AJ1374">
        <v>3</v>
      </c>
      <c r="AK1374">
        <v>13</v>
      </c>
      <c r="AL1374">
        <v>59</v>
      </c>
      <c r="AM1374" t="s">
        <v>5</v>
      </c>
      <c r="AN1374">
        <v>1</v>
      </c>
      <c r="AO1374">
        <v>0</v>
      </c>
      <c r="AP1374">
        <v>1</v>
      </c>
      <c r="AQ1374">
        <v>1</v>
      </c>
    </row>
    <row r="1375" spans="1:43" x14ac:dyDescent="0.25">
      <c r="A1375" t="s">
        <v>281</v>
      </c>
      <c r="B1375" t="s">
        <v>280</v>
      </c>
      <c r="C1375" t="s">
        <v>279</v>
      </c>
      <c r="D1375" s="1">
        <v>46143</v>
      </c>
      <c r="E1375" t="s">
        <v>68</v>
      </c>
      <c r="F1375" t="s">
        <v>278</v>
      </c>
      <c r="G1375" t="s">
        <v>56</v>
      </c>
      <c r="H1375" t="s">
        <v>77</v>
      </c>
      <c r="I1375" t="s">
        <v>28</v>
      </c>
      <c r="J1375" t="s">
        <v>146</v>
      </c>
      <c r="K1375" t="s">
        <v>176</v>
      </c>
      <c r="L1375" t="s">
        <v>88</v>
      </c>
      <c r="M1375" t="s">
        <v>11</v>
      </c>
      <c r="N1375" t="s">
        <v>269</v>
      </c>
      <c r="O1375" t="s">
        <v>199</v>
      </c>
      <c r="P1375" t="s">
        <v>63</v>
      </c>
      <c r="Q1375" t="s">
        <v>50</v>
      </c>
      <c r="R1375" t="s">
        <v>6</v>
      </c>
      <c r="S1375" t="s">
        <v>277</v>
      </c>
      <c r="T1375">
        <v>5</v>
      </c>
      <c r="U1375">
        <v>115</v>
      </c>
      <c r="V1375" t="s">
        <v>0</v>
      </c>
      <c r="W1375" t="s">
        <v>5</v>
      </c>
      <c r="X1375" t="s">
        <v>0</v>
      </c>
      <c r="Y1375" t="s">
        <v>4</v>
      </c>
      <c r="Z1375" t="s">
        <v>5</v>
      </c>
      <c r="AA1375">
        <v>109.13</v>
      </c>
      <c r="AB1375">
        <v>0</v>
      </c>
      <c r="AC1375">
        <v>0</v>
      </c>
      <c r="AD1375" t="s">
        <v>187</v>
      </c>
      <c r="AE1375" t="s">
        <v>5</v>
      </c>
      <c r="AF1375" t="s">
        <v>187</v>
      </c>
      <c r="AG1375" t="s">
        <v>139</v>
      </c>
      <c r="AH1375">
        <v>34</v>
      </c>
      <c r="AI1375" t="s">
        <v>23</v>
      </c>
      <c r="AJ1375">
        <v>4</v>
      </c>
      <c r="AK1375">
        <v>56</v>
      </c>
      <c r="AL1375">
        <v>0</v>
      </c>
      <c r="AM1375" t="s">
        <v>5</v>
      </c>
      <c r="AN1375">
        <v>1</v>
      </c>
      <c r="AO1375">
        <v>1</v>
      </c>
      <c r="AP1375">
        <v>0</v>
      </c>
      <c r="AQ1375">
        <v>1</v>
      </c>
    </row>
    <row r="1376" spans="1:43" x14ac:dyDescent="0.25">
      <c r="A1376" t="s">
        <v>276</v>
      </c>
      <c r="B1376" t="s">
        <v>275</v>
      </c>
      <c r="C1376" t="s">
        <v>274</v>
      </c>
      <c r="D1376" s="1">
        <v>45754</v>
      </c>
      <c r="E1376" t="s">
        <v>149</v>
      </c>
      <c r="F1376" t="s">
        <v>248</v>
      </c>
      <c r="G1376" t="s">
        <v>56</v>
      </c>
      <c r="H1376" t="s">
        <v>29</v>
      </c>
      <c r="I1376" t="s">
        <v>15</v>
      </c>
      <c r="J1376" t="s">
        <v>14</v>
      </c>
      <c r="K1376" t="s">
        <v>13</v>
      </c>
      <c r="L1376" t="s">
        <v>12</v>
      </c>
      <c r="M1376" t="s">
        <v>11</v>
      </c>
      <c r="N1376" t="s">
        <v>269</v>
      </c>
      <c r="O1376" t="s">
        <v>26</v>
      </c>
      <c r="P1376" t="s">
        <v>8</v>
      </c>
      <c r="Q1376" t="s">
        <v>7</v>
      </c>
      <c r="R1376" t="s">
        <v>6</v>
      </c>
      <c r="S1376">
        <v>4</v>
      </c>
      <c r="T1376" t="s">
        <v>99</v>
      </c>
      <c r="U1376">
        <v>82</v>
      </c>
      <c r="V1376" t="s">
        <v>0</v>
      </c>
      <c r="W1376" t="s">
        <v>5</v>
      </c>
      <c r="X1376" t="s">
        <v>0</v>
      </c>
      <c r="Y1376" t="s">
        <v>4</v>
      </c>
      <c r="Z1376" t="s">
        <v>5</v>
      </c>
      <c r="AA1376">
        <v>125.7</v>
      </c>
      <c r="AB1376">
        <v>0.21</v>
      </c>
      <c r="AC1376">
        <v>0</v>
      </c>
      <c r="AD1376" t="s">
        <v>3</v>
      </c>
      <c r="AE1376" t="s">
        <v>0</v>
      </c>
      <c r="AF1376" t="s">
        <v>3</v>
      </c>
      <c r="AG1376" t="s">
        <v>2</v>
      </c>
      <c r="AI1376" t="s">
        <v>23</v>
      </c>
      <c r="AJ1376">
        <v>4</v>
      </c>
      <c r="AK1376">
        <v>30</v>
      </c>
      <c r="AL1376">
        <v>28</v>
      </c>
      <c r="AM1376" t="s">
        <v>5</v>
      </c>
      <c r="AN1376">
        <v>1</v>
      </c>
      <c r="AO1376">
        <v>1</v>
      </c>
      <c r="AP1376">
        <v>0</v>
      </c>
      <c r="AQ1376">
        <v>1</v>
      </c>
    </row>
    <row r="1377" spans="1:43" x14ac:dyDescent="0.25">
      <c r="A1377" t="s">
        <v>273</v>
      </c>
      <c r="B1377" t="s">
        <v>272</v>
      </c>
      <c r="C1377" t="s">
        <v>271</v>
      </c>
      <c r="D1377" s="1">
        <v>46031</v>
      </c>
      <c r="E1377" t="s">
        <v>95</v>
      </c>
      <c r="F1377" t="s">
        <v>270</v>
      </c>
      <c r="G1377" t="s">
        <v>56</v>
      </c>
      <c r="H1377" t="s">
        <v>43</v>
      </c>
      <c r="I1377" t="s">
        <v>15</v>
      </c>
      <c r="J1377" t="s">
        <v>14</v>
      </c>
      <c r="K1377" t="s">
        <v>13</v>
      </c>
      <c r="L1377" t="s">
        <v>12</v>
      </c>
      <c r="M1377" t="s">
        <v>11</v>
      </c>
      <c r="N1377" t="s">
        <v>269</v>
      </c>
      <c r="O1377" t="s">
        <v>51</v>
      </c>
      <c r="P1377" t="s">
        <v>39</v>
      </c>
      <c r="Q1377" t="s">
        <v>100</v>
      </c>
      <c r="R1377" t="s">
        <v>6</v>
      </c>
      <c r="S1377">
        <v>6</v>
      </c>
      <c r="T1377">
        <v>6</v>
      </c>
      <c r="U1377">
        <v>133</v>
      </c>
      <c r="V1377" t="s">
        <v>0</v>
      </c>
      <c r="W1377" t="s">
        <v>5</v>
      </c>
      <c r="X1377" t="s">
        <v>5</v>
      </c>
      <c r="Y1377" t="s">
        <v>49</v>
      </c>
      <c r="Z1377" t="s">
        <v>5</v>
      </c>
      <c r="AA1377">
        <v>110.38</v>
      </c>
      <c r="AB1377">
        <v>0.11</v>
      </c>
      <c r="AC1377">
        <v>0</v>
      </c>
      <c r="AD1377" t="s">
        <v>3</v>
      </c>
      <c r="AE1377" t="s">
        <v>0</v>
      </c>
      <c r="AF1377" t="s">
        <v>3</v>
      </c>
      <c r="AG1377" t="s">
        <v>2</v>
      </c>
      <c r="AI1377" t="s">
        <v>23</v>
      </c>
      <c r="AJ1377">
        <v>3</v>
      </c>
      <c r="AK1377">
        <v>8</v>
      </c>
      <c r="AL1377">
        <v>14</v>
      </c>
      <c r="AM1377" t="s">
        <v>0</v>
      </c>
      <c r="AN1377">
        <v>1</v>
      </c>
      <c r="AO1377">
        <v>1</v>
      </c>
      <c r="AP1377">
        <v>1</v>
      </c>
      <c r="AQ1377">
        <v>0</v>
      </c>
    </row>
    <row r="1378" spans="1:43" x14ac:dyDescent="0.25">
      <c r="A1378" t="s">
        <v>268</v>
      </c>
      <c r="B1378" t="s">
        <v>267</v>
      </c>
      <c r="C1378" t="s">
        <v>266</v>
      </c>
      <c r="D1378" s="1">
        <v>45862</v>
      </c>
      <c r="E1378" t="s">
        <v>125</v>
      </c>
      <c r="F1378" t="s">
        <v>265</v>
      </c>
      <c r="G1378" t="s">
        <v>83</v>
      </c>
      <c r="H1378" t="s">
        <v>29</v>
      </c>
      <c r="I1378" t="s">
        <v>15</v>
      </c>
      <c r="J1378" t="s">
        <v>146</v>
      </c>
      <c r="K1378" t="s">
        <v>145</v>
      </c>
      <c r="L1378" t="s">
        <v>12</v>
      </c>
      <c r="M1378" t="s">
        <v>53</v>
      </c>
      <c r="N1378" t="s">
        <v>154</v>
      </c>
      <c r="O1378" t="s">
        <v>26</v>
      </c>
      <c r="P1378" t="s">
        <v>8</v>
      </c>
      <c r="Q1378" t="s">
        <v>24</v>
      </c>
      <c r="R1378" t="s">
        <v>6</v>
      </c>
      <c r="S1378">
        <v>4</v>
      </c>
      <c r="T1378">
        <v>2</v>
      </c>
      <c r="U1378">
        <v>152</v>
      </c>
      <c r="V1378" t="s">
        <v>5</v>
      </c>
      <c r="W1378" t="s">
        <v>5</v>
      </c>
      <c r="X1378" t="s">
        <v>0</v>
      </c>
      <c r="Y1378" t="s">
        <v>4</v>
      </c>
      <c r="Z1378" t="s">
        <v>5</v>
      </c>
      <c r="AA1378">
        <v>78.12</v>
      </c>
      <c r="AB1378">
        <v>0.23</v>
      </c>
      <c r="AC1378">
        <v>0.17</v>
      </c>
      <c r="AD1378" t="s">
        <v>3</v>
      </c>
      <c r="AE1378" t="s">
        <v>0</v>
      </c>
      <c r="AF1378" t="s">
        <v>3</v>
      </c>
      <c r="AG1378" t="s">
        <v>2</v>
      </c>
      <c r="AI1378" t="s">
        <v>23</v>
      </c>
      <c r="AJ1378">
        <v>2</v>
      </c>
      <c r="AK1378">
        <v>-2</v>
      </c>
      <c r="AL1378">
        <v>19</v>
      </c>
      <c r="AM1378" t="s">
        <v>0</v>
      </c>
      <c r="AN1378">
        <v>1</v>
      </c>
      <c r="AO1378">
        <v>1</v>
      </c>
      <c r="AP1378">
        <v>0</v>
      </c>
      <c r="AQ1378">
        <v>0</v>
      </c>
    </row>
    <row r="1379" spans="1:43" x14ac:dyDescent="0.25">
      <c r="A1379" t="s">
        <v>264</v>
      </c>
      <c r="B1379" t="s">
        <v>263</v>
      </c>
      <c r="C1379" t="s">
        <v>262</v>
      </c>
      <c r="D1379" s="1">
        <v>45919</v>
      </c>
      <c r="E1379" t="s">
        <v>79</v>
      </c>
      <c r="F1379" t="s">
        <v>206</v>
      </c>
      <c r="G1379" t="s">
        <v>17</v>
      </c>
      <c r="H1379" t="s">
        <v>77</v>
      </c>
      <c r="I1379" t="s">
        <v>15</v>
      </c>
      <c r="J1379" t="s">
        <v>55</v>
      </c>
      <c r="K1379" t="s">
        <v>54</v>
      </c>
      <c r="L1379" t="s">
        <v>42</v>
      </c>
      <c r="M1379" t="s">
        <v>53</v>
      </c>
      <c r="N1379" t="s">
        <v>154</v>
      </c>
      <c r="O1379" t="s">
        <v>9</v>
      </c>
      <c r="P1379" t="s">
        <v>25</v>
      </c>
      <c r="Q1379" t="s">
        <v>172</v>
      </c>
      <c r="R1379" t="s">
        <v>38</v>
      </c>
      <c r="S1379">
        <v>7</v>
      </c>
      <c r="T1379">
        <v>4</v>
      </c>
      <c r="U1379">
        <v>332</v>
      </c>
      <c r="V1379" t="s">
        <v>5</v>
      </c>
      <c r="W1379" t="s">
        <v>0</v>
      </c>
      <c r="X1379" t="s">
        <v>0</v>
      </c>
      <c r="Y1379" t="s">
        <v>4</v>
      </c>
      <c r="Z1379" t="s">
        <v>5</v>
      </c>
      <c r="AA1379">
        <v>0</v>
      </c>
      <c r="AB1379">
        <v>0</v>
      </c>
      <c r="AC1379">
        <v>0.17</v>
      </c>
      <c r="AD1379" t="s">
        <v>3</v>
      </c>
      <c r="AE1379" t="s">
        <v>0</v>
      </c>
      <c r="AF1379" t="s">
        <v>3</v>
      </c>
      <c r="AG1379" t="s">
        <v>2</v>
      </c>
      <c r="AI1379" t="s">
        <v>1</v>
      </c>
      <c r="AJ1379">
        <v>3</v>
      </c>
      <c r="AK1379">
        <v>19</v>
      </c>
      <c r="AL1379">
        <v>27</v>
      </c>
      <c r="AM1379" t="s">
        <v>5</v>
      </c>
      <c r="AN1379">
        <v>0</v>
      </c>
      <c r="AO1379">
        <v>1</v>
      </c>
      <c r="AP1379">
        <v>0</v>
      </c>
      <c r="AQ1379">
        <v>1</v>
      </c>
    </row>
    <row r="1380" spans="1:43" x14ac:dyDescent="0.25">
      <c r="A1380" t="s">
        <v>261</v>
      </c>
      <c r="B1380" t="s">
        <v>260</v>
      </c>
      <c r="C1380" t="s">
        <v>259</v>
      </c>
      <c r="D1380" s="1">
        <v>45941</v>
      </c>
      <c r="E1380" t="s">
        <v>162</v>
      </c>
      <c r="F1380" t="s">
        <v>161</v>
      </c>
      <c r="G1380" t="s">
        <v>17</v>
      </c>
      <c r="H1380" t="s">
        <v>77</v>
      </c>
      <c r="I1380" t="s">
        <v>28</v>
      </c>
      <c r="J1380" t="s">
        <v>14</v>
      </c>
      <c r="K1380" t="s">
        <v>13</v>
      </c>
      <c r="L1380" t="s">
        <v>64</v>
      </c>
      <c r="M1380" t="s">
        <v>53</v>
      </c>
      <c r="N1380" t="s">
        <v>93</v>
      </c>
      <c r="O1380" t="s">
        <v>199</v>
      </c>
      <c r="P1380" t="s">
        <v>39</v>
      </c>
      <c r="Q1380" t="s">
        <v>24</v>
      </c>
      <c r="R1380" t="s">
        <v>6</v>
      </c>
      <c r="S1380">
        <v>5</v>
      </c>
      <c r="T1380">
        <v>5</v>
      </c>
      <c r="U1380">
        <v>97</v>
      </c>
      <c r="V1380" t="s">
        <v>0</v>
      </c>
      <c r="W1380" t="s">
        <v>5</v>
      </c>
      <c r="X1380" t="s">
        <v>0</v>
      </c>
      <c r="Y1380" t="s">
        <v>4</v>
      </c>
      <c r="Z1380" t="s">
        <v>5</v>
      </c>
      <c r="AA1380">
        <v>121.04</v>
      </c>
      <c r="AB1380">
        <v>0</v>
      </c>
      <c r="AC1380">
        <v>0.17</v>
      </c>
      <c r="AD1380" t="s">
        <v>3</v>
      </c>
      <c r="AE1380" t="s">
        <v>0</v>
      </c>
      <c r="AF1380" t="s">
        <v>3</v>
      </c>
      <c r="AG1380" t="s">
        <v>2</v>
      </c>
      <c r="AI1380" t="s">
        <v>23</v>
      </c>
      <c r="AJ1380">
        <v>5</v>
      </c>
      <c r="AK1380">
        <v>16</v>
      </c>
      <c r="AL1380">
        <v>45</v>
      </c>
      <c r="AM1380" t="s">
        <v>5</v>
      </c>
      <c r="AN1380">
        <v>1</v>
      </c>
      <c r="AO1380">
        <v>1</v>
      </c>
      <c r="AP1380">
        <v>0</v>
      </c>
      <c r="AQ1380">
        <v>1</v>
      </c>
    </row>
    <row r="1381" spans="1:43" x14ac:dyDescent="0.25">
      <c r="A1381" t="s">
        <v>258</v>
      </c>
      <c r="B1381" t="s">
        <v>257</v>
      </c>
      <c r="C1381" t="s">
        <v>256</v>
      </c>
      <c r="D1381" s="1">
        <v>45903</v>
      </c>
      <c r="E1381" t="s">
        <v>19</v>
      </c>
      <c r="F1381" t="s">
        <v>255</v>
      </c>
      <c r="G1381" t="s">
        <v>83</v>
      </c>
      <c r="H1381" t="s">
        <v>66</v>
      </c>
      <c r="I1381" t="s">
        <v>28</v>
      </c>
      <c r="J1381" t="s">
        <v>14</v>
      </c>
      <c r="K1381" t="s">
        <v>13</v>
      </c>
      <c r="L1381" t="s">
        <v>88</v>
      </c>
      <c r="M1381" t="s">
        <v>11</v>
      </c>
      <c r="N1381" t="s">
        <v>52</v>
      </c>
      <c r="O1381" t="s">
        <v>101</v>
      </c>
      <c r="P1381" t="s">
        <v>63</v>
      </c>
      <c r="Q1381" t="s">
        <v>198</v>
      </c>
      <c r="R1381" t="s">
        <v>38</v>
      </c>
      <c r="S1381">
        <v>4</v>
      </c>
      <c r="T1381">
        <v>4</v>
      </c>
      <c r="U1381">
        <v>74</v>
      </c>
      <c r="V1381" t="s">
        <v>0</v>
      </c>
      <c r="W1381" t="s">
        <v>5</v>
      </c>
      <c r="X1381" t="s">
        <v>0</v>
      </c>
      <c r="Y1381" t="s">
        <v>4</v>
      </c>
      <c r="Z1381" t="s">
        <v>5</v>
      </c>
      <c r="AA1381">
        <v>0</v>
      </c>
      <c r="AB1381">
        <v>0.46</v>
      </c>
      <c r="AC1381">
        <v>0</v>
      </c>
      <c r="AD1381" t="s">
        <v>37</v>
      </c>
      <c r="AE1381" t="s">
        <v>5</v>
      </c>
      <c r="AF1381" t="s">
        <v>37</v>
      </c>
      <c r="AG1381" t="s">
        <v>36</v>
      </c>
      <c r="AH1381">
        <v>35</v>
      </c>
      <c r="AI1381" t="s">
        <v>23</v>
      </c>
      <c r="AJ1381">
        <v>5</v>
      </c>
      <c r="AK1381">
        <v>19</v>
      </c>
      <c r="AL1381">
        <v>0</v>
      </c>
      <c r="AM1381" t="s">
        <v>5</v>
      </c>
      <c r="AN1381">
        <v>1</v>
      </c>
      <c r="AO1381">
        <v>1</v>
      </c>
      <c r="AP1381">
        <v>0</v>
      </c>
      <c r="AQ1381">
        <v>1</v>
      </c>
    </row>
    <row r="1382" spans="1:43" x14ac:dyDescent="0.25">
      <c r="A1382" t="s">
        <v>254</v>
      </c>
      <c r="B1382" t="s">
        <v>253</v>
      </c>
      <c r="C1382" t="s">
        <v>252</v>
      </c>
      <c r="D1382" s="1">
        <v>45950</v>
      </c>
      <c r="E1382" t="s">
        <v>68</v>
      </c>
      <c r="F1382" t="s">
        <v>67</v>
      </c>
      <c r="G1382" t="s">
        <v>110</v>
      </c>
      <c r="H1382" t="s">
        <v>77</v>
      </c>
      <c r="I1382" t="s">
        <v>28</v>
      </c>
      <c r="J1382" t="s">
        <v>55</v>
      </c>
      <c r="K1382" t="s">
        <v>54</v>
      </c>
      <c r="L1382" t="s">
        <v>42</v>
      </c>
      <c r="M1382" t="s">
        <v>11</v>
      </c>
      <c r="N1382" t="s">
        <v>52</v>
      </c>
      <c r="O1382" t="s">
        <v>87</v>
      </c>
      <c r="P1382" t="s">
        <v>39</v>
      </c>
      <c r="Q1382" t="s">
        <v>198</v>
      </c>
      <c r="R1382" t="s">
        <v>38</v>
      </c>
      <c r="S1382">
        <v>5</v>
      </c>
      <c r="T1382">
        <v>5</v>
      </c>
      <c r="U1382">
        <v>116</v>
      </c>
      <c r="V1382" t="s">
        <v>0</v>
      </c>
      <c r="W1382" t="s">
        <v>5</v>
      </c>
      <c r="X1382" t="s">
        <v>0</v>
      </c>
      <c r="Y1382" t="s">
        <v>4</v>
      </c>
      <c r="Z1382" t="s">
        <v>5</v>
      </c>
      <c r="AA1382">
        <v>141.11000000000001</v>
      </c>
      <c r="AB1382">
        <v>0</v>
      </c>
      <c r="AC1382">
        <v>0</v>
      </c>
      <c r="AD1382" t="s">
        <v>3</v>
      </c>
      <c r="AE1382" t="s">
        <v>0</v>
      </c>
      <c r="AF1382" t="s">
        <v>3</v>
      </c>
      <c r="AG1382" t="s">
        <v>2</v>
      </c>
      <c r="AI1382" t="s">
        <v>23</v>
      </c>
      <c r="AJ1382">
        <v>5</v>
      </c>
      <c r="AK1382">
        <v>33</v>
      </c>
      <c r="AL1382">
        <v>62</v>
      </c>
      <c r="AM1382" t="s">
        <v>5</v>
      </c>
      <c r="AN1382">
        <v>1</v>
      </c>
      <c r="AO1382">
        <v>1</v>
      </c>
      <c r="AP1382">
        <v>0</v>
      </c>
      <c r="AQ1382">
        <v>1</v>
      </c>
    </row>
    <row r="1383" spans="1:43" x14ac:dyDescent="0.25">
      <c r="A1383" t="s">
        <v>251</v>
      </c>
      <c r="B1383" t="s">
        <v>250</v>
      </c>
      <c r="C1383" t="s">
        <v>249</v>
      </c>
      <c r="D1383" s="1">
        <v>45689</v>
      </c>
      <c r="E1383" t="s">
        <v>149</v>
      </c>
      <c r="F1383" t="s">
        <v>248</v>
      </c>
      <c r="G1383" t="s">
        <v>247</v>
      </c>
      <c r="H1383" t="s">
        <v>77</v>
      </c>
      <c r="I1383" t="s">
        <v>28</v>
      </c>
      <c r="J1383" t="s">
        <v>14</v>
      </c>
      <c r="K1383" t="s">
        <v>13</v>
      </c>
      <c r="L1383" t="s">
        <v>42</v>
      </c>
      <c r="M1383" t="s">
        <v>11</v>
      </c>
      <c r="N1383" t="s">
        <v>52</v>
      </c>
      <c r="O1383" t="s">
        <v>87</v>
      </c>
      <c r="P1383" t="s">
        <v>39</v>
      </c>
      <c r="Q1383" t="s">
        <v>7</v>
      </c>
      <c r="R1383" t="s">
        <v>6</v>
      </c>
      <c r="S1383">
        <v>5</v>
      </c>
      <c r="T1383">
        <v>5</v>
      </c>
      <c r="U1383">
        <v>135</v>
      </c>
      <c r="V1383" t="s">
        <v>0</v>
      </c>
      <c r="W1383" t="s">
        <v>0</v>
      </c>
      <c r="X1383" t="s">
        <v>0</v>
      </c>
      <c r="Y1383" t="s">
        <v>4</v>
      </c>
      <c r="Z1383" t="s">
        <v>0</v>
      </c>
      <c r="AA1383">
        <v>0</v>
      </c>
      <c r="AB1383">
        <v>0</v>
      </c>
      <c r="AC1383">
        <v>0</v>
      </c>
      <c r="AD1383" t="s">
        <v>61</v>
      </c>
      <c r="AE1383" t="s">
        <v>5</v>
      </c>
      <c r="AF1383" t="s">
        <v>61</v>
      </c>
      <c r="AG1383" t="s">
        <v>36</v>
      </c>
      <c r="AH1383">
        <v>36</v>
      </c>
      <c r="AI1383" t="s">
        <v>23</v>
      </c>
      <c r="AJ1383">
        <v>3</v>
      </c>
      <c r="AK1383">
        <v>39</v>
      </c>
      <c r="AL1383">
        <v>35</v>
      </c>
      <c r="AM1383" t="s">
        <v>0</v>
      </c>
      <c r="AN1383">
        <v>0</v>
      </c>
      <c r="AO1383">
        <v>0</v>
      </c>
      <c r="AP1383">
        <v>0</v>
      </c>
      <c r="AQ1383">
        <v>0</v>
      </c>
    </row>
    <row r="1384" spans="1:43" x14ac:dyDescent="0.25">
      <c r="A1384" t="s">
        <v>246</v>
      </c>
      <c r="B1384" t="s">
        <v>245</v>
      </c>
      <c r="C1384" t="s">
        <v>244</v>
      </c>
      <c r="D1384" s="1">
        <v>45804</v>
      </c>
      <c r="E1384" t="s">
        <v>68</v>
      </c>
      <c r="F1384" t="s">
        <v>243</v>
      </c>
      <c r="G1384" t="s">
        <v>30</v>
      </c>
      <c r="H1384" t="s">
        <v>77</v>
      </c>
      <c r="I1384" t="s">
        <v>15</v>
      </c>
      <c r="J1384" t="s">
        <v>14</v>
      </c>
      <c r="K1384" t="s">
        <v>13</v>
      </c>
      <c r="L1384" t="s">
        <v>88</v>
      </c>
      <c r="M1384" t="s">
        <v>53</v>
      </c>
      <c r="N1384" t="s">
        <v>10</v>
      </c>
      <c r="O1384" t="s">
        <v>9</v>
      </c>
      <c r="P1384" t="s">
        <v>39</v>
      </c>
      <c r="Q1384" t="s">
        <v>7</v>
      </c>
      <c r="R1384" t="s">
        <v>6</v>
      </c>
      <c r="S1384" t="s">
        <v>242</v>
      </c>
      <c r="T1384" t="s">
        <v>242</v>
      </c>
      <c r="U1384">
        <v>174</v>
      </c>
      <c r="V1384" t="s">
        <v>0</v>
      </c>
      <c r="W1384" t="s">
        <v>0</v>
      </c>
      <c r="X1384" t="s">
        <v>0</v>
      </c>
      <c r="Y1384" t="s">
        <v>4</v>
      </c>
      <c r="Z1384" t="s">
        <v>0</v>
      </c>
      <c r="AA1384">
        <v>0</v>
      </c>
      <c r="AB1384">
        <v>0</v>
      </c>
      <c r="AC1384">
        <v>0</v>
      </c>
      <c r="AD1384" t="s">
        <v>3</v>
      </c>
      <c r="AE1384" t="s">
        <v>0</v>
      </c>
      <c r="AF1384" t="s">
        <v>3</v>
      </c>
      <c r="AG1384" t="s">
        <v>2</v>
      </c>
      <c r="AI1384" t="s">
        <v>1</v>
      </c>
      <c r="AJ1384">
        <v>3</v>
      </c>
      <c r="AK1384">
        <v>10</v>
      </c>
      <c r="AL1384">
        <v>13</v>
      </c>
      <c r="AM1384" t="s">
        <v>0</v>
      </c>
      <c r="AN1384">
        <v>0</v>
      </c>
      <c r="AO1384">
        <v>0</v>
      </c>
      <c r="AP1384">
        <v>0</v>
      </c>
      <c r="AQ1384">
        <v>0</v>
      </c>
    </row>
    <row r="1385" spans="1:43" x14ac:dyDescent="0.25">
      <c r="A1385" t="s">
        <v>241</v>
      </c>
      <c r="B1385" t="s">
        <v>240</v>
      </c>
      <c r="C1385" t="s">
        <v>239</v>
      </c>
      <c r="D1385" s="1">
        <v>45811</v>
      </c>
      <c r="E1385" t="s">
        <v>156</v>
      </c>
      <c r="F1385" t="s">
        <v>238</v>
      </c>
      <c r="G1385" t="s">
        <v>17</v>
      </c>
      <c r="H1385" t="s">
        <v>237</v>
      </c>
      <c r="I1385" t="s">
        <v>28</v>
      </c>
      <c r="J1385" t="s">
        <v>146</v>
      </c>
      <c r="K1385" t="s">
        <v>145</v>
      </c>
      <c r="L1385" t="s">
        <v>64</v>
      </c>
      <c r="M1385" t="s">
        <v>11</v>
      </c>
      <c r="N1385" t="s">
        <v>154</v>
      </c>
      <c r="O1385" t="s">
        <v>199</v>
      </c>
      <c r="P1385" t="s">
        <v>8</v>
      </c>
      <c r="Q1385" t="s">
        <v>24</v>
      </c>
      <c r="R1385" t="s">
        <v>38</v>
      </c>
      <c r="S1385">
        <v>5</v>
      </c>
      <c r="T1385">
        <v>5</v>
      </c>
      <c r="U1385">
        <v>144</v>
      </c>
      <c r="V1385" t="s">
        <v>0</v>
      </c>
      <c r="W1385" t="s">
        <v>5</v>
      </c>
      <c r="X1385" t="s">
        <v>0</v>
      </c>
      <c r="Y1385" t="s">
        <v>4</v>
      </c>
      <c r="Z1385" t="s">
        <v>5</v>
      </c>
      <c r="AA1385">
        <v>79.209999999999994</v>
      </c>
      <c r="AB1385">
        <v>0</v>
      </c>
      <c r="AC1385">
        <v>0</v>
      </c>
      <c r="AD1385" t="s">
        <v>3</v>
      </c>
      <c r="AE1385" t="s">
        <v>0</v>
      </c>
      <c r="AF1385" t="s">
        <v>3</v>
      </c>
      <c r="AG1385" t="s">
        <v>2</v>
      </c>
      <c r="AI1385" t="s">
        <v>23</v>
      </c>
      <c r="AJ1385">
        <v>5</v>
      </c>
      <c r="AK1385">
        <v>18</v>
      </c>
      <c r="AL1385">
        <v>15</v>
      </c>
      <c r="AM1385" t="s">
        <v>5</v>
      </c>
      <c r="AN1385">
        <v>1</v>
      </c>
      <c r="AO1385">
        <v>1</v>
      </c>
      <c r="AP1385">
        <v>0</v>
      </c>
      <c r="AQ1385">
        <v>1</v>
      </c>
    </row>
    <row r="1386" spans="1:43" x14ac:dyDescent="0.25">
      <c r="A1386" t="s">
        <v>236</v>
      </c>
      <c r="B1386" t="s">
        <v>235</v>
      </c>
      <c r="C1386" t="s">
        <v>234</v>
      </c>
      <c r="D1386" s="1">
        <v>45702</v>
      </c>
      <c r="E1386" t="s">
        <v>168</v>
      </c>
      <c r="F1386" t="s">
        <v>233</v>
      </c>
      <c r="G1386" t="s">
        <v>56</v>
      </c>
      <c r="H1386" t="s">
        <v>29</v>
      </c>
      <c r="I1386" t="s">
        <v>15</v>
      </c>
      <c r="J1386" t="s">
        <v>55</v>
      </c>
      <c r="K1386" t="s">
        <v>54</v>
      </c>
      <c r="L1386" t="s">
        <v>88</v>
      </c>
      <c r="M1386" t="s">
        <v>11</v>
      </c>
      <c r="N1386" t="s">
        <v>154</v>
      </c>
      <c r="O1386" t="s">
        <v>193</v>
      </c>
      <c r="P1386" t="s">
        <v>39</v>
      </c>
      <c r="Q1386" t="s">
        <v>198</v>
      </c>
      <c r="R1386" t="s">
        <v>38</v>
      </c>
      <c r="S1386" t="s">
        <v>232</v>
      </c>
      <c r="T1386">
        <v>9</v>
      </c>
      <c r="U1386">
        <v>216</v>
      </c>
      <c r="V1386" t="s">
        <v>0</v>
      </c>
      <c r="W1386" t="s">
        <v>5</v>
      </c>
      <c r="X1386" t="s">
        <v>5</v>
      </c>
      <c r="Y1386" t="s">
        <v>192</v>
      </c>
      <c r="Z1386" t="s">
        <v>5</v>
      </c>
      <c r="AA1386">
        <v>214.94</v>
      </c>
      <c r="AB1386">
        <v>2.72</v>
      </c>
      <c r="AC1386">
        <v>0</v>
      </c>
      <c r="AD1386" t="s">
        <v>61</v>
      </c>
      <c r="AE1386" t="s">
        <v>5</v>
      </c>
      <c r="AF1386" t="s">
        <v>61</v>
      </c>
      <c r="AG1386" t="s">
        <v>36</v>
      </c>
      <c r="AH1386">
        <v>2</v>
      </c>
      <c r="AI1386" t="s">
        <v>23</v>
      </c>
      <c r="AJ1386">
        <v>5</v>
      </c>
      <c r="AK1386">
        <v>15</v>
      </c>
      <c r="AL1386">
        <v>6</v>
      </c>
      <c r="AM1386" t="s">
        <v>5</v>
      </c>
      <c r="AN1386">
        <v>1</v>
      </c>
      <c r="AO1386">
        <v>1</v>
      </c>
      <c r="AP1386">
        <v>1</v>
      </c>
      <c r="AQ1386">
        <v>1</v>
      </c>
    </row>
    <row r="1387" spans="1:43" x14ac:dyDescent="0.25">
      <c r="A1387" t="s">
        <v>231</v>
      </c>
      <c r="B1387" t="s">
        <v>230</v>
      </c>
      <c r="C1387" t="s">
        <v>229</v>
      </c>
      <c r="D1387" s="1">
        <v>45788</v>
      </c>
      <c r="E1387" t="s">
        <v>79</v>
      </c>
      <c r="F1387" t="s">
        <v>78</v>
      </c>
      <c r="G1387" t="s">
        <v>17</v>
      </c>
      <c r="H1387" t="s">
        <v>77</v>
      </c>
      <c r="I1387" t="s">
        <v>15</v>
      </c>
      <c r="J1387" t="s">
        <v>55</v>
      </c>
      <c r="K1387" t="s">
        <v>54</v>
      </c>
      <c r="L1387" t="s">
        <v>64</v>
      </c>
      <c r="M1387" t="s">
        <v>11</v>
      </c>
      <c r="N1387" t="s">
        <v>116</v>
      </c>
      <c r="O1387" t="s">
        <v>9</v>
      </c>
      <c r="P1387" t="s">
        <v>63</v>
      </c>
      <c r="Q1387" t="s">
        <v>7</v>
      </c>
      <c r="R1387" t="s">
        <v>6</v>
      </c>
      <c r="S1387">
        <v>7</v>
      </c>
      <c r="T1387">
        <v>7</v>
      </c>
      <c r="U1387">
        <v>314</v>
      </c>
      <c r="V1387" t="s">
        <v>0</v>
      </c>
      <c r="W1387" t="s">
        <v>0</v>
      </c>
      <c r="X1387" t="s">
        <v>5</v>
      </c>
      <c r="Y1387" t="s">
        <v>228</v>
      </c>
      <c r="Z1387" t="s">
        <v>0</v>
      </c>
      <c r="AA1387">
        <v>0</v>
      </c>
      <c r="AB1387">
        <v>0</v>
      </c>
      <c r="AC1387">
        <v>0</v>
      </c>
      <c r="AD1387" t="s">
        <v>227</v>
      </c>
      <c r="AE1387" t="s">
        <v>5</v>
      </c>
      <c r="AF1387" t="s">
        <v>227</v>
      </c>
      <c r="AG1387" t="s">
        <v>139</v>
      </c>
      <c r="AH1387">
        <v>15</v>
      </c>
      <c r="AI1387" t="s">
        <v>122</v>
      </c>
      <c r="AJ1387">
        <v>2</v>
      </c>
      <c r="AK1387">
        <v>-66</v>
      </c>
      <c r="AL1387">
        <v>0</v>
      </c>
      <c r="AM1387" t="s">
        <v>5</v>
      </c>
      <c r="AN1387">
        <v>0</v>
      </c>
      <c r="AO1387">
        <v>0</v>
      </c>
      <c r="AP1387">
        <v>1</v>
      </c>
      <c r="AQ1387">
        <v>1</v>
      </c>
    </row>
    <row r="1388" spans="1:43" x14ac:dyDescent="0.25">
      <c r="A1388" t="s">
        <v>226</v>
      </c>
      <c r="B1388" t="s">
        <v>225</v>
      </c>
      <c r="C1388" t="s">
        <v>224</v>
      </c>
      <c r="D1388" s="1">
        <v>46065</v>
      </c>
      <c r="E1388" t="s">
        <v>79</v>
      </c>
      <c r="F1388" t="s">
        <v>223</v>
      </c>
      <c r="G1388" t="s">
        <v>83</v>
      </c>
      <c r="H1388" t="s">
        <v>43</v>
      </c>
      <c r="I1388" t="s">
        <v>15</v>
      </c>
      <c r="J1388" t="s">
        <v>55</v>
      </c>
      <c r="K1388" t="s">
        <v>54</v>
      </c>
      <c r="L1388" t="s">
        <v>88</v>
      </c>
      <c r="M1388" t="s">
        <v>11</v>
      </c>
      <c r="N1388" t="s">
        <v>75</v>
      </c>
      <c r="O1388" t="s">
        <v>199</v>
      </c>
      <c r="P1388" t="s">
        <v>39</v>
      </c>
      <c r="Q1388" t="s">
        <v>7</v>
      </c>
      <c r="R1388" t="s">
        <v>6</v>
      </c>
      <c r="S1388">
        <v>5</v>
      </c>
      <c r="T1388">
        <v>3</v>
      </c>
      <c r="U1388">
        <v>257</v>
      </c>
      <c r="V1388" t="s">
        <v>5</v>
      </c>
      <c r="W1388" t="s">
        <v>0</v>
      </c>
      <c r="X1388" t="s">
        <v>0</v>
      </c>
      <c r="Y1388" t="s">
        <v>4</v>
      </c>
      <c r="Z1388" t="s">
        <v>0</v>
      </c>
      <c r="AA1388">
        <v>0</v>
      </c>
      <c r="AB1388">
        <v>0</v>
      </c>
      <c r="AC1388">
        <v>0</v>
      </c>
      <c r="AD1388" t="s">
        <v>3</v>
      </c>
      <c r="AE1388" t="s">
        <v>0</v>
      </c>
      <c r="AF1388" t="s">
        <v>3</v>
      </c>
      <c r="AG1388" t="s">
        <v>2</v>
      </c>
      <c r="AI1388" t="s">
        <v>191</v>
      </c>
      <c r="AJ1388">
        <v>2</v>
      </c>
      <c r="AK1388">
        <v>19</v>
      </c>
      <c r="AL1388">
        <v>1</v>
      </c>
      <c r="AM1388" t="s">
        <v>5</v>
      </c>
      <c r="AN1388">
        <v>0</v>
      </c>
      <c r="AO1388">
        <v>0</v>
      </c>
      <c r="AP1388">
        <v>0</v>
      </c>
      <c r="AQ1388">
        <v>1</v>
      </c>
    </row>
    <row r="1389" spans="1:43" x14ac:dyDescent="0.25">
      <c r="A1389" t="s">
        <v>222</v>
      </c>
      <c r="B1389" t="s">
        <v>221</v>
      </c>
      <c r="C1389" t="s">
        <v>220</v>
      </c>
      <c r="D1389" s="1">
        <v>45718</v>
      </c>
      <c r="E1389" t="s">
        <v>95</v>
      </c>
      <c r="F1389" t="s">
        <v>118</v>
      </c>
      <c r="G1389" t="s">
        <v>56</v>
      </c>
      <c r="H1389" t="s">
        <v>77</v>
      </c>
      <c r="I1389" t="s">
        <v>28</v>
      </c>
      <c r="J1389" t="s">
        <v>55</v>
      </c>
      <c r="K1389" t="s">
        <v>65</v>
      </c>
      <c r="L1389" t="s">
        <v>64</v>
      </c>
      <c r="M1389" t="s">
        <v>11</v>
      </c>
      <c r="N1389" t="s">
        <v>154</v>
      </c>
      <c r="O1389" t="s">
        <v>193</v>
      </c>
      <c r="P1389" t="s">
        <v>8</v>
      </c>
      <c r="Q1389" t="s">
        <v>7</v>
      </c>
      <c r="R1389" t="s">
        <v>6</v>
      </c>
      <c r="S1389">
        <v>9</v>
      </c>
      <c r="T1389">
        <v>9</v>
      </c>
      <c r="U1389">
        <v>166</v>
      </c>
      <c r="V1389" t="s">
        <v>0</v>
      </c>
      <c r="W1389" t="s">
        <v>0</v>
      </c>
      <c r="X1389" t="s">
        <v>0</v>
      </c>
      <c r="Y1389" t="s">
        <v>4</v>
      </c>
      <c r="Z1389" t="s">
        <v>5</v>
      </c>
      <c r="AA1389">
        <v>149.49</v>
      </c>
      <c r="AB1389">
        <v>2.81</v>
      </c>
      <c r="AC1389">
        <v>0</v>
      </c>
      <c r="AD1389" t="s">
        <v>3</v>
      </c>
      <c r="AE1389" t="s">
        <v>0</v>
      </c>
      <c r="AF1389" t="s">
        <v>3</v>
      </c>
      <c r="AG1389" t="s">
        <v>2</v>
      </c>
      <c r="AI1389" t="s">
        <v>23</v>
      </c>
      <c r="AJ1389">
        <v>3</v>
      </c>
      <c r="AK1389">
        <v>37</v>
      </c>
      <c r="AL1389">
        <v>21</v>
      </c>
      <c r="AM1389" t="s">
        <v>0</v>
      </c>
      <c r="AN1389">
        <v>0</v>
      </c>
      <c r="AO1389">
        <v>1</v>
      </c>
      <c r="AP1389">
        <v>0</v>
      </c>
      <c r="AQ1389">
        <v>0</v>
      </c>
    </row>
    <row r="1390" spans="1:43" x14ac:dyDescent="0.25">
      <c r="A1390" t="s">
        <v>219</v>
      </c>
      <c r="B1390" t="s">
        <v>218</v>
      </c>
      <c r="C1390" t="s">
        <v>217</v>
      </c>
      <c r="D1390" s="1">
        <v>46186</v>
      </c>
      <c r="E1390" t="s">
        <v>68</v>
      </c>
      <c r="F1390" t="s">
        <v>216</v>
      </c>
      <c r="G1390" t="s">
        <v>56</v>
      </c>
      <c r="H1390" t="s">
        <v>29</v>
      </c>
      <c r="I1390" t="s">
        <v>28</v>
      </c>
      <c r="J1390" t="s">
        <v>14</v>
      </c>
      <c r="K1390" t="s">
        <v>13</v>
      </c>
      <c r="L1390" t="s">
        <v>42</v>
      </c>
      <c r="M1390" t="s">
        <v>11</v>
      </c>
      <c r="N1390" t="s">
        <v>52</v>
      </c>
      <c r="O1390" t="s">
        <v>74</v>
      </c>
      <c r="P1390" t="s">
        <v>8</v>
      </c>
      <c r="Q1390" t="s">
        <v>7</v>
      </c>
      <c r="R1390" t="s">
        <v>6</v>
      </c>
      <c r="S1390">
        <v>6</v>
      </c>
      <c r="T1390">
        <v>3</v>
      </c>
      <c r="U1390">
        <v>260</v>
      </c>
      <c r="V1390" t="s">
        <v>5</v>
      </c>
      <c r="W1390" t="s">
        <v>5</v>
      </c>
      <c r="X1390" t="s">
        <v>0</v>
      </c>
      <c r="Y1390" t="s">
        <v>4</v>
      </c>
      <c r="Z1390" t="s">
        <v>5</v>
      </c>
      <c r="AA1390">
        <v>0</v>
      </c>
      <c r="AB1390">
        <v>0</v>
      </c>
      <c r="AC1390">
        <v>0</v>
      </c>
      <c r="AD1390" t="s">
        <v>3</v>
      </c>
      <c r="AE1390" t="s">
        <v>0</v>
      </c>
      <c r="AF1390" t="s">
        <v>3</v>
      </c>
      <c r="AG1390" t="s">
        <v>2</v>
      </c>
      <c r="AI1390" t="s">
        <v>23</v>
      </c>
      <c r="AJ1390">
        <v>3</v>
      </c>
      <c r="AK1390">
        <v>-15</v>
      </c>
      <c r="AL1390">
        <v>36</v>
      </c>
      <c r="AM1390" t="s">
        <v>5</v>
      </c>
      <c r="AN1390">
        <v>1</v>
      </c>
      <c r="AO1390">
        <v>1</v>
      </c>
      <c r="AP1390">
        <v>0</v>
      </c>
      <c r="AQ1390">
        <v>1</v>
      </c>
    </row>
    <row r="1391" spans="1:43" x14ac:dyDescent="0.25">
      <c r="A1391" t="s">
        <v>215</v>
      </c>
      <c r="B1391" t="s">
        <v>214</v>
      </c>
      <c r="C1391" t="s">
        <v>213</v>
      </c>
      <c r="D1391" s="1">
        <v>46183</v>
      </c>
      <c r="E1391" t="s">
        <v>125</v>
      </c>
      <c r="F1391" t="s">
        <v>140</v>
      </c>
      <c r="G1391" t="s">
        <v>17</v>
      </c>
      <c r="H1391" t="s">
        <v>29</v>
      </c>
      <c r="I1391" t="s">
        <v>28</v>
      </c>
      <c r="J1391" t="s">
        <v>146</v>
      </c>
      <c r="K1391" t="s">
        <v>145</v>
      </c>
      <c r="L1391" t="s">
        <v>64</v>
      </c>
      <c r="M1391" t="s">
        <v>53</v>
      </c>
      <c r="N1391" t="s">
        <v>10</v>
      </c>
      <c r="O1391" t="s">
        <v>51</v>
      </c>
      <c r="P1391" t="s">
        <v>8</v>
      </c>
      <c r="Q1391" t="s">
        <v>7</v>
      </c>
      <c r="R1391" t="s">
        <v>6</v>
      </c>
      <c r="S1391">
        <v>6</v>
      </c>
      <c r="T1391">
        <v>3</v>
      </c>
      <c r="U1391">
        <v>271</v>
      </c>
      <c r="V1391" t="s">
        <v>182</v>
      </c>
      <c r="W1391" t="s">
        <v>0</v>
      </c>
      <c r="X1391" t="s">
        <v>5</v>
      </c>
      <c r="Y1391" t="s">
        <v>153</v>
      </c>
      <c r="Z1391" t="s">
        <v>0</v>
      </c>
      <c r="AA1391">
        <v>0</v>
      </c>
      <c r="AB1391">
        <v>0</v>
      </c>
      <c r="AC1391">
        <v>0</v>
      </c>
      <c r="AD1391" t="s">
        <v>3</v>
      </c>
      <c r="AE1391" t="s">
        <v>0</v>
      </c>
      <c r="AF1391" t="s">
        <v>3</v>
      </c>
      <c r="AG1391" t="s">
        <v>2</v>
      </c>
      <c r="AI1391" t="s">
        <v>122</v>
      </c>
      <c r="AJ1391">
        <v>3</v>
      </c>
      <c r="AK1391">
        <v>0</v>
      </c>
      <c r="AL1391">
        <v>79</v>
      </c>
      <c r="AM1391" t="s">
        <v>5</v>
      </c>
      <c r="AN1391">
        <v>0</v>
      </c>
      <c r="AO1391">
        <v>0</v>
      </c>
      <c r="AP1391">
        <v>1</v>
      </c>
      <c r="AQ1391">
        <v>1</v>
      </c>
    </row>
    <row r="1392" spans="1:43" x14ac:dyDescent="0.25">
      <c r="A1392" t="s">
        <v>212</v>
      </c>
      <c r="B1392" t="s">
        <v>211</v>
      </c>
      <c r="C1392" t="s">
        <v>210</v>
      </c>
      <c r="D1392" s="1">
        <v>46175</v>
      </c>
      <c r="E1392" t="s">
        <v>19</v>
      </c>
      <c r="F1392" t="s">
        <v>18</v>
      </c>
      <c r="G1392" t="s">
        <v>83</v>
      </c>
      <c r="H1392" t="s">
        <v>29</v>
      </c>
      <c r="I1392" t="s">
        <v>28</v>
      </c>
      <c r="J1392" t="s">
        <v>14</v>
      </c>
      <c r="K1392" t="s">
        <v>13</v>
      </c>
      <c r="L1392" t="s">
        <v>117</v>
      </c>
      <c r="M1392" t="s">
        <v>53</v>
      </c>
      <c r="N1392" t="s">
        <v>52</v>
      </c>
      <c r="O1392" t="s">
        <v>87</v>
      </c>
      <c r="P1392" t="s">
        <v>39</v>
      </c>
      <c r="Q1392" t="s">
        <v>7</v>
      </c>
      <c r="R1392" t="s">
        <v>6</v>
      </c>
      <c r="S1392">
        <v>5</v>
      </c>
      <c r="T1392">
        <v>5</v>
      </c>
      <c r="U1392">
        <v>188</v>
      </c>
      <c r="V1392" t="s">
        <v>0</v>
      </c>
      <c r="W1392" t="s">
        <v>5</v>
      </c>
      <c r="X1392" t="s">
        <v>0</v>
      </c>
      <c r="Y1392" t="s">
        <v>4</v>
      </c>
      <c r="Z1392" t="s">
        <v>5</v>
      </c>
      <c r="AA1392">
        <v>58.65</v>
      </c>
      <c r="AB1392">
        <v>0</v>
      </c>
      <c r="AC1392">
        <v>0.17</v>
      </c>
      <c r="AD1392" t="s">
        <v>3</v>
      </c>
      <c r="AE1392" t="s">
        <v>0</v>
      </c>
      <c r="AF1392" t="s">
        <v>3</v>
      </c>
      <c r="AG1392" t="s">
        <v>2</v>
      </c>
      <c r="AI1392" t="s">
        <v>23</v>
      </c>
      <c r="AJ1392">
        <v>4</v>
      </c>
      <c r="AK1392">
        <v>11</v>
      </c>
      <c r="AL1392">
        <v>24</v>
      </c>
      <c r="AM1392" t="s">
        <v>0</v>
      </c>
      <c r="AN1392">
        <v>1</v>
      </c>
      <c r="AO1392">
        <v>1</v>
      </c>
      <c r="AP1392">
        <v>0</v>
      </c>
      <c r="AQ1392">
        <v>0</v>
      </c>
    </row>
    <row r="1393" spans="1:43" x14ac:dyDescent="0.25">
      <c r="A1393" t="s">
        <v>209</v>
      </c>
      <c r="B1393" t="s">
        <v>208</v>
      </c>
      <c r="C1393" t="s">
        <v>207</v>
      </c>
      <c r="D1393" s="1">
        <v>46179</v>
      </c>
      <c r="E1393" t="s">
        <v>79</v>
      </c>
      <c r="F1393" t="s">
        <v>206</v>
      </c>
      <c r="G1393" t="s">
        <v>17</v>
      </c>
      <c r="H1393" t="s">
        <v>43</v>
      </c>
      <c r="I1393" t="s">
        <v>15</v>
      </c>
      <c r="J1393" t="s">
        <v>55</v>
      </c>
      <c r="K1393" t="s">
        <v>54</v>
      </c>
      <c r="L1393" t="s">
        <v>42</v>
      </c>
      <c r="M1393" t="s">
        <v>11</v>
      </c>
      <c r="N1393" t="s">
        <v>52</v>
      </c>
      <c r="O1393" t="s">
        <v>51</v>
      </c>
      <c r="P1393" t="s">
        <v>8</v>
      </c>
      <c r="Q1393" t="s">
        <v>100</v>
      </c>
      <c r="R1393" t="s">
        <v>6</v>
      </c>
      <c r="S1393">
        <v>6</v>
      </c>
      <c r="T1393" t="s">
        <v>205</v>
      </c>
      <c r="U1393">
        <v>138</v>
      </c>
      <c r="V1393" t="s">
        <v>5</v>
      </c>
      <c r="W1393" t="s">
        <v>0</v>
      </c>
      <c r="X1393" t="s">
        <v>0</v>
      </c>
      <c r="Y1393" t="s">
        <v>4</v>
      </c>
      <c r="Z1393" t="s">
        <v>0</v>
      </c>
      <c r="AA1393">
        <v>0</v>
      </c>
      <c r="AB1393">
        <v>0</v>
      </c>
      <c r="AC1393">
        <v>0</v>
      </c>
      <c r="AD1393" t="s">
        <v>3</v>
      </c>
      <c r="AE1393" t="s">
        <v>0</v>
      </c>
      <c r="AF1393" t="s">
        <v>3</v>
      </c>
      <c r="AG1393" t="s">
        <v>2</v>
      </c>
      <c r="AI1393" t="s">
        <v>129</v>
      </c>
      <c r="AJ1393">
        <v>3</v>
      </c>
      <c r="AK1393">
        <v>21</v>
      </c>
      <c r="AL1393" t="s">
        <v>204</v>
      </c>
      <c r="AM1393" t="s">
        <v>5</v>
      </c>
      <c r="AN1393">
        <v>0</v>
      </c>
      <c r="AO1393">
        <v>0</v>
      </c>
      <c r="AP1393">
        <v>0</v>
      </c>
      <c r="AQ1393">
        <v>1</v>
      </c>
    </row>
    <row r="1394" spans="1:43" x14ac:dyDescent="0.25">
      <c r="A1394" t="s">
        <v>203</v>
      </c>
      <c r="B1394" t="s">
        <v>202</v>
      </c>
      <c r="C1394" t="s">
        <v>201</v>
      </c>
      <c r="D1394" s="1">
        <v>46193</v>
      </c>
      <c r="E1394" t="s">
        <v>162</v>
      </c>
      <c r="F1394" t="s">
        <v>200</v>
      </c>
      <c r="G1394" t="s">
        <v>17</v>
      </c>
      <c r="H1394" t="s">
        <v>16</v>
      </c>
      <c r="I1394" t="s">
        <v>28</v>
      </c>
      <c r="J1394" t="s">
        <v>55</v>
      </c>
      <c r="K1394" t="s">
        <v>54</v>
      </c>
      <c r="L1394" t="s">
        <v>88</v>
      </c>
      <c r="M1394" t="s">
        <v>53</v>
      </c>
      <c r="N1394" t="s">
        <v>10</v>
      </c>
      <c r="O1394" t="s">
        <v>199</v>
      </c>
      <c r="P1394" t="s">
        <v>39</v>
      </c>
      <c r="Q1394" t="s">
        <v>198</v>
      </c>
      <c r="R1394" t="s">
        <v>6</v>
      </c>
      <c r="S1394">
        <v>5</v>
      </c>
      <c r="T1394">
        <v>5</v>
      </c>
      <c r="U1394">
        <v>163</v>
      </c>
      <c r="V1394" t="s">
        <v>0</v>
      </c>
      <c r="W1394" t="s">
        <v>5</v>
      </c>
      <c r="X1394" t="s">
        <v>5</v>
      </c>
      <c r="Y1394" t="s">
        <v>197</v>
      </c>
      <c r="Z1394" t="s">
        <v>5</v>
      </c>
      <c r="AA1394">
        <v>104.86</v>
      </c>
      <c r="AB1394">
        <v>0</v>
      </c>
      <c r="AC1394">
        <v>0.17</v>
      </c>
      <c r="AD1394" t="s">
        <v>3</v>
      </c>
      <c r="AE1394" t="s">
        <v>0</v>
      </c>
      <c r="AF1394" t="s">
        <v>3</v>
      </c>
      <c r="AG1394" t="s">
        <v>2</v>
      </c>
      <c r="AI1394" t="s">
        <v>23</v>
      </c>
      <c r="AJ1394">
        <v>4</v>
      </c>
      <c r="AK1394">
        <v>31</v>
      </c>
      <c r="AL1394">
        <v>29</v>
      </c>
      <c r="AM1394" t="s">
        <v>0</v>
      </c>
      <c r="AN1394">
        <v>1</v>
      </c>
      <c r="AO1394">
        <v>1</v>
      </c>
      <c r="AP1394">
        <v>1</v>
      </c>
      <c r="AQ1394">
        <v>0</v>
      </c>
    </row>
    <row r="1395" spans="1:43" x14ac:dyDescent="0.25">
      <c r="A1395" t="s">
        <v>196</v>
      </c>
      <c r="B1395" t="s">
        <v>195</v>
      </c>
      <c r="C1395" t="s">
        <v>194</v>
      </c>
      <c r="D1395" s="1">
        <v>46187</v>
      </c>
      <c r="E1395" t="s">
        <v>79</v>
      </c>
      <c r="F1395" t="s">
        <v>78</v>
      </c>
      <c r="G1395" t="s">
        <v>56</v>
      </c>
      <c r="H1395" t="s">
        <v>16</v>
      </c>
      <c r="I1395" t="s">
        <v>28</v>
      </c>
      <c r="J1395" t="s">
        <v>14</v>
      </c>
      <c r="K1395" t="s">
        <v>13</v>
      </c>
      <c r="L1395" t="s">
        <v>64</v>
      </c>
      <c r="M1395" t="s">
        <v>11</v>
      </c>
      <c r="N1395" t="s">
        <v>93</v>
      </c>
      <c r="O1395" t="s">
        <v>193</v>
      </c>
      <c r="P1395" t="s">
        <v>39</v>
      </c>
      <c r="Q1395" t="s">
        <v>24</v>
      </c>
      <c r="R1395" t="s">
        <v>38</v>
      </c>
      <c r="S1395">
        <v>9</v>
      </c>
      <c r="T1395">
        <v>9</v>
      </c>
      <c r="U1395">
        <v>353</v>
      </c>
      <c r="V1395" t="s">
        <v>0</v>
      </c>
      <c r="W1395" t="s">
        <v>0</v>
      </c>
      <c r="X1395" t="s">
        <v>5</v>
      </c>
      <c r="Y1395" t="s">
        <v>192</v>
      </c>
      <c r="Z1395" t="s">
        <v>0</v>
      </c>
      <c r="AA1395">
        <v>0</v>
      </c>
      <c r="AB1395">
        <v>0</v>
      </c>
      <c r="AC1395">
        <v>0</v>
      </c>
      <c r="AD1395" t="s">
        <v>3</v>
      </c>
      <c r="AE1395" t="s">
        <v>0</v>
      </c>
      <c r="AF1395" t="s">
        <v>3</v>
      </c>
      <c r="AG1395" t="s">
        <v>2</v>
      </c>
      <c r="AI1395" t="s">
        <v>191</v>
      </c>
      <c r="AJ1395">
        <v>3</v>
      </c>
      <c r="AK1395">
        <v>-48</v>
      </c>
      <c r="AL1395">
        <v>20</v>
      </c>
      <c r="AM1395" t="s">
        <v>5</v>
      </c>
      <c r="AN1395">
        <v>0</v>
      </c>
      <c r="AO1395">
        <v>0</v>
      </c>
      <c r="AP1395">
        <v>1</v>
      </c>
      <c r="AQ1395">
        <v>1</v>
      </c>
    </row>
    <row r="1396" spans="1:43" x14ac:dyDescent="0.25">
      <c r="A1396" t="s">
        <v>190</v>
      </c>
      <c r="B1396" t="s">
        <v>189</v>
      </c>
      <c r="C1396" t="s">
        <v>188</v>
      </c>
      <c r="D1396" s="1">
        <v>46202</v>
      </c>
      <c r="E1396" t="s">
        <v>19</v>
      </c>
      <c r="F1396" t="s">
        <v>18</v>
      </c>
      <c r="G1396" t="s">
        <v>17</v>
      </c>
      <c r="H1396" t="s">
        <v>43</v>
      </c>
      <c r="I1396" t="s">
        <v>15</v>
      </c>
      <c r="J1396" t="s">
        <v>14</v>
      </c>
      <c r="K1396" t="s">
        <v>13</v>
      </c>
      <c r="L1396" t="s">
        <v>88</v>
      </c>
      <c r="M1396" t="s">
        <v>11</v>
      </c>
      <c r="N1396" t="s">
        <v>154</v>
      </c>
      <c r="O1396" t="s">
        <v>9</v>
      </c>
      <c r="P1396" t="s">
        <v>63</v>
      </c>
      <c r="Q1396" t="s">
        <v>172</v>
      </c>
      <c r="R1396" t="s">
        <v>6</v>
      </c>
      <c r="S1396">
        <v>7</v>
      </c>
      <c r="T1396">
        <v>6</v>
      </c>
      <c r="U1396">
        <v>226</v>
      </c>
      <c r="V1396" t="s">
        <v>5</v>
      </c>
      <c r="W1396" t="s">
        <v>5</v>
      </c>
      <c r="X1396" t="s">
        <v>135</v>
      </c>
      <c r="Y1396" t="s">
        <v>4</v>
      </c>
      <c r="Z1396" t="s">
        <v>0</v>
      </c>
      <c r="AA1396">
        <v>0</v>
      </c>
      <c r="AB1396">
        <v>0</v>
      </c>
      <c r="AC1396">
        <v>0</v>
      </c>
      <c r="AD1396" t="s">
        <v>187</v>
      </c>
      <c r="AE1396" t="s">
        <v>5</v>
      </c>
      <c r="AF1396" t="s">
        <v>187</v>
      </c>
      <c r="AG1396" t="s">
        <v>139</v>
      </c>
      <c r="AH1396">
        <v>62</v>
      </c>
      <c r="AI1396" t="s">
        <v>23</v>
      </c>
      <c r="AJ1396">
        <v>2</v>
      </c>
      <c r="AK1396">
        <v>-9</v>
      </c>
      <c r="AL1396">
        <v>2</v>
      </c>
      <c r="AM1396" t="s">
        <v>0</v>
      </c>
      <c r="AN1396">
        <v>1</v>
      </c>
      <c r="AO1396">
        <v>0</v>
      </c>
      <c r="AP1396">
        <v>0</v>
      </c>
      <c r="AQ1396">
        <v>0</v>
      </c>
    </row>
    <row r="1397" spans="1:43" x14ac:dyDescent="0.25">
      <c r="A1397" t="s">
        <v>186</v>
      </c>
      <c r="B1397" t="s">
        <v>185</v>
      </c>
      <c r="C1397" t="s">
        <v>184</v>
      </c>
      <c r="D1397" s="1">
        <v>46177</v>
      </c>
      <c r="E1397" t="s">
        <v>149</v>
      </c>
      <c r="F1397" t="s">
        <v>183</v>
      </c>
      <c r="G1397" t="s">
        <v>110</v>
      </c>
      <c r="H1397" t="s">
        <v>77</v>
      </c>
      <c r="I1397" t="s">
        <v>15</v>
      </c>
      <c r="J1397" t="s">
        <v>14</v>
      </c>
      <c r="K1397" t="s">
        <v>13</v>
      </c>
      <c r="L1397" t="s">
        <v>88</v>
      </c>
      <c r="M1397" t="s">
        <v>11</v>
      </c>
      <c r="N1397" t="s">
        <v>52</v>
      </c>
      <c r="O1397" t="s">
        <v>40</v>
      </c>
      <c r="P1397" t="s">
        <v>63</v>
      </c>
      <c r="Q1397" t="s">
        <v>50</v>
      </c>
      <c r="R1397" t="s">
        <v>38</v>
      </c>
      <c r="S1397">
        <v>8</v>
      </c>
      <c r="T1397">
        <v>8</v>
      </c>
      <c r="U1397">
        <v>265</v>
      </c>
      <c r="V1397" t="s">
        <v>182</v>
      </c>
      <c r="W1397" t="s">
        <v>5</v>
      </c>
      <c r="X1397" t="s">
        <v>181</v>
      </c>
      <c r="Y1397" t="s">
        <v>4</v>
      </c>
      <c r="Z1397" t="s">
        <v>0</v>
      </c>
      <c r="AA1397">
        <v>0</v>
      </c>
      <c r="AB1397">
        <v>0</v>
      </c>
      <c r="AC1397">
        <v>0</v>
      </c>
      <c r="AD1397" t="s">
        <v>3</v>
      </c>
      <c r="AE1397" t="s">
        <v>0</v>
      </c>
      <c r="AF1397" t="s">
        <v>3</v>
      </c>
      <c r="AG1397" t="s">
        <v>2</v>
      </c>
      <c r="AI1397" t="s">
        <v>23</v>
      </c>
      <c r="AJ1397">
        <v>5</v>
      </c>
      <c r="AK1397">
        <v>4</v>
      </c>
      <c r="AL1397">
        <v>5</v>
      </c>
      <c r="AM1397" t="s">
        <v>5</v>
      </c>
      <c r="AN1397">
        <v>1</v>
      </c>
      <c r="AO1397">
        <v>0</v>
      </c>
      <c r="AP1397">
        <v>0</v>
      </c>
      <c r="AQ1397">
        <v>1</v>
      </c>
    </row>
    <row r="1398" spans="1:43" x14ac:dyDescent="0.25">
      <c r="A1398" t="s">
        <v>180</v>
      </c>
      <c r="B1398" t="s">
        <v>179</v>
      </c>
      <c r="C1398" t="s">
        <v>178</v>
      </c>
      <c r="D1398" s="1">
        <v>46193</v>
      </c>
      <c r="E1398" t="s">
        <v>168</v>
      </c>
      <c r="F1398" t="s">
        <v>177</v>
      </c>
      <c r="G1398" t="s">
        <v>56</v>
      </c>
      <c r="H1398" t="s">
        <v>43</v>
      </c>
      <c r="I1398" t="s">
        <v>28</v>
      </c>
      <c r="J1398" t="s">
        <v>146</v>
      </c>
      <c r="K1398" t="s">
        <v>176</v>
      </c>
      <c r="L1398" t="s">
        <v>88</v>
      </c>
      <c r="M1398" t="s">
        <v>11</v>
      </c>
      <c r="N1398" t="s">
        <v>52</v>
      </c>
      <c r="O1398" t="s">
        <v>87</v>
      </c>
      <c r="P1398" t="s">
        <v>8</v>
      </c>
      <c r="Q1398" t="s">
        <v>7</v>
      </c>
      <c r="R1398" t="s">
        <v>6</v>
      </c>
      <c r="S1398">
        <v>5</v>
      </c>
      <c r="T1398">
        <v>5</v>
      </c>
      <c r="U1398">
        <v>106</v>
      </c>
      <c r="V1398" t="s">
        <v>5</v>
      </c>
      <c r="W1398" t="s">
        <v>5</v>
      </c>
      <c r="X1398" t="s">
        <v>0</v>
      </c>
      <c r="Y1398" t="s">
        <v>4</v>
      </c>
      <c r="Z1398" t="s">
        <v>0</v>
      </c>
      <c r="AA1398">
        <v>0</v>
      </c>
      <c r="AB1398">
        <v>0</v>
      </c>
      <c r="AC1398">
        <v>0</v>
      </c>
      <c r="AD1398" t="s">
        <v>3</v>
      </c>
      <c r="AE1398" t="s">
        <v>0</v>
      </c>
      <c r="AF1398" t="s">
        <v>3</v>
      </c>
      <c r="AG1398" t="s">
        <v>2</v>
      </c>
      <c r="AI1398" t="s">
        <v>23</v>
      </c>
      <c r="AJ1398">
        <v>5</v>
      </c>
      <c r="AK1398">
        <v>21</v>
      </c>
      <c r="AL1398">
        <v>52</v>
      </c>
      <c r="AM1398" t="s">
        <v>0</v>
      </c>
      <c r="AN1398">
        <v>1</v>
      </c>
      <c r="AO1398">
        <v>0</v>
      </c>
      <c r="AP1398">
        <v>0</v>
      </c>
      <c r="AQ1398">
        <v>0</v>
      </c>
    </row>
    <row r="1399" spans="1:43" x14ac:dyDescent="0.25">
      <c r="A1399" t="s">
        <v>175</v>
      </c>
      <c r="B1399" t="s">
        <v>174</v>
      </c>
      <c r="C1399" t="s">
        <v>173</v>
      </c>
      <c r="D1399" s="1">
        <v>46182</v>
      </c>
      <c r="E1399" t="s">
        <v>19</v>
      </c>
      <c r="F1399" t="s">
        <v>89</v>
      </c>
      <c r="G1399" t="s">
        <v>83</v>
      </c>
      <c r="H1399" t="s">
        <v>29</v>
      </c>
      <c r="I1399" t="s">
        <v>28</v>
      </c>
      <c r="J1399" t="s">
        <v>146</v>
      </c>
      <c r="K1399" t="s">
        <v>145</v>
      </c>
      <c r="L1399" t="s">
        <v>42</v>
      </c>
      <c r="M1399" t="s">
        <v>11</v>
      </c>
      <c r="N1399" t="s">
        <v>10</v>
      </c>
      <c r="O1399" t="s">
        <v>74</v>
      </c>
      <c r="P1399" t="s">
        <v>39</v>
      </c>
      <c r="Q1399" t="s">
        <v>172</v>
      </c>
      <c r="R1399" t="s">
        <v>38</v>
      </c>
      <c r="S1399">
        <v>6</v>
      </c>
      <c r="T1399">
        <v>6</v>
      </c>
      <c r="U1399">
        <v>105</v>
      </c>
      <c r="V1399" t="s">
        <v>5</v>
      </c>
      <c r="W1399" t="s">
        <v>0</v>
      </c>
      <c r="X1399" t="s">
        <v>0</v>
      </c>
      <c r="Y1399" t="s">
        <v>4</v>
      </c>
      <c r="Z1399" t="s">
        <v>0</v>
      </c>
      <c r="AA1399">
        <v>0</v>
      </c>
      <c r="AB1399">
        <v>0</v>
      </c>
      <c r="AC1399">
        <v>0</v>
      </c>
      <c r="AD1399" t="s">
        <v>3</v>
      </c>
      <c r="AE1399" t="s">
        <v>0</v>
      </c>
      <c r="AF1399" t="s">
        <v>3</v>
      </c>
      <c r="AG1399" t="s">
        <v>2</v>
      </c>
      <c r="AI1399" t="s">
        <v>23</v>
      </c>
      <c r="AJ1399">
        <v>2</v>
      </c>
      <c r="AK1399">
        <v>-1</v>
      </c>
      <c r="AL1399">
        <v>46</v>
      </c>
      <c r="AM1399" t="s">
        <v>5</v>
      </c>
      <c r="AN1399">
        <v>0</v>
      </c>
      <c r="AO1399">
        <v>0</v>
      </c>
      <c r="AP1399">
        <v>0</v>
      </c>
      <c r="AQ1399">
        <v>1</v>
      </c>
    </row>
    <row r="1400" spans="1:43" x14ac:dyDescent="0.25">
      <c r="A1400" t="s">
        <v>171</v>
      </c>
      <c r="B1400" t="s">
        <v>170</v>
      </c>
      <c r="C1400" t="s">
        <v>169</v>
      </c>
      <c r="D1400" s="1">
        <v>46187</v>
      </c>
      <c r="E1400" t="s">
        <v>168</v>
      </c>
      <c r="F1400" t="s">
        <v>167</v>
      </c>
      <c r="G1400" t="s">
        <v>123</v>
      </c>
      <c r="H1400" t="s">
        <v>29</v>
      </c>
      <c r="I1400" t="s">
        <v>28</v>
      </c>
      <c r="J1400" t="s">
        <v>55</v>
      </c>
      <c r="K1400" t="s">
        <v>65</v>
      </c>
      <c r="L1400" t="s">
        <v>88</v>
      </c>
      <c r="M1400" t="s">
        <v>27</v>
      </c>
      <c r="N1400" t="s">
        <v>116</v>
      </c>
      <c r="O1400" t="s">
        <v>130</v>
      </c>
      <c r="P1400" t="s">
        <v>39</v>
      </c>
      <c r="Q1400" t="s">
        <v>24</v>
      </c>
      <c r="R1400" t="s">
        <v>38</v>
      </c>
      <c r="S1400">
        <v>5</v>
      </c>
      <c r="T1400">
        <v>5</v>
      </c>
      <c r="U1400">
        <v>208</v>
      </c>
      <c r="V1400" t="s">
        <v>0</v>
      </c>
      <c r="W1400" t="s">
        <v>5</v>
      </c>
      <c r="X1400" t="s">
        <v>5</v>
      </c>
      <c r="Y1400" t="s">
        <v>166</v>
      </c>
      <c r="Z1400" t="s">
        <v>5</v>
      </c>
      <c r="AA1400">
        <v>85.33</v>
      </c>
      <c r="AB1400">
        <v>0</v>
      </c>
      <c r="AC1400">
        <v>0.37</v>
      </c>
      <c r="AD1400" t="s">
        <v>3</v>
      </c>
      <c r="AE1400" t="s">
        <v>0</v>
      </c>
      <c r="AF1400" t="s">
        <v>3</v>
      </c>
      <c r="AG1400" t="s">
        <v>2</v>
      </c>
      <c r="AI1400" t="s">
        <v>23</v>
      </c>
      <c r="AJ1400">
        <v>5</v>
      </c>
      <c r="AK1400">
        <v>65</v>
      </c>
      <c r="AL1400">
        <v>41</v>
      </c>
      <c r="AM1400" t="s">
        <v>5</v>
      </c>
      <c r="AN1400">
        <v>1</v>
      </c>
      <c r="AO1400">
        <v>1</v>
      </c>
      <c r="AP1400">
        <v>1</v>
      </c>
      <c r="AQ1400">
        <v>1</v>
      </c>
    </row>
    <row r="1401" spans="1:43" x14ac:dyDescent="0.25">
      <c r="A1401" t="s">
        <v>165</v>
      </c>
      <c r="B1401" t="s">
        <v>164</v>
      </c>
      <c r="C1401" t="s">
        <v>163</v>
      </c>
      <c r="D1401" s="1">
        <v>46174</v>
      </c>
      <c r="E1401" t="s">
        <v>162</v>
      </c>
      <c r="F1401" t="s">
        <v>161</v>
      </c>
      <c r="G1401" t="s">
        <v>30</v>
      </c>
      <c r="H1401" t="s">
        <v>77</v>
      </c>
      <c r="I1401" t="s">
        <v>15</v>
      </c>
      <c r="J1401" t="s">
        <v>55</v>
      </c>
      <c r="K1401" t="s">
        <v>54</v>
      </c>
      <c r="L1401" t="s">
        <v>12</v>
      </c>
      <c r="M1401" t="s">
        <v>11</v>
      </c>
      <c r="N1401" t="s">
        <v>41</v>
      </c>
      <c r="O1401" t="s">
        <v>40</v>
      </c>
      <c r="P1401" t="s">
        <v>39</v>
      </c>
      <c r="Q1401" t="s">
        <v>24</v>
      </c>
      <c r="R1401" t="s">
        <v>6</v>
      </c>
      <c r="S1401">
        <v>8</v>
      </c>
      <c r="T1401">
        <v>7</v>
      </c>
      <c r="U1401">
        <v>248</v>
      </c>
      <c r="V1401" t="s">
        <v>5</v>
      </c>
      <c r="W1401" t="s">
        <v>5</v>
      </c>
      <c r="X1401" t="s">
        <v>5</v>
      </c>
      <c r="Y1401" t="s">
        <v>160</v>
      </c>
      <c r="Z1401" t="s">
        <v>5</v>
      </c>
      <c r="AA1401">
        <v>410.71</v>
      </c>
      <c r="AB1401">
        <v>2.67</v>
      </c>
      <c r="AC1401">
        <v>0</v>
      </c>
      <c r="AD1401" t="s">
        <v>37</v>
      </c>
      <c r="AE1401" t="s">
        <v>5</v>
      </c>
      <c r="AF1401" t="s">
        <v>37</v>
      </c>
      <c r="AG1401" t="s">
        <v>36</v>
      </c>
      <c r="AH1401">
        <v>41</v>
      </c>
      <c r="AI1401" t="s">
        <v>23</v>
      </c>
      <c r="AJ1401">
        <v>3</v>
      </c>
      <c r="AK1401">
        <v>27</v>
      </c>
      <c r="AL1401">
        <v>5</v>
      </c>
      <c r="AM1401" t="s">
        <v>0</v>
      </c>
      <c r="AN1401">
        <v>1</v>
      </c>
      <c r="AO1401">
        <v>1</v>
      </c>
      <c r="AP1401">
        <v>1</v>
      </c>
      <c r="AQ1401">
        <v>0</v>
      </c>
    </row>
    <row r="1402" spans="1:43" x14ac:dyDescent="0.25">
      <c r="A1402" t="s">
        <v>159</v>
      </c>
      <c r="B1402" t="s">
        <v>158</v>
      </c>
      <c r="C1402" t="s">
        <v>157</v>
      </c>
      <c r="D1402" s="1">
        <v>46194</v>
      </c>
      <c r="E1402" t="s">
        <v>156</v>
      </c>
      <c r="F1402" t="s">
        <v>155</v>
      </c>
      <c r="G1402" t="s">
        <v>83</v>
      </c>
      <c r="H1402" t="s">
        <v>16</v>
      </c>
      <c r="I1402" t="s">
        <v>28</v>
      </c>
      <c r="J1402" t="s">
        <v>55</v>
      </c>
      <c r="K1402" t="s">
        <v>54</v>
      </c>
      <c r="L1402" t="s">
        <v>88</v>
      </c>
      <c r="M1402" t="s">
        <v>11</v>
      </c>
      <c r="N1402" t="s">
        <v>154</v>
      </c>
      <c r="O1402" t="s">
        <v>51</v>
      </c>
      <c r="P1402" t="s">
        <v>39</v>
      </c>
      <c r="Q1402" t="s">
        <v>7</v>
      </c>
      <c r="R1402" t="s">
        <v>6</v>
      </c>
      <c r="S1402">
        <v>6</v>
      </c>
      <c r="T1402">
        <v>6</v>
      </c>
      <c r="U1402">
        <v>203</v>
      </c>
      <c r="V1402" t="s">
        <v>5</v>
      </c>
      <c r="W1402" t="s">
        <v>5</v>
      </c>
      <c r="X1402" t="s">
        <v>5</v>
      </c>
      <c r="Y1402" t="s">
        <v>153</v>
      </c>
      <c r="Z1402" t="s">
        <v>5</v>
      </c>
      <c r="AA1402">
        <v>0</v>
      </c>
      <c r="AB1402">
        <v>0.11</v>
      </c>
      <c r="AC1402">
        <v>0</v>
      </c>
      <c r="AD1402" t="s">
        <v>3</v>
      </c>
      <c r="AE1402" t="s">
        <v>0</v>
      </c>
      <c r="AF1402" t="s">
        <v>3</v>
      </c>
      <c r="AG1402" t="s">
        <v>2</v>
      </c>
      <c r="AI1402" t="s">
        <v>23</v>
      </c>
      <c r="AJ1402">
        <v>3</v>
      </c>
      <c r="AK1402">
        <v>33</v>
      </c>
      <c r="AL1402">
        <v>59</v>
      </c>
      <c r="AM1402" t="s">
        <v>5</v>
      </c>
      <c r="AN1402">
        <v>1</v>
      </c>
      <c r="AO1402">
        <v>1</v>
      </c>
      <c r="AP1402">
        <v>1</v>
      </c>
      <c r="AQ1402">
        <v>1</v>
      </c>
    </row>
    <row r="1403" spans="1:43" x14ac:dyDescent="0.25">
      <c r="A1403" t="s">
        <v>152</v>
      </c>
      <c r="B1403" t="s">
        <v>151</v>
      </c>
      <c r="C1403" t="s">
        <v>150</v>
      </c>
      <c r="D1403" s="1">
        <v>46189</v>
      </c>
      <c r="E1403" t="s">
        <v>149</v>
      </c>
      <c r="F1403" t="s">
        <v>148</v>
      </c>
      <c r="G1403" t="s">
        <v>30</v>
      </c>
      <c r="H1403" t="s">
        <v>43</v>
      </c>
      <c r="I1403" t="s">
        <v>147</v>
      </c>
      <c r="J1403" t="s">
        <v>146</v>
      </c>
      <c r="K1403" t="s">
        <v>145</v>
      </c>
      <c r="L1403" t="s">
        <v>64</v>
      </c>
      <c r="M1403" t="s">
        <v>11</v>
      </c>
      <c r="N1403" t="s">
        <v>10</v>
      </c>
      <c r="O1403" t="s">
        <v>26</v>
      </c>
      <c r="P1403" t="s">
        <v>39</v>
      </c>
      <c r="Q1403" t="s">
        <v>7</v>
      </c>
      <c r="R1403" t="s">
        <v>6</v>
      </c>
      <c r="S1403">
        <v>4</v>
      </c>
      <c r="T1403">
        <v>4</v>
      </c>
      <c r="U1403">
        <v>89</v>
      </c>
      <c r="V1403" t="s">
        <v>0</v>
      </c>
      <c r="W1403" t="s">
        <v>0</v>
      </c>
      <c r="X1403" t="s">
        <v>5</v>
      </c>
      <c r="Y1403" t="s">
        <v>144</v>
      </c>
      <c r="Z1403" t="s">
        <v>0</v>
      </c>
      <c r="AA1403">
        <v>0</v>
      </c>
      <c r="AB1403">
        <v>0</v>
      </c>
      <c r="AC1403">
        <v>0</v>
      </c>
      <c r="AD1403" t="s">
        <v>3</v>
      </c>
      <c r="AE1403" t="s">
        <v>0</v>
      </c>
      <c r="AF1403" t="s">
        <v>3</v>
      </c>
      <c r="AG1403" t="s">
        <v>2</v>
      </c>
      <c r="AI1403" t="s">
        <v>122</v>
      </c>
      <c r="AJ1403">
        <v>3</v>
      </c>
      <c r="AK1403">
        <v>16</v>
      </c>
      <c r="AL1403">
        <v>22</v>
      </c>
      <c r="AM1403" t="s">
        <v>0</v>
      </c>
      <c r="AN1403">
        <v>0</v>
      </c>
      <c r="AO1403">
        <v>0</v>
      </c>
      <c r="AP1403">
        <v>1</v>
      </c>
      <c r="AQ1403">
        <v>0</v>
      </c>
    </row>
    <row r="1404" spans="1:43" x14ac:dyDescent="0.25">
      <c r="A1404" t="s">
        <v>143</v>
      </c>
      <c r="B1404" t="s">
        <v>142</v>
      </c>
      <c r="C1404" t="s">
        <v>141</v>
      </c>
      <c r="D1404" s="1">
        <v>46193</v>
      </c>
      <c r="E1404" t="s">
        <v>125</v>
      </c>
      <c r="F1404" t="s">
        <v>140</v>
      </c>
      <c r="G1404" t="s">
        <v>123</v>
      </c>
      <c r="H1404" t="s">
        <v>77</v>
      </c>
      <c r="I1404" t="s">
        <v>28</v>
      </c>
      <c r="J1404" t="s">
        <v>55</v>
      </c>
      <c r="K1404" t="s">
        <v>54</v>
      </c>
      <c r="L1404" t="s">
        <v>64</v>
      </c>
      <c r="M1404" t="s">
        <v>11</v>
      </c>
      <c r="N1404" t="s">
        <v>93</v>
      </c>
      <c r="O1404" t="s">
        <v>40</v>
      </c>
      <c r="P1404" t="s">
        <v>8</v>
      </c>
      <c r="Q1404" t="s">
        <v>7</v>
      </c>
      <c r="R1404" t="s">
        <v>6</v>
      </c>
      <c r="S1404">
        <v>8</v>
      </c>
      <c r="T1404">
        <v>8</v>
      </c>
      <c r="U1404">
        <v>222</v>
      </c>
      <c r="V1404" t="s">
        <v>0</v>
      </c>
      <c r="W1404" t="s">
        <v>5</v>
      </c>
      <c r="X1404" t="s">
        <v>0</v>
      </c>
      <c r="Y1404" t="s">
        <v>4</v>
      </c>
      <c r="Z1404" t="s">
        <v>5</v>
      </c>
      <c r="AA1404">
        <v>440.34</v>
      </c>
      <c r="AB1404">
        <v>2.4700000000000002</v>
      </c>
      <c r="AC1404">
        <v>0</v>
      </c>
      <c r="AD1404" t="s">
        <v>37</v>
      </c>
      <c r="AE1404" t="s">
        <v>5</v>
      </c>
      <c r="AF1404" t="s">
        <v>37</v>
      </c>
      <c r="AG1404" t="s">
        <v>139</v>
      </c>
      <c r="AH1404">
        <v>48</v>
      </c>
      <c r="AI1404" t="s">
        <v>23</v>
      </c>
      <c r="AJ1404">
        <v>4</v>
      </c>
      <c r="AK1404">
        <v>16</v>
      </c>
      <c r="AL1404">
        <v>15</v>
      </c>
      <c r="AM1404" t="s">
        <v>5</v>
      </c>
      <c r="AN1404">
        <v>1</v>
      </c>
      <c r="AO1404">
        <v>1</v>
      </c>
      <c r="AP1404">
        <v>0</v>
      </c>
      <c r="AQ1404">
        <v>1</v>
      </c>
    </row>
    <row r="1405" spans="1:43" x14ac:dyDescent="0.25">
      <c r="A1405" t="s">
        <v>138</v>
      </c>
      <c r="B1405" t="s">
        <v>137</v>
      </c>
      <c r="C1405" t="s">
        <v>136</v>
      </c>
      <c r="D1405" s="1">
        <v>46179</v>
      </c>
      <c r="E1405" t="s">
        <v>125</v>
      </c>
      <c r="F1405" t="s">
        <v>132</v>
      </c>
      <c r="G1405" t="s">
        <v>56</v>
      </c>
      <c r="H1405" t="s">
        <v>16</v>
      </c>
      <c r="I1405" t="s">
        <v>15</v>
      </c>
      <c r="J1405" t="s">
        <v>14</v>
      </c>
      <c r="K1405" t="s">
        <v>13</v>
      </c>
      <c r="L1405" t="s">
        <v>42</v>
      </c>
      <c r="M1405" t="s">
        <v>11</v>
      </c>
      <c r="N1405" t="s">
        <v>93</v>
      </c>
      <c r="O1405" t="s">
        <v>130</v>
      </c>
      <c r="P1405" t="s">
        <v>39</v>
      </c>
      <c r="Q1405" t="s">
        <v>7</v>
      </c>
      <c r="R1405" t="s">
        <v>6</v>
      </c>
      <c r="S1405">
        <v>5</v>
      </c>
      <c r="T1405">
        <v>5</v>
      </c>
      <c r="U1405">
        <v>182</v>
      </c>
      <c r="V1405" t="s">
        <v>0</v>
      </c>
      <c r="W1405" t="s">
        <v>135</v>
      </c>
      <c r="X1405" t="s">
        <v>0</v>
      </c>
      <c r="Y1405" t="s">
        <v>4</v>
      </c>
      <c r="Z1405" t="s">
        <v>0</v>
      </c>
      <c r="AA1405">
        <v>0</v>
      </c>
      <c r="AB1405">
        <v>0</v>
      </c>
      <c r="AC1405">
        <v>0</v>
      </c>
      <c r="AD1405" t="s">
        <v>3</v>
      </c>
      <c r="AE1405" t="s">
        <v>0</v>
      </c>
      <c r="AF1405" t="s">
        <v>3</v>
      </c>
      <c r="AG1405" t="s">
        <v>2</v>
      </c>
      <c r="AI1405" t="s">
        <v>23</v>
      </c>
      <c r="AJ1405">
        <v>4</v>
      </c>
      <c r="AK1405">
        <v>58</v>
      </c>
      <c r="AL1405">
        <v>34</v>
      </c>
      <c r="AM1405" t="s">
        <v>5</v>
      </c>
      <c r="AN1405">
        <v>0</v>
      </c>
      <c r="AO1405">
        <v>0</v>
      </c>
      <c r="AP1405">
        <v>0</v>
      </c>
      <c r="AQ1405">
        <v>1</v>
      </c>
    </row>
    <row r="1406" spans="1:43" x14ac:dyDescent="0.25">
      <c r="A1406" t="s">
        <v>134</v>
      </c>
      <c r="B1406" t="s">
        <v>47</v>
      </c>
      <c r="C1406" t="s">
        <v>133</v>
      </c>
      <c r="D1406" s="1">
        <v>46177</v>
      </c>
      <c r="E1406" t="s">
        <v>125</v>
      </c>
      <c r="F1406" t="s">
        <v>132</v>
      </c>
      <c r="G1406" t="s">
        <v>131</v>
      </c>
      <c r="H1406" t="s">
        <v>16</v>
      </c>
      <c r="I1406" t="s">
        <v>15</v>
      </c>
      <c r="J1406" t="s">
        <v>14</v>
      </c>
      <c r="K1406" t="s">
        <v>13</v>
      </c>
      <c r="L1406" t="s">
        <v>64</v>
      </c>
      <c r="M1406" t="s">
        <v>11</v>
      </c>
      <c r="N1406" t="s">
        <v>52</v>
      </c>
      <c r="O1406" t="s">
        <v>130</v>
      </c>
      <c r="P1406" t="s">
        <v>25</v>
      </c>
      <c r="Q1406" t="s">
        <v>7</v>
      </c>
      <c r="R1406" t="s">
        <v>6</v>
      </c>
      <c r="S1406">
        <v>5</v>
      </c>
      <c r="T1406">
        <v>4</v>
      </c>
      <c r="U1406">
        <v>230</v>
      </c>
      <c r="V1406" t="s">
        <v>5</v>
      </c>
      <c r="W1406" t="s">
        <v>0</v>
      </c>
      <c r="X1406" t="s">
        <v>0</v>
      </c>
      <c r="Y1406" t="s">
        <v>4</v>
      </c>
      <c r="Z1406" t="s">
        <v>5</v>
      </c>
      <c r="AA1406">
        <v>59.68</v>
      </c>
      <c r="AB1406">
        <v>0</v>
      </c>
      <c r="AC1406">
        <v>0</v>
      </c>
      <c r="AD1406" t="s">
        <v>3</v>
      </c>
      <c r="AE1406" t="s">
        <v>0</v>
      </c>
      <c r="AF1406" t="s">
        <v>3</v>
      </c>
      <c r="AG1406" t="s">
        <v>2</v>
      </c>
      <c r="AI1406" t="s">
        <v>129</v>
      </c>
      <c r="AJ1406">
        <v>3</v>
      </c>
      <c r="AK1406">
        <v>-8</v>
      </c>
      <c r="AL1406">
        <v>32</v>
      </c>
      <c r="AM1406" t="s">
        <v>5</v>
      </c>
      <c r="AN1406">
        <v>0</v>
      </c>
      <c r="AO1406">
        <v>1</v>
      </c>
      <c r="AP1406">
        <v>0</v>
      </c>
      <c r="AQ1406">
        <v>1</v>
      </c>
    </row>
    <row r="1407" spans="1:43" x14ac:dyDescent="0.25">
      <c r="A1407" t="s">
        <v>128</v>
      </c>
      <c r="B1407" t="s">
        <v>127</v>
      </c>
      <c r="C1407" t="s">
        <v>126</v>
      </c>
      <c r="D1407" s="1">
        <v>46199</v>
      </c>
      <c r="E1407" t="s">
        <v>125</v>
      </c>
      <c r="F1407" t="s">
        <v>124</v>
      </c>
      <c r="G1407" t="s">
        <v>123</v>
      </c>
      <c r="H1407" t="s">
        <v>77</v>
      </c>
      <c r="I1407" t="s">
        <v>28</v>
      </c>
      <c r="J1407" t="s">
        <v>14</v>
      </c>
      <c r="K1407" t="s">
        <v>13</v>
      </c>
      <c r="L1407" t="s">
        <v>42</v>
      </c>
      <c r="M1407" t="s">
        <v>53</v>
      </c>
      <c r="N1407" t="s">
        <v>52</v>
      </c>
      <c r="O1407" t="s">
        <v>40</v>
      </c>
      <c r="P1407" t="s">
        <v>8</v>
      </c>
      <c r="Q1407" t="s">
        <v>7</v>
      </c>
      <c r="R1407" t="s">
        <v>6</v>
      </c>
      <c r="S1407">
        <v>8</v>
      </c>
      <c r="T1407">
        <v>8</v>
      </c>
      <c r="U1407">
        <v>193</v>
      </c>
      <c r="V1407" t="s">
        <v>0</v>
      </c>
      <c r="W1407" t="s">
        <v>0</v>
      </c>
      <c r="X1407" t="s">
        <v>0</v>
      </c>
      <c r="Y1407" t="s">
        <v>4</v>
      </c>
      <c r="Z1407" t="s">
        <v>5</v>
      </c>
      <c r="AA1407">
        <v>373.34</v>
      </c>
      <c r="AB1407">
        <v>2.31</v>
      </c>
      <c r="AC1407">
        <v>0.17</v>
      </c>
      <c r="AD1407" t="s">
        <v>3</v>
      </c>
      <c r="AE1407" t="s">
        <v>0</v>
      </c>
      <c r="AF1407" t="s">
        <v>3</v>
      </c>
      <c r="AG1407" t="s">
        <v>2</v>
      </c>
      <c r="AI1407" t="s">
        <v>122</v>
      </c>
      <c r="AJ1407">
        <v>4</v>
      </c>
      <c r="AK1407">
        <v>33</v>
      </c>
      <c r="AL1407">
        <v>56</v>
      </c>
      <c r="AM1407" t="s">
        <v>5</v>
      </c>
      <c r="AN1407">
        <v>0</v>
      </c>
      <c r="AO1407">
        <v>1</v>
      </c>
      <c r="AP1407">
        <v>0</v>
      </c>
      <c r="AQ1407">
        <v>1</v>
      </c>
    </row>
    <row r="1408" spans="1:43" x14ac:dyDescent="0.25">
      <c r="A1408" t="s">
        <v>121</v>
      </c>
      <c r="B1408" t="s">
        <v>120</v>
      </c>
      <c r="C1408" t="s">
        <v>119</v>
      </c>
      <c r="D1408" s="1">
        <v>46181</v>
      </c>
      <c r="E1408" t="s">
        <v>95</v>
      </c>
      <c r="F1408" t="s">
        <v>118</v>
      </c>
      <c r="G1408" t="s">
        <v>56</v>
      </c>
      <c r="H1408" t="s">
        <v>16</v>
      </c>
      <c r="I1408" t="s">
        <v>28</v>
      </c>
      <c r="J1408" t="s">
        <v>14</v>
      </c>
      <c r="K1408" t="s">
        <v>13</v>
      </c>
      <c r="L1408" t="s">
        <v>117</v>
      </c>
      <c r="M1408" t="s">
        <v>11</v>
      </c>
      <c r="N1408" t="s">
        <v>116</v>
      </c>
      <c r="O1408" t="s">
        <v>101</v>
      </c>
      <c r="P1408" t="s">
        <v>8</v>
      </c>
      <c r="Q1408" t="s">
        <v>24</v>
      </c>
      <c r="R1408" t="s">
        <v>6</v>
      </c>
      <c r="S1408">
        <v>4</v>
      </c>
      <c r="T1408">
        <v>4</v>
      </c>
      <c r="U1408">
        <v>86</v>
      </c>
      <c r="V1408" t="s">
        <v>5</v>
      </c>
      <c r="W1408" t="s">
        <v>0</v>
      </c>
      <c r="X1408" t="s">
        <v>0</v>
      </c>
      <c r="Y1408" t="s">
        <v>4</v>
      </c>
      <c r="Z1408" t="s">
        <v>5</v>
      </c>
      <c r="AA1408">
        <v>62.92</v>
      </c>
      <c r="AB1408">
        <v>0.47</v>
      </c>
      <c r="AC1408">
        <v>0</v>
      </c>
      <c r="AD1408" t="s">
        <v>3</v>
      </c>
      <c r="AE1408" t="s">
        <v>0</v>
      </c>
      <c r="AF1408" t="s">
        <v>3</v>
      </c>
      <c r="AG1408" t="s">
        <v>2</v>
      </c>
      <c r="AI1408" t="s">
        <v>23</v>
      </c>
      <c r="AJ1408">
        <v>5</v>
      </c>
      <c r="AK1408">
        <v>35</v>
      </c>
      <c r="AL1408">
        <v>11</v>
      </c>
      <c r="AM1408" t="s">
        <v>5</v>
      </c>
      <c r="AN1408">
        <v>0</v>
      </c>
      <c r="AO1408">
        <v>1</v>
      </c>
      <c r="AP1408">
        <v>0</v>
      </c>
      <c r="AQ1408">
        <v>1</v>
      </c>
    </row>
    <row r="1409" spans="1:43" x14ac:dyDescent="0.25">
      <c r="A1409" t="s">
        <v>115</v>
      </c>
      <c r="B1409" t="s">
        <v>114</v>
      </c>
      <c r="C1409" t="s">
        <v>113</v>
      </c>
      <c r="D1409" s="1">
        <v>46196</v>
      </c>
      <c r="E1409" t="s">
        <v>112</v>
      </c>
      <c r="F1409" t="s">
        <v>111</v>
      </c>
      <c r="G1409" t="s">
        <v>110</v>
      </c>
      <c r="H1409" t="s">
        <v>77</v>
      </c>
      <c r="I1409" t="s">
        <v>15</v>
      </c>
      <c r="J1409" t="s">
        <v>14</v>
      </c>
      <c r="K1409" t="s">
        <v>13</v>
      </c>
      <c r="L1409" t="s">
        <v>88</v>
      </c>
      <c r="M1409" t="s">
        <v>53</v>
      </c>
      <c r="N1409" t="s">
        <v>41</v>
      </c>
      <c r="O1409" t="s">
        <v>26</v>
      </c>
      <c r="P1409" t="s">
        <v>39</v>
      </c>
      <c r="Q1409" t="s">
        <v>7</v>
      </c>
      <c r="R1409" t="s">
        <v>6</v>
      </c>
      <c r="S1409">
        <v>4</v>
      </c>
      <c r="T1409">
        <v>4</v>
      </c>
      <c r="U1409">
        <v>194</v>
      </c>
      <c r="V1409" t="s">
        <v>0</v>
      </c>
      <c r="W1409" t="s">
        <v>5</v>
      </c>
      <c r="X1409" t="s">
        <v>0</v>
      </c>
      <c r="Y1409" t="s">
        <v>4</v>
      </c>
      <c r="Z1409" t="s">
        <v>5</v>
      </c>
      <c r="AA1409">
        <v>141.36000000000001</v>
      </c>
      <c r="AB1409">
        <v>0.18</v>
      </c>
      <c r="AC1409">
        <v>0.17</v>
      </c>
      <c r="AD1409" t="s">
        <v>37</v>
      </c>
      <c r="AE1409" t="s">
        <v>5</v>
      </c>
      <c r="AF1409" t="s">
        <v>37</v>
      </c>
      <c r="AG1409" t="s">
        <v>36</v>
      </c>
      <c r="AH1409">
        <v>26</v>
      </c>
      <c r="AI1409" t="s">
        <v>23</v>
      </c>
      <c r="AJ1409">
        <v>4</v>
      </c>
      <c r="AK1409">
        <v>-22</v>
      </c>
      <c r="AL1409">
        <v>68</v>
      </c>
      <c r="AM1409" t="s">
        <v>5</v>
      </c>
      <c r="AN1409">
        <v>1</v>
      </c>
      <c r="AO1409">
        <v>1</v>
      </c>
      <c r="AP1409">
        <v>0</v>
      </c>
      <c r="AQ1409">
        <v>1</v>
      </c>
    </row>
    <row r="1410" spans="1:43" x14ac:dyDescent="0.25">
      <c r="A1410" t="s">
        <v>109</v>
      </c>
      <c r="B1410" t="s">
        <v>70</v>
      </c>
      <c r="C1410" t="s">
        <v>108</v>
      </c>
      <c r="D1410" s="1">
        <v>46200</v>
      </c>
      <c r="E1410" t="s">
        <v>32</v>
      </c>
      <c r="F1410" t="s">
        <v>107</v>
      </c>
      <c r="G1410" t="s">
        <v>17</v>
      </c>
      <c r="H1410" t="s">
        <v>77</v>
      </c>
      <c r="I1410" t="s">
        <v>28</v>
      </c>
      <c r="J1410" t="s">
        <v>14</v>
      </c>
      <c r="K1410" t="s">
        <v>13</v>
      </c>
      <c r="L1410" t="s">
        <v>88</v>
      </c>
      <c r="M1410" t="s">
        <v>27</v>
      </c>
      <c r="N1410" t="s">
        <v>75</v>
      </c>
      <c r="O1410" t="s">
        <v>40</v>
      </c>
      <c r="P1410" t="s">
        <v>39</v>
      </c>
      <c r="Q1410" t="s">
        <v>24</v>
      </c>
      <c r="R1410" t="s">
        <v>38</v>
      </c>
      <c r="S1410">
        <v>8</v>
      </c>
      <c r="T1410" t="s">
        <v>106</v>
      </c>
      <c r="U1410">
        <v>140</v>
      </c>
      <c r="V1410" t="s">
        <v>0</v>
      </c>
      <c r="W1410" t="s">
        <v>0</v>
      </c>
      <c r="X1410" t="s">
        <v>0</v>
      </c>
      <c r="Y1410" t="s">
        <v>4</v>
      </c>
      <c r="Z1410" t="s">
        <v>5</v>
      </c>
      <c r="AA1410">
        <v>418.99</v>
      </c>
      <c r="AB1410">
        <v>2.66</v>
      </c>
      <c r="AC1410">
        <v>0.37</v>
      </c>
      <c r="AD1410" t="s">
        <v>3</v>
      </c>
      <c r="AE1410" t="s">
        <v>0</v>
      </c>
      <c r="AF1410" t="s">
        <v>3</v>
      </c>
      <c r="AG1410" t="s">
        <v>2</v>
      </c>
      <c r="AI1410" t="s">
        <v>23</v>
      </c>
      <c r="AJ1410">
        <v>5</v>
      </c>
      <c r="AK1410">
        <v>49</v>
      </c>
      <c r="AL1410">
        <v>85</v>
      </c>
      <c r="AM1410" t="s">
        <v>5</v>
      </c>
      <c r="AN1410">
        <v>0</v>
      </c>
      <c r="AO1410">
        <v>1</v>
      </c>
      <c r="AP1410">
        <v>0</v>
      </c>
      <c r="AQ1410">
        <v>1</v>
      </c>
    </row>
    <row r="1411" spans="1:43" x14ac:dyDescent="0.25">
      <c r="A1411" t="s">
        <v>105</v>
      </c>
      <c r="B1411" t="s">
        <v>104</v>
      </c>
      <c r="C1411" t="s">
        <v>103</v>
      </c>
      <c r="D1411" s="1">
        <v>46193</v>
      </c>
      <c r="E1411" t="s">
        <v>79</v>
      </c>
      <c r="F1411" t="s">
        <v>102</v>
      </c>
      <c r="G1411" t="s">
        <v>30</v>
      </c>
      <c r="H1411" t="s">
        <v>77</v>
      </c>
      <c r="I1411" t="s">
        <v>28</v>
      </c>
      <c r="J1411" t="s">
        <v>14</v>
      </c>
      <c r="K1411" t="s">
        <v>13</v>
      </c>
      <c r="L1411" t="s">
        <v>88</v>
      </c>
      <c r="M1411" t="s">
        <v>53</v>
      </c>
      <c r="N1411" t="s">
        <v>10</v>
      </c>
      <c r="O1411" t="s">
        <v>101</v>
      </c>
      <c r="P1411" t="s">
        <v>63</v>
      </c>
      <c r="Q1411" t="s">
        <v>100</v>
      </c>
      <c r="R1411" t="s">
        <v>6</v>
      </c>
      <c r="S1411">
        <v>4</v>
      </c>
      <c r="T1411" t="s">
        <v>99</v>
      </c>
      <c r="U1411">
        <v>129</v>
      </c>
      <c r="V1411" t="s">
        <v>0</v>
      </c>
      <c r="W1411" t="s">
        <v>5</v>
      </c>
      <c r="X1411" t="s">
        <v>0</v>
      </c>
      <c r="Y1411" t="s">
        <v>4</v>
      </c>
      <c r="Z1411" t="s">
        <v>5</v>
      </c>
      <c r="AA1411">
        <v>46.76</v>
      </c>
      <c r="AB1411">
        <v>0.46</v>
      </c>
      <c r="AC1411">
        <v>0.17</v>
      </c>
      <c r="AD1411" t="s">
        <v>3</v>
      </c>
      <c r="AE1411" t="s">
        <v>0</v>
      </c>
      <c r="AF1411" t="s">
        <v>3</v>
      </c>
      <c r="AG1411" t="s">
        <v>2</v>
      </c>
      <c r="AI1411" t="s">
        <v>23</v>
      </c>
      <c r="AJ1411">
        <v>4</v>
      </c>
      <c r="AK1411">
        <v>52</v>
      </c>
      <c r="AL1411">
        <v>11</v>
      </c>
      <c r="AM1411" t="s">
        <v>5</v>
      </c>
      <c r="AN1411">
        <v>1</v>
      </c>
      <c r="AO1411">
        <v>1</v>
      </c>
      <c r="AP1411">
        <v>0</v>
      </c>
      <c r="AQ1411">
        <v>1</v>
      </c>
    </row>
    <row r="1412" spans="1:43" x14ac:dyDescent="0.25">
      <c r="A1412" t="s">
        <v>98</v>
      </c>
      <c r="B1412" t="s">
        <v>97</v>
      </c>
      <c r="C1412" t="s">
        <v>96</v>
      </c>
      <c r="D1412" s="1">
        <v>46187</v>
      </c>
      <c r="E1412" t="s">
        <v>95</v>
      </c>
      <c r="F1412" t="s">
        <v>94</v>
      </c>
      <c r="G1412" t="s">
        <v>17</v>
      </c>
      <c r="H1412" t="s">
        <v>77</v>
      </c>
      <c r="I1412" t="s">
        <v>28</v>
      </c>
      <c r="J1412" t="s">
        <v>14</v>
      </c>
      <c r="K1412" t="s">
        <v>13</v>
      </c>
      <c r="L1412" t="s">
        <v>64</v>
      </c>
      <c r="M1412" t="s">
        <v>11</v>
      </c>
      <c r="N1412" t="s">
        <v>93</v>
      </c>
      <c r="O1412" t="s">
        <v>51</v>
      </c>
      <c r="P1412" t="s">
        <v>63</v>
      </c>
      <c r="Q1412" t="s">
        <v>7</v>
      </c>
      <c r="R1412" t="s">
        <v>6</v>
      </c>
      <c r="S1412">
        <v>6</v>
      </c>
      <c r="T1412">
        <v>3</v>
      </c>
      <c r="U1412">
        <v>276</v>
      </c>
      <c r="V1412" t="s">
        <v>5</v>
      </c>
      <c r="W1412" t="s">
        <v>0</v>
      </c>
      <c r="X1412" t="s">
        <v>0</v>
      </c>
      <c r="Y1412" t="s">
        <v>4</v>
      </c>
      <c r="Z1412" t="s">
        <v>5</v>
      </c>
      <c r="AA1412">
        <v>112.89</v>
      </c>
      <c r="AB1412">
        <v>0.1</v>
      </c>
      <c r="AC1412">
        <v>0</v>
      </c>
      <c r="AD1412" t="s">
        <v>3</v>
      </c>
      <c r="AE1412" t="s">
        <v>0</v>
      </c>
      <c r="AF1412" t="s">
        <v>3</v>
      </c>
      <c r="AG1412" t="s">
        <v>2</v>
      </c>
      <c r="AI1412" t="s">
        <v>1</v>
      </c>
      <c r="AJ1412">
        <v>4</v>
      </c>
      <c r="AK1412">
        <v>-12</v>
      </c>
      <c r="AL1412">
        <v>20</v>
      </c>
      <c r="AM1412" t="s">
        <v>0</v>
      </c>
      <c r="AN1412">
        <v>0</v>
      </c>
      <c r="AO1412">
        <v>1</v>
      </c>
      <c r="AP1412">
        <v>0</v>
      </c>
      <c r="AQ1412">
        <v>0</v>
      </c>
    </row>
    <row r="1413" spans="1:43" x14ac:dyDescent="0.25">
      <c r="A1413" t="s">
        <v>92</v>
      </c>
      <c r="B1413" t="s">
        <v>91</v>
      </c>
      <c r="C1413" t="s">
        <v>90</v>
      </c>
      <c r="D1413" s="1">
        <v>46192</v>
      </c>
      <c r="E1413" t="s">
        <v>19</v>
      </c>
      <c r="F1413" t="s">
        <v>89</v>
      </c>
      <c r="G1413" t="s">
        <v>83</v>
      </c>
      <c r="H1413" t="s">
        <v>29</v>
      </c>
      <c r="I1413" t="s">
        <v>28</v>
      </c>
      <c r="J1413" t="s">
        <v>55</v>
      </c>
      <c r="K1413" t="s">
        <v>54</v>
      </c>
      <c r="L1413" t="s">
        <v>88</v>
      </c>
      <c r="M1413" t="s">
        <v>53</v>
      </c>
      <c r="N1413" t="s">
        <v>52</v>
      </c>
      <c r="O1413" t="s">
        <v>87</v>
      </c>
      <c r="P1413" t="s">
        <v>63</v>
      </c>
      <c r="Q1413" t="s">
        <v>24</v>
      </c>
      <c r="R1413" t="s">
        <v>38</v>
      </c>
      <c r="S1413">
        <v>5</v>
      </c>
      <c r="T1413">
        <v>5</v>
      </c>
      <c r="U1413">
        <v>113</v>
      </c>
      <c r="V1413" t="s">
        <v>0</v>
      </c>
      <c r="W1413" t="s">
        <v>0</v>
      </c>
      <c r="X1413" t="s">
        <v>0</v>
      </c>
      <c r="Y1413" t="s">
        <v>4</v>
      </c>
      <c r="Z1413" t="s">
        <v>5</v>
      </c>
      <c r="AA1413">
        <v>14.49</v>
      </c>
      <c r="AB1413">
        <v>0</v>
      </c>
      <c r="AC1413">
        <v>0.17</v>
      </c>
      <c r="AD1413" t="s">
        <v>3</v>
      </c>
      <c r="AE1413" t="s">
        <v>0</v>
      </c>
      <c r="AF1413" t="s">
        <v>3</v>
      </c>
      <c r="AG1413" t="s">
        <v>2</v>
      </c>
      <c r="AI1413" t="s">
        <v>23</v>
      </c>
      <c r="AJ1413">
        <v>4</v>
      </c>
      <c r="AK1413">
        <v>22</v>
      </c>
      <c r="AL1413">
        <v>10</v>
      </c>
      <c r="AM1413" t="s">
        <v>5</v>
      </c>
      <c r="AN1413">
        <v>0</v>
      </c>
      <c r="AO1413">
        <v>1</v>
      </c>
      <c r="AP1413">
        <v>0</v>
      </c>
      <c r="AQ1413">
        <v>1</v>
      </c>
    </row>
    <row r="1414" spans="1:43" x14ac:dyDescent="0.25">
      <c r="A1414" t="s">
        <v>86</v>
      </c>
      <c r="B1414" t="s">
        <v>85</v>
      </c>
      <c r="C1414" t="s">
        <v>84</v>
      </c>
      <c r="D1414" s="1">
        <v>46186</v>
      </c>
      <c r="E1414" t="s">
        <v>19</v>
      </c>
      <c r="F1414" t="s">
        <v>18</v>
      </c>
      <c r="G1414" t="s">
        <v>83</v>
      </c>
      <c r="H1414" t="s">
        <v>77</v>
      </c>
      <c r="I1414" t="s">
        <v>28</v>
      </c>
      <c r="J1414" t="s">
        <v>55</v>
      </c>
      <c r="K1414" t="s">
        <v>54</v>
      </c>
      <c r="L1414" t="s">
        <v>64</v>
      </c>
      <c r="M1414" t="s">
        <v>53</v>
      </c>
      <c r="N1414" t="s">
        <v>52</v>
      </c>
      <c r="O1414" t="s">
        <v>9</v>
      </c>
      <c r="P1414" t="s">
        <v>63</v>
      </c>
      <c r="Q1414" t="s">
        <v>7</v>
      </c>
      <c r="R1414" t="s">
        <v>6</v>
      </c>
      <c r="S1414">
        <v>7</v>
      </c>
      <c r="T1414">
        <v>6</v>
      </c>
      <c r="U1414">
        <v>227</v>
      </c>
      <c r="V1414" t="s">
        <v>5</v>
      </c>
      <c r="W1414" t="s">
        <v>0</v>
      </c>
      <c r="X1414" t="s">
        <v>0</v>
      </c>
      <c r="Y1414" t="s">
        <v>4</v>
      </c>
      <c r="Z1414" t="s">
        <v>0</v>
      </c>
      <c r="AA1414">
        <v>0</v>
      </c>
      <c r="AB1414">
        <v>0</v>
      </c>
      <c r="AC1414">
        <v>0</v>
      </c>
      <c r="AD1414" t="s">
        <v>3</v>
      </c>
      <c r="AE1414" t="s">
        <v>0</v>
      </c>
      <c r="AF1414" t="s">
        <v>3</v>
      </c>
      <c r="AG1414" t="s">
        <v>2</v>
      </c>
      <c r="AI1414" t="s">
        <v>1</v>
      </c>
      <c r="AJ1414">
        <v>2</v>
      </c>
      <c r="AK1414">
        <v>-10</v>
      </c>
      <c r="AL1414">
        <v>3</v>
      </c>
      <c r="AM1414" t="s">
        <v>0</v>
      </c>
      <c r="AN1414">
        <v>0</v>
      </c>
      <c r="AO1414">
        <v>0</v>
      </c>
      <c r="AP1414">
        <v>0</v>
      </c>
      <c r="AQ1414">
        <v>0</v>
      </c>
    </row>
    <row r="1415" spans="1:43" x14ac:dyDescent="0.25">
      <c r="A1415" t="s">
        <v>82</v>
      </c>
      <c r="B1415" t="s">
        <v>81</v>
      </c>
      <c r="C1415" t="s">
        <v>80</v>
      </c>
      <c r="D1415" s="1">
        <v>46190</v>
      </c>
      <c r="E1415" t="s">
        <v>79</v>
      </c>
      <c r="F1415" t="s">
        <v>78</v>
      </c>
      <c r="G1415" t="s">
        <v>17</v>
      </c>
      <c r="H1415" t="s">
        <v>77</v>
      </c>
      <c r="I1415" t="s">
        <v>15</v>
      </c>
      <c r="J1415" t="s">
        <v>14</v>
      </c>
      <c r="K1415" t="s">
        <v>76</v>
      </c>
      <c r="L1415" t="s">
        <v>42</v>
      </c>
      <c r="M1415" t="s">
        <v>11</v>
      </c>
      <c r="N1415" t="s">
        <v>75</v>
      </c>
      <c r="O1415" t="s">
        <v>74</v>
      </c>
      <c r="P1415" t="s">
        <v>39</v>
      </c>
      <c r="Q1415" t="s">
        <v>7</v>
      </c>
      <c r="R1415" t="s">
        <v>6</v>
      </c>
      <c r="S1415">
        <v>6</v>
      </c>
      <c r="T1415">
        <v>6</v>
      </c>
      <c r="U1415">
        <v>195</v>
      </c>
      <c r="V1415" t="s">
        <v>0</v>
      </c>
      <c r="W1415" t="s">
        <v>0</v>
      </c>
      <c r="X1415" t="s">
        <v>5</v>
      </c>
      <c r="Y1415" t="s">
        <v>73</v>
      </c>
      <c r="Z1415" t="s">
        <v>5</v>
      </c>
      <c r="AA1415">
        <v>37.82</v>
      </c>
      <c r="AB1415">
        <v>0</v>
      </c>
      <c r="AC1415">
        <v>0</v>
      </c>
      <c r="AD1415" t="s">
        <v>3</v>
      </c>
      <c r="AE1415" t="s">
        <v>0</v>
      </c>
      <c r="AF1415" t="s">
        <v>3</v>
      </c>
      <c r="AG1415" t="s">
        <v>2</v>
      </c>
      <c r="AI1415" t="s">
        <v>23</v>
      </c>
      <c r="AJ1415">
        <v>3</v>
      </c>
      <c r="AK1415">
        <v>6</v>
      </c>
      <c r="AL1415" t="s">
        <v>72</v>
      </c>
      <c r="AM1415" t="s">
        <v>0</v>
      </c>
      <c r="AN1415">
        <v>0</v>
      </c>
      <c r="AO1415">
        <v>1</v>
      </c>
      <c r="AP1415">
        <v>1</v>
      </c>
      <c r="AQ1415">
        <v>0</v>
      </c>
    </row>
    <row r="1416" spans="1:43" x14ac:dyDescent="0.25">
      <c r="A1416" t="s">
        <v>71</v>
      </c>
      <c r="B1416" t="s">
        <v>70</v>
      </c>
      <c r="C1416" t="s">
        <v>69</v>
      </c>
      <c r="D1416" s="1">
        <v>46201</v>
      </c>
      <c r="E1416" t="s">
        <v>68</v>
      </c>
      <c r="F1416" t="s">
        <v>67</v>
      </c>
      <c r="G1416" t="s">
        <v>30</v>
      </c>
      <c r="H1416" t="s">
        <v>66</v>
      </c>
      <c r="I1416" t="s">
        <v>15</v>
      </c>
      <c r="J1416" t="s">
        <v>55</v>
      </c>
      <c r="K1416" t="s">
        <v>65</v>
      </c>
      <c r="L1416" t="s">
        <v>64</v>
      </c>
      <c r="M1416" t="s">
        <v>11</v>
      </c>
      <c r="N1416" t="s">
        <v>52</v>
      </c>
      <c r="O1416" t="s">
        <v>26</v>
      </c>
      <c r="P1416" t="s">
        <v>63</v>
      </c>
      <c r="Q1416" t="s">
        <v>7</v>
      </c>
      <c r="R1416" t="s">
        <v>6</v>
      </c>
      <c r="S1416">
        <v>4</v>
      </c>
      <c r="T1416">
        <v>4</v>
      </c>
      <c r="U1416">
        <v>204</v>
      </c>
      <c r="V1416" t="s">
        <v>5</v>
      </c>
      <c r="W1416" t="s">
        <v>5</v>
      </c>
      <c r="X1416" t="s">
        <v>5</v>
      </c>
      <c r="Y1416" t="s">
        <v>62</v>
      </c>
      <c r="Z1416" t="s">
        <v>5</v>
      </c>
      <c r="AA1416">
        <v>165.09</v>
      </c>
      <c r="AB1416">
        <v>0.18</v>
      </c>
      <c r="AC1416">
        <v>0</v>
      </c>
      <c r="AD1416" t="s">
        <v>61</v>
      </c>
      <c r="AE1416" t="s">
        <v>5</v>
      </c>
      <c r="AF1416" t="s">
        <v>61</v>
      </c>
      <c r="AG1416" t="s">
        <v>36</v>
      </c>
      <c r="AH1416">
        <v>37</v>
      </c>
      <c r="AI1416" t="s">
        <v>23</v>
      </c>
      <c r="AJ1416">
        <v>3</v>
      </c>
      <c r="AK1416">
        <v>27</v>
      </c>
      <c r="AL1416">
        <v>2</v>
      </c>
      <c r="AM1416" t="s">
        <v>5</v>
      </c>
      <c r="AN1416">
        <v>1</v>
      </c>
      <c r="AO1416">
        <v>1</v>
      </c>
      <c r="AP1416">
        <v>1</v>
      </c>
      <c r="AQ1416">
        <v>1</v>
      </c>
    </row>
    <row r="1417" spans="1:43" x14ac:dyDescent="0.25">
      <c r="A1417" t="s">
        <v>60</v>
      </c>
      <c r="B1417" t="s">
        <v>59</v>
      </c>
      <c r="C1417" t="s">
        <v>58</v>
      </c>
      <c r="D1417" s="1">
        <v>46190</v>
      </c>
      <c r="E1417" t="s">
        <v>45</v>
      </c>
      <c r="F1417" t="s">
        <v>57</v>
      </c>
      <c r="G1417" t="s">
        <v>56</v>
      </c>
      <c r="H1417" t="s">
        <v>29</v>
      </c>
      <c r="I1417" t="s">
        <v>15</v>
      </c>
      <c r="J1417" t="s">
        <v>55</v>
      </c>
      <c r="K1417" t="s">
        <v>54</v>
      </c>
      <c r="L1417" t="s">
        <v>12</v>
      </c>
      <c r="M1417" t="s">
        <v>53</v>
      </c>
      <c r="N1417" t="s">
        <v>52</v>
      </c>
      <c r="O1417" t="s">
        <v>51</v>
      </c>
      <c r="P1417" t="s">
        <v>39</v>
      </c>
      <c r="Q1417" t="s">
        <v>50</v>
      </c>
      <c r="R1417" t="s">
        <v>38</v>
      </c>
      <c r="S1417">
        <v>6</v>
      </c>
      <c r="T1417">
        <v>6</v>
      </c>
      <c r="U1417">
        <v>249</v>
      </c>
      <c r="V1417" t="s">
        <v>0</v>
      </c>
      <c r="W1417" t="s">
        <v>0</v>
      </c>
      <c r="X1417" t="s">
        <v>5</v>
      </c>
      <c r="Y1417" t="s">
        <v>49</v>
      </c>
      <c r="Z1417" t="s">
        <v>0</v>
      </c>
      <c r="AA1417">
        <v>0</v>
      </c>
      <c r="AB1417">
        <v>0</v>
      </c>
      <c r="AC1417">
        <v>0</v>
      </c>
      <c r="AD1417" t="s">
        <v>3</v>
      </c>
      <c r="AE1417" t="s">
        <v>0</v>
      </c>
      <c r="AF1417" t="s">
        <v>3</v>
      </c>
      <c r="AG1417" t="s">
        <v>2</v>
      </c>
      <c r="AI1417" t="s">
        <v>23</v>
      </c>
      <c r="AJ1417">
        <v>3</v>
      </c>
      <c r="AK1417">
        <v>14</v>
      </c>
      <c r="AL1417">
        <v>15</v>
      </c>
      <c r="AM1417" t="s">
        <v>5</v>
      </c>
      <c r="AN1417">
        <v>0</v>
      </c>
      <c r="AO1417">
        <v>0</v>
      </c>
      <c r="AP1417">
        <v>1</v>
      </c>
      <c r="AQ1417">
        <v>1</v>
      </c>
    </row>
    <row r="1418" spans="1:43" x14ac:dyDescent="0.25">
      <c r="A1418" t="s">
        <v>48</v>
      </c>
      <c r="B1418" t="s">
        <v>47</v>
      </c>
      <c r="C1418" t="s">
        <v>46</v>
      </c>
      <c r="D1418" s="1">
        <v>46189</v>
      </c>
      <c r="E1418" t="s">
        <v>45</v>
      </c>
      <c r="F1418" t="s">
        <v>44</v>
      </c>
      <c r="G1418" t="s">
        <v>17</v>
      </c>
      <c r="H1418" t="s">
        <v>43</v>
      </c>
      <c r="I1418" t="s">
        <v>15</v>
      </c>
      <c r="J1418" t="s">
        <v>14</v>
      </c>
      <c r="K1418" t="s">
        <v>13</v>
      </c>
      <c r="L1418" t="s">
        <v>42</v>
      </c>
      <c r="M1418" t="s">
        <v>11</v>
      </c>
      <c r="N1418" t="s">
        <v>41</v>
      </c>
      <c r="O1418" t="s">
        <v>40</v>
      </c>
      <c r="P1418" t="s">
        <v>39</v>
      </c>
      <c r="Q1418" t="s">
        <v>24</v>
      </c>
      <c r="R1418" t="s">
        <v>38</v>
      </c>
      <c r="S1418">
        <v>8</v>
      </c>
      <c r="T1418">
        <v>8</v>
      </c>
      <c r="U1418">
        <v>245</v>
      </c>
      <c r="V1418" t="s">
        <v>0</v>
      </c>
      <c r="W1418" t="s">
        <v>5</v>
      </c>
      <c r="X1418" t="s">
        <v>0</v>
      </c>
      <c r="Y1418" t="s">
        <v>4</v>
      </c>
      <c r="Z1418" t="s">
        <v>0</v>
      </c>
      <c r="AA1418">
        <v>0</v>
      </c>
      <c r="AB1418">
        <v>0</v>
      </c>
      <c r="AC1418">
        <v>0</v>
      </c>
      <c r="AD1418" t="s">
        <v>37</v>
      </c>
      <c r="AE1418" t="s">
        <v>5</v>
      </c>
      <c r="AF1418" t="s">
        <v>37</v>
      </c>
      <c r="AG1418" t="s">
        <v>36</v>
      </c>
      <c r="AH1418">
        <v>42</v>
      </c>
      <c r="AI1418" t="s">
        <v>23</v>
      </c>
      <c r="AJ1418">
        <v>5</v>
      </c>
      <c r="AK1418">
        <v>10</v>
      </c>
      <c r="AL1418">
        <v>51</v>
      </c>
      <c r="AM1418" t="s">
        <v>5</v>
      </c>
      <c r="AN1418">
        <v>1</v>
      </c>
      <c r="AO1418">
        <v>0</v>
      </c>
      <c r="AP1418">
        <v>0</v>
      </c>
      <c r="AQ1418">
        <v>1</v>
      </c>
    </row>
    <row r="1419" spans="1:43" x14ac:dyDescent="0.25">
      <c r="A1419" t="s">
        <v>35</v>
      </c>
      <c r="B1419" t="s">
        <v>34</v>
      </c>
      <c r="C1419" t="s">
        <v>33</v>
      </c>
      <c r="D1419" s="1">
        <v>46200</v>
      </c>
      <c r="E1419" t="s">
        <v>32</v>
      </c>
      <c r="F1419" t="s">
        <v>31</v>
      </c>
      <c r="G1419" t="s">
        <v>30</v>
      </c>
      <c r="H1419" t="s">
        <v>29</v>
      </c>
      <c r="I1419" t="s">
        <v>28</v>
      </c>
      <c r="J1419" t="s">
        <v>14</v>
      </c>
      <c r="K1419" t="s">
        <v>13</v>
      </c>
      <c r="L1419" t="s">
        <v>12</v>
      </c>
      <c r="M1419" t="s">
        <v>27</v>
      </c>
      <c r="N1419" t="s">
        <v>10</v>
      </c>
      <c r="O1419" t="s">
        <v>26</v>
      </c>
      <c r="P1419" t="s">
        <v>25</v>
      </c>
      <c r="Q1419" t="s">
        <v>24</v>
      </c>
      <c r="R1419" t="s">
        <v>6</v>
      </c>
      <c r="S1419">
        <v>4</v>
      </c>
      <c r="T1419">
        <v>4</v>
      </c>
      <c r="U1419">
        <v>120</v>
      </c>
      <c r="V1419" t="s">
        <v>0</v>
      </c>
      <c r="W1419" t="s">
        <v>5</v>
      </c>
      <c r="X1419" t="s">
        <v>0</v>
      </c>
      <c r="Y1419" t="s">
        <v>4</v>
      </c>
      <c r="Z1419" t="s">
        <v>0</v>
      </c>
      <c r="AA1419">
        <v>0</v>
      </c>
      <c r="AB1419">
        <v>0</v>
      </c>
      <c r="AC1419">
        <v>0</v>
      </c>
      <c r="AD1419" t="s">
        <v>3</v>
      </c>
      <c r="AE1419" t="s">
        <v>0</v>
      </c>
      <c r="AF1419" t="s">
        <v>3</v>
      </c>
      <c r="AG1419" t="s">
        <v>2</v>
      </c>
      <c r="AI1419" t="s">
        <v>23</v>
      </c>
      <c r="AJ1419">
        <v>5</v>
      </c>
      <c r="AK1419">
        <v>52</v>
      </c>
      <c r="AL1419">
        <v>58</v>
      </c>
      <c r="AM1419" t="s">
        <v>5</v>
      </c>
      <c r="AN1419">
        <v>1</v>
      </c>
      <c r="AO1419">
        <v>0</v>
      </c>
      <c r="AP1419">
        <v>0</v>
      </c>
      <c r="AQ1419">
        <v>1</v>
      </c>
    </row>
    <row r="1420" spans="1:43" x14ac:dyDescent="0.25">
      <c r="A1420" t="s">
        <v>22</v>
      </c>
      <c r="B1420" t="s">
        <v>21</v>
      </c>
      <c r="C1420" t="s">
        <v>20</v>
      </c>
      <c r="D1420" s="1">
        <v>46189</v>
      </c>
      <c r="E1420" t="s">
        <v>19</v>
      </c>
      <c r="F1420" t="s">
        <v>18</v>
      </c>
      <c r="G1420" t="s">
        <v>17</v>
      </c>
      <c r="H1420" t="s">
        <v>16</v>
      </c>
      <c r="I1420" t="s">
        <v>15</v>
      </c>
      <c r="J1420" t="s">
        <v>14</v>
      </c>
      <c r="K1420" t="s">
        <v>13</v>
      </c>
      <c r="L1420" t="s">
        <v>12</v>
      </c>
      <c r="M1420" t="s">
        <v>11</v>
      </c>
      <c r="N1420" t="s">
        <v>10</v>
      </c>
      <c r="O1420" t="s">
        <v>9</v>
      </c>
      <c r="P1420" t="s">
        <v>8</v>
      </c>
      <c r="Q1420" t="s">
        <v>7</v>
      </c>
      <c r="R1420" t="s">
        <v>6</v>
      </c>
      <c r="S1420">
        <v>7</v>
      </c>
      <c r="T1420">
        <v>7</v>
      </c>
      <c r="U1420">
        <v>140</v>
      </c>
      <c r="V1420" t="s">
        <v>5</v>
      </c>
      <c r="W1420" t="s">
        <v>0</v>
      </c>
      <c r="X1420" t="s">
        <v>0</v>
      </c>
      <c r="Y1420" t="s">
        <v>4</v>
      </c>
      <c r="Z1420" t="s">
        <v>0</v>
      </c>
      <c r="AA1420">
        <v>0</v>
      </c>
      <c r="AB1420">
        <v>0</v>
      </c>
      <c r="AC1420">
        <v>0</v>
      </c>
      <c r="AD1420" t="s">
        <v>3</v>
      </c>
      <c r="AE1420" t="s">
        <v>0</v>
      </c>
      <c r="AF1420" t="s">
        <v>3</v>
      </c>
      <c r="AG1420" t="s">
        <v>2</v>
      </c>
      <c r="AI1420" t="s">
        <v>1</v>
      </c>
      <c r="AJ1420">
        <v>3</v>
      </c>
      <c r="AK1420">
        <v>35</v>
      </c>
      <c r="AL1420">
        <v>8</v>
      </c>
      <c r="AM1420" t="s">
        <v>0</v>
      </c>
      <c r="AN1420">
        <v>0</v>
      </c>
      <c r="AO1420">
        <v>0</v>
      </c>
      <c r="AP1420">
        <v>0</v>
      </c>
      <c r="AQ142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2E76-D653-47BC-AF0C-33FE09D2FE14}">
  <dimension ref="A1:AE361"/>
  <sheetViews>
    <sheetView topLeftCell="A329" workbookViewId="0">
      <selection activeCell="F360" sqref="F360"/>
    </sheetView>
  </sheetViews>
  <sheetFormatPr defaultRowHeight="13.2" x14ac:dyDescent="0.25"/>
  <cols>
    <col min="1" max="1" width="28.6640625" bestFit="1" customWidth="1"/>
    <col min="2" max="2" width="16.21875" bestFit="1" customWidth="1"/>
    <col min="3" max="11" width="42.21875" bestFit="1" customWidth="1"/>
    <col min="12" max="12" width="27" bestFit="1" customWidth="1"/>
    <col min="13" max="13" width="42.21875" bestFit="1" customWidth="1"/>
    <col min="14" max="14" width="28.6640625" bestFit="1" customWidth="1"/>
    <col min="15" max="15" width="42.21875" bestFit="1" customWidth="1"/>
    <col min="16" max="16" width="15" customWidth="1"/>
    <col min="17" max="17" width="11.109375" bestFit="1" customWidth="1"/>
    <col min="18" max="18" width="4.109375" bestFit="1" customWidth="1"/>
    <col min="19" max="19" width="14.21875" bestFit="1" customWidth="1"/>
    <col min="20" max="20" width="11.109375" bestFit="1" customWidth="1"/>
    <col min="21" max="21" width="4.109375" bestFit="1" customWidth="1"/>
    <col min="22" max="22" width="14.21875" bestFit="1" customWidth="1"/>
    <col min="23" max="54" width="11.33203125" bestFit="1" customWidth="1"/>
    <col min="55" max="55" width="10.6640625" bestFit="1" customWidth="1"/>
    <col min="56" max="938" width="11.33203125" bestFit="1" customWidth="1"/>
    <col min="939" max="939" width="9.77734375" bestFit="1" customWidth="1"/>
    <col min="940" max="1235" width="11.33203125" bestFit="1" customWidth="1"/>
    <col min="1236" max="1236" width="9.6640625" bestFit="1" customWidth="1"/>
    <col min="1237" max="1393" width="11.33203125" bestFit="1" customWidth="1"/>
    <col min="1394" max="1394" width="13.6640625" bestFit="1" customWidth="1"/>
    <col min="1395" max="1402" width="11.33203125" bestFit="1" customWidth="1"/>
    <col min="1403" max="1403" width="9" bestFit="1" customWidth="1"/>
    <col min="1404" max="1405" width="11.33203125" bestFit="1" customWidth="1"/>
    <col min="1406" max="1406" width="14.21875" bestFit="1" customWidth="1"/>
  </cols>
  <sheetData>
    <row r="1" spans="1:18" x14ac:dyDescent="0.25">
      <c r="B1" s="13" t="s">
        <v>3861</v>
      </c>
    </row>
    <row r="2" spans="1:18" x14ac:dyDescent="0.25">
      <c r="L2" s="4" t="s">
        <v>3855</v>
      </c>
      <c r="M2" t="s">
        <v>3854</v>
      </c>
      <c r="N2" s="2" t="s">
        <v>3847</v>
      </c>
      <c r="O2" s="2" t="s">
        <v>3843</v>
      </c>
    </row>
    <row r="3" spans="1:18" x14ac:dyDescent="0.25">
      <c r="A3" s="2" t="s">
        <v>3845</v>
      </c>
      <c r="B3" t="s">
        <v>3844</v>
      </c>
      <c r="C3" s="4" t="s">
        <v>3845</v>
      </c>
      <c r="D3" s="4" t="s">
        <v>3858</v>
      </c>
      <c r="L3" s="3" t="s">
        <v>40</v>
      </c>
      <c r="M3" s="5">
        <v>169.54</v>
      </c>
      <c r="N3" s="2" t="s">
        <v>3845</v>
      </c>
      <c r="O3" t="s">
        <v>0</v>
      </c>
      <c r="P3" t="s">
        <v>5</v>
      </c>
      <c r="Q3" t="s">
        <v>3842</v>
      </c>
      <c r="R3" t="s">
        <v>3859</v>
      </c>
    </row>
    <row r="4" spans="1:18" x14ac:dyDescent="0.25">
      <c r="A4" s="3" t="s">
        <v>130</v>
      </c>
      <c r="B4">
        <v>89</v>
      </c>
      <c r="C4" s="3" t="s">
        <v>193</v>
      </c>
      <c r="D4">
        <v>31</v>
      </c>
      <c r="G4" s="2" t="s">
        <v>3846</v>
      </c>
      <c r="H4" s="2" t="s">
        <v>3858</v>
      </c>
      <c r="L4" s="3" t="s">
        <v>193</v>
      </c>
      <c r="M4" s="5">
        <v>93.860000000000014</v>
      </c>
      <c r="N4" s="3" t="s">
        <v>51</v>
      </c>
      <c r="O4">
        <v>64</v>
      </c>
      <c r="P4">
        <v>69</v>
      </c>
      <c r="Q4">
        <v>133</v>
      </c>
      <c r="R4" s="10">
        <f>P4/Q4</f>
        <v>0.51879699248120303</v>
      </c>
    </row>
    <row r="5" spans="1:18" x14ac:dyDescent="0.25">
      <c r="A5" s="3" t="s">
        <v>193</v>
      </c>
      <c r="B5">
        <v>97</v>
      </c>
      <c r="C5" s="3" t="s">
        <v>51</v>
      </c>
      <c r="D5">
        <v>64</v>
      </c>
      <c r="E5" s="4" t="s">
        <v>3845</v>
      </c>
      <c r="F5" t="s">
        <v>3850</v>
      </c>
      <c r="G5" s="2" t="s">
        <v>3841</v>
      </c>
      <c r="H5" t="s">
        <v>0</v>
      </c>
      <c r="I5" t="s">
        <v>5</v>
      </c>
      <c r="J5" t="s">
        <v>3842</v>
      </c>
      <c r="K5" t="s">
        <v>3859</v>
      </c>
      <c r="L5" s="3" t="s">
        <v>101</v>
      </c>
      <c r="M5" s="5">
        <v>69.559999999999974</v>
      </c>
      <c r="N5" s="3" t="s">
        <v>9</v>
      </c>
      <c r="O5">
        <v>73</v>
      </c>
      <c r="P5">
        <v>79</v>
      </c>
      <c r="Q5">
        <v>152</v>
      </c>
      <c r="R5" s="10">
        <f t="shared" ref="R5:R13" si="0">P5/Q5</f>
        <v>0.51973684210526316</v>
      </c>
    </row>
    <row r="6" spans="1:18" x14ac:dyDescent="0.25">
      <c r="A6" s="3" t="s">
        <v>87</v>
      </c>
      <c r="B6">
        <v>101</v>
      </c>
      <c r="C6" s="3" t="s">
        <v>40</v>
      </c>
      <c r="D6">
        <v>65</v>
      </c>
      <c r="E6" s="3" t="s">
        <v>130</v>
      </c>
      <c r="F6" s="11">
        <v>0.7415730337078652</v>
      </c>
      <c r="G6" s="3" t="s">
        <v>130</v>
      </c>
      <c r="H6">
        <v>23</v>
      </c>
      <c r="I6">
        <v>66</v>
      </c>
      <c r="J6">
        <v>89</v>
      </c>
      <c r="K6" s="10">
        <f>I6/J6</f>
        <v>0.7415730337078652</v>
      </c>
      <c r="L6" s="3" t="s">
        <v>26</v>
      </c>
      <c r="M6" s="5">
        <v>56.629999999999995</v>
      </c>
      <c r="N6" s="3" t="s">
        <v>130</v>
      </c>
      <c r="O6">
        <v>31</v>
      </c>
      <c r="P6">
        <v>58</v>
      </c>
      <c r="Q6">
        <v>89</v>
      </c>
      <c r="R6" s="10">
        <f t="shared" si="0"/>
        <v>0.651685393258427</v>
      </c>
    </row>
    <row r="7" spans="1:18" x14ac:dyDescent="0.25">
      <c r="A7" s="3" t="s">
        <v>74</v>
      </c>
      <c r="B7">
        <v>119</v>
      </c>
      <c r="C7" s="3" t="s">
        <v>130</v>
      </c>
      <c r="D7">
        <v>66</v>
      </c>
      <c r="E7" s="3" t="s">
        <v>193</v>
      </c>
      <c r="F7" s="11">
        <v>0.31958762886597936</v>
      </c>
      <c r="G7" s="3" t="s">
        <v>193</v>
      </c>
      <c r="H7">
        <v>66</v>
      </c>
      <c r="I7">
        <v>31</v>
      </c>
      <c r="J7">
        <v>97</v>
      </c>
      <c r="K7" s="10">
        <f t="shared" ref="K7:K15" si="1">I7/J7</f>
        <v>0.31958762886597936</v>
      </c>
      <c r="L7" s="3" t="s">
        <v>51</v>
      </c>
      <c r="M7" s="5">
        <v>11.34</v>
      </c>
      <c r="N7" s="3" t="s">
        <v>74</v>
      </c>
      <c r="O7">
        <v>56</v>
      </c>
      <c r="P7">
        <v>63</v>
      </c>
      <c r="Q7">
        <v>119</v>
      </c>
      <c r="R7" s="10">
        <f t="shared" si="0"/>
        <v>0.52941176470588236</v>
      </c>
    </row>
    <row r="8" spans="1:18" x14ac:dyDescent="0.25">
      <c r="A8" s="3" t="s">
        <v>51</v>
      </c>
      <c r="B8">
        <v>133</v>
      </c>
      <c r="C8" s="3" t="s">
        <v>74</v>
      </c>
      <c r="D8">
        <v>70</v>
      </c>
      <c r="E8" s="3" t="s">
        <v>87</v>
      </c>
      <c r="F8" s="11">
        <v>0.80198019801980203</v>
      </c>
      <c r="G8" s="3" t="s">
        <v>87</v>
      </c>
      <c r="H8">
        <v>20</v>
      </c>
      <c r="I8">
        <v>81</v>
      </c>
      <c r="J8">
        <v>101</v>
      </c>
      <c r="K8" s="10">
        <f>I8/J8</f>
        <v>0.80198019801980203</v>
      </c>
      <c r="L8" s="3" t="s">
        <v>199</v>
      </c>
      <c r="M8" s="5">
        <v>9.5699999999999985</v>
      </c>
      <c r="N8" s="3" t="s">
        <v>193</v>
      </c>
      <c r="O8">
        <v>52</v>
      </c>
      <c r="P8">
        <v>45</v>
      </c>
      <c r="Q8">
        <v>97</v>
      </c>
      <c r="R8" s="10">
        <f t="shared" si="0"/>
        <v>0.46391752577319589</v>
      </c>
    </row>
    <row r="9" spans="1:18" x14ac:dyDescent="0.25">
      <c r="A9" s="3" t="s">
        <v>40</v>
      </c>
      <c r="B9">
        <v>146</v>
      </c>
      <c r="C9" s="3" t="s">
        <v>9</v>
      </c>
      <c r="D9">
        <v>71</v>
      </c>
      <c r="E9" s="3" t="s">
        <v>74</v>
      </c>
      <c r="F9" s="11">
        <v>0.58823529411764708</v>
      </c>
      <c r="G9" s="3" t="s">
        <v>74</v>
      </c>
      <c r="H9">
        <v>49</v>
      </c>
      <c r="I9">
        <v>70</v>
      </c>
      <c r="J9">
        <v>119</v>
      </c>
      <c r="K9" s="10">
        <f t="shared" si="1"/>
        <v>0.58823529411764708</v>
      </c>
      <c r="L9" s="3" t="s">
        <v>87</v>
      </c>
      <c r="M9" s="5">
        <v>6.59</v>
      </c>
      <c r="N9" s="3" t="s">
        <v>87</v>
      </c>
      <c r="O9">
        <v>23</v>
      </c>
      <c r="P9">
        <v>78</v>
      </c>
      <c r="Q9">
        <v>101</v>
      </c>
      <c r="R9" s="10">
        <f t="shared" si="0"/>
        <v>0.7722772277227723</v>
      </c>
    </row>
    <row r="10" spans="1:18" x14ac:dyDescent="0.25">
      <c r="A10" s="3" t="s">
        <v>9</v>
      </c>
      <c r="B10">
        <v>152</v>
      </c>
      <c r="C10" s="3" t="s">
        <v>87</v>
      </c>
      <c r="D10">
        <v>81</v>
      </c>
      <c r="E10" s="3" t="s">
        <v>51</v>
      </c>
      <c r="F10" s="11">
        <v>0.49230769230769234</v>
      </c>
      <c r="G10" s="3" t="s">
        <v>51</v>
      </c>
      <c r="H10">
        <v>66</v>
      </c>
      <c r="I10">
        <v>64</v>
      </c>
      <c r="J10">
        <v>130</v>
      </c>
      <c r="K10" s="10">
        <f t="shared" si="1"/>
        <v>0.49230769230769234</v>
      </c>
      <c r="L10" s="3" t="s">
        <v>130</v>
      </c>
      <c r="M10" s="5">
        <v>5.4</v>
      </c>
      <c r="N10" s="3" t="s">
        <v>26</v>
      </c>
      <c r="O10">
        <v>43</v>
      </c>
      <c r="P10">
        <v>206</v>
      </c>
      <c r="Q10">
        <v>249</v>
      </c>
      <c r="R10" s="10">
        <f t="shared" si="0"/>
        <v>0.82730923694779113</v>
      </c>
    </row>
    <row r="11" spans="1:18" x14ac:dyDescent="0.25">
      <c r="A11" s="3" t="s">
        <v>101</v>
      </c>
      <c r="B11">
        <v>155</v>
      </c>
      <c r="C11" s="3" t="s">
        <v>101</v>
      </c>
      <c r="D11">
        <v>124</v>
      </c>
      <c r="E11" s="3" t="s">
        <v>40</v>
      </c>
      <c r="F11" s="11">
        <v>0.44827586206896552</v>
      </c>
      <c r="G11" s="3" t="s">
        <v>40</v>
      </c>
      <c r="H11">
        <v>80</v>
      </c>
      <c r="I11">
        <v>65</v>
      </c>
      <c r="J11">
        <v>145</v>
      </c>
      <c r="K11" s="10">
        <f t="shared" si="1"/>
        <v>0.44827586206896552</v>
      </c>
      <c r="L11" s="3" t="s">
        <v>74</v>
      </c>
      <c r="M11" s="5">
        <v>4.5699999999999994</v>
      </c>
      <c r="N11" s="3" t="s">
        <v>40</v>
      </c>
      <c r="O11">
        <v>73</v>
      </c>
      <c r="P11">
        <v>73</v>
      </c>
      <c r="Q11">
        <v>146</v>
      </c>
      <c r="R11" s="10">
        <f t="shared" si="0"/>
        <v>0.5</v>
      </c>
    </row>
    <row r="12" spans="1:18" x14ac:dyDescent="0.25">
      <c r="A12" s="3" t="s">
        <v>199</v>
      </c>
      <c r="B12">
        <v>174</v>
      </c>
      <c r="C12" s="3" t="s">
        <v>199</v>
      </c>
      <c r="D12">
        <v>130</v>
      </c>
      <c r="E12" s="3" t="s">
        <v>9</v>
      </c>
      <c r="F12" s="11">
        <v>0.46710526315789475</v>
      </c>
      <c r="G12" s="3" t="s">
        <v>9</v>
      </c>
      <c r="H12">
        <v>81</v>
      </c>
      <c r="I12">
        <v>71</v>
      </c>
      <c r="J12">
        <v>152</v>
      </c>
      <c r="K12" s="10">
        <f t="shared" si="1"/>
        <v>0.46710526315789475</v>
      </c>
      <c r="L12" s="3" t="s">
        <v>9</v>
      </c>
      <c r="M12" s="5">
        <v>-4.1500000000000004</v>
      </c>
      <c r="N12" s="3" t="s">
        <v>199</v>
      </c>
      <c r="O12">
        <v>36</v>
      </c>
      <c r="P12">
        <v>138</v>
      </c>
      <c r="Q12">
        <v>174</v>
      </c>
      <c r="R12" s="10">
        <f t="shared" si="0"/>
        <v>0.7931034482758621</v>
      </c>
    </row>
    <row r="13" spans="1:18" x14ac:dyDescent="0.25">
      <c r="A13" s="3" t="s">
        <v>26</v>
      </c>
      <c r="B13">
        <v>249</v>
      </c>
      <c r="C13" s="3" t="s">
        <v>26</v>
      </c>
      <c r="D13">
        <v>193</v>
      </c>
      <c r="E13" s="3" t="s">
        <v>101</v>
      </c>
      <c r="F13" s="11">
        <v>0.80519480519480524</v>
      </c>
      <c r="G13" s="3" t="s">
        <v>101</v>
      </c>
      <c r="H13">
        <v>30</v>
      </c>
      <c r="I13">
        <v>124</v>
      </c>
      <c r="J13">
        <v>154</v>
      </c>
      <c r="K13" s="10">
        <f t="shared" si="1"/>
        <v>0.80519480519480524</v>
      </c>
      <c r="N13" s="3" t="s">
        <v>101</v>
      </c>
      <c r="O13">
        <v>34</v>
      </c>
      <c r="P13">
        <v>121</v>
      </c>
      <c r="Q13">
        <v>155</v>
      </c>
      <c r="R13" s="10">
        <f t="shared" si="0"/>
        <v>0.78064516129032258</v>
      </c>
    </row>
    <row r="14" spans="1:18" x14ac:dyDescent="0.25">
      <c r="E14" s="3" t="s">
        <v>199</v>
      </c>
      <c r="F14" s="11">
        <v>0.7558139534883721</v>
      </c>
      <c r="G14" s="3" t="s">
        <v>199</v>
      </c>
      <c r="H14">
        <v>42</v>
      </c>
      <c r="I14">
        <v>130</v>
      </c>
      <c r="J14">
        <v>172</v>
      </c>
      <c r="K14" s="10">
        <f t="shared" si="1"/>
        <v>0.7558139534883721</v>
      </c>
    </row>
    <row r="15" spans="1:18" x14ac:dyDescent="0.25">
      <c r="E15" s="3" t="s">
        <v>26</v>
      </c>
      <c r="F15" s="11">
        <v>0.77822580645161288</v>
      </c>
      <c r="G15" s="3" t="s">
        <v>26</v>
      </c>
      <c r="H15">
        <v>55</v>
      </c>
      <c r="I15">
        <v>193</v>
      </c>
      <c r="J15">
        <v>248</v>
      </c>
      <c r="K15" s="10">
        <f t="shared" si="1"/>
        <v>0.77822580645161288</v>
      </c>
    </row>
    <row r="16" spans="1:18" x14ac:dyDescent="0.25">
      <c r="N16" s="4"/>
    </row>
    <row r="17" spans="1:15" x14ac:dyDescent="0.25">
      <c r="G17" s="2" t="s">
        <v>3855</v>
      </c>
      <c r="H17" t="s">
        <v>3852</v>
      </c>
      <c r="I17" t="s">
        <v>3853</v>
      </c>
      <c r="J17" s="7" t="s">
        <v>3854</v>
      </c>
      <c r="K17" s="2" t="s">
        <v>3841</v>
      </c>
      <c r="L17" t="s">
        <v>3856</v>
      </c>
      <c r="N17" s="4" t="s">
        <v>3845</v>
      </c>
      <c r="O17" t="s">
        <v>3859</v>
      </c>
    </row>
    <row r="18" spans="1:15" x14ac:dyDescent="0.25">
      <c r="A18" s="2" t="s">
        <v>3848</v>
      </c>
      <c r="B18" s="2" t="s">
        <v>3843</v>
      </c>
      <c r="G18" s="3" t="s">
        <v>9</v>
      </c>
      <c r="H18" s="5">
        <v>-10</v>
      </c>
      <c r="I18">
        <v>5.85</v>
      </c>
      <c r="J18" s="5">
        <f>H18+I18</f>
        <v>-4.1500000000000004</v>
      </c>
      <c r="K18" s="3" t="s">
        <v>130</v>
      </c>
      <c r="L18">
        <v>89</v>
      </c>
      <c r="N18" s="3" t="s">
        <v>193</v>
      </c>
      <c r="O18" s="11">
        <v>0.46391752577319589</v>
      </c>
    </row>
    <row r="19" spans="1:15" x14ac:dyDescent="0.25">
      <c r="A19" s="2" t="s">
        <v>3841</v>
      </c>
      <c r="B19" t="s">
        <v>0</v>
      </c>
      <c r="C19" t="s">
        <v>5</v>
      </c>
      <c r="D19" t="s">
        <v>3842</v>
      </c>
      <c r="E19" t="s">
        <v>3857</v>
      </c>
      <c r="G19" s="3" t="s">
        <v>74</v>
      </c>
      <c r="H19" s="5">
        <v>0</v>
      </c>
      <c r="I19">
        <v>4.5699999999999994</v>
      </c>
      <c r="J19" s="5">
        <f t="shared" ref="J19:J27" si="2">H19+I19</f>
        <v>4.5699999999999994</v>
      </c>
      <c r="K19" s="3" t="s">
        <v>193</v>
      </c>
      <c r="L19">
        <v>97</v>
      </c>
      <c r="N19" s="3" t="s">
        <v>40</v>
      </c>
      <c r="O19" s="11">
        <v>0.5</v>
      </c>
    </row>
    <row r="20" spans="1:15" x14ac:dyDescent="0.25">
      <c r="A20" s="3" t="s">
        <v>130</v>
      </c>
      <c r="B20">
        <v>77</v>
      </c>
      <c r="C20">
        <v>12</v>
      </c>
      <c r="D20">
        <v>89</v>
      </c>
      <c r="E20" s="10">
        <f>C20/D20</f>
        <v>0.1348314606741573</v>
      </c>
      <c r="G20" s="3" t="s">
        <v>130</v>
      </c>
      <c r="H20" s="5">
        <v>0</v>
      </c>
      <c r="I20">
        <v>5.4</v>
      </c>
      <c r="J20" s="5">
        <f t="shared" si="2"/>
        <v>5.4</v>
      </c>
      <c r="K20" s="3" t="s">
        <v>87</v>
      </c>
      <c r="L20">
        <v>101</v>
      </c>
      <c r="N20" s="3" t="s">
        <v>51</v>
      </c>
      <c r="O20" s="11">
        <v>0.51879699248120303</v>
      </c>
    </row>
    <row r="21" spans="1:15" x14ac:dyDescent="0.25">
      <c r="A21" s="3" t="s">
        <v>193</v>
      </c>
      <c r="B21">
        <v>69</v>
      </c>
      <c r="C21">
        <v>28</v>
      </c>
      <c r="D21">
        <v>97</v>
      </c>
      <c r="E21" s="10">
        <f t="shared" ref="E21:E29" si="3">C21/D21</f>
        <v>0.28865979381443296</v>
      </c>
      <c r="G21" s="3" t="s">
        <v>199</v>
      </c>
      <c r="H21" s="5">
        <v>0</v>
      </c>
      <c r="I21">
        <v>9.5699999999999985</v>
      </c>
      <c r="J21" s="5">
        <f t="shared" si="2"/>
        <v>9.5699999999999985</v>
      </c>
      <c r="K21" s="3" t="s">
        <v>74</v>
      </c>
      <c r="L21">
        <v>119</v>
      </c>
      <c r="N21" s="3" t="s">
        <v>9</v>
      </c>
      <c r="O21" s="11">
        <v>0.51973684210526316</v>
      </c>
    </row>
    <row r="22" spans="1:15" x14ac:dyDescent="0.25">
      <c r="A22" s="3" t="s">
        <v>87</v>
      </c>
      <c r="B22">
        <v>91</v>
      </c>
      <c r="C22">
        <v>10</v>
      </c>
      <c r="D22">
        <v>101</v>
      </c>
      <c r="E22" s="10">
        <f>C22/D22</f>
        <v>9.9009900990099015E-2</v>
      </c>
      <c r="G22" s="3" t="s">
        <v>87</v>
      </c>
      <c r="H22" s="5">
        <v>0</v>
      </c>
      <c r="I22">
        <v>6.59</v>
      </c>
      <c r="J22" s="5">
        <f t="shared" si="2"/>
        <v>6.59</v>
      </c>
      <c r="K22" s="3" t="s">
        <v>51</v>
      </c>
      <c r="L22">
        <v>133</v>
      </c>
      <c r="N22" s="3" t="s">
        <v>74</v>
      </c>
      <c r="O22" s="11">
        <v>0.52941176470588236</v>
      </c>
    </row>
    <row r="23" spans="1:15" x14ac:dyDescent="0.25">
      <c r="A23" s="3" t="s">
        <v>74</v>
      </c>
      <c r="B23">
        <v>99</v>
      </c>
      <c r="C23">
        <v>19</v>
      </c>
      <c r="D23">
        <v>118</v>
      </c>
      <c r="E23" s="10">
        <f t="shared" si="3"/>
        <v>0.16101694915254236</v>
      </c>
      <c r="G23" s="3" t="s">
        <v>51</v>
      </c>
      <c r="H23" s="5">
        <v>6.5400000000000009</v>
      </c>
      <c r="I23">
        <v>4.8</v>
      </c>
      <c r="J23" s="5">
        <f t="shared" si="2"/>
        <v>11.34</v>
      </c>
      <c r="K23" s="3" t="s">
        <v>40</v>
      </c>
      <c r="L23">
        <v>146</v>
      </c>
      <c r="N23" s="3" t="s">
        <v>130</v>
      </c>
      <c r="O23" s="11">
        <v>0.651685393258427</v>
      </c>
    </row>
    <row r="24" spans="1:15" x14ac:dyDescent="0.25">
      <c r="A24" s="3" t="s">
        <v>51</v>
      </c>
      <c r="B24">
        <v>100</v>
      </c>
      <c r="C24">
        <v>32</v>
      </c>
      <c r="D24">
        <v>132</v>
      </c>
      <c r="E24" s="10">
        <f t="shared" si="3"/>
        <v>0.24242424242424243</v>
      </c>
      <c r="G24" s="3" t="s">
        <v>26</v>
      </c>
      <c r="H24" s="5">
        <v>38.669999999999995</v>
      </c>
      <c r="I24">
        <v>17.959999999999997</v>
      </c>
      <c r="J24" s="5">
        <f t="shared" si="2"/>
        <v>56.629999999999995</v>
      </c>
      <c r="K24" s="3" t="s">
        <v>9</v>
      </c>
      <c r="L24">
        <v>152</v>
      </c>
      <c r="N24" s="3" t="s">
        <v>87</v>
      </c>
      <c r="O24" s="11">
        <v>0.7722772277227723</v>
      </c>
    </row>
    <row r="25" spans="1:15" x14ac:dyDescent="0.25">
      <c r="A25" s="3" t="s">
        <v>40</v>
      </c>
      <c r="B25">
        <v>110</v>
      </c>
      <c r="C25">
        <v>36</v>
      </c>
      <c r="D25">
        <v>146</v>
      </c>
      <c r="E25" s="10">
        <f t="shared" si="3"/>
        <v>0.24657534246575341</v>
      </c>
      <c r="G25" s="3" t="s">
        <v>101</v>
      </c>
      <c r="H25" s="5">
        <v>60.299999999999983</v>
      </c>
      <c r="I25">
        <v>9.259999999999998</v>
      </c>
      <c r="J25" s="5">
        <f t="shared" si="2"/>
        <v>69.559999999999974</v>
      </c>
      <c r="K25" s="3" t="s">
        <v>101</v>
      </c>
      <c r="L25">
        <v>155</v>
      </c>
      <c r="N25" s="3" t="s">
        <v>101</v>
      </c>
      <c r="O25" s="11">
        <v>0.78064516129032258</v>
      </c>
    </row>
    <row r="26" spans="1:15" x14ac:dyDescent="0.25">
      <c r="A26" s="3" t="s">
        <v>9</v>
      </c>
      <c r="B26">
        <v>117</v>
      </c>
      <c r="C26">
        <v>34</v>
      </c>
      <c r="D26">
        <v>151</v>
      </c>
      <c r="E26" s="10">
        <f t="shared" si="3"/>
        <v>0.2251655629139073</v>
      </c>
      <c r="G26" s="3" t="s">
        <v>193</v>
      </c>
      <c r="H26" s="5">
        <v>90.850000000000009</v>
      </c>
      <c r="I26">
        <v>3.01</v>
      </c>
      <c r="J26" s="5">
        <f t="shared" si="2"/>
        <v>93.860000000000014</v>
      </c>
      <c r="K26" s="3" t="s">
        <v>199</v>
      </c>
      <c r="L26">
        <v>174</v>
      </c>
      <c r="N26" s="3" t="s">
        <v>199</v>
      </c>
      <c r="O26" s="11">
        <v>0.7931034482758621</v>
      </c>
    </row>
    <row r="27" spans="1:15" x14ac:dyDescent="0.25">
      <c r="A27" s="3" t="s">
        <v>101</v>
      </c>
      <c r="B27">
        <v>137</v>
      </c>
      <c r="C27">
        <v>18</v>
      </c>
      <c r="D27">
        <v>155</v>
      </c>
      <c r="E27" s="10">
        <f t="shared" si="3"/>
        <v>0.11612903225806452</v>
      </c>
      <c r="G27" s="3" t="s">
        <v>40</v>
      </c>
      <c r="H27" s="5">
        <v>164.54</v>
      </c>
      <c r="I27">
        <v>5</v>
      </c>
      <c r="J27" s="5">
        <f t="shared" si="2"/>
        <v>169.54</v>
      </c>
      <c r="K27" s="3" t="s">
        <v>26</v>
      </c>
      <c r="L27">
        <v>249</v>
      </c>
      <c r="N27" s="3" t="s">
        <v>26</v>
      </c>
      <c r="O27" s="11">
        <v>0.82730923694779113</v>
      </c>
    </row>
    <row r="28" spans="1:15" x14ac:dyDescent="0.25">
      <c r="A28" s="3" t="s">
        <v>199</v>
      </c>
      <c r="B28">
        <v>139</v>
      </c>
      <c r="C28">
        <v>35</v>
      </c>
      <c r="D28">
        <v>174</v>
      </c>
      <c r="E28" s="10">
        <f t="shared" si="3"/>
        <v>0.20114942528735633</v>
      </c>
    </row>
    <row r="29" spans="1:15" x14ac:dyDescent="0.25">
      <c r="A29" s="3" t="s">
        <v>26</v>
      </c>
      <c r="B29">
        <v>214</v>
      </c>
      <c r="C29">
        <v>34</v>
      </c>
      <c r="D29">
        <v>248</v>
      </c>
      <c r="E29" s="10">
        <f t="shared" si="3"/>
        <v>0.13709677419354838</v>
      </c>
      <c r="G29" t="s">
        <v>3862</v>
      </c>
      <c r="H29" t="s">
        <v>3866</v>
      </c>
    </row>
    <row r="30" spans="1:15" ht="14.4" thickBot="1" x14ac:dyDescent="0.3">
      <c r="A30" s="14" t="s">
        <v>3845</v>
      </c>
      <c r="B30" s="15" t="s">
        <v>3849</v>
      </c>
      <c r="C30" s="15" t="s">
        <v>3850</v>
      </c>
      <c r="D30" s="15" t="s">
        <v>3851</v>
      </c>
      <c r="E30" s="16" t="s">
        <v>3860</v>
      </c>
      <c r="G30">
        <f>COUNTA(Cleaned_Data[[#All],[Product_Event_ID]])</f>
        <v>1420</v>
      </c>
      <c r="H30" s="9">
        <f>COUNTIF(Cleaned_Data[Retained_30_Day_Flag],"Yes")/(COUNTIF(Cleaned_Data[Retained_30_Day_Flag],"Yes")+COUNTIF(Cleaned_Data[Retained_30_Day_Flag],"No"))</f>
        <v>0.62749287749287752</v>
      </c>
    </row>
    <row r="31" spans="1:15" ht="14.4" thickTop="1" x14ac:dyDescent="0.25">
      <c r="A31" s="17" t="s">
        <v>130</v>
      </c>
      <c r="B31" s="18">
        <v>0.1348314606741573</v>
      </c>
      <c r="C31" s="18">
        <v>0.74160000000000004</v>
      </c>
      <c r="D31" s="19">
        <v>3.97</v>
      </c>
      <c r="E31" s="20">
        <v>0.78649999999999998</v>
      </c>
      <c r="G31" t="s">
        <v>3863</v>
      </c>
      <c r="H31" t="s">
        <v>3867</v>
      </c>
    </row>
    <row r="32" spans="1:15" ht="13.8" x14ac:dyDescent="0.25">
      <c r="A32" s="21" t="s">
        <v>193</v>
      </c>
      <c r="B32" s="22">
        <v>0.28865979381443296</v>
      </c>
      <c r="C32" s="22">
        <v>0.3196</v>
      </c>
      <c r="D32" s="23">
        <v>2.84</v>
      </c>
      <c r="E32" s="24">
        <v>0.47370000000000001</v>
      </c>
      <c r="G32" s="9">
        <f>COUNTIF(Cleaned_Data[Task_Completed_Flag],"Yes")/(COUNTIF(Cleaned_Data[Task_Completed_Flag],"Yes")+COUNTIF(Cleaned_Data[Task_Completed_Flag],"No"))</f>
        <v>0.656800563777308</v>
      </c>
      <c r="H32" s="12">
        <f>AVERAGE(Cleaned_Data[Satisfaction_Score])</f>
        <v>3.5757575757575757</v>
      </c>
    </row>
    <row r="33" spans="1:31" ht="13.8" x14ac:dyDescent="0.25">
      <c r="A33" s="17" t="s">
        <v>87</v>
      </c>
      <c r="B33" s="18">
        <v>9.9009900990099015E-2</v>
      </c>
      <c r="C33" s="18">
        <v>0.80200000000000005</v>
      </c>
      <c r="D33" s="19">
        <v>4.07</v>
      </c>
      <c r="E33" s="20">
        <v>0.72160000000000002</v>
      </c>
      <c r="G33" t="s">
        <v>3864</v>
      </c>
      <c r="H33" t="s">
        <v>3868</v>
      </c>
    </row>
    <row r="34" spans="1:31" ht="13.8" x14ac:dyDescent="0.25">
      <c r="A34" s="21" t="s">
        <v>74</v>
      </c>
      <c r="B34" s="22">
        <v>0.16101694915254236</v>
      </c>
      <c r="C34" s="22">
        <v>0.58819999999999995</v>
      </c>
      <c r="D34" s="23">
        <v>3.36</v>
      </c>
      <c r="E34" s="24">
        <v>0.50429999999999997</v>
      </c>
      <c r="G34" s="9">
        <f>COUNTIF(Cleaned_Data[Transaction_Success_Flag],"Yes")/(COUNTIF(Cleaned_Data[Transaction_Success_Flag],"Yes")+COUNTIF(Cleaned_Data[Transaction_Success_Flag],"No"))</f>
        <v>0.63571934798015595</v>
      </c>
      <c r="H34" s="30">
        <f>SUM(Cleaned_Data[Fee_Revenue_GBP])+SUM(Cleaned_Data[Allocated_Subscription_Revenue_GBP])</f>
        <v>423.21000000000043</v>
      </c>
    </row>
    <row r="35" spans="1:31" ht="13.8" x14ac:dyDescent="0.25">
      <c r="A35" s="17" t="s">
        <v>51</v>
      </c>
      <c r="B35" s="18">
        <v>0.24242424242424243</v>
      </c>
      <c r="C35" s="18">
        <v>0.49230000000000002</v>
      </c>
      <c r="D35" s="19">
        <v>3.22</v>
      </c>
      <c r="E35" s="20">
        <v>0.54959999999999998</v>
      </c>
      <c r="G35" t="s">
        <v>3865</v>
      </c>
      <c r="H35" s="29"/>
    </row>
    <row r="36" spans="1:31" ht="13.8" x14ac:dyDescent="0.25">
      <c r="A36" s="21" t="s">
        <v>40</v>
      </c>
      <c r="B36" s="22">
        <v>0.24657534246575341</v>
      </c>
      <c r="C36" s="22">
        <v>0.44829999999999998</v>
      </c>
      <c r="D36" s="23">
        <v>3.08</v>
      </c>
      <c r="E36" s="24">
        <v>0.52049999999999996</v>
      </c>
      <c r="G36" s="9">
        <f>COUNTIF(Cleaned_Data[Error_Flag],"Yes")/(COUNTIF(Cleaned_Data[Error_Flag],"Yes")+COUNTIF(Cleaned_Data[Error_Flag],"No"))</f>
        <v>0.18303886925795054</v>
      </c>
    </row>
    <row r="37" spans="1:31" ht="13.8" x14ac:dyDescent="0.25">
      <c r="A37" s="17" t="s">
        <v>9</v>
      </c>
      <c r="B37" s="18">
        <v>0.2251655629139073</v>
      </c>
      <c r="C37" s="18">
        <v>0.46710000000000002</v>
      </c>
      <c r="D37" s="19">
        <v>3.13</v>
      </c>
      <c r="E37" s="20">
        <v>0.5333</v>
      </c>
    </row>
    <row r="38" spans="1:31" ht="13.8" x14ac:dyDescent="0.25">
      <c r="A38" s="21" t="s">
        <v>101</v>
      </c>
      <c r="B38" s="22">
        <v>0.11612903225806452</v>
      </c>
      <c r="C38" s="22">
        <v>0.80520000000000003</v>
      </c>
      <c r="D38" s="23">
        <v>3.92</v>
      </c>
      <c r="E38" s="24">
        <v>0.72550000000000003</v>
      </c>
    </row>
    <row r="39" spans="1:31" ht="13.8" x14ac:dyDescent="0.25">
      <c r="A39" s="17" t="s">
        <v>199</v>
      </c>
      <c r="B39" s="18">
        <v>0.20114942528735633</v>
      </c>
      <c r="C39" s="18">
        <v>0.75580000000000003</v>
      </c>
      <c r="D39" s="19">
        <v>3.87</v>
      </c>
      <c r="E39" s="20">
        <v>0.63219999999999998</v>
      </c>
    </row>
    <row r="40" spans="1:31" ht="13.8" x14ac:dyDescent="0.25">
      <c r="A40" s="25" t="s">
        <v>26</v>
      </c>
      <c r="B40" s="26">
        <v>0.13709677419354838</v>
      </c>
      <c r="C40" s="26">
        <v>0.7782</v>
      </c>
      <c r="D40" s="27">
        <v>3.96</v>
      </c>
      <c r="E40" s="28">
        <v>0.754</v>
      </c>
    </row>
    <row r="41" spans="1:31" x14ac:dyDescent="0.25">
      <c r="L41" s="10"/>
    </row>
    <row r="42" spans="1:31" x14ac:dyDescent="0.25">
      <c r="L42" s="10"/>
    </row>
    <row r="43" spans="1:31" x14ac:dyDescent="0.25">
      <c r="A43" s="2" t="s">
        <v>3844</v>
      </c>
      <c r="B43" s="2" t="s">
        <v>3843</v>
      </c>
      <c r="J43" s="2" t="s">
        <v>3870</v>
      </c>
      <c r="K43" s="2" t="s">
        <v>3843</v>
      </c>
    </row>
    <row r="44" spans="1:31" x14ac:dyDescent="0.25">
      <c r="A44" s="2" t="s">
        <v>3845</v>
      </c>
      <c r="B44" t="s">
        <v>56</v>
      </c>
      <c r="C44" t="s">
        <v>83</v>
      </c>
      <c r="D44" t="s">
        <v>123</v>
      </c>
      <c r="E44" t="s">
        <v>131</v>
      </c>
      <c r="F44" t="s">
        <v>110</v>
      </c>
      <c r="G44" t="s">
        <v>30</v>
      </c>
      <c r="H44" t="s">
        <v>17</v>
      </c>
      <c r="K44" t="s">
        <v>56</v>
      </c>
      <c r="M44" t="s">
        <v>3871</v>
      </c>
      <c r="N44" t="s">
        <v>83</v>
      </c>
      <c r="P44" t="s">
        <v>3872</v>
      </c>
      <c r="Q44" t="s">
        <v>123</v>
      </c>
      <c r="S44" t="s">
        <v>3873</v>
      </c>
      <c r="T44" t="s">
        <v>131</v>
      </c>
      <c r="V44" t="s">
        <v>3874</v>
      </c>
      <c r="W44" t="s">
        <v>110</v>
      </c>
      <c r="Y44" t="s">
        <v>3875</v>
      </c>
      <c r="Z44" t="s">
        <v>30</v>
      </c>
      <c r="AB44" t="s">
        <v>3876</v>
      </c>
      <c r="AC44" t="s">
        <v>17</v>
      </c>
      <c r="AE44" t="s">
        <v>3877</v>
      </c>
    </row>
    <row r="45" spans="1:31" x14ac:dyDescent="0.25">
      <c r="A45" s="3" t="s">
        <v>51</v>
      </c>
      <c r="B45">
        <v>20</v>
      </c>
      <c r="C45">
        <v>12</v>
      </c>
      <c r="D45">
        <v>12</v>
      </c>
      <c r="E45">
        <v>6</v>
      </c>
      <c r="F45">
        <v>16</v>
      </c>
      <c r="G45">
        <v>17</v>
      </c>
      <c r="H45">
        <v>49</v>
      </c>
      <c r="J45" s="2" t="s">
        <v>3855</v>
      </c>
      <c r="K45" t="s">
        <v>0</v>
      </c>
      <c r="L45" t="s">
        <v>5</v>
      </c>
      <c r="N45" t="s">
        <v>0</v>
      </c>
      <c r="O45" t="s">
        <v>5</v>
      </c>
      <c r="Q45" t="s">
        <v>0</v>
      </c>
      <c r="R45" t="s">
        <v>5</v>
      </c>
      <c r="T45" t="s">
        <v>0</v>
      </c>
      <c r="U45" t="s">
        <v>5</v>
      </c>
      <c r="W45" t="s">
        <v>0</v>
      </c>
      <c r="X45" t="s">
        <v>5</v>
      </c>
      <c r="Z45" t="s">
        <v>0</v>
      </c>
      <c r="AA45" t="s">
        <v>5</v>
      </c>
      <c r="AC45" t="s">
        <v>0</v>
      </c>
      <c r="AD45" t="s">
        <v>5</v>
      </c>
    </row>
    <row r="46" spans="1:31" x14ac:dyDescent="0.25">
      <c r="A46" s="3" t="s">
        <v>9</v>
      </c>
      <c r="B46">
        <v>25</v>
      </c>
      <c r="C46">
        <v>22</v>
      </c>
      <c r="D46">
        <v>11</v>
      </c>
      <c r="E46">
        <v>8</v>
      </c>
      <c r="F46">
        <v>15</v>
      </c>
      <c r="G46">
        <v>22</v>
      </c>
      <c r="H46">
        <v>47</v>
      </c>
      <c r="J46" s="3" t="s">
        <v>51</v>
      </c>
      <c r="K46">
        <v>12</v>
      </c>
      <c r="L46">
        <v>7</v>
      </c>
      <c r="M46">
        <v>19</v>
      </c>
      <c r="N46">
        <v>10</v>
      </c>
      <c r="O46">
        <v>2</v>
      </c>
      <c r="P46">
        <v>12</v>
      </c>
      <c r="Q46">
        <v>8</v>
      </c>
      <c r="R46">
        <v>4</v>
      </c>
      <c r="S46">
        <v>12</v>
      </c>
      <c r="T46">
        <v>6</v>
      </c>
      <c r="V46">
        <v>6</v>
      </c>
      <c r="W46">
        <v>13</v>
      </c>
      <c r="X46">
        <v>3</v>
      </c>
      <c r="Y46">
        <v>16</v>
      </c>
      <c r="Z46">
        <v>14</v>
      </c>
      <c r="AA46">
        <v>3</v>
      </c>
      <c r="AB46">
        <v>17</v>
      </c>
      <c r="AC46">
        <v>36</v>
      </c>
      <c r="AD46">
        <v>13</v>
      </c>
      <c r="AE46">
        <v>49</v>
      </c>
    </row>
    <row r="47" spans="1:31" x14ac:dyDescent="0.25">
      <c r="A47" s="3" t="s">
        <v>130</v>
      </c>
      <c r="B47">
        <v>19</v>
      </c>
      <c r="C47">
        <v>13</v>
      </c>
      <c r="D47">
        <v>6</v>
      </c>
      <c r="E47">
        <v>6</v>
      </c>
      <c r="F47">
        <v>13</v>
      </c>
      <c r="G47">
        <v>14</v>
      </c>
      <c r="H47">
        <v>18</v>
      </c>
      <c r="J47" s="3" t="s">
        <v>9</v>
      </c>
      <c r="K47">
        <v>17</v>
      </c>
      <c r="L47">
        <v>8</v>
      </c>
      <c r="M47">
        <v>25</v>
      </c>
      <c r="N47">
        <v>18</v>
      </c>
      <c r="O47">
        <v>3</v>
      </c>
      <c r="P47">
        <v>21</v>
      </c>
      <c r="Q47">
        <v>9</v>
      </c>
      <c r="R47">
        <v>2</v>
      </c>
      <c r="S47">
        <v>11</v>
      </c>
      <c r="T47">
        <v>8</v>
      </c>
      <c r="V47">
        <v>8</v>
      </c>
      <c r="W47">
        <v>12</v>
      </c>
      <c r="X47">
        <v>3</v>
      </c>
      <c r="Y47">
        <v>15</v>
      </c>
      <c r="Z47">
        <v>14</v>
      </c>
      <c r="AA47">
        <v>8</v>
      </c>
      <c r="AB47">
        <v>22</v>
      </c>
      <c r="AC47">
        <v>37</v>
      </c>
      <c r="AD47">
        <v>10</v>
      </c>
      <c r="AE47">
        <v>47</v>
      </c>
    </row>
    <row r="48" spans="1:31" x14ac:dyDescent="0.25">
      <c r="A48" s="3" t="s">
        <v>74</v>
      </c>
      <c r="B48">
        <v>21</v>
      </c>
      <c r="C48">
        <v>19</v>
      </c>
      <c r="D48">
        <v>14</v>
      </c>
      <c r="E48">
        <v>3</v>
      </c>
      <c r="F48">
        <v>16</v>
      </c>
      <c r="G48">
        <v>24</v>
      </c>
      <c r="H48">
        <v>22</v>
      </c>
      <c r="J48" s="3" t="s">
        <v>130</v>
      </c>
      <c r="K48">
        <v>14</v>
      </c>
      <c r="L48">
        <v>5</v>
      </c>
      <c r="M48">
        <v>19</v>
      </c>
      <c r="N48">
        <v>13</v>
      </c>
      <c r="P48">
        <v>13</v>
      </c>
      <c r="Q48">
        <v>5</v>
      </c>
      <c r="R48">
        <v>1</v>
      </c>
      <c r="S48">
        <v>6</v>
      </c>
      <c r="T48">
        <v>6</v>
      </c>
      <c r="V48">
        <v>6</v>
      </c>
      <c r="W48">
        <v>9</v>
      </c>
      <c r="X48">
        <v>4</v>
      </c>
      <c r="Y48">
        <v>13</v>
      </c>
      <c r="Z48">
        <v>13</v>
      </c>
      <c r="AA48">
        <v>1</v>
      </c>
      <c r="AB48">
        <v>14</v>
      </c>
      <c r="AC48">
        <v>17</v>
      </c>
      <c r="AD48">
        <v>1</v>
      </c>
      <c r="AE48">
        <v>18</v>
      </c>
    </row>
    <row r="49" spans="1:31" x14ac:dyDescent="0.25">
      <c r="A49" s="3" t="s">
        <v>193</v>
      </c>
      <c r="B49">
        <v>21</v>
      </c>
      <c r="C49">
        <v>8</v>
      </c>
      <c r="D49">
        <v>10</v>
      </c>
      <c r="E49">
        <v>1</v>
      </c>
      <c r="F49">
        <v>14</v>
      </c>
      <c r="G49">
        <v>13</v>
      </c>
      <c r="H49">
        <v>30</v>
      </c>
      <c r="J49" s="3" t="s">
        <v>74</v>
      </c>
      <c r="K49">
        <v>17</v>
      </c>
      <c r="L49">
        <v>4</v>
      </c>
      <c r="M49">
        <v>21</v>
      </c>
      <c r="N49">
        <v>17</v>
      </c>
      <c r="O49">
        <v>2</v>
      </c>
      <c r="P49">
        <v>19</v>
      </c>
      <c r="Q49">
        <v>12</v>
      </c>
      <c r="R49">
        <v>2</v>
      </c>
      <c r="S49">
        <v>14</v>
      </c>
      <c r="T49">
        <v>2</v>
      </c>
      <c r="U49">
        <v>1</v>
      </c>
      <c r="V49">
        <v>3</v>
      </c>
      <c r="W49">
        <v>11</v>
      </c>
      <c r="X49">
        <v>5</v>
      </c>
      <c r="Y49">
        <v>16</v>
      </c>
      <c r="Z49">
        <v>22</v>
      </c>
      <c r="AA49">
        <v>2</v>
      </c>
      <c r="AB49">
        <v>24</v>
      </c>
      <c r="AC49">
        <v>18</v>
      </c>
      <c r="AD49">
        <v>3</v>
      </c>
      <c r="AE49">
        <v>21</v>
      </c>
    </row>
    <row r="50" spans="1:31" x14ac:dyDescent="0.25">
      <c r="A50" s="3" t="s">
        <v>87</v>
      </c>
      <c r="B50">
        <v>20</v>
      </c>
      <c r="C50">
        <v>17</v>
      </c>
      <c r="D50">
        <v>3</v>
      </c>
      <c r="E50">
        <v>9</v>
      </c>
      <c r="F50">
        <v>14</v>
      </c>
      <c r="G50">
        <v>19</v>
      </c>
      <c r="H50">
        <v>18</v>
      </c>
      <c r="J50" s="3" t="s">
        <v>193</v>
      </c>
      <c r="K50">
        <v>14</v>
      </c>
      <c r="L50">
        <v>7</v>
      </c>
      <c r="M50">
        <v>21</v>
      </c>
      <c r="N50">
        <v>5</v>
      </c>
      <c r="O50">
        <v>3</v>
      </c>
      <c r="P50">
        <v>8</v>
      </c>
      <c r="Q50">
        <v>8</v>
      </c>
      <c r="R50">
        <v>2</v>
      </c>
      <c r="S50">
        <v>10</v>
      </c>
      <c r="T50">
        <v>1</v>
      </c>
      <c r="V50">
        <v>1</v>
      </c>
      <c r="W50">
        <v>11</v>
      </c>
      <c r="X50">
        <v>3</v>
      </c>
      <c r="Y50">
        <v>14</v>
      </c>
      <c r="Z50">
        <v>11</v>
      </c>
      <c r="AA50">
        <v>2</v>
      </c>
      <c r="AB50">
        <v>13</v>
      </c>
      <c r="AC50">
        <v>19</v>
      </c>
      <c r="AD50">
        <v>11</v>
      </c>
      <c r="AE50">
        <v>30</v>
      </c>
    </row>
    <row r="51" spans="1:31" x14ac:dyDescent="0.25">
      <c r="A51" s="3" t="s">
        <v>26</v>
      </c>
      <c r="B51">
        <v>51</v>
      </c>
      <c r="C51">
        <v>32</v>
      </c>
      <c r="D51">
        <v>18</v>
      </c>
      <c r="E51">
        <v>6</v>
      </c>
      <c r="F51">
        <v>37</v>
      </c>
      <c r="G51">
        <v>46</v>
      </c>
      <c r="H51">
        <v>59</v>
      </c>
      <c r="J51" s="3" t="s">
        <v>87</v>
      </c>
      <c r="K51">
        <v>19</v>
      </c>
      <c r="L51">
        <v>1</v>
      </c>
      <c r="M51">
        <v>20</v>
      </c>
      <c r="N51">
        <v>15</v>
      </c>
      <c r="O51">
        <v>2</v>
      </c>
      <c r="P51">
        <v>17</v>
      </c>
      <c r="Q51">
        <v>2</v>
      </c>
      <c r="R51">
        <v>1</v>
      </c>
      <c r="S51">
        <v>3</v>
      </c>
      <c r="T51">
        <v>9</v>
      </c>
      <c r="V51">
        <v>9</v>
      </c>
      <c r="W51">
        <v>13</v>
      </c>
      <c r="X51">
        <v>1</v>
      </c>
      <c r="Y51">
        <v>14</v>
      </c>
      <c r="Z51">
        <v>16</v>
      </c>
      <c r="AA51">
        <v>3</v>
      </c>
      <c r="AB51">
        <v>19</v>
      </c>
      <c r="AC51">
        <v>16</v>
      </c>
      <c r="AD51">
        <v>2</v>
      </c>
      <c r="AE51">
        <v>18</v>
      </c>
    </row>
    <row r="52" spans="1:31" x14ac:dyDescent="0.25">
      <c r="A52" s="3" t="s">
        <v>40</v>
      </c>
      <c r="B52">
        <v>25</v>
      </c>
      <c r="C52">
        <v>20</v>
      </c>
      <c r="D52">
        <v>13</v>
      </c>
      <c r="E52">
        <v>9</v>
      </c>
      <c r="F52">
        <v>17</v>
      </c>
      <c r="G52">
        <v>30</v>
      </c>
      <c r="H52">
        <v>32</v>
      </c>
      <c r="J52" s="3" t="s">
        <v>26</v>
      </c>
      <c r="K52">
        <v>44</v>
      </c>
      <c r="L52">
        <v>6</v>
      </c>
      <c r="M52">
        <v>50</v>
      </c>
      <c r="N52">
        <v>25</v>
      </c>
      <c r="O52">
        <v>7</v>
      </c>
      <c r="P52">
        <v>32</v>
      </c>
      <c r="Q52">
        <v>13</v>
      </c>
      <c r="R52">
        <v>5</v>
      </c>
      <c r="S52">
        <v>18</v>
      </c>
      <c r="T52">
        <v>6</v>
      </c>
      <c r="V52">
        <v>6</v>
      </c>
      <c r="W52">
        <v>35</v>
      </c>
      <c r="X52">
        <v>2</v>
      </c>
      <c r="Y52">
        <v>37</v>
      </c>
      <c r="Z52">
        <v>38</v>
      </c>
      <c r="AA52">
        <v>8</v>
      </c>
      <c r="AB52">
        <v>46</v>
      </c>
      <c r="AC52">
        <v>53</v>
      </c>
      <c r="AD52">
        <v>6</v>
      </c>
      <c r="AE52">
        <v>59</v>
      </c>
    </row>
    <row r="53" spans="1:31" x14ac:dyDescent="0.25">
      <c r="A53" s="3" t="s">
        <v>199</v>
      </c>
      <c r="B53">
        <v>28</v>
      </c>
      <c r="C53">
        <v>23</v>
      </c>
      <c r="D53">
        <v>13</v>
      </c>
      <c r="E53">
        <v>5</v>
      </c>
      <c r="F53">
        <v>22</v>
      </c>
      <c r="G53">
        <v>26</v>
      </c>
      <c r="H53">
        <v>56</v>
      </c>
      <c r="J53" s="3" t="s">
        <v>40</v>
      </c>
      <c r="K53">
        <v>19</v>
      </c>
      <c r="L53">
        <v>6</v>
      </c>
      <c r="M53">
        <v>25</v>
      </c>
      <c r="N53">
        <v>14</v>
      </c>
      <c r="O53">
        <v>6</v>
      </c>
      <c r="P53">
        <v>20</v>
      </c>
      <c r="Q53">
        <v>9</v>
      </c>
      <c r="R53">
        <v>4</v>
      </c>
      <c r="S53">
        <v>13</v>
      </c>
      <c r="T53">
        <v>9</v>
      </c>
      <c r="V53">
        <v>9</v>
      </c>
      <c r="W53">
        <v>12</v>
      </c>
      <c r="X53">
        <v>5</v>
      </c>
      <c r="Y53">
        <v>17</v>
      </c>
      <c r="Z53">
        <v>20</v>
      </c>
      <c r="AA53">
        <v>10</v>
      </c>
      <c r="AB53">
        <v>30</v>
      </c>
      <c r="AC53">
        <v>27</v>
      </c>
      <c r="AD53">
        <v>5</v>
      </c>
      <c r="AE53">
        <v>32</v>
      </c>
    </row>
    <row r="54" spans="1:31" x14ac:dyDescent="0.25">
      <c r="A54" s="3" t="s">
        <v>101</v>
      </c>
      <c r="B54">
        <v>34</v>
      </c>
      <c r="C54">
        <v>21</v>
      </c>
      <c r="D54">
        <v>10</v>
      </c>
      <c r="E54">
        <v>10</v>
      </c>
      <c r="F54">
        <v>14</v>
      </c>
      <c r="G54">
        <v>21</v>
      </c>
      <c r="H54">
        <v>45</v>
      </c>
      <c r="J54" s="3" t="s">
        <v>199</v>
      </c>
      <c r="K54">
        <v>21</v>
      </c>
      <c r="L54">
        <v>7</v>
      </c>
      <c r="M54">
        <v>28</v>
      </c>
      <c r="N54">
        <v>18</v>
      </c>
      <c r="O54">
        <v>5</v>
      </c>
      <c r="P54">
        <v>23</v>
      </c>
      <c r="Q54">
        <v>8</v>
      </c>
      <c r="R54">
        <v>5</v>
      </c>
      <c r="S54">
        <v>13</v>
      </c>
      <c r="T54">
        <v>4</v>
      </c>
      <c r="U54">
        <v>1</v>
      </c>
      <c r="V54">
        <v>5</v>
      </c>
      <c r="W54">
        <v>16</v>
      </c>
      <c r="X54">
        <v>6</v>
      </c>
      <c r="Y54">
        <v>22</v>
      </c>
      <c r="Z54">
        <v>23</v>
      </c>
      <c r="AA54">
        <v>3</v>
      </c>
      <c r="AB54">
        <v>26</v>
      </c>
      <c r="AC54">
        <v>48</v>
      </c>
      <c r="AD54">
        <v>8</v>
      </c>
      <c r="AE54">
        <v>56</v>
      </c>
    </row>
    <row r="55" spans="1:31" x14ac:dyDescent="0.25">
      <c r="A55" s="3"/>
      <c r="J55" s="3" t="s">
        <v>101</v>
      </c>
      <c r="K55">
        <v>28</v>
      </c>
      <c r="L55">
        <v>6</v>
      </c>
      <c r="M55">
        <v>34</v>
      </c>
      <c r="N55">
        <v>17</v>
      </c>
      <c r="O55">
        <v>4</v>
      </c>
      <c r="P55">
        <v>21</v>
      </c>
      <c r="Q55">
        <v>9</v>
      </c>
      <c r="R55">
        <v>1</v>
      </c>
      <c r="S55">
        <v>10</v>
      </c>
      <c r="T55">
        <v>9</v>
      </c>
      <c r="U55">
        <v>1</v>
      </c>
      <c r="V55">
        <v>10</v>
      </c>
      <c r="W55">
        <v>12</v>
      </c>
      <c r="X55">
        <v>2</v>
      </c>
      <c r="Y55">
        <v>14</v>
      </c>
      <c r="Z55">
        <v>18</v>
      </c>
      <c r="AA55">
        <v>3</v>
      </c>
      <c r="AB55">
        <v>21</v>
      </c>
      <c r="AC55">
        <v>44</v>
      </c>
      <c r="AD55">
        <v>1</v>
      </c>
      <c r="AE55">
        <v>45</v>
      </c>
    </row>
    <row r="56" spans="1:31" x14ac:dyDescent="0.25">
      <c r="M56" s="5"/>
    </row>
    <row r="57" spans="1:31" x14ac:dyDescent="0.25">
      <c r="M57" s="5"/>
    </row>
    <row r="58" spans="1:31" x14ac:dyDescent="0.25">
      <c r="M58" s="5"/>
    </row>
    <row r="60" spans="1:31" x14ac:dyDescent="0.25">
      <c r="A60" s="31"/>
      <c r="B60" s="31"/>
      <c r="C60" s="31"/>
      <c r="D60" s="31"/>
      <c r="E60" s="31"/>
      <c r="F60" s="31"/>
      <c r="G60" s="31"/>
      <c r="J60" s="4" t="s">
        <v>3855</v>
      </c>
      <c r="K60" s="4" t="s">
        <v>56</v>
      </c>
      <c r="L60" s="4" t="s">
        <v>83</v>
      </c>
      <c r="M60" s="4" t="s">
        <v>123</v>
      </c>
      <c r="N60" s="4" t="s">
        <v>131</v>
      </c>
      <c r="O60" s="4" t="s">
        <v>110</v>
      </c>
      <c r="P60" s="4" t="s">
        <v>30</v>
      </c>
      <c r="Q60" s="4" t="s">
        <v>17</v>
      </c>
    </row>
    <row r="61" spans="1:31" x14ac:dyDescent="0.25">
      <c r="D61" s="11"/>
      <c r="F61" s="32"/>
      <c r="J61" s="3" t="s">
        <v>51</v>
      </c>
      <c r="K61" s="10">
        <f>L46/M46</f>
        <v>0.36842105263157893</v>
      </c>
      <c r="L61" s="10">
        <f>O46/P46</f>
        <v>0.16666666666666666</v>
      </c>
      <c r="M61" s="10">
        <f>R46/S46</f>
        <v>0.33333333333333331</v>
      </c>
      <c r="N61" s="10">
        <f>U46/V46</f>
        <v>0</v>
      </c>
      <c r="O61" s="10">
        <f>X46/Y46</f>
        <v>0.1875</v>
      </c>
      <c r="P61" s="10">
        <f>AA46/AB46</f>
        <v>0.17647058823529413</v>
      </c>
      <c r="Q61" s="10">
        <f>AD46/AE46</f>
        <v>0.26530612244897961</v>
      </c>
    </row>
    <row r="62" spans="1:31" x14ac:dyDescent="0.25">
      <c r="D62" s="11"/>
      <c r="F62" s="32"/>
      <c r="J62" s="3" t="s">
        <v>9</v>
      </c>
      <c r="K62" s="10">
        <f t="shared" ref="K62:K70" si="4">L47/M47</f>
        <v>0.32</v>
      </c>
      <c r="L62" s="10">
        <f t="shared" ref="L62:L70" si="5">O47/P47</f>
        <v>0.14285714285714285</v>
      </c>
      <c r="M62" s="10">
        <f t="shared" ref="M62:M70" si="6">R47/S47</f>
        <v>0.18181818181818182</v>
      </c>
      <c r="N62" s="10">
        <f t="shared" ref="N62:N70" si="7">U47/V47</f>
        <v>0</v>
      </c>
      <c r="O62" s="10">
        <f t="shared" ref="O62:O70" si="8">X47/Y47</f>
        <v>0.2</v>
      </c>
      <c r="P62" s="10">
        <f t="shared" ref="P62:P70" si="9">AA47/AB47</f>
        <v>0.36363636363636365</v>
      </c>
      <c r="Q62" s="10">
        <f t="shared" ref="Q62:Q70" si="10">AD47/AE47</f>
        <v>0.21276595744680851</v>
      </c>
    </row>
    <row r="63" spans="1:31" x14ac:dyDescent="0.25">
      <c r="D63" s="11"/>
      <c r="F63" s="32"/>
      <c r="J63" s="3" t="s">
        <v>130</v>
      </c>
      <c r="K63" s="10">
        <f t="shared" si="4"/>
        <v>0.26315789473684209</v>
      </c>
      <c r="L63" s="10">
        <f t="shared" si="5"/>
        <v>0</v>
      </c>
      <c r="M63" s="10">
        <f t="shared" si="6"/>
        <v>0.16666666666666666</v>
      </c>
      <c r="N63" s="10">
        <f t="shared" si="7"/>
        <v>0</v>
      </c>
      <c r="O63" s="10">
        <f t="shared" si="8"/>
        <v>0.30769230769230771</v>
      </c>
      <c r="P63" s="10">
        <f t="shared" si="9"/>
        <v>7.1428571428571425E-2</v>
      </c>
      <c r="Q63" s="10">
        <f t="shared" si="10"/>
        <v>5.5555555555555552E-2</v>
      </c>
    </row>
    <row r="64" spans="1:31" x14ac:dyDescent="0.25">
      <c r="B64" s="3"/>
      <c r="F64" s="32"/>
      <c r="J64" s="3" t="s">
        <v>74</v>
      </c>
      <c r="K64" s="10">
        <f t="shared" si="4"/>
        <v>0.19047619047619047</v>
      </c>
      <c r="L64" s="10">
        <f t="shared" si="5"/>
        <v>0.10526315789473684</v>
      </c>
      <c r="M64" s="10">
        <f t="shared" si="6"/>
        <v>0.14285714285714285</v>
      </c>
      <c r="N64" s="10">
        <f t="shared" si="7"/>
        <v>0.33333333333333331</v>
      </c>
      <c r="O64" s="10">
        <f t="shared" si="8"/>
        <v>0.3125</v>
      </c>
      <c r="P64" s="10">
        <f t="shared" si="9"/>
        <v>8.3333333333333329E-2</v>
      </c>
      <c r="Q64" s="10">
        <f t="shared" si="10"/>
        <v>0.14285714285714285</v>
      </c>
    </row>
    <row r="65" spans="1:23" x14ac:dyDescent="0.25">
      <c r="B65" s="3"/>
      <c r="D65" s="10"/>
      <c r="F65" s="32"/>
      <c r="J65" s="3" t="s">
        <v>193</v>
      </c>
      <c r="K65" s="10">
        <f t="shared" si="4"/>
        <v>0.33333333333333331</v>
      </c>
      <c r="L65" s="10">
        <f t="shared" si="5"/>
        <v>0.375</v>
      </c>
      <c r="M65" s="10">
        <f t="shared" si="6"/>
        <v>0.2</v>
      </c>
      <c r="N65" s="10">
        <f t="shared" si="7"/>
        <v>0</v>
      </c>
      <c r="O65" s="10">
        <f t="shared" si="8"/>
        <v>0.21428571428571427</v>
      </c>
      <c r="P65" s="10">
        <f t="shared" si="9"/>
        <v>0.15384615384615385</v>
      </c>
      <c r="Q65" s="10">
        <f t="shared" si="10"/>
        <v>0.36666666666666664</v>
      </c>
    </row>
    <row r="66" spans="1:23" x14ac:dyDescent="0.25">
      <c r="B66" s="3"/>
      <c r="D66" s="10"/>
      <c r="F66" s="32"/>
      <c r="J66" s="3" t="s">
        <v>87</v>
      </c>
      <c r="K66" s="10">
        <f t="shared" si="4"/>
        <v>0.05</v>
      </c>
      <c r="L66" s="10">
        <f t="shared" si="5"/>
        <v>0.11764705882352941</v>
      </c>
      <c r="M66" s="10">
        <f t="shared" si="6"/>
        <v>0.33333333333333331</v>
      </c>
      <c r="N66" s="10">
        <f t="shared" si="7"/>
        <v>0</v>
      </c>
      <c r="O66" s="10">
        <f t="shared" si="8"/>
        <v>7.1428571428571425E-2</v>
      </c>
      <c r="P66" s="10">
        <f t="shared" si="9"/>
        <v>0.15789473684210525</v>
      </c>
      <c r="Q66" s="10">
        <f t="shared" si="10"/>
        <v>0.1111111111111111</v>
      </c>
    </row>
    <row r="67" spans="1:23" x14ac:dyDescent="0.25">
      <c r="B67" s="3"/>
      <c r="D67" s="10"/>
      <c r="F67" s="32"/>
      <c r="J67" s="3" t="s">
        <v>26</v>
      </c>
      <c r="K67" s="10">
        <f t="shared" si="4"/>
        <v>0.12</v>
      </c>
      <c r="L67" s="10">
        <f t="shared" si="5"/>
        <v>0.21875</v>
      </c>
      <c r="M67" s="10">
        <f t="shared" si="6"/>
        <v>0.27777777777777779</v>
      </c>
      <c r="N67" s="10">
        <f t="shared" si="7"/>
        <v>0</v>
      </c>
      <c r="O67" s="10">
        <f t="shared" si="8"/>
        <v>5.4054054054054057E-2</v>
      </c>
      <c r="P67" s="10">
        <f t="shared" si="9"/>
        <v>0.17391304347826086</v>
      </c>
      <c r="Q67" s="10">
        <f t="shared" si="10"/>
        <v>0.10169491525423729</v>
      </c>
    </row>
    <row r="68" spans="1:23" x14ac:dyDescent="0.25">
      <c r="B68" s="3"/>
      <c r="D68" s="10"/>
      <c r="F68" s="32"/>
      <c r="J68" s="3" t="s">
        <v>40</v>
      </c>
      <c r="K68" s="10">
        <f t="shared" si="4"/>
        <v>0.24</v>
      </c>
      <c r="L68" s="10">
        <f t="shared" si="5"/>
        <v>0.3</v>
      </c>
      <c r="M68" s="10">
        <f t="shared" si="6"/>
        <v>0.30769230769230771</v>
      </c>
      <c r="N68" s="10">
        <f t="shared" si="7"/>
        <v>0</v>
      </c>
      <c r="O68" s="10">
        <f t="shared" si="8"/>
        <v>0.29411764705882354</v>
      </c>
      <c r="P68" s="10">
        <f t="shared" si="9"/>
        <v>0.33333333333333331</v>
      </c>
      <c r="Q68" s="10">
        <f t="shared" si="10"/>
        <v>0.15625</v>
      </c>
    </row>
    <row r="69" spans="1:23" x14ac:dyDescent="0.25">
      <c r="D69" s="10"/>
      <c r="F69" s="32"/>
      <c r="J69" s="3" t="s">
        <v>199</v>
      </c>
      <c r="K69" s="10">
        <f t="shared" si="4"/>
        <v>0.25</v>
      </c>
      <c r="L69" s="10">
        <f t="shared" si="5"/>
        <v>0.21739130434782608</v>
      </c>
      <c r="M69" s="10">
        <f t="shared" si="6"/>
        <v>0.38461538461538464</v>
      </c>
      <c r="N69" s="10">
        <f t="shared" si="7"/>
        <v>0.2</v>
      </c>
      <c r="O69" s="10">
        <f t="shared" si="8"/>
        <v>0.27272727272727271</v>
      </c>
      <c r="P69" s="10">
        <f t="shared" si="9"/>
        <v>0.11538461538461539</v>
      </c>
      <c r="Q69" s="10">
        <f t="shared" si="10"/>
        <v>0.14285714285714285</v>
      </c>
    </row>
    <row r="70" spans="1:23" x14ac:dyDescent="0.25">
      <c r="B70" s="3"/>
      <c r="D70" s="10"/>
      <c r="F70" s="32"/>
      <c r="J70" s="3" t="s">
        <v>101</v>
      </c>
      <c r="K70" s="10">
        <f t="shared" si="4"/>
        <v>0.17647058823529413</v>
      </c>
      <c r="L70" s="10">
        <f t="shared" si="5"/>
        <v>0.19047619047619047</v>
      </c>
      <c r="M70" s="10">
        <f t="shared" si="6"/>
        <v>0.1</v>
      </c>
      <c r="N70" s="10">
        <f t="shared" si="7"/>
        <v>0.1</v>
      </c>
      <c r="O70" s="10">
        <f t="shared" si="8"/>
        <v>0.14285714285714285</v>
      </c>
      <c r="P70" s="10">
        <f t="shared" si="9"/>
        <v>0.14285714285714285</v>
      </c>
      <c r="Q70" s="10">
        <f t="shared" si="10"/>
        <v>2.2222222222222223E-2</v>
      </c>
    </row>
    <row r="71" spans="1:23" x14ac:dyDescent="0.25">
      <c r="A71" s="2" t="s">
        <v>3869</v>
      </c>
      <c r="B71" s="2" t="s">
        <v>3843</v>
      </c>
    </row>
    <row r="72" spans="1:23" x14ac:dyDescent="0.25">
      <c r="B72" t="s">
        <v>56</v>
      </c>
      <c r="D72" t="s">
        <v>3871</v>
      </c>
      <c r="E72" t="s">
        <v>83</v>
      </c>
      <c r="G72" t="s">
        <v>3872</v>
      </c>
      <c r="H72" t="s">
        <v>123</v>
      </c>
      <c r="J72" t="s">
        <v>3873</v>
      </c>
      <c r="K72" t="s">
        <v>131</v>
      </c>
      <c r="M72" t="s">
        <v>3874</v>
      </c>
      <c r="N72" t="s">
        <v>110</v>
      </c>
      <c r="P72" t="s">
        <v>3875</v>
      </c>
      <c r="Q72" t="s">
        <v>30</v>
      </c>
      <c r="S72" t="s">
        <v>3876</v>
      </c>
      <c r="T72" t="s">
        <v>17</v>
      </c>
      <c r="V72" t="s">
        <v>3877</v>
      </c>
      <c r="W72" t="s">
        <v>3842</v>
      </c>
    </row>
    <row r="73" spans="1:23" x14ac:dyDescent="0.25">
      <c r="A73" s="2" t="s">
        <v>3841</v>
      </c>
      <c r="B73" t="s">
        <v>0</v>
      </c>
      <c r="C73" t="s">
        <v>5</v>
      </c>
      <c r="E73" t="s">
        <v>0</v>
      </c>
      <c r="F73" t="s">
        <v>5</v>
      </c>
      <c r="H73" t="s">
        <v>0</v>
      </c>
      <c r="I73" t="s">
        <v>5</v>
      </c>
      <c r="K73" t="s">
        <v>0</v>
      </c>
      <c r="L73" t="s">
        <v>5</v>
      </c>
      <c r="N73" t="s">
        <v>0</v>
      </c>
      <c r="O73" t="s">
        <v>5</v>
      </c>
      <c r="Q73" t="s">
        <v>0</v>
      </c>
      <c r="R73" t="s">
        <v>5</v>
      </c>
      <c r="T73" t="s">
        <v>0</v>
      </c>
      <c r="U73" t="s">
        <v>5</v>
      </c>
    </row>
    <row r="74" spans="1:23" x14ac:dyDescent="0.25">
      <c r="A74" s="3" t="s">
        <v>51</v>
      </c>
      <c r="B74">
        <v>9</v>
      </c>
      <c r="C74">
        <v>11</v>
      </c>
      <c r="D74">
        <v>20</v>
      </c>
      <c r="E74">
        <v>6</v>
      </c>
      <c r="F74">
        <v>6</v>
      </c>
      <c r="G74">
        <v>12</v>
      </c>
      <c r="H74">
        <v>4</v>
      </c>
      <c r="I74">
        <v>7</v>
      </c>
      <c r="J74">
        <v>11</v>
      </c>
      <c r="K74">
        <v>2</v>
      </c>
      <c r="L74">
        <v>3</v>
      </c>
      <c r="M74">
        <v>5</v>
      </c>
      <c r="N74">
        <v>5</v>
      </c>
      <c r="O74">
        <v>11</v>
      </c>
      <c r="P74">
        <v>16</v>
      </c>
      <c r="Q74">
        <v>12</v>
      </c>
      <c r="R74">
        <v>5</v>
      </c>
      <c r="S74">
        <v>17</v>
      </c>
      <c r="T74">
        <v>20</v>
      </c>
      <c r="U74">
        <v>29</v>
      </c>
      <c r="V74">
        <v>49</v>
      </c>
      <c r="W74">
        <v>130</v>
      </c>
    </row>
    <row r="75" spans="1:23" x14ac:dyDescent="0.25">
      <c r="A75" s="3" t="s">
        <v>9</v>
      </c>
      <c r="B75">
        <v>11</v>
      </c>
      <c r="C75">
        <v>14</v>
      </c>
      <c r="D75">
        <v>25</v>
      </c>
      <c r="E75">
        <v>12</v>
      </c>
      <c r="F75">
        <v>10</v>
      </c>
      <c r="G75">
        <v>22</v>
      </c>
      <c r="H75">
        <v>3</v>
      </c>
      <c r="I75">
        <v>8</v>
      </c>
      <c r="J75">
        <v>11</v>
      </c>
      <c r="K75">
        <v>2</v>
      </c>
      <c r="L75">
        <v>6</v>
      </c>
      <c r="M75">
        <v>8</v>
      </c>
      <c r="N75">
        <v>8</v>
      </c>
      <c r="O75">
        <v>7</v>
      </c>
      <c r="P75">
        <v>15</v>
      </c>
      <c r="Q75">
        <v>11</v>
      </c>
      <c r="R75">
        <v>11</v>
      </c>
      <c r="S75">
        <v>22</v>
      </c>
      <c r="T75">
        <v>21</v>
      </c>
      <c r="U75">
        <v>24</v>
      </c>
      <c r="V75">
        <v>45</v>
      </c>
      <c r="W75">
        <v>148</v>
      </c>
    </row>
    <row r="76" spans="1:23" x14ac:dyDescent="0.25">
      <c r="A76" s="3" t="s">
        <v>130</v>
      </c>
      <c r="B76">
        <v>2</v>
      </c>
      <c r="C76">
        <v>17</v>
      </c>
      <c r="D76">
        <v>19</v>
      </c>
      <c r="E76">
        <v>3</v>
      </c>
      <c r="F76">
        <v>10</v>
      </c>
      <c r="G76">
        <v>13</v>
      </c>
      <c r="H76">
        <v>1</v>
      </c>
      <c r="I76">
        <v>5</v>
      </c>
      <c r="J76">
        <v>6</v>
      </c>
      <c r="L76">
        <v>6</v>
      </c>
      <c r="M76">
        <v>6</v>
      </c>
      <c r="N76">
        <v>3</v>
      </c>
      <c r="O76">
        <v>10</v>
      </c>
      <c r="P76">
        <v>13</v>
      </c>
      <c r="Q76">
        <v>4</v>
      </c>
      <c r="R76">
        <v>10</v>
      </c>
      <c r="S76">
        <v>14</v>
      </c>
      <c r="T76">
        <v>6</v>
      </c>
      <c r="U76">
        <v>12</v>
      </c>
      <c r="V76">
        <v>18</v>
      </c>
      <c r="W76">
        <v>89</v>
      </c>
    </row>
    <row r="77" spans="1:23" x14ac:dyDescent="0.25">
      <c r="A77" s="3" t="s">
        <v>74</v>
      </c>
      <c r="B77">
        <v>13</v>
      </c>
      <c r="C77">
        <v>8</v>
      </c>
      <c r="D77">
        <v>21</v>
      </c>
      <c r="E77">
        <v>7</v>
      </c>
      <c r="F77">
        <v>12</v>
      </c>
      <c r="G77">
        <v>19</v>
      </c>
      <c r="H77">
        <v>7</v>
      </c>
      <c r="I77">
        <v>7</v>
      </c>
      <c r="J77">
        <v>14</v>
      </c>
      <c r="K77">
        <v>2</v>
      </c>
      <c r="L77">
        <v>1</v>
      </c>
      <c r="M77">
        <v>3</v>
      </c>
      <c r="N77">
        <v>6</v>
      </c>
      <c r="O77">
        <v>9</v>
      </c>
      <c r="P77">
        <v>15</v>
      </c>
      <c r="Q77">
        <v>12</v>
      </c>
      <c r="R77">
        <v>12</v>
      </c>
      <c r="S77">
        <v>24</v>
      </c>
      <c r="T77">
        <v>11</v>
      </c>
      <c r="U77">
        <v>10</v>
      </c>
      <c r="V77">
        <v>21</v>
      </c>
      <c r="W77">
        <v>117</v>
      </c>
    </row>
    <row r="78" spans="1:23" x14ac:dyDescent="0.25">
      <c r="A78" s="3" t="s">
        <v>193</v>
      </c>
      <c r="B78">
        <v>9</v>
      </c>
      <c r="C78">
        <v>11</v>
      </c>
      <c r="D78">
        <v>20</v>
      </c>
      <c r="E78">
        <v>5</v>
      </c>
      <c r="F78">
        <v>3</v>
      </c>
      <c r="G78">
        <v>8</v>
      </c>
      <c r="H78">
        <v>3</v>
      </c>
      <c r="I78">
        <v>7</v>
      </c>
      <c r="J78">
        <v>10</v>
      </c>
      <c r="K78">
        <v>1</v>
      </c>
      <c r="M78">
        <v>1</v>
      </c>
      <c r="N78">
        <v>11</v>
      </c>
      <c r="O78">
        <v>3</v>
      </c>
      <c r="P78">
        <v>14</v>
      </c>
      <c r="Q78">
        <v>4</v>
      </c>
      <c r="R78">
        <v>8</v>
      </c>
      <c r="S78">
        <v>12</v>
      </c>
      <c r="T78">
        <v>17</v>
      </c>
      <c r="U78">
        <v>13</v>
      </c>
      <c r="V78">
        <v>30</v>
      </c>
      <c r="W78">
        <v>95</v>
      </c>
    </row>
    <row r="79" spans="1:23" x14ac:dyDescent="0.25">
      <c r="A79" s="3" t="s">
        <v>87</v>
      </c>
      <c r="B79">
        <v>7</v>
      </c>
      <c r="C79">
        <v>11</v>
      </c>
      <c r="D79">
        <v>18</v>
      </c>
      <c r="E79">
        <v>6</v>
      </c>
      <c r="F79">
        <v>11</v>
      </c>
      <c r="G79">
        <v>17</v>
      </c>
      <c r="H79">
        <v>1</v>
      </c>
      <c r="I79">
        <v>2</v>
      </c>
      <c r="J79">
        <v>3</v>
      </c>
      <c r="K79">
        <v>2</v>
      </c>
      <c r="L79">
        <v>7</v>
      </c>
      <c r="M79">
        <v>9</v>
      </c>
      <c r="N79">
        <v>2</v>
      </c>
      <c r="O79">
        <v>12</v>
      </c>
      <c r="P79">
        <v>14</v>
      </c>
      <c r="Q79">
        <v>3</v>
      </c>
      <c r="R79">
        <v>15</v>
      </c>
      <c r="S79">
        <v>18</v>
      </c>
      <c r="T79">
        <v>5</v>
      </c>
      <c r="U79">
        <v>12</v>
      </c>
      <c r="V79">
        <v>17</v>
      </c>
      <c r="W79">
        <v>96</v>
      </c>
    </row>
    <row r="80" spans="1:23" x14ac:dyDescent="0.25">
      <c r="A80" s="3" t="s">
        <v>26</v>
      </c>
      <c r="B80">
        <v>11</v>
      </c>
      <c r="C80">
        <v>39</v>
      </c>
      <c r="D80">
        <v>50</v>
      </c>
      <c r="E80">
        <v>10</v>
      </c>
      <c r="F80">
        <v>22</v>
      </c>
      <c r="G80">
        <v>32</v>
      </c>
      <c r="H80">
        <v>9</v>
      </c>
      <c r="I80">
        <v>9</v>
      </c>
      <c r="J80">
        <v>18</v>
      </c>
      <c r="K80">
        <v>1</v>
      </c>
      <c r="L80">
        <v>5</v>
      </c>
      <c r="M80">
        <v>6</v>
      </c>
      <c r="N80">
        <v>5</v>
      </c>
      <c r="O80">
        <v>32</v>
      </c>
      <c r="P80">
        <v>37</v>
      </c>
      <c r="Q80">
        <v>9</v>
      </c>
      <c r="R80">
        <v>37</v>
      </c>
      <c r="S80">
        <v>46</v>
      </c>
      <c r="T80">
        <v>16</v>
      </c>
      <c r="U80">
        <v>43</v>
      </c>
      <c r="V80">
        <v>59</v>
      </c>
      <c r="W80">
        <v>248</v>
      </c>
    </row>
    <row r="81" spans="1:23" x14ac:dyDescent="0.25">
      <c r="A81" s="3" t="s">
        <v>40</v>
      </c>
      <c r="B81">
        <v>13</v>
      </c>
      <c r="C81">
        <v>12</v>
      </c>
      <c r="D81">
        <v>25</v>
      </c>
      <c r="E81">
        <v>10</v>
      </c>
      <c r="F81">
        <v>10</v>
      </c>
      <c r="G81">
        <v>20</v>
      </c>
      <c r="H81">
        <v>4</v>
      </c>
      <c r="I81">
        <v>9</v>
      </c>
      <c r="J81">
        <v>13</v>
      </c>
      <c r="K81">
        <v>4</v>
      </c>
      <c r="L81">
        <v>5</v>
      </c>
      <c r="M81">
        <v>9</v>
      </c>
      <c r="N81">
        <v>7</v>
      </c>
      <c r="O81">
        <v>10</v>
      </c>
      <c r="P81">
        <v>17</v>
      </c>
      <c r="Q81">
        <v>16</v>
      </c>
      <c r="R81">
        <v>14</v>
      </c>
      <c r="S81">
        <v>30</v>
      </c>
      <c r="T81">
        <v>16</v>
      </c>
      <c r="U81">
        <v>16</v>
      </c>
      <c r="V81">
        <v>32</v>
      </c>
      <c r="W81">
        <v>146</v>
      </c>
    </row>
    <row r="82" spans="1:23" x14ac:dyDescent="0.25">
      <c r="A82" s="3" t="s">
        <v>199</v>
      </c>
      <c r="B82">
        <v>11</v>
      </c>
      <c r="C82">
        <v>17</v>
      </c>
      <c r="D82">
        <v>28</v>
      </c>
      <c r="E82">
        <v>4</v>
      </c>
      <c r="F82">
        <v>19</v>
      </c>
      <c r="G82">
        <v>23</v>
      </c>
      <c r="H82">
        <v>8</v>
      </c>
      <c r="I82">
        <v>5</v>
      </c>
      <c r="J82">
        <v>13</v>
      </c>
      <c r="K82">
        <v>2</v>
      </c>
      <c r="L82">
        <v>3</v>
      </c>
      <c r="M82">
        <v>5</v>
      </c>
      <c r="N82">
        <v>8</v>
      </c>
      <c r="O82">
        <v>14</v>
      </c>
      <c r="P82">
        <v>22</v>
      </c>
      <c r="Q82">
        <v>13</v>
      </c>
      <c r="R82">
        <v>13</v>
      </c>
      <c r="S82">
        <v>26</v>
      </c>
      <c r="T82">
        <v>17</v>
      </c>
      <c r="U82">
        <v>39</v>
      </c>
      <c r="V82">
        <v>56</v>
      </c>
      <c r="W82">
        <v>173</v>
      </c>
    </row>
    <row r="83" spans="1:23" x14ac:dyDescent="0.25">
      <c r="A83" s="3" t="s">
        <v>101</v>
      </c>
      <c r="B83">
        <v>7</v>
      </c>
      <c r="C83">
        <v>27</v>
      </c>
      <c r="D83">
        <v>34</v>
      </c>
      <c r="E83">
        <v>7</v>
      </c>
      <c r="F83">
        <v>13</v>
      </c>
      <c r="G83">
        <v>20</v>
      </c>
      <c r="H83">
        <v>4</v>
      </c>
      <c r="I83">
        <v>6</v>
      </c>
      <c r="J83">
        <v>10</v>
      </c>
      <c r="K83">
        <v>4</v>
      </c>
      <c r="L83">
        <v>6</v>
      </c>
      <c r="M83">
        <v>10</v>
      </c>
      <c r="N83">
        <v>6</v>
      </c>
      <c r="O83">
        <v>8</v>
      </c>
      <c r="P83">
        <v>14</v>
      </c>
      <c r="Q83">
        <v>4</v>
      </c>
      <c r="R83">
        <v>17</v>
      </c>
      <c r="S83">
        <v>21</v>
      </c>
      <c r="T83">
        <v>10</v>
      </c>
      <c r="U83">
        <v>34</v>
      </c>
      <c r="V83">
        <v>44</v>
      </c>
      <c r="W83">
        <v>153</v>
      </c>
    </row>
    <row r="84" spans="1:23" x14ac:dyDescent="0.25">
      <c r="B84" s="3"/>
      <c r="D84" s="10"/>
      <c r="E84" s="34"/>
      <c r="F84" s="33"/>
    </row>
    <row r="85" spans="1:23" x14ac:dyDescent="0.25">
      <c r="A85" s="4" t="s">
        <v>3855</v>
      </c>
      <c r="B85" s="4" t="s">
        <v>56</v>
      </c>
      <c r="C85" s="4" t="s">
        <v>83</v>
      </c>
      <c r="D85" s="4" t="s">
        <v>123</v>
      </c>
      <c r="E85" s="4" t="s">
        <v>131</v>
      </c>
      <c r="F85" s="4" t="s">
        <v>110</v>
      </c>
      <c r="G85" s="4" t="s">
        <v>30</v>
      </c>
      <c r="H85" s="4" t="s">
        <v>17</v>
      </c>
    </row>
    <row r="86" spans="1:23" x14ac:dyDescent="0.25">
      <c r="A86" s="3" t="s">
        <v>51</v>
      </c>
      <c r="B86" s="35">
        <f>C74/D74</f>
        <v>0.55000000000000004</v>
      </c>
      <c r="C86" s="10">
        <f>F74/G74</f>
        <v>0.5</v>
      </c>
      <c r="D86" s="10">
        <f>I74/J74</f>
        <v>0.63636363636363635</v>
      </c>
      <c r="E86" s="36">
        <f>L74/M74</f>
        <v>0.6</v>
      </c>
      <c r="F86" s="36">
        <f>O74/P74</f>
        <v>0.6875</v>
      </c>
      <c r="G86" s="10">
        <f>R74/S74</f>
        <v>0.29411764705882354</v>
      </c>
      <c r="H86" s="10">
        <f>U74/V74</f>
        <v>0.59183673469387754</v>
      </c>
    </row>
    <row r="87" spans="1:23" x14ac:dyDescent="0.25">
      <c r="A87" s="3" t="s">
        <v>9</v>
      </c>
      <c r="B87" s="35">
        <f t="shared" ref="B87:B95" si="11">C75/D75</f>
        <v>0.56000000000000005</v>
      </c>
      <c r="C87" s="10">
        <f t="shared" ref="C87:C95" si="12">F75/G75</f>
        <v>0.45454545454545453</v>
      </c>
      <c r="D87" s="10">
        <f t="shared" ref="D87:D95" si="13">I75/J75</f>
        <v>0.72727272727272729</v>
      </c>
      <c r="E87" s="36">
        <f t="shared" ref="E87:E95" si="14">L75/M75</f>
        <v>0.75</v>
      </c>
      <c r="F87" s="36">
        <f t="shared" ref="F87:F95" si="15">O75/P75</f>
        <v>0.46666666666666667</v>
      </c>
      <c r="G87" s="10">
        <f t="shared" ref="G87:G95" si="16">R75/S75</f>
        <v>0.5</v>
      </c>
      <c r="H87" s="10">
        <f t="shared" ref="H87:H95" si="17">U75/V75</f>
        <v>0.53333333333333333</v>
      </c>
    </row>
    <row r="88" spans="1:23" x14ac:dyDescent="0.25">
      <c r="A88" s="3" t="s">
        <v>130</v>
      </c>
      <c r="B88" s="35">
        <f t="shared" si="11"/>
        <v>0.89473684210526316</v>
      </c>
      <c r="C88" s="10">
        <f t="shared" si="12"/>
        <v>0.76923076923076927</v>
      </c>
      <c r="D88" s="10">
        <f>I76/J76</f>
        <v>0.83333333333333337</v>
      </c>
      <c r="E88" s="36">
        <f t="shared" si="14"/>
        <v>1</v>
      </c>
      <c r="F88" s="36">
        <f t="shared" si="15"/>
        <v>0.76923076923076927</v>
      </c>
      <c r="G88" s="10">
        <f t="shared" si="16"/>
        <v>0.7142857142857143</v>
      </c>
      <c r="H88" s="10">
        <f t="shared" si="17"/>
        <v>0.66666666666666663</v>
      </c>
    </row>
    <row r="89" spans="1:23" x14ac:dyDescent="0.25">
      <c r="A89" s="3" t="s">
        <v>74</v>
      </c>
      <c r="B89" s="35">
        <f t="shared" si="11"/>
        <v>0.38095238095238093</v>
      </c>
      <c r="C89" s="10">
        <f t="shared" si="12"/>
        <v>0.63157894736842102</v>
      </c>
      <c r="D89" s="10">
        <f t="shared" si="13"/>
        <v>0.5</v>
      </c>
      <c r="E89" s="36">
        <f t="shared" si="14"/>
        <v>0.33333333333333331</v>
      </c>
      <c r="F89" s="36">
        <f t="shared" si="15"/>
        <v>0.6</v>
      </c>
      <c r="G89" s="10">
        <f t="shared" si="16"/>
        <v>0.5</v>
      </c>
      <c r="H89" s="10">
        <f t="shared" si="17"/>
        <v>0.47619047619047616</v>
      </c>
    </row>
    <row r="90" spans="1:23" x14ac:dyDescent="0.25">
      <c r="A90" s="3" t="s">
        <v>193</v>
      </c>
      <c r="B90" s="35">
        <f t="shared" si="11"/>
        <v>0.55000000000000004</v>
      </c>
      <c r="C90" s="10">
        <f t="shared" si="12"/>
        <v>0.375</v>
      </c>
      <c r="D90" s="10">
        <f t="shared" si="13"/>
        <v>0.7</v>
      </c>
      <c r="E90" s="36">
        <f t="shared" si="14"/>
        <v>0</v>
      </c>
      <c r="F90" s="36">
        <f t="shared" si="15"/>
        <v>0.21428571428571427</v>
      </c>
      <c r="G90" s="10">
        <f t="shared" si="16"/>
        <v>0.66666666666666663</v>
      </c>
      <c r="H90" s="10">
        <f t="shared" si="17"/>
        <v>0.43333333333333335</v>
      </c>
    </row>
    <row r="91" spans="1:23" x14ac:dyDescent="0.25">
      <c r="A91" s="3" t="s">
        <v>87</v>
      </c>
      <c r="B91" s="35">
        <f t="shared" si="11"/>
        <v>0.61111111111111116</v>
      </c>
      <c r="C91" s="10">
        <f t="shared" si="12"/>
        <v>0.6470588235294118</v>
      </c>
      <c r="D91" s="10">
        <f t="shared" si="13"/>
        <v>0.66666666666666663</v>
      </c>
      <c r="E91" s="36">
        <f t="shared" si="14"/>
        <v>0.77777777777777779</v>
      </c>
      <c r="F91" s="36">
        <f t="shared" si="15"/>
        <v>0.8571428571428571</v>
      </c>
      <c r="G91" s="10">
        <f t="shared" si="16"/>
        <v>0.83333333333333337</v>
      </c>
      <c r="H91" s="10">
        <f t="shared" si="17"/>
        <v>0.70588235294117652</v>
      </c>
    </row>
    <row r="92" spans="1:23" x14ac:dyDescent="0.25">
      <c r="A92" s="3" t="s">
        <v>26</v>
      </c>
      <c r="B92" s="35">
        <f t="shared" si="11"/>
        <v>0.78</v>
      </c>
      <c r="C92" s="10">
        <f t="shared" si="12"/>
        <v>0.6875</v>
      </c>
      <c r="D92" s="10">
        <f t="shared" si="13"/>
        <v>0.5</v>
      </c>
      <c r="E92" s="36">
        <f t="shared" si="14"/>
        <v>0.83333333333333337</v>
      </c>
      <c r="F92" s="36">
        <f t="shared" si="15"/>
        <v>0.86486486486486491</v>
      </c>
      <c r="G92" s="10">
        <f t="shared" si="16"/>
        <v>0.80434782608695654</v>
      </c>
      <c r="H92" s="10">
        <f t="shared" si="17"/>
        <v>0.72881355932203384</v>
      </c>
    </row>
    <row r="93" spans="1:23" x14ac:dyDescent="0.25">
      <c r="A93" s="3" t="s">
        <v>40</v>
      </c>
      <c r="B93" s="35">
        <f t="shared" si="11"/>
        <v>0.48</v>
      </c>
      <c r="C93" s="10">
        <f t="shared" si="12"/>
        <v>0.5</v>
      </c>
      <c r="D93" s="10">
        <f t="shared" si="13"/>
        <v>0.69230769230769229</v>
      </c>
      <c r="E93" s="36">
        <f t="shared" si="14"/>
        <v>0.55555555555555558</v>
      </c>
      <c r="F93" s="36">
        <f t="shared" si="15"/>
        <v>0.58823529411764708</v>
      </c>
      <c r="G93" s="10">
        <f t="shared" si="16"/>
        <v>0.46666666666666667</v>
      </c>
      <c r="H93" s="10">
        <f t="shared" si="17"/>
        <v>0.5</v>
      </c>
    </row>
    <row r="94" spans="1:23" x14ac:dyDescent="0.25">
      <c r="A94" s="3" t="s">
        <v>199</v>
      </c>
      <c r="B94" s="35">
        <f t="shared" si="11"/>
        <v>0.6071428571428571</v>
      </c>
      <c r="C94" s="10">
        <f t="shared" si="12"/>
        <v>0.82608695652173914</v>
      </c>
      <c r="D94" s="10">
        <f t="shared" si="13"/>
        <v>0.38461538461538464</v>
      </c>
      <c r="E94" s="36">
        <f t="shared" si="14"/>
        <v>0.6</v>
      </c>
      <c r="F94" s="36">
        <f t="shared" si="15"/>
        <v>0.63636363636363635</v>
      </c>
      <c r="G94" s="10">
        <f t="shared" si="16"/>
        <v>0.5</v>
      </c>
      <c r="H94" s="10">
        <f t="shared" si="17"/>
        <v>0.6964285714285714</v>
      </c>
    </row>
    <row r="95" spans="1:23" x14ac:dyDescent="0.25">
      <c r="A95" s="3" t="s">
        <v>101</v>
      </c>
      <c r="B95" s="35">
        <f t="shared" si="11"/>
        <v>0.79411764705882348</v>
      </c>
      <c r="C95" s="10">
        <f t="shared" si="12"/>
        <v>0.65</v>
      </c>
      <c r="D95" s="10">
        <f t="shared" si="13"/>
        <v>0.6</v>
      </c>
      <c r="E95" s="36">
        <f t="shared" si="14"/>
        <v>0.6</v>
      </c>
      <c r="F95" s="36">
        <f t="shared" si="15"/>
        <v>0.5714285714285714</v>
      </c>
      <c r="G95" s="10">
        <f t="shared" si="16"/>
        <v>0.80952380952380953</v>
      </c>
      <c r="H95" s="10">
        <f t="shared" si="17"/>
        <v>0.77272727272727271</v>
      </c>
    </row>
    <row r="98" spans="1:17" x14ac:dyDescent="0.25">
      <c r="B98" s="2" t="s">
        <v>3843</v>
      </c>
    </row>
    <row r="99" spans="1:17" x14ac:dyDescent="0.25">
      <c r="B99" t="s">
        <v>56</v>
      </c>
      <c r="D99" t="s">
        <v>83</v>
      </c>
      <c r="F99" t="s">
        <v>123</v>
      </c>
      <c r="H99" t="s">
        <v>131</v>
      </c>
      <c r="J99" t="s">
        <v>110</v>
      </c>
      <c r="L99" t="s">
        <v>30</v>
      </c>
      <c r="N99" t="s">
        <v>247</v>
      </c>
      <c r="P99" t="s">
        <v>17</v>
      </c>
    </row>
    <row r="100" spans="1:17" x14ac:dyDescent="0.25">
      <c r="A100" s="2" t="s">
        <v>3845</v>
      </c>
      <c r="B100" t="s">
        <v>3878</v>
      </c>
      <c r="C100" t="s">
        <v>3879</v>
      </c>
      <c r="D100" t="s">
        <v>3878</v>
      </c>
      <c r="E100" t="s">
        <v>3879</v>
      </c>
      <c r="F100" t="s">
        <v>3878</v>
      </c>
      <c r="G100" t="s">
        <v>3879</v>
      </c>
      <c r="H100" t="s">
        <v>3878</v>
      </c>
      <c r="I100" t="s">
        <v>3879</v>
      </c>
      <c r="J100" t="s">
        <v>3878</v>
      </c>
      <c r="K100" t="s">
        <v>3879</v>
      </c>
      <c r="L100" t="s">
        <v>3878</v>
      </c>
      <c r="M100" t="s">
        <v>3879</v>
      </c>
      <c r="N100" t="s">
        <v>3878</v>
      </c>
      <c r="O100" t="s">
        <v>3879</v>
      </c>
      <c r="P100" t="s">
        <v>3878</v>
      </c>
      <c r="Q100" t="s">
        <v>3879</v>
      </c>
    </row>
    <row r="101" spans="1:17" x14ac:dyDescent="0.25">
      <c r="A101" s="3" t="s">
        <v>51</v>
      </c>
      <c r="B101">
        <v>1.01</v>
      </c>
      <c r="C101">
        <v>0.71</v>
      </c>
      <c r="D101">
        <v>0.73</v>
      </c>
      <c r="E101">
        <v>0.74</v>
      </c>
      <c r="F101">
        <v>0.49</v>
      </c>
      <c r="G101">
        <v>0.88</v>
      </c>
      <c r="H101">
        <v>0.32</v>
      </c>
      <c r="I101">
        <v>0.34</v>
      </c>
      <c r="J101">
        <v>0.71</v>
      </c>
      <c r="K101">
        <v>0.17</v>
      </c>
      <c r="L101">
        <v>0.92999999999999994</v>
      </c>
      <c r="M101">
        <v>0.37</v>
      </c>
      <c r="N101">
        <v>0.11</v>
      </c>
      <c r="O101">
        <v>0</v>
      </c>
      <c r="P101">
        <v>2.2400000000000007</v>
      </c>
      <c r="Q101">
        <v>1.5899999999999999</v>
      </c>
    </row>
    <row r="102" spans="1:17" x14ac:dyDescent="0.25">
      <c r="A102" s="3" t="s">
        <v>9</v>
      </c>
      <c r="B102">
        <v>0</v>
      </c>
      <c r="C102">
        <v>0.88000000000000012</v>
      </c>
      <c r="D102">
        <v>0</v>
      </c>
      <c r="E102">
        <v>1.08</v>
      </c>
      <c r="F102">
        <v>0</v>
      </c>
      <c r="G102">
        <v>0.17</v>
      </c>
      <c r="H102">
        <v>0</v>
      </c>
      <c r="I102">
        <v>0.17</v>
      </c>
      <c r="J102">
        <v>0</v>
      </c>
      <c r="K102">
        <v>1.65</v>
      </c>
      <c r="L102">
        <v>0</v>
      </c>
      <c r="M102">
        <v>0.71</v>
      </c>
      <c r="N102">
        <v>0</v>
      </c>
      <c r="O102">
        <v>0</v>
      </c>
      <c r="P102">
        <v>-10</v>
      </c>
      <c r="Q102">
        <v>1.19</v>
      </c>
    </row>
    <row r="103" spans="1:17" x14ac:dyDescent="0.25">
      <c r="A103" s="3" t="s">
        <v>130</v>
      </c>
      <c r="B103">
        <v>0</v>
      </c>
      <c r="C103">
        <v>1.1099999999999999</v>
      </c>
      <c r="D103">
        <v>0</v>
      </c>
      <c r="E103">
        <v>0.17</v>
      </c>
      <c r="F103">
        <v>0</v>
      </c>
      <c r="G103">
        <v>0.91</v>
      </c>
      <c r="H103">
        <v>0</v>
      </c>
      <c r="I103">
        <v>0.71000000000000008</v>
      </c>
      <c r="J103">
        <v>0</v>
      </c>
      <c r="K103">
        <v>0.34</v>
      </c>
      <c r="L103">
        <v>0</v>
      </c>
      <c r="M103">
        <v>1.28</v>
      </c>
      <c r="P103">
        <v>0</v>
      </c>
      <c r="Q103">
        <v>0.88</v>
      </c>
    </row>
    <row r="104" spans="1:17" x14ac:dyDescent="0.25">
      <c r="A104" s="3" t="s">
        <v>74</v>
      </c>
      <c r="B104">
        <v>0</v>
      </c>
      <c r="C104">
        <v>1.22</v>
      </c>
      <c r="D104">
        <v>0</v>
      </c>
      <c r="E104">
        <v>0.51</v>
      </c>
      <c r="F104">
        <v>0</v>
      </c>
      <c r="G104">
        <v>0.71000000000000008</v>
      </c>
      <c r="H104">
        <v>0</v>
      </c>
      <c r="I104">
        <v>0</v>
      </c>
      <c r="J104">
        <v>0</v>
      </c>
      <c r="K104">
        <v>0.37</v>
      </c>
      <c r="L104">
        <v>0</v>
      </c>
      <c r="M104">
        <v>0.54</v>
      </c>
      <c r="P104">
        <v>0</v>
      </c>
      <c r="Q104">
        <v>1.22</v>
      </c>
    </row>
    <row r="105" spans="1:17" x14ac:dyDescent="0.25">
      <c r="A105" s="3" t="s">
        <v>193</v>
      </c>
      <c r="B105">
        <v>17.600000000000001</v>
      </c>
      <c r="C105">
        <v>0.54</v>
      </c>
      <c r="D105">
        <v>5.74</v>
      </c>
      <c r="E105">
        <v>0.17</v>
      </c>
      <c r="F105">
        <v>9.27</v>
      </c>
      <c r="G105">
        <v>0.71000000000000008</v>
      </c>
      <c r="H105">
        <v>3.37</v>
      </c>
      <c r="I105">
        <v>0</v>
      </c>
      <c r="J105">
        <v>17.93</v>
      </c>
      <c r="K105">
        <v>0.91</v>
      </c>
      <c r="L105">
        <v>9.19</v>
      </c>
      <c r="M105">
        <v>0</v>
      </c>
      <c r="P105">
        <v>27.75</v>
      </c>
      <c r="Q105">
        <v>0.68</v>
      </c>
    </row>
    <row r="106" spans="1:17" x14ac:dyDescent="0.25">
      <c r="A106" s="3" t="s">
        <v>87</v>
      </c>
      <c r="B106">
        <v>0</v>
      </c>
      <c r="C106">
        <v>1.08</v>
      </c>
      <c r="D106">
        <v>0</v>
      </c>
      <c r="E106">
        <v>2.4699999999999998</v>
      </c>
      <c r="F106">
        <v>0</v>
      </c>
      <c r="G106">
        <v>0</v>
      </c>
      <c r="H106">
        <v>0</v>
      </c>
      <c r="I106">
        <v>0.71</v>
      </c>
      <c r="J106">
        <v>0</v>
      </c>
      <c r="K106">
        <v>1.79</v>
      </c>
      <c r="L106">
        <v>0</v>
      </c>
      <c r="M106">
        <v>0.54</v>
      </c>
      <c r="N106">
        <v>0</v>
      </c>
      <c r="O106">
        <v>0</v>
      </c>
      <c r="P106">
        <v>0</v>
      </c>
      <c r="Q106">
        <v>0</v>
      </c>
    </row>
    <row r="107" spans="1:17" x14ac:dyDescent="0.25">
      <c r="A107" s="3" t="s">
        <v>26</v>
      </c>
      <c r="B107">
        <v>9.1999999999999993</v>
      </c>
      <c r="C107">
        <v>3.75</v>
      </c>
      <c r="D107">
        <v>4.5900000000000016</v>
      </c>
      <c r="E107">
        <v>3.24</v>
      </c>
      <c r="F107">
        <v>2.3199999999999998</v>
      </c>
      <c r="G107">
        <v>1.08</v>
      </c>
      <c r="H107">
        <v>0.55000000000000004</v>
      </c>
      <c r="I107">
        <v>0.54</v>
      </c>
      <c r="J107">
        <v>5.46</v>
      </c>
      <c r="K107">
        <v>1.9299999999999997</v>
      </c>
      <c r="L107">
        <v>6.7600000000000016</v>
      </c>
      <c r="M107">
        <v>3.2700000000000005</v>
      </c>
      <c r="P107">
        <v>9.7899999999999991</v>
      </c>
      <c r="Q107">
        <v>4.1500000000000004</v>
      </c>
    </row>
    <row r="108" spans="1:17" x14ac:dyDescent="0.25">
      <c r="A108" s="3" t="s">
        <v>40</v>
      </c>
      <c r="B108">
        <v>25.000000000000004</v>
      </c>
      <c r="C108">
        <v>0.54</v>
      </c>
      <c r="D108">
        <v>12.799999999999999</v>
      </c>
      <c r="E108">
        <v>0.37</v>
      </c>
      <c r="F108">
        <v>21.7</v>
      </c>
      <c r="G108">
        <v>0.51</v>
      </c>
      <c r="H108">
        <v>21.099999999999998</v>
      </c>
      <c r="I108">
        <v>0</v>
      </c>
      <c r="J108">
        <v>15.399999999999999</v>
      </c>
      <c r="K108">
        <v>0.91</v>
      </c>
      <c r="L108">
        <v>30.200000000000003</v>
      </c>
      <c r="M108">
        <v>0.71000000000000008</v>
      </c>
      <c r="P108">
        <v>38.340000000000003</v>
      </c>
      <c r="Q108">
        <v>1.96</v>
      </c>
    </row>
    <row r="109" spans="1:17" x14ac:dyDescent="0.25">
      <c r="A109" s="3" t="s">
        <v>199</v>
      </c>
      <c r="B109">
        <v>0</v>
      </c>
      <c r="C109">
        <v>2.1900000000000004</v>
      </c>
      <c r="D109">
        <v>0</v>
      </c>
      <c r="E109">
        <v>0.91</v>
      </c>
      <c r="F109">
        <v>0</v>
      </c>
      <c r="G109">
        <v>0.68</v>
      </c>
      <c r="H109">
        <v>0</v>
      </c>
      <c r="I109">
        <v>0.54</v>
      </c>
      <c r="J109">
        <v>0</v>
      </c>
      <c r="K109">
        <v>1.22</v>
      </c>
      <c r="L109">
        <v>0</v>
      </c>
      <c r="M109">
        <v>1.05</v>
      </c>
      <c r="N109">
        <v>0</v>
      </c>
      <c r="O109">
        <v>0.17</v>
      </c>
      <c r="P109">
        <v>0</v>
      </c>
      <c r="Q109">
        <v>2.8099999999999996</v>
      </c>
    </row>
    <row r="110" spans="1:17" x14ac:dyDescent="0.25">
      <c r="A110" s="3" t="s">
        <v>101</v>
      </c>
      <c r="B110">
        <v>14.580000000000002</v>
      </c>
      <c r="C110">
        <v>2.5300000000000002</v>
      </c>
      <c r="D110">
        <v>7.65</v>
      </c>
      <c r="E110">
        <v>0.37</v>
      </c>
      <c r="F110">
        <v>3.04</v>
      </c>
      <c r="G110">
        <v>0.74</v>
      </c>
      <c r="H110">
        <v>3.13</v>
      </c>
      <c r="I110">
        <v>0.51</v>
      </c>
      <c r="J110">
        <v>3.39</v>
      </c>
      <c r="K110">
        <v>0.51</v>
      </c>
      <c r="L110">
        <v>8.41</v>
      </c>
      <c r="M110">
        <v>1.96</v>
      </c>
      <c r="P110">
        <v>20.100000000000005</v>
      </c>
      <c r="Q110">
        <v>2.6399999999999997</v>
      </c>
    </row>
    <row r="112" spans="1:17" x14ac:dyDescent="0.25">
      <c r="A112" s="4" t="s">
        <v>3855</v>
      </c>
      <c r="B112" s="4" t="s">
        <v>56</v>
      </c>
      <c r="C112" s="4" t="s">
        <v>83</v>
      </c>
      <c r="D112" s="4" t="s">
        <v>123</v>
      </c>
      <c r="E112" s="4" t="s">
        <v>131</v>
      </c>
      <c r="F112" s="4" t="s">
        <v>110</v>
      </c>
      <c r="G112" s="4" t="s">
        <v>30</v>
      </c>
      <c r="H112" s="4" t="s">
        <v>17</v>
      </c>
      <c r="I112" s="4"/>
    </row>
    <row r="113" spans="1:17" x14ac:dyDescent="0.25">
      <c r="A113" s="3" t="s">
        <v>51</v>
      </c>
      <c r="B113">
        <f>B101+C101</f>
        <v>1.72</v>
      </c>
      <c r="C113">
        <f>D101+E101</f>
        <v>1.47</v>
      </c>
      <c r="D113">
        <f>F101+G101</f>
        <v>1.37</v>
      </c>
      <c r="E113">
        <f>H101+I101</f>
        <v>0.66</v>
      </c>
      <c r="F113">
        <f>J101+K101</f>
        <v>0.88</v>
      </c>
      <c r="G113">
        <f>L101+M101</f>
        <v>1.2999999999999998</v>
      </c>
      <c r="H113">
        <f>P101+Q101</f>
        <v>3.8300000000000005</v>
      </c>
    </row>
    <row r="114" spans="1:17" x14ac:dyDescent="0.25">
      <c r="A114" s="3" t="s">
        <v>9</v>
      </c>
      <c r="B114">
        <f t="shared" ref="B114:B122" si="18">B102+C102</f>
        <v>0.88000000000000012</v>
      </c>
      <c r="C114">
        <f t="shared" ref="C114:C122" si="19">D102+E102</f>
        <v>1.08</v>
      </c>
      <c r="D114">
        <f t="shared" ref="D114:D122" si="20">F102+G102</f>
        <v>0.17</v>
      </c>
      <c r="E114">
        <f t="shared" ref="E114:E122" si="21">H102+I102</f>
        <v>0.17</v>
      </c>
      <c r="F114">
        <f t="shared" ref="F114:F122" si="22">J102+K102</f>
        <v>1.65</v>
      </c>
      <c r="G114">
        <f t="shared" ref="G114:G122" si="23">L102+M102</f>
        <v>0.71</v>
      </c>
      <c r="H114">
        <f t="shared" ref="H114:H122" si="24">P102+Q102</f>
        <v>-8.81</v>
      </c>
    </row>
    <row r="115" spans="1:17" x14ac:dyDescent="0.25">
      <c r="A115" s="3" t="s">
        <v>130</v>
      </c>
      <c r="B115">
        <f t="shared" si="18"/>
        <v>1.1099999999999999</v>
      </c>
      <c r="C115">
        <f t="shared" si="19"/>
        <v>0.17</v>
      </c>
      <c r="D115">
        <f t="shared" si="20"/>
        <v>0.91</v>
      </c>
      <c r="E115">
        <f t="shared" si="21"/>
        <v>0.71000000000000008</v>
      </c>
      <c r="F115">
        <f t="shared" si="22"/>
        <v>0.34</v>
      </c>
      <c r="G115">
        <f t="shared" si="23"/>
        <v>1.28</v>
      </c>
      <c r="H115">
        <f t="shared" si="24"/>
        <v>0.88</v>
      </c>
    </row>
    <row r="116" spans="1:17" x14ac:dyDescent="0.25">
      <c r="A116" s="3" t="s">
        <v>74</v>
      </c>
      <c r="B116">
        <f t="shared" si="18"/>
        <v>1.22</v>
      </c>
      <c r="C116">
        <f t="shared" si="19"/>
        <v>0.51</v>
      </c>
      <c r="D116">
        <f t="shared" si="20"/>
        <v>0.71000000000000008</v>
      </c>
      <c r="E116">
        <f t="shared" si="21"/>
        <v>0</v>
      </c>
      <c r="F116">
        <f t="shared" si="22"/>
        <v>0.37</v>
      </c>
      <c r="G116">
        <f t="shared" si="23"/>
        <v>0.54</v>
      </c>
      <c r="H116">
        <f t="shared" si="24"/>
        <v>1.22</v>
      </c>
    </row>
    <row r="117" spans="1:17" x14ac:dyDescent="0.25">
      <c r="A117" s="3" t="s">
        <v>193</v>
      </c>
      <c r="B117">
        <f t="shared" si="18"/>
        <v>18.14</v>
      </c>
      <c r="C117">
        <f t="shared" si="19"/>
        <v>5.91</v>
      </c>
      <c r="D117">
        <f t="shared" si="20"/>
        <v>9.98</v>
      </c>
      <c r="E117">
        <f t="shared" si="21"/>
        <v>3.37</v>
      </c>
      <c r="F117">
        <f t="shared" si="22"/>
        <v>18.84</v>
      </c>
      <c r="G117">
        <f t="shared" si="23"/>
        <v>9.19</v>
      </c>
      <c r="H117">
        <f t="shared" si="24"/>
        <v>28.43</v>
      </c>
    </row>
    <row r="118" spans="1:17" x14ac:dyDescent="0.25">
      <c r="A118" s="3" t="s">
        <v>87</v>
      </c>
      <c r="B118">
        <f t="shared" si="18"/>
        <v>1.08</v>
      </c>
      <c r="C118">
        <f t="shared" si="19"/>
        <v>2.4699999999999998</v>
      </c>
      <c r="D118">
        <f t="shared" si="20"/>
        <v>0</v>
      </c>
      <c r="E118">
        <f t="shared" si="21"/>
        <v>0.71</v>
      </c>
      <c r="F118">
        <f t="shared" si="22"/>
        <v>1.79</v>
      </c>
      <c r="G118">
        <f t="shared" si="23"/>
        <v>0.54</v>
      </c>
      <c r="H118">
        <f t="shared" si="24"/>
        <v>0</v>
      </c>
    </row>
    <row r="119" spans="1:17" x14ac:dyDescent="0.25">
      <c r="A119" s="3" t="s">
        <v>26</v>
      </c>
      <c r="B119">
        <f t="shared" si="18"/>
        <v>12.95</v>
      </c>
      <c r="C119">
        <f t="shared" si="19"/>
        <v>7.8300000000000018</v>
      </c>
      <c r="D119">
        <f t="shared" si="20"/>
        <v>3.4</v>
      </c>
      <c r="E119">
        <f t="shared" si="21"/>
        <v>1.0900000000000001</v>
      </c>
      <c r="F119">
        <f t="shared" si="22"/>
        <v>7.39</v>
      </c>
      <c r="G119">
        <f t="shared" si="23"/>
        <v>10.030000000000001</v>
      </c>
      <c r="H119">
        <f t="shared" si="24"/>
        <v>13.94</v>
      </c>
    </row>
    <row r="120" spans="1:17" x14ac:dyDescent="0.25">
      <c r="A120" s="3" t="s">
        <v>40</v>
      </c>
      <c r="B120">
        <f t="shared" si="18"/>
        <v>25.540000000000003</v>
      </c>
      <c r="C120">
        <f t="shared" si="19"/>
        <v>13.169999999999998</v>
      </c>
      <c r="D120">
        <f t="shared" si="20"/>
        <v>22.21</v>
      </c>
      <c r="E120">
        <f t="shared" si="21"/>
        <v>21.099999999999998</v>
      </c>
      <c r="F120">
        <f t="shared" si="22"/>
        <v>16.309999999999999</v>
      </c>
      <c r="G120">
        <f t="shared" si="23"/>
        <v>30.910000000000004</v>
      </c>
      <c r="H120">
        <f t="shared" si="24"/>
        <v>40.300000000000004</v>
      </c>
    </row>
    <row r="121" spans="1:17" x14ac:dyDescent="0.25">
      <c r="A121" s="3" t="s">
        <v>199</v>
      </c>
      <c r="B121">
        <f t="shared" si="18"/>
        <v>2.1900000000000004</v>
      </c>
      <c r="C121">
        <f t="shared" si="19"/>
        <v>0.91</v>
      </c>
      <c r="D121">
        <f t="shared" si="20"/>
        <v>0.68</v>
      </c>
      <c r="E121">
        <f t="shared" si="21"/>
        <v>0.54</v>
      </c>
      <c r="F121">
        <f t="shared" si="22"/>
        <v>1.22</v>
      </c>
      <c r="G121">
        <f t="shared" si="23"/>
        <v>1.05</v>
      </c>
      <c r="H121">
        <f t="shared" si="24"/>
        <v>2.8099999999999996</v>
      </c>
    </row>
    <row r="122" spans="1:17" x14ac:dyDescent="0.25">
      <c r="A122" s="3" t="s">
        <v>101</v>
      </c>
      <c r="B122">
        <f t="shared" si="18"/>
        <v>17.110000000000003</v>
      </c>
      <c r="C122">
        <f t="shared" si="19"/>
        <v>8.02</v>
      </c>
      <c r="D122">
        <f t="shared" si="20"/>
        <v>3.7800000000000002</v>
      </c>
      <c r="E122">
        <f t="shared" si="21"/>
        <v>3.6399999999999997</v>
      </c>
      <c r="F122">
        <f t="shared" si="22"/>
        <v>3.9000000000000004</v>
      </c>
      <c r="G122">
        <f t="shared" si="23"/>
        <v>10.370000000000001</v>
      </c>
      <c r="H122">
        <f t="shared" si="24"/>
        <v>22.740000000000006</v>
      </c>
    </row>
    <row r="125" spans="1:17" x14ac:dyDescent="0.25">
      <c r="A125" s="2" t="s">
        <v>3846</v>
      </c>
      <c r="B125" s="2" t="s">
        <v>3843</v>
      </c>
    </row>
    <row r="126" spans="1:17" x14ac:dyDescent="0.25">
      <c r="B126" t="s">
        <v>299</v>
      </c>
      <c r="D126" t="s">
        <v>3880</v>
      </c>
      <c r="E126" t="s">
        <v>11</v>
      </c>
      <c r="G126" t="s">
        <v>3881</v>
      </c>
      <c r="H126" t="s">
        <v>53</v>
      </c>
      <c r="J126" t="s">
        <v>3882</v>
      </c>
      <c r="K126" t="s">
        <v>27</v>
      </c>
      <c r="M126" t="s">
        <v>3883</v>
      </c>
      <c r="N126" t="s">
        <v>567</v>
      </c>
      <c r="P126" t="s">
        <v>3884</v>
      </c>
      <c r="Q126" t="s">
        <v>3842</v>
      </c>
    </row>
    <row r="127" spans="1:17" x14ac:dyDescent="0.25">
      <c r="A127" s="2" t="s">
        <v>3845</v>
      </c>
      <c r="B127" t="s">
        <v>0</v>
      </c>
      <c r="C127" t="s">
        <v>5</v>
      </c>
      <c r="E127" t="s">
        <v>0</v>
      </c>
      <c r="F127" t="s">
        <v>5</v>
      </c>
      <c r="H127" t="s">
        <v>0</v>
      </c>
      <c r="I127" t="s">
        <v>5</v>
      </c>
      <c r="K127" t="s">
        <v>0</v>
      </c>
      <c r="L127" t="s">
        <v>5</v>
      </c>
      <c r="N127" t="s">
        <v>0</v>
      </c>
      <c r="O127" t="s">
        <v>5</v>
      </c>
    </row>
    <row r="128" spans="1:17" x14ac:dyDescent="0.25">
      <c r="A128" s="3" t="s">
        <v>51</v>
      </c>
      <c r="B128" s="31">
        <v>1</v>
      </c>
      <c r="C128" s="31">
        <v>2</v>
      </c>
      <c r="D128" s="31">
        <v>3</v>
      </c>
      <c r="E128" s="31">
        <v>36</v>
      </c>
      <c r="F128" s="31">
        <v>42</v>
      </c>
      <c r="G128" s="31">
        <v>78</v>
      </c>
      <c r="H128" s="31">
        <v>21</v>
      </c>
      <c r="I128" s="31">
        <v>13</v>
      </c>
      <c r="J128" s="31">
        <v>34</v>
      </c>
      <c r="K128" s="31">
        <v>7</v>
      </c>
      <c r="L128" s="31">
        <v>6</v>
      </c>
      <c r="M128" s="31">
        <v>13</v>
      </c>
      <c r="N128" s="31"/>
      <c r="O128" s="31">
        <v>1</v>
      </c>
      <c r="P128" s="31">
        <v>1</v>
      </c>
      <c r="Q128" s="31">
        <v>129</v>
      </c>
    </row>
    <row r="129" spans="1:17" x14ac:dyDescent="0.25">
      <c r="A129" s="3" t="s">
        <v>9</v>
      </c>
      <c r="B129" s="31">
        <v>1</v>
      </c>
      <c r="C129" s="31">
        <v>2</v>
      </c>
      <c r="D129" s="31">
        <v>3</v>
      </c>
      <c r="E129" s="31">
        <v>54</v>
      </c>
      <c r="F129" s="31">
        <v>44</v>
      </c>
      <c r="G129" s="31">
        <v>98</v>
      </c>
      <c r="H129" s="31">
        <v>13</v>
      </c>
      <c r="I129" s="31">
        <v>17</v>
      </c>
      <c r="J129" s="31">
        <v>30</v>
      </c>
      <c r="K129" s="31">
        <v>12</v>
      </c>
      <c r="L129" s="31">
        <v>8</v>
      </c>
      <c r="M129" s="31">
        <v>20</v>
      </c>
      <c r="N129" s="31">
        <v>1</v>
      </c>
      <c r="O129" s="31"/>
      <c r="P129" s="31">
        <v>1</v>
      </c>
      <c r="Q129" s="31">
        <v>152</v>
      </c>
    </row>
    <row r="130" spans="1:17" x14ac:dyDescent="0.25">
      <c r="A130" s="3" t="s">
        <v>130</v>
      </c>
      <c r="B130" s="31"/>
      <c r="C130" s="31">
        <v>3</v>
      </c>
      <c r="D130" s="31">
        <v>3</v>
      </c>
      <c r="E130" s="31">
        <v>16</v>
      </c>
      <c r="F130" s="31">
        <v>43</v>
      </c>
      <c r="G130" s="31">
        <v>59</v>
      </c>
      <c r="H130" s="31">
        <v>3</v>
      </c>
      <c r="I130" s="31">
        <v>10</v>
      </c>
      <c r="J130" s="31">
        <v>13</v>
      </c>
      <c r="K130" s="31">
        <v>3</v>
      </c>
      <c r="L130" s="31">
        <v>8</v>
      </c>
      <c r="M130" s="31">
        <v>11</v>
      </c>
      <c r="N130" s="31">
        <v>1</v>
      </c>
      <c r="O130" s="31">
        <v>2</v>
      </c>
      <c r="P130" s="31">
        <v>3</v>
      </c>
      <c r="Q130" s="31">
        <v>89</v>
      </c>
    </row>
    <row r="131" spans="1:17" x14ac:dyDescent="0.25">
      <c r="A131" s="3" t="s">
        <v>74</v>
      </c>
      <c r="B131" s="31">
        <v>1</v>
      </c>
      <c r="C131" s="31">
        <v>3</v>
      </c>
      <c r="D131" s="31">
        <v>4</v>
      </c>
      <c r="E131" s="31">
        <v>34</v>
      </c>
      <c r="F131" s="31">
        <v>46</v>
      </c>
      <c r="G131" s="31">
        <v>80</v>
      </c>
      <c r="H131" s="31">
        <v>10</v>
      </c>
      <c r="I131" s="31">
        <v>16</v>
      </c>
      <c r="J131" s="31">
        <v>26</v>
      </c>
      <c r="K131" s="31">
        <v>3</v>
      </c>
      <c r="L131" s="31">
        <v>4</v>
      </c>
      <c r="M131" s="31">
        <v>7</v>
      </c>
      <c r="N131" s="31">
        <v>1</v>
      </c>
      <c r="O131" s="31">
        <v>1</v>
      </c>
      <c r="P131" s="31">
        <v>2</v>
      </c>
      <c r="Q131" s="31">
        <v>119</v>
      </c>
    </row>
    <row r="132" spans="1:17" x14ac:dyDescent="0.25">
      <c r="A132" s="3" t="s">
        <v>193</v>
      </c>
      <c r="B132" s="31">
        <v>5</v>
      </c>
      <c r="C132" s="31">
        <v>1</v>
      </c>
      <c r="D132" s="31">
        <v>6</v>
      </c>
      <c r="E132" s="31">
        <v>35</v>
      </c>
      <c r="F132" s="31">
        <v>17</v>
      </c>
      <c r="G132" s="31">
        <v>52</v>
      </c>
      <c r="H132" s="31">
        <v>19</v>
      </c>
      <c r="I132" s="31">
        <v>9</v>
      </c>
      <c r="J132" s="31">
        <v>28</v>
      </c>
      <c r="K132" s="31">
        <v>6</v>
      </c>
      <c r="L132" s="31">
        <v>4</v>
      </c>
      <c r="M132" s="31">
        <v>10</v>
      </c>
      <c r="N132" s="31"/>
      <c r="O132" s="31"/>
      <c r="P132" s="31"/>
      <c r="Q132" s="31">
        <v>96</v>
      </c>
    </row>
    <row r="133" spans="1:17" x14ac:dyDescent="0.25">
      <c r="A133" s="3" t="s">
        <v>87</v>
      </c>
      <c r="B133" s="31"/>
      <c r="C133" s="31">
        <v>3</v>
      </c>
      <c r="D133" s="31">
        <v>3</v>
      </c>
      <c r="E133" s="31">
        <v>14</v>
      </c>
      <c r="F133" s="31">
        <v>51</v>
      </c>
      <c r="G133" s="31">
        <v>65</v>
      </c>
      <c r="H133" s="31">
        <v>5</v>
      </c>
      <c r="I133" s="31">
        <v>17</v>
      </c>
      <c r="J133" s="31">
        <v>22</v>
      </c>
      <c r="K133" s="31">
        <v>1</v>
      </c>
      <c r="L133" s="31">
        <v>10</v>
      </c>
      <c r="M133" s="31">
        <v>11</v>
      </c>
      <c r="N133" s="31"/>
      <c r="O133" s="31"/>
      <c r="P133" s="31"/>
      <c r="Q133" s="31">
        <v>101</v>
      </c>
    </row>
    <row r="134" spans="1:17" x14ac:dyDescent="0.25">
      <c r="A134" s="3" t="s">
        <v>26</v>
      </c>
      <c r="B134" s="31">
        <v>3</v>
      </c>
      <c r="C134" s="31">
        <v>9</v>
      </c>
      <c r="D134" s="31">
        <v>12</v>
      </c>
      <c r="E134" s="31">
        <v>33</v>
      </c>
      <c r="F134" s="31">
        <v>116</v>
      </c>
      <c r="G134" s="31">
        <v>149</v>
      </c>
      <c r="H134" s="31">
        <v>14</v>
      </c>
      <c r="I134" s="31">
        <v>36</v>
      </c>
      <c r="J134" s="31">
        <v>50</v>
      </c>
      <c r="K134" s="31">
        <v>5</v>
      </c>
      <c r="L134" s="31">
        <v>31</v>
      </c>
      <c r="M134" s="31">
        <v>36</v>
      </c>
      <c r="N134" s="31"/>
      <c r="O134" s="31">
        <v>1</v>
      </c>
      <c r="P134" s="31">
        <v>1</v>
      </c>
      <c r="Q134" s="31">
        <v>248</v>
      </c>
    </row>
    <row r="135" spans="1:17" x14ac:dyDescent="0.25">
      <c r="A135" s="3" t="s">
        <v>40</v>
      </c>
      <c r="B135" s="31">
        <v>6</v>
      </c>
      <c r="C135" s="31">
        <v>1</v>
      </c>
      <c r="D135" s="31">
        <v>7</v>
      </c>
      <c r="E135" s="31">
        <v>52</v>
      </c>
      <c r="F135" s="31">
        <v>44</v>
      </c>
      <c r="G135" s="31">
        <v>96</v>
      </c>
      <c r="H135" s="31">
        <v>12</v>
      </c>
      <c r="I135" s="31">
        <v>12</v>
      </c>
      <c r="J135" s="31">
        <v>24</v>
      </c>
      <c r="K135" s="31">
        <v>10</v>
      </c>
      <c r="L135" s="31">
        <v>8</v>
      </c>
      <c r="M135" s="31">
        <v>18</v>
      </c>
      <c r="N135" s="31"/>
      <c r="O135" s="31"/>
      <c r="P135" s="31"/>
      <c r="Q135" s="31">
        <v>145</v>
      </c>
    </row>
    <row r="136" spans="1:17" x14ac:dyDescent="0.25">
      <c r="A136" s="3" t="s">
        <v>199</v>
      </c>
      <c r="B136" s="31">
        <v>3</v>
      </c>
      <c r="C136" s="31">
        <v>2</v>
      </c>
      <c r="D136" s="31">
        <v>5</v>
      </c>
      <c r="E136" s="31">
        <v>22</v>
      </c>
      <c r="F136" s="31">
        <v>89</v>
      </c>
      <c r="G136" s="31">
        <v>111</v>
      </c>
      <c r="H136" s="31">
        <v>13</v>
      </c>
      <c r="I136" s="31">
        <v>26</v>
      </c>
      <c r="J136" s="31">
        <v>39</v>
      </c>
      <c r="K136" s="31">
        <v>4</v>
      </c>
      <c r="L136" s="31">
        <v>13</v>
      </c>
      <c r="M136" s="31">
        <v>17</v>
      </c>
      <c r="N136" s="31"/>
      <c r="O136" s="31"/>
      <c r="P136" s="31"/>
      <c r="Q136" s="31">
        <v>172</v>
      </c>
    </row>
    <row r="137" spans="1:17" x14ac:dyDescent="0.25">
      <c r="A137" s="3" t="s">
        <v>101</v>
      </c>
      <c r="B137" s="31">
        <v>1</v>
      </c>
      <c r="C137" s="31">
        <v>6</v>
      </c>
      <c r="D137" s="31">
        <v>7</v>
      </c>
      <c r="E137" s="31">
        <v>21</v>
      </c>
      <c r="F137" s="31">
        <v>80</v>
      </c>
      <c r="G137" s="31">
        <v>101</v>
      </c>
      <c r="H137" s="31">
        <v>6</v>
      </c>
      <c r="I137" s="31">
        <v>24</v>
      </c>
      <c r="J137" s="31">
        <v>30</v>
      </c>
      <c r="K137" s="31">
        <v>2</v>
      </c>
      <c r="L137" s="31">
        <v>14</v>
      </c>
      <c r="M137" s="31">
        <v>16</v>
      </c>
      <c r="N137" s="31"/>
      <c r="O137" s="31"/>
      <c r="P137" s="31"/>
      <c r="Q137" s="31">
        <v>154</v>
      </c>
    </row>
    <row r="141" spans="1:17" x14ac:dyDescent="0.25">
      <c r="A141" s="4" t="s">
        <v>3845</v>
      </c>
      <c r="B141" t="s">
        <v>299</v>
      </c>
      <c r="C141" t="s">
        <v>11</v>
      </c>
      <c r="D141" t="s">
        <v>53</v>
      </c>
      <c r="E141" t="s">
        <v>27</v>
      </c>
      <c r="F141" t="s">
        <v>567</v>
      </c>
    </row>
    <row r="142" spans="1:17" x14ac:dyDescent="0.25">
      <c r="A142" s="3" t="s">
        <v>51</v>
      </c>
      <c r="B142" s="9">
        <f>C128/D128</f>
        <v>0.66666666666666663</v>
      </c>
      <c r="C142" s="9">
        <f>F128/G128</f>
        <v>0.53846153846153844</v>
      </c>
      <c r="D142" s="9">
        <f>I128/J128</f>
        <v>0.38235294117647056</v>
      </c>
      <c r="E142" s="9">
        <f>L128/M128</f>
        <v>0.46153846153846156</v>
      </c>
      <c r="F142" s="9">
        <f>O128/P128</f>
        <v>1</v>
      </c>
    </row>
    <row r="143" spans="1:17" x14ac:dyDescent="0.25">
      <c r="A143" s="3" t="s">
        <v>9</v>
      </c>
      <c r="B143" s="9">
        <f t="shared" ref="B143:B151" si="25">C129/D129</f>
        <v>0.66666666666666663</v>
      </c>
      <c r="C143" s="9">
        <f t="shared" ref="C143:C151" si="26">F129/G129</f>
        <v>0.44897959183673469</v>
      </c>
      <c r="D143" s="9">
        <f t="shared" ref="D143:D150" si="27">I129/J129</f>
        <v>0.56666666666666665</v>
      </c>
      <c r="E143" s="9">
        <f t="shared" ref="E143:E151" si="28">L129/M129</f>
        <v>0.4</v>
      </c>
      <c r="F143" s="9">
        <f t="shared" ref="F143:F148" si="29">O129/P129</f>
        <v>0</v>
      </c>
    </row>
    <row r="144" spans="1:17" x14ac:dyDescent="0.25">
      <c r="A144" s="3" t="s">
        <v>130</v>
      </c>
      <c r="B144" s="9">
        <f>C130/D130</f>
        <v>1</v>
      </c>
      <c r="C144" s="9">
        <f t="shared" si="26"/>
        <v>0.72881355932203384</v>
      </c>
      <c r="D144" s="9">
        <f t="shared" si="27"/>
        <v>0.76923076923076927</v>
      </c>
      <c r="E144" s="9">
        <f t="shared" si="28"/>
        <v>0.72727272727272729</v>
      </c>
      <c r="F144" s="9">
        <f t="shared" si="29"/>
        <v>0.66666666666666663</v>
      </c>
    </row>
    <row r="145" spans="1:6" x14ac:dyDescent="0.25">
      <c r="A145" s="3" t="s">
        <v>74</v>
      </c>
      <c r="B145" s="9">
        <f t="shared" si="25"/>
        <v>0.75</v>
      </c>
      <c r="C145" s="9">
        <f t="shared" si="26"/>
        <v>0.57499999999999996</v>
      </c>
      <c r="D145" s="9">
        <f t="shared" si="27"/>
        <v>0.61538461538461542</v>
      </c>
      <c r="E145" s="9">
        <f t="shared" si="28"/>
        <v>0.5714285714285714</v>
      </c>
      <c r="F145" s="9">
        <f t="shared" si="29"/>
        <v>0.5</v>
      </c>
    </row>
    <row r="146" spans="1:6" x14ac:dyDescent="0.25">
      <c r="A146" s="3" t="s">
        <v>193</v>
      </c>
      <c r="B146" s="9">
        <f t="shared" si="25"/>
        <v>0.16666666666666666</v>
      </c>
      <c r="C146" s="9">
        <f t="shared" si="26"/>
        <v>0.32692307692307693</v>
      </c>
      <c r="D146" s="9">
        <f t="shared" si="27"/>
        <v>0.32142857142857145</v>
      </c>
      <c r="E146" s="9">
        <f t="shared" si="28"/>
        <v>0.4</v>
      </c>
      <c r="F146" s="9">
        <v>0</v>
      </c>
    </row>
    <row r="147" spans="1:6" x14ac:dyDescent="0.25">
      <c r="A147" s="3" t="s">
        <v>87</v>
      </c>
      <c r="B147" s="9">
        <f>C133/D133</f>
        <v>1</v>
      </c>
      <c r="C147" s="9">
        <f t="shared" si="26"/>
        <v>0.7846153846153846</v>
      </c>
      <c r="D147" s="9">
        <f t="shared" si="27"/>
        <v>0.77272727272727271</v>
      </c>
      <c r="E147" s="9">
        <f t="shared" si="28"/>
        <v>0.90909090909090906</v>
      </c>
      <c r="F147" s="9">
        <v>0</v>
      </c>
    </row>
    <row r="148" spans="1:6" x14ac:dyDescent="0.25">
      <c r="A148" s="3" t="s">
        <v>26</v>
      </c>
      <c r="B148" s="9">
        <f t="shared" si="25"/>
        <v>0.75</v>
      </c>
      <c r="C148" s="9">
        <f t="shared" si="26"/>
        <v>0.77852348993288589</v>
      </c>
      <c r="D148" s="9">
        <f t="shared" si="27"/>
        <v>0.72</v>
      </c>
      <c r="E148" s="9">
        <f t="shared" si="28"/>
        <v>0.86111111111111116</v>
      </c>
      <c r="F148" s="9">
        <f t="shared" si="29"/>
        <v>1</v>
      </c>
    </row>
    <row r="149" spans="1:6" x14ac:dyDescent="0.25">
      <c r="A149" s="3" t="s">
        <v>40</v>
      </c>
      <c r="B149" s="9">
        <f t="shared" si="25"/>
        <v>0.14285714285714285</v>
      </c>
      <c r="C149" s="9">
        <f t="shared" si="26"/>
        <v>0.45833333333333331</v>
      </c>
      <c r="D149" s="9">
        <f t="shared" si="27"/>
        <v>0.5</v>
      </c>
      <c r="E149" s="9">
        <f t="shared" si="28"/>
        <v>0.44444444444444442</v>
      </c>
      <c r="F149" s="9">
        <v>0</v>
      </c>
    </row>
    <row r="150" spans="1:6" x14ac:dyDescent="0.25">
      <c r="A150" s="3" t="s">
        <v>199</v>
      </c>
      <c r="B150" s="9">
        <f t="shared" si="25"/>
        <v>0.4</v>
      </c>
      <c r="C150" s="9">
        <f t="shared" si="26"/>
        <v>0.80180180180180183</v>
      </c>
      <c r="D150" s="9">
        <f t="shared" si="27"/>
        <v>0.66666666666666663</v>
      </c>
      <c r="E150" s="9">
        <f t="shared" si="28"/>
        <v>0.76470588235294112</v>
      </c>
      <c r="F150" s="9">
        <v>0</v>
      </c>
    </row>
    <row r="151" spans="1:6" x14ac:dyDescent="0.25">
      <c r="A151" s="3" t="s">
        <v>101</v>
      </c>
      <c r="B151" s="9">
        <f t="shared" si="25"/>
        <v>0.8571428571428571</v>
      </c>
      <c r="C151" s="9">
        <f t="shared" si="26"/>
        <v>0.79207920792079212</v>
      </c>
      <c r="D151" s="9">
        <f>I137/J137</f>
        <v>0.8</v>
      </c>
      <c r="E151" s="9">
        <f t="shared" si="28"/>
        <v>0.875</v>
      </c>
      <c r="F151" s="9">
        <v>0</v>
      </c>
    </row>
    <row r="156" spans="1:6" x14ac:dyDescent="0.25">
      <c r="A156" s="2" t="s">
        <v>3844</v>
      </c>
      <c r="B156" s="2" t="s">
        <v>3843</v>
      </c>
    </row>
    <row r="157" spans="1:6" x14ac:dyDescent="0.25">
      <c r="A157" s="2" t="s">
        <v>3845</v>
      </c>
      <c r="B157" t="s">
        <v>299</v>
      </c>
      <c r="C157" t="s">
        <v>11</v>
      </c>
      <c r="D157" t="s">
        <v>53</v>
      </c>
      <c r="E157" t="s">
        <v>27</v>
      </c>
      <c r="F157" t="s">
        <v>567</v>
      </c>
    </row>
    <row r="158" spans="1:6" x14ac:dyDescent="0.25">
      <c r="A158" s="3" t="s">
        <v>51</v>
      </c>
      <c r="B158">
        <v>3</v>
      </c>
      <c r="C158">
        <v>81</v>
      </c>
      <c r="D158">
        <v>34</v>
      </c>
      <c r="E158">
        <v>13</v>
      </c>
      <c r="F158">
        <v>1</v>
      </c>
    </row>
    <row r="159" spans="1:6" x14ac:dyDescent="0.25">
      <c r="A159" s="3" t="s">
        <v>9</v>
      </c>
      <c r="B159">
        <v>3</v>
      </c>
      <c r="C159">
        <v>98</v>
      </c>
      <c r="D159">
        <v>30</v>
      </c>
      <c r="E159">
        <v>20</v>
      </c>
      <c r="F159">
        <v>1</v>
      </c>
    </row>
    <row r="160" spans="1:6" x14ac:dyDescent="0.25">
      <c r="A160" s="3" t="s">
        <v>130</v>
      </c>
      <c r="B160">
        <v>3</v>
      </c>
      <c r="C160">
        <v>59</v>
      </c>
      <c r="D160">
        <v>13</v>
      </c>
      <c r="E160">
        <v>11</v>
      </c>
      <c r="F160">
        <v>3</v>
      </c>
    </row>
    <row r="161" spans="1:11" x14ac:dyDescent="0.25">
      <c r="A161" s="3" t="s">
        <v>74</v>
      </c>
      <c r="B161">
        <v>4</v>
      </c>
      <c r="C161">
        <v>80</v>
      </c>
      <c r="D161">
        <v>26</v>
      </c>
      <c r="E161">
        <v>7</v>
      </c>
      <c r="F161">
        <v>2</v>
      </c>
    </row>
    <row r="162" spans="1:11" x14ac:dyDescent="0.25">
      <c r="A162" s="3" t="s">
        <v>193</v>
      </c>
      <c r="B162">
        <v>6</v>
      </c>
      <c r="C162">
        <v>52</v>
      </c>
      <c r="D162">
        <v>28</v>
      </c>
      <c r="E162">
        <v>10</v>
      </c>
    </row>
    <row r="163" spans="1:11" x14ac:dyDescent="0.25">
      <c r="A163" s="3" t="s">
        <v>87</v>
      </c>
      <c r="B163">
        <v>3</v>
      </c>
      <c r="C163">
        <v>65</v>
      </c>
      <c r="D163">
        <v>22</v>
      </c>
      <c r="E163">
        <v>11</v>
      </c>
    </row>
    <row r="164" spans="1:11" x14ac:dyDescent="0.25">
      <c r="A164" s="3" t="s">
        <v>26</v>
      </c>
      <c r="B164">
        <v>12</v>
      </c>
      <c r="C164">
        <v>150</v>
      </c>
      <c r="D164">
        <v>50</v>
      </c>
      <c r="E164">
        <v>36</v>
      </c>
      <c r="F164">
        <v>1</v>
      </c>
    </row>
    <row r="165" spans="1:11" x14ac:dyDescent="0.25">
      <c r="A165" s="3" t="s">
        <v>40</v>
      </c>
      <c r="B165">
        <v>7</v>
      </c>
      <c r="C165">
        <v>97</v>
      </c>
      <c r="D165">
        <v>24</v>
      </c>
      <c r="E165">
        <v>18</v>
      </c>
    </row>
    <row r="166" spans="1:11" x14ac:dyDescent="0.25">
      <c r="A166" s="3" t="s">
        <v>199</v>
      </c>
      <c r="B166">
        <v>5</v>
      </c>
      <c r="C166">
        <v>111</v>
      </c>
      <c r="D166">
        <v>41</v>
      </c>
      <c r="E166">
        <v>17</v>
      </c>
    </row>
    <row r="167" spans="1:11" x14ac:dyDescent="0.25">
      <c r="A167" s="3" t="s">
        <v>101</v>
      </c>
      <c r="B167">
        <v>7</v>
      </c>
      <c r="C167">
        <v>102</v>
      </c>
      <c r="D167">
        <v>30</v>
      </c>
      <c r="E167">
        <v>16</v>
      </c>
    </row>
    <row r="173" spans="1:11" x14ac:dyDescent="0.25">
      <c r="B173" s="2" t="s">
        <v>3843</v>
      </c>
    </row>
    <row r="174" spans="1:11" x14ac:dyDescent="0.25">
      <c r="B174" t="s">
        <v>299</v>
      </c>
      <c r="D174" t="s">
        <v>11</v>
      </c>
      <c r="F174" t="s">
        <v>53</v>
      </c>
      <c r="H174" t="s">
        <v>27</v>
      </c>
      <c r="J174" t="s">
        <v>567</v>
      </c>
    </row>
    <row r="175" spans="1:11" x14ac:dyDescent="0.25">
      <c r="A175" s="2" t="s">
        <v>3845</v>
      </c>
      <c r="B175" t="s">
        <v>3878</v>
      </c>
      <c r="C175" t="s">
        <v>3879</v>
      </c>
      <c r="D175" t="s">
        <v>3878</v>
      </c>
      <c r="E175" t="s">
        <v>3879</v>
      </c>
      <c r="F175" t="s">
        <v>3878</v>
      </c>
      <c r="G175" t="s">
        <v>3879</v>
      </c>
      <c r="H175" t="s">
        <v>3878</v>
      </c>
      <c r="I175" t="s">
        <v>3879</v>
      </c>
      <c r="J175" t="s">
        <v>3878</v>
      </c>
      <c r="K175" t="s">
        <v>3879</v>
      </c>
    </row>
    <row r="176" spans="1:11" x14ac:dyDescent="0.25">
      <c r="A176" s="3" t="s">
        <v>51</v>
      </c>
      <c r="B176">
        <v>0.22</v>
      </c>
      <c r="C176">
        <v>0</v>
      </c>
      <c r="D176">
        <v>4.29</v>
      </c>
      <c r="E176">
        <v>0</v>
      </c>
      <c r="F176">
        <v>1.3300000000000003</v>
      </c>
      <c r="G176">
        <v>2.2099999999999995</v>
      </c>
      <c r="H176">
        <v>0.61</v>
      </c>
      <c r="I176">
        <v>2.2200000000000002</v>
      </c>
      <c r="J176">
        <v>0.09</v>
      </c>
      <c r="K176">
        <v>0.37</v>
      </c>
    </row>
    <row r="177" spans="1:11" x14ac:dyDescent="0.25">
      <c r="A177" s="3" t="s">
        <v>9</v>
      </c>
      <c r="B177">
        <v>0</v>
      </c>
      <c r="C177">
        <v>0</v>
      </c>
      <c r="D177">
        <v>-10</v>
      </c>
      <c r="E177">
        <v>0</v>
      </c>
      <c r="F177">
        <v>0</v>
      </c>
      <c r="G177">
        <v>2.8899999999999992</v>
      </c>
      <c r="H177">
        <v>0</v>
      </c>
      <c r="I177">
        <v>2.9600000000000004</v>
      </c>
      <c r="J177">
        <v>0</v>
      </c>
      <c r="K177">
        <v>0</v>
      </c>
    </row>
    <row r="178" spans="1:11" x14ac:dyDescent="0.25">
      <c r="A178" s="3" t="s">
        <v>130</v>
      </c>
      <c r="B178">
        <v>0</v>
      </c>
      <c r="C178">
        <v>0</v>
      </c>
      <c r="D178">
        <v>0</v>
      </c>
      <c r="E178">
        <v>0</v>
      </c>
      <c r="F178">
        <v>0</v>
      </c>
      <c r="G178">
        <v>1.6999999999999997</v>
      </c>
      <c r="H178">
        <v>0</v>
      </c>
      <c r="I178">
        <v>2.9600000000000004</v>
      </c>
      <c r="J178">
        <v>0</v>
      </c>
      <c r="K178">
        <v>0.74</v>
      </c>
    </row>
    <row r="179" spans="1:11" x14ac:dyDescent="0.25">
      <c r="A179" s="3" t="s">
        <v>74</v>
      </c>
      <c r="B179">
        <v>0</v>
      </c>
      <c r="C179">
        <v>0</v>
      </c>
      <c r="D179">
        <v>0</v>
      </c>
      <c r="E179">
        <v>0</v>
      </c>
      <c r="F179">
        <v>0</v>
      </c>
      <c r="G179">
        <v>2.7199999999999993</v>
      </c>
      <c r="H179">
        <v>0</v>
      </c>
      <c r="I179">
        <v>1.48</v>
      </c>
      <c r="J179">
        <v>0</v>
      </c>
      <c r="K179">
        <v>0.37</v>
      </c>
    </row>
    <row r="180" spans="1:11" x14ac:dyDescent="0.25">
      <c r="A180" s="3" t="s">
        <v>193</v>
      </c>
      <c r="B180">
        <v>3.26</v>
      </c>
      <c r="C180">
        <v>0</v>
      </c>
      <c r="D180">
        <v>47.879999999999995</v>
      </c>
      <c r="E180">
        <v>0</v>
      </c>
      <c r="F180">
        <v>26.910000000000004</v>
      </c>
      <c r="G180">
        <v>1.5299999999999998</v>
      </c>
      <c r="H180">
        <v>12.799999999999999</v>
      </c>
      <c r="I180">
        <v>1.48</v>
      </c>
    </row>
    <row r="181" spans="1:11" x14ac:dyDescent="0.25">
      <c r="A181" s="3" t="s">
        <v>87</v>
      </c>
      <c r="B181">
        <v>0</v>
      </c>
      <c r="C181">
        <v>0</v>
      </c>
      <c r="D181">
        <v>0</v>
      </c>
      <c r="E181">
        <v>0</v>
      </c>
      <c r="F181">
        <v>0</v>
      </c>
      <c r="G181">
        <v>2.8899999999999992</v>
      </c>
      <c r="H181">
        <v>0</v>
      </c>
      <c r="I181">
        <v>3.7000000000000006</v>
      </c>
    </row>
    <row r="182" spans="1:11" x14ac:dyDescent="0.25">
      <c r="A182" s="3" t="s">
        <v>26</v>
      </c>
      <c r="B182">
        <v>1.7799999999999998</v>
      </c>
      <c r="C182">
        <v>0</v>
      </c>
      <c r="D182">
        <v>23.110000000000007</v>
      </c>
      <c r="E182">
        <v>0</v>
      </c>
      <c r="F182">
        <v>7.3700000000000019</v>
      </c>
      <c r="G182">
        <v>6.1199999999999983</v>
      </c>
      <c r="H182">
        <v>6.2100000000000009</v>
      </c>
      <c r="I182">
        <v>11.469999999999994</v>
      </c>
      <c r="J182">
        <v>0.2</v>
      </c>
      <c r="K182">
        <v>0.37</v>
      </c>
    </row>
    <row r="183" spans="1:11" x14ac:dyDescent="0.25">
      <c r="A183" s="3" t="s">
        <v>40</v>
      </c>
      <c r="B183">
        <v>2.4700000000000002</v>
      </c>
      <c r="C183">
        <v>0</v>
      </c>
      <c r="D183">
        <v>112</v>
      </c>
      <c r="E183">
        <v>0</v>
      </c>
      <c r="F183">
        <v>29.22</v>
      </c>
      <c r="G183">
        <v>2.0399999999999996</v>
      </c>
      <c r="H183">
        <v>20.85</v>
      </c>
      <c r="I183">
        <v>2.9600000000000004</v>
      </c>
    </row>
    <row r="184" spans="1:11" x14ac:dyDescent="0.25">
      <c r="A184" s="3" t="s">
        <v>199</v>
      </c>
      <c r="B184">
        <v>0</v>
      </c>
      <c r="C184">
        <v>0</v>
      </c>
      <c r="D184">
        <v>0</v>
      </c>
      <c r="E184">
        <v>0</v>
      </c>
      <c r="F184">
        <v>0</v>
      </c>
      <c r="G184">
        <v>4.7599999999999989</v>
      </c>
      <c r="H184">
        <v>0</v>
      </c>
      <c r="I184">
        <v>4.8100000000000005</v>
      </c>
    </row>
    <row r="185" spans="1:11" x14ac:dyDescent="0.25">
      <c r="A185" s="3" t="s">
        <v>101</v>
      </c>
      <c r="B185">
        <v>3.0599999999999996</v>
      </c>
      <c r="C185">
        <v>0</v>
      </c>
      <c r="D185">
        <v>38.450000000000003</v>
      </c>
      <c r="E185">
        <v>0</v>
      </c>
      <c r="F185">
        <v>11.98</v>
      </c>
      <c r="G185">
        <v>4.0799999999999992</v>
      </c>
      <c r="H185">
        <v>6.8100000000000005</v>
      </c>
      <c r="I185">
        <v>5.1800000000000006</v>
      </c>
    </row>
    <row r="188" spans="1:11" x14ac:dyDescent="0.25">
      <c r="A188" s="4" t="s">
        <v>3845</v>
      </c>
      <c r="B188" t="s">
        <v>299</v>
      </c>
      <c r="C188" t="s">
        <v>11</v>
      </c>
      <c r="D188" t="s">
        <v>53</v>
      </c>
      <c r="E188" t="s">
        <v>27</v>
      </c>
      <c r="F188" t="s">
        <v>567</v>
      </c>
    </row>
    <row r="189" spans="1:11" x14ac:dyDescent="0.25">
      <c r="A189" s="3" t="s">
        <v>51</v>
      </c>
      <c r="B189" s="32">
        <f>B176+C176</f>
        <v>0.22</v>
      </c>
      <c r="C189" s="32">
        <f>D176+E176</f>
        <v>4.29</v>
      </c>
      <c r="D189" s="32">
        <f>F176+G176</f>
        <v>3.54</v>
      </c>
      <c r="E189" s="32">
        <f>H176+I176</f>
        <v>2.83</v>
      </c>
      <c r="F189" s="32">
        <f>J176+K176</f>
        <v>0.45999999999999996</v>
      </c>
    </row>
    <row r="190" spans="1:11" x14ac:dyDescent="0.25">
      <c r="A190" s="3" t="s">
        <v>9</v>
      </c>
      <c r="B190" s="32">
        <f t="shared" ref="B190:B198" si="30">B177+C177</f>
        <v>0</v>
      </c>
      <c r="C190" s="32">
        <f t="shared" ref="C190:C198" si="31">D177+E177</f>
        <v>-10</v>
      </c>
      <c r="D190" s="32">
        <f t="shared" ref="D190:D198" si="32">F177+G177</f>
        <v>2.8899999999999992</v>
      </c>
      <c r="E190" s="32">
        <f t="shared" ref="E190:E198" si="33">H177+I177</f>
        <v>2.9600000000000004</v>
      </c>
      <c r="F190" s="32">
        <f t="shared" ref="F190:F198" si="34">J177+K177</f>
        <v>0</v>
      </c>
    </row>
    <row r="191" spans="1:11" x14ac:dyDescent="0.25">
      <c r="A191" s="3" t="s">
        <v>130</v>
      </c>
      <c r="B191" s="32">
        <f t="shared" si="30"/>
        <v>0</v>
      </c>
      <c r="C191" s="32">
        <f t="shared" si="31"/>
        <v>0</v>
      </c>
      <c r="D191" s="32">
        <f t="shared" si="32"/>
        <v>1.6999999999999997</v>
      </c>
      <c r="E191" s="32">
        <f t="shared" si="33"/>
        <v>2.9600000000000004</v>
      </c>
      <c r="F191" s="32">
        <f t="shared" si="34"/>
        <v>0.74</v>
      </c>
    </row>
    <row r="192" spans="1:11" x14ac:dyDescent="0.25">
      <c r="A192" s="3" t="s">
        <v>74</v>
      </c>
      <c r="B192" s="32">
        <f t="shared" si="30"/>
        <v>0</v>
      </c>
      <c r="C192" s="32">
        <f t="shared" si="31"/>
        <v>0</v>
      </c>
      <c r="D192" s="32">
        <f t="shared" si="32"/>
        <v>2.7199999999999993</v>
      </c>
      <c r="E192" s="32">
        <f t="shared" si="33"/>
        <v>1.48</v>
      </c>
      <c r="F192" s="32">
        <f t="shared" si="34"/>
        <v>0.37</v>
      </c>
    </row>
    <row r="193" spans="1:16" x14ac:dyDescent="0.25">
      <c r="A193" s="3" t="s">
        <v>193</v>
      </c>
      <c r="B193" s="32">
        <f t="shared" si="30"/>
        <v>3.26</v>
      </c>
      <c r="C193" s="32">
        <f t="shared" si="31"/>
        <v>47.879999999999995</v>
      </c>
      <c r="D193" s="32">
        <f t="shared" si="32"/>
        <v>28.440000000000005</v>
      </c>
      <c r="E193" s="32">
        <f t="shared" si="33"/>
        <v>14.28</v>
      </c>
      <c r="F193" s="32">
        <f t="shared" si="34"/>
        <v>0</v>
      </c>
    </row>
    <row r="194" spans="1:16" x14ac:dyDescent="0.25">
      <c r="A194" s="3" t="s">
        <v>87</v>
      </c>
      <c r="B194" s="32">
        <f t="shared" si="30"/>
        <v>0</v>
      </c>
      <c r="C194" s="32">
        <f t="shared" si="31"/>
        <v>0</v>
      </c>
      <c r="D194" s="32">
        <f t="shared" si="32"/>
        <v>2.8899999999999992</v>
      </c>
      <c r="E194" s="32">
        <f t="shared" si="33"/>
        <v>3.7000000000000006</v>
      </c>
      <c r="F194" s="32">
        <f t="shared" si="34"/>
        <v>0</v>
      </c>
    </row>
    <row r="195" spans="1:16" x14ac:dyDescent="0.25">
      <c r="A195" s="3" t="s">
        <v>26</v>
      </c>
      <c r="B195" s="32">
        <f t="shared" si="30"/>
        <v>1.7799999999999998</v>
      </c>
      <c r="C195" s="32">
        <f t="shared" si="31"/>
        <v>23.110000000000007</v>
      </c>
      <c r="D195" s="32">
        <f t="shared" si="32"/>
        <v>13.49</v>
      </c>
      <c r="E195" s="32">
        <f t="shared" si="33"/>
        <v>17.679999999999993</v>
      </c>
      <c r="F195" s="32">
        <f t="shared" si="34"/>
        <v>0.57000000000000006</v>
      </c>
    </row>
    <row r="196" spans="1:16" x14ac:dyDescent="0.25">
      <c r="A196" s="3" t="s">
        <v>40</v>
      </c>
      <c r="B196" s="32">
        <f t="shared" si="30"/>
        <v>2.4700000000000002</v>
      </c>
      <c r="C196" s="32">
        <f t="shared" si="31"/>
        <v>112</v>
      </c>
      <c r="D196" s="32">
        <f t="shared" si="32"/>
        <v>31.259999999999998</v>
      </c>
      <c r="E196" s="32">
        <f t="shared" si="33"/>
        <v>23.810000000000002</v>
      </c>
      <c r="F196" s="32">
        <f t="shared" si="34"/>
        <v>0</v>
      </c>
    </row>
    <row r="197" spans="1:16" x14ac:dyDescent="0.25">
      <c r="A197" s="3" t="s">
        <v>199</v>
      </c>
      <c r="B197" s="32">
        <f t="shared" si="30"/>
        <v>0</v>
      </c>
      <c r="C197" s="32">
        <f t="shared" si="31"/>
        <v>0</v>
      </c>
      <c r="D197" s="32">
        <f t="shared" si="32"/>
        <v>4.7599999999999989</v>
      </c>
      <c r="E197" s="32">
        <f t="shared" si="33"/>
        <v>4.8100000000000005</v>
      </c>
      <c r="F197" s="32">
        <f t="shared" si="34"/>
        <v>0</v>
      </c>
    </row>
    <row r="198" spans="1:16" x14ac:dyDescent="0.25">
      <c r="A198" s="3" t="s">
        <v>101</v>
      </c>
      <c r="B198" s="32">
        <f t="shared" si="30"/>
        <v>3.0599999999999996</v>
      </c>
      <c r="C198" s="32">
        <f t="shared" si="31"/>
        <v>38.450000000000003</v>
      </c>
      <c r="D198" s="32">
        <f t="shared" si="32"/>
        <v>16.059999999999999</v>
      </c>
      <c r="E198" s="32">
        <f t="shared" si="33"/>
        <v>11.990000000000002</v>
      </c>
      <c r="F198" s="32">
        <f t="shared" si="34"/>
        <v>0</v>
      </c>
    </row>
    <row r="202" spans="1:16" x14ac:dyDescent="0.25">
      <c r="A202" s="2" t="s">
        <v>3848</v>
      </c>
      <c r="B202" s="2" t="s">
        <v>3843</v>
      </c>
    </row>
    <row r="203" spans="1:16" x14ac:dyDescent="0.25">
      <c r="B203" t="s">
        <v>299</v>
      </c>
      <c r="D203" t="s">
        <v>3880</v>
      </c>
      <c r="E203" t="s">
        <v>11</v>
      </c>
      <c r="G203" t="s">
        <v>3881</v>
      </c>
      <c r="H203" t="s">
        <v>53</v>
      </c>
      <c r="J203" t="s">
        <v>3882</v>
      </c>
      <c r="K203" t="s">
        <v>27</v>
      </c>
      <c r="M203" t="s">
        <v>3883</v>
      </c>
      <c r="N203" t="s">
        <v>567</v>
      </c>
      <c r="P203" t="s">
        <v>3884</v>
      </c>
    </row>
    <row r="204" spans="1:16" x14ac:dyDescent="0.25">
      <c r="A204" s="2" t="s">
        <v>3845</v>
      </c>
      <c r="B204" t="s">
        <v>0</v>
      </c>
      <c r="C204" t="s">
        <v>5</v>
      </c>
      <c r="E204" t="s">
        <v>0</v>
      </c>
      <c r="F204" t="s">
        <v>5</v>
      </c>
      <c r="H204" t="s">
        <v>0</v>
      </c>
      <c r="I204" t="s">
        <v>5</v>
      </c>
      <c r="K204" t="s">
        <v>0</v>
      </c>
      <c r="L204" t="s">
        <v>5</v>
      </c>
      <c r="N204" t="s">
        <v>0</v>
      </c>
      <c r="O204" t="s">
        <v>5</v>
      </c>
    </row>
    <row r="205" spans="1:16" x14ac:dyDescent="0.25">
      <c r="A205" s="3" t="s">
        <v>51</v>
      </c>
      <c r="B205">
        <v>3</v>
      </c>
      <c r="D205">
        <v>3</v>
      </c>
      <c r="E205">
        <v>62</v>
      </c>
      <c r="F205">
        <v>19</v>
      </c>
      <c r="G205">
        <v>81</v>
      </c>
      <c r="H205">
        <v>23</v>
      </c>
      <c r="I205">
        <v>10</v>
      </c>
      <c r="J205">
        <v>33</v>
      </c>
      <c r="K205">
        <v>11</v>
      </c>
      <c r="L205">
        <v>2</v>
      </c>
      <c r="M205">
        <v>13</v>
      </c>
      <c r="N205">
        <v>1</v>
      </c>
      <c r="P205">
        <v>1</v>
      </c>
    </row>
    <row r="206" spans="1:16" x14ac:dyDescent="0.25">
      <c r="A206" s="3" t="s">
        <v>9</v>
      </c>
      <c r="B206">
        <v>2</v>
      </c>
      <c r="C206">
        <v>1</v>
      </c>
      <c r="D206">
        <v>3</v>
      </c>
      <c r="E206">
        <v>72</v>
      </c>
      <c r="F206">
        <v>26</v>
      </c>
      <c r="G206">
        <v>98</v>
      </c>
      <c r="H206">
        <v>27</v>
      </c>
      <c r="I206">
        <v>3</v>
      </c>
      <c r="J206">
        <v>30</v>
      </c>
      <c r="K206">
        <v>16</v>
      </c>
      <c r="L206">
        <v>3</v>
      </c>
      <c r="M206">
        <v>19</v>
      </c>
      <c r="O206">
        <v>1</v>
      </c>
      <c r="P206">
        <v>1</v>
      </c>
    </row>
    <row r="207" spans="1:16" x14ac:dyDescent="0.25">
      <c r="A207" s="3" t="s">
        <v>130</v>
      </c>
      <c r="B207">
        <v>3</v>
      </c>
      <c r="D207">
        <v>3</v>
      </c>
      <c r="E207">
        <v>54</v>
      </c>
      <c r="F207">
        <v>5</v>
      </c>
      <c r="G207">
        <v>59</v>
      </c>
      <c r="H207">
        <v>11</v>
      </c>
      <c r="I207">
        <v>2</v>
      </c>
      <c r="J207">
        <v>13</v>
      </c>
      <c r="K207">
        <v>6</v>
      </c>
      <c r="L207">
        <v>5</v>
      </c>
      <c r="M207">
        <v>11</v>
      </c>
      <c r="N207">
        <v>3</v>
      </c>
      <c r="P207">
        <v>3</v>
      </c>
    </row>
    <row r="208" spans="1:16" x14ac:dyDescent="0.25">
      <c r="A208" s="3" t="s">
        <v>74</v>
      </c>
      <c r="B208">
        <v>3</v>
      </c>
      <c r="C208">
        <v>1</v>
      </c>
      <c r="D208">
        <v>4</v>
      </c>
      <c r="E208">
        <v>65</v>
      </c>
      <c r="F208">
        <v>15</v>
      </c>
      <c r="G208">
        <v>80</v>
      </c>
      <c r="H208">
        <v>23</v>
      </c>
      <c r="I208">
        <v>2</v>
      </c>
      <c r="J208">
        <v>25</v>
      </c>
      <c r="K208">
        <v>6</v>
      </c>
      <c r="L208">
        <v>1</v>
      </c>
      <c r="M208">
        <v>7</v>
      </c>
      <c r="N208">
        <v>2</v>
      </c>
      <c r="P208">
        <v>2</v>
      </c>
    </row>
    <row r="209" spans="1:16" x14ac:dyDescent="0.25">
      <c r="A209" s="3" t="s">
        <v>193</v>
      </c>
      <c r="B209">
        <v>4</v>
      </c>
      <c r="C209">
        <v>2</v>
      </c>
      <c r="D209">
        <v>6</v>
      </c>
      <c r="E209">
        <v>40</v>
      </c>
      <c r="F209">
        <v>12</v>
      </c>
      <c r="G209">
        <v>52</v>
      </c>
      <c r="H209">
        <v>17</v>
      </c>
      <c r="I209">
        <v>11</v>
      </c>
      <c r="J209">
        <v>28</v>
      </c>
      <c r="K209">
        <v>8</v>
      </c>
      <c r="L209">
        <v>2</v>
      </c>
      <c r="M209">
        <v>10</v>
      </c>
    </row>
    <row r="210" spans="1:16" x14ac:dyDescent="0.25">
      <c r="A210" s="3" t="s">
        <v>87</v>
      </c>
      <c r="B210">
        <v>3</v>
      </c>
      <c r="D210">
        <v>3</v>
      </c>
      <c r="E210">
        <v>58</v>
      </c>
      <c r="F210">
        <v>7</v>
      </c>
      <c r="G210">
        <v>65</v>
      </c>
      <c r="H210">
        <v>21</v>
      </c>
      <c r="I210">
        <v>1</v>
      </c>
      <c r="J210">
        <v>22</v>
      </c>
      <c r="K210">
        <v>9</v>
      </c>
      <c r="L210">
        <v>2</v>
      </c>
      <c r="M210">
        <v>11</v>
      </c>
    </row>
    <row r="211" spans="1:16" x14ac:dyDescent="0.25">
      <c r="A211" s="3" t="s">
        <v>26</v>
      </c>
      <c r="B211">
        <v>9</v>
      </c>
      <c r="C211">
        <v>3</v>
      </c>
      <c r="D211">
        <v>12</v>
      </c>
      <c r="E211">
        <v>125</v>
      </c>
      <c r="F211">
        <v>25</v>
      </c>
      <c r="G211">
        <v>150</v>
      </c>
      <c r="H211">
        <v>46</v>
      </c>
      <c r="I211">
        <v>4</v>
      </c>
      <c r="J211">
        <v>50</v>
      </c>
      <c r="K211">
        <v>33</v>
      </c>
      <c r="L211">
        <v>2</v>
      </c>
      <c r="M211">
        <v>35</v>
      </c>
      <c r="N211">
        <v>1</v>
      </c>
      <c r="P211">
        <v>1</v>
      </c>
    </row>
    <row r="212" spans="1:16" x14ac:dyDescent="0.25">
      <c r="A212" s="3" t="s">
        <v>40</v>
      </c>
      <c r="B212">
        <v>5</v>
      </c>
      <c r="C212">
        <v>2</v>
      </c>
      <c r="D212">
        <v>7</v>
      </c>
      <c r="E212">
        <v>74</v>
      </c>
      <c r="F212">
        <v>23</v>
      </c>
      <c r="G212">
        <v>97</v>
      </c>
      <c r="H212">
        <v>17</v>
      </c>
      <c r="I212">
        <v>7</v>
      </c>
      <c r="J212">
        <v>24</v>
      </c>
      <c r="K212">
        <v>14</v>
      </c>
      <c r="L212">
        <v>4</v>
      </c>
      <c r="M212">
        <v>18</v>
      </c>
    </row>
    <row r="213" spans="1:16" x14ac:dyDescent="0.25">
      <c r="A213" s="3" t="s">
        <v>199</v>
      </c>
      <c r="B213">
        <v>3</v>
      </c>
      <c r="C213">
        <v>2</v>
      </c>
      <c r="D213">
        <v>5</v>
      </c>
      <c r="E213">
        <v>90</v>
      </c>
      <c r="F213">
        <v>21</v>
      </c>
      <c r="G213">
        <v>111</v>
      </c>
      <c r="H213">
        <v>32</v>
      </c>
      <c r="I213">
        <v>9</v>
      </c>
      <c r="J213">
        <v>41</v>
      </c>
      <c r="K213">
        <v>14</v>
      </c>
      <c r="L213">
        <v>3</v>
      </c>
      <c r="M213">
        <v>17</v>
      </c>
    </row>
    <row r="214" spans="1:16" x14ac:dyDescent="0.25">
      <c r="A214" s="3" t="s">
        <v>101</v>
      </c>
      <c r="B214">
        <v>5</v>
      </c>
      <c r="C214">
        <v>2</v>
      </c>
      <c r="D214">
        <v>7</v>
      </c>
      <c r="E214">
        <v>93</v>
      </c>
      <c r="F214">
        <v>9</v>
      </c>
      <c r="G214">
        <v>102</v>
      </c>
      <c r="H214">
        <v>27</v>
      </c>
      <c r="I214">
        <v>3</v>
      </c>
      <c r="J214">
        <v>30</v>
      </c>
      <c r="K214">
        <v>12</v>
      </c>
      <c r="L214">
        <v>4</v>
      </c>
      <c r="M214">
        <v>16</v>
      </c>
    </row>
    <row r="217" spans="1:16" x14ac:dyDescent="0.25">
      <c r="A217" s="4" t="s">
        <v>3845</v>
      </c>
      <c r="B217" t="s">
        <v>299</v>
      </c>
      <c r="C217" t="s">
        <v>11</v>
      </c>
      <c r="D217" t="s">
        <v>53</v>
      </c>
      <c r="E217" t="s">
        <v>27</v>
      </c>
      <c r="F217" t="s">
        <v>567</v>
      </c>
    </row>
    <row r="218" spans="1:16" x14ac:dyDescent="0.25">
      <c r="A218" s="3" t="s">
        <v>51</v>
      </c>
      <c r="B218" s="10">
        <f>C205/D205</f>
        <v>0</v>
      </c>
      <c r="C218" s="10">
        <f>F205/G205</f>
        <v>0.23456790123456789</v>
      </c>
      <c r="D218" s="10">
        <f>I205/J205</f>
        <v>0.30303030303030304</v>
      </c>
      <c r="E218" s="10">
        <f>L205/M205</f>
        <v>0.15384615384615385</v>
      </c>
      <c r="F218" s="10">
        <f>O205/P205</f>
        <v>0</v>
      </c>
    </row>
    <row r="219" spans="1:16" x14ac:dyDescent="0.25">
      <c r="A219" s="3" t="s">
        <v>9</v>
      </c>
      <c r="B219" s="10">
        <f t="shared" ref="B219:B227" si="35">C206/D206</f>
        <v>0.33333333333333331</v>
      </c>
      <c r="C219" s="10">
        <f t="shared" ref="C219:C227" si="36">F206/G206</f>
        <v>0.26530612244897961</v>
      </c>
      <c r="D219" s="10">
        <f t="shared" ref="D219:D227" si="37">I206/J206</f>
        <v>0.1</v>
      </c>
      <c r="E219" s="10">
        <f t="shared" ref="E219:E227" si="38">L206/M206</f>
        <v>0.15789473684210525</v>
      </c>
      <c r="F219" s="10">
        <f t="shared" ref="F219:F224" si="39">O206/P206</f>
        <v>1</v>
      </c>
    </row>
    <row r="220" spans="1:16" x14ac:dyDescent="0.25">
      <c r="A220" s="3" t="s">
        <v>130</v>
      </c>
      <c r="B220" s="10">
        <f t="shared" si="35"/>
        <v>0</v>
      </c>
      <c r="C220" s="10">
        <f t="shared" si="36"/>
        <v>8.4745762711864403E-2</v>
      </c>
      <c r="D220" s="10">
        <f t="shared" si="37"/>
        <v>0.15384615384615385</v>
      </c>
      <c r="E220" s="10">
        <f t="shared" si="38"/>
        <v>0.45454545454545453</v>
      </c>
      <c r="F220" s="10">
        <f t="shared" si="39"/>
        <v>0</v>
      </c>
    </row>
    <row r="221" spans="1:16" x14ac:dyDescent="0.25">
      <c r="A221" s="3" t="s">
        <v>74</v>
      </c>
      <c r="B221" s="10">
        <f t="shared" si="35"/>
        <v>0.25</v>
      </c>
      <c r="C221" s="10">
        <f t="shared" si="36"/>
        <v>0.1875</v>
      </c>
      <c r="D221" s="10">
        <f t="shared" si="37"/>
        <v>0.08</v>
      </c>
      <c r="E221" s="10">
        <f t="shared" si="38"/>
        <v>0.14285714285714285</v>
      </c>
      <c r="F221" s="10">
        <f t="shared" si="39"/>
        <v>0</v>
      </c>
    </row>
    <row r="222" spans="1:16" x14ac:dyDescent="0.25">
      <c r="A222" s="3" t="s">
        <v>193</v>
      </c>
      <c r="B222" s="10">
        <f t="shared" si="35"/>
        <v>0.33333333333333331</v>
      </c>
      <c r="C222" s="10">
        <f t="shared" si="36"/>
        <v>0.23076923076923078</v>
      </c>
      <c r="D222" s="10">
        <f t="shared" si="37"/>
        <v>0.39285714285714285</v>
      </c>
      <c r="E222" s="10">
        <f t="shared" si="38"/>
        <v>0.2</v>
      </c>
      <c r="F222" s="10">
        <v>0</v>
      </c>
    </row>
    <row r="223" spans="1:16" x14ac:dyDescent="0.25">
      <c r="A223" s="3" t="s">
        <v>87</v>
      </c>
      <c r="B223" s="10">
        <f t="shared" si="35"/>
        <v>0</v>
      </c>
      <c r="C223" s="10">
        <f t="shared" si="36"/>
        <v>0.1076923076923077</v>
      </c>
      <c r="D223" s="10">
        <f t="shared" si="37"/>
        <v>4.5454545454545456E-2</v>
      </c>
      <c r="E223" s="10">
        <f t="shared" si="38"/>
        <v>0.18181818181818182</v>
      </c>
      <c r="F223" s="10">
        <v>0</v>
      </c>
    </row>
    <row r="224" spans="1:16" x14ac:dyDescent="0.25">
      <c r="A224" s="3" t="s">
        <v>26</v>
      </c>
      <c r="B224" s="10">
        <f t="shared" si="35"/>
        <v>0.25</v>
      </c>
      <c r="C224" s="10">
        <f t="shared" si="36"/>
        <v>0.16666666666666666</v>
      </c>
      <c r="D224" s="10">
        <f t="shared" si="37"/>
        <v>0.08</v>
      </c>
      <c r="E224" s="10">
        <f t="shared" si="38"/>
        <v>5.7142857142857141E-2</v>
      </c>
      <c r="F224" s="10">
        <f t="shared" si="39"/>
        <v>0</v>
      </c>
    </row>
    <row r="225" spans="1:16" x14ac:dyDescent="0.25">
      <c r="A225" s="3" t="s">
        <v>40</v>
      </c>
      <c r="B225" s="10">
        <f t="shared" si="35"/>
        <v>0.2857142857142857</v>
      </c>
      <c r="C225" s="10">
        <f t="shared" si="36"/>
        <v>0.23711340206185566</v>
      </c>
      <c r="D225" s="10">
        <f t="shared" si="37"/>
        <v>0.29166666666666669</v>
      </c>
      <c r="E225" s="10">
        <f t="shared" si="38"/>
        <v>0.22222222222222221</v>
      </c>
      <c r="F225" s="10">
        <v>0</v>
      </c>
    </row>
    <row r="226" spans="1:16" x14ac:dyDescent="0.25">
      <c r="A226" s="3" t="s">
        <v>199</v>
      </c>
      <c r="B226" s="10">
        <f t="shared" si="35"/>
        <v>0.4</v>
      </c>
      <c r="C226" s="10">
        <f t="shared" si="36"/>
        <v>0.1891891891891892</v>
      </c>
      <c r="D226" s="10">
        <f t="shared" si="37"/>
        <v>0.21951219512195122</v>
      </c>
      <c r="E226" s="10">
        <f t="shared" si="38"/>
        <v>0.17647058823529413</v>
      </c>
      <c r="F226" s="10">
        <v>0</v>
      </c>
    </row>
    <row r="227" spans="1:16" x14ac:dyDescent="0.25">
      <c r="A227" s="3" t="s">
        <v>101</v>
      </c>
      <c r="B227" s="10">
        <f t="shared" si="35"/>
        <v>0.2857142857142857</v>
      </c>
      <c r="C227" s="10">
        <f t="shared" si="36"/>
        <v>8.8235294117647065E-2</v>
      </c>
      <c r="D227" s="10">
        <f t="shared" si="37"/>
        <v>0.1</v>
      </c>
      <c r="E227" s="10">
        <f t="shared" si="38"/>
        <v>0.25</v>
      </c>
      <c r="F227" s="10">
        <v>0</v>
      </c>
    </row>
    <row r="231" spans="1:16" x14ac:dyDescent="0.25">
      <c r="A231" s="2" t="s">
        <v>3869</v>
      </c>
      <c r="B231" s="2" t="s">
        <v>3843</v>
      </c>
    </row>
    <row r="232" spans="1:16" x14ac:dyDescent="0.25">
      <c r="B232" t="s">
        <v>299</v>
      </c>
      <c r="D232" t="s">
        <v>3880</v>
      </c>
      <c r="E232" t="s">
        <v>11</v>
      </c>
      <c r="G232" t="s">
        <v>3881</v>
      </c>
      <c r="H232" t="s">
        <v>53</v>
      </c>
      <c r="J232" t="s">
        <v>3882</v>
      </c>
      <c r="K232" t="s">
        <v>27</v>
      </c>
      <c r="M232" t="s">
        <v>3883</v>
      </c>
      <c r="N232" t="s">
        <v>567</v>
      </c>
      <c r="P232" t="s">
        <v>3884</v>
      </c>
    </row>
    <row r="233" spans="1:16" x14ac:dyDescent="0.25">
      <c r="A233" s="2" t="s">
        <v>3845</v>
      </c>
      <c r="B233" t="s">
        <v>0</v>
      </c>
      <c r="C233" t="s">
        <v>5</v>
      </c>
      <c r="E233" t="s">
        <v>0</v>
      </c>
      <c r="F233" t="s">
        <v>5</v>
      </c>
      <c r="H233" t="s">
        <v>0</v>
      </c>
      <c r="I233" t="s">
        <v>5</v>
      </c>
      <c r="K233" t="s">
        <v>0</v>
      </c>
      <c r="L233" t="s">
        <v>5</v>
      </c>
      <c r="N233" t="s">
        <v>0</v>
      </c>
      <c r="O233" t="s">
        <v>5</v>
      </c>
    </row>
    <row r="234" spans="1:16" x14ac:dyDescent="0.25">
      <c r="A234" s="3" t="s">
        <v>51</v>
      </c>
      <c r="B234">
        <v>1</v>
      </c>
      <c r="C234">
        <v>2</v>
      </c>
      <c r="D234">
        <v>3</v>
      </c>
      <c r="E234">
        <v>35</v>
      </c>
      <c r="F234">
        <v>45</v>
      </c>
      <c r="G234">
        <v>80</v>
      </c>
      <c r="H234">
        <v>14</v>
      </c>
      <c r="I234">
        <v>20</v>
      </c>
      <c r="J234">
        <v>34</v>
      </c>
      <c r="K234">
        <v>8</v>
      </c>
      <c r="L234">
        <v>4</v>
      </c>
      <c r="M234">
        <v>12</v>
      </c>
      <c r="O234">
        <v>1</v>
      </c>
      <c r="P234">
        <v>1</v>
      </c>
    </row>
    <row r="235" spans="1:16" x14ac:dyDescent="0.25">
      <c r="A235" s="3" t="s">
        <v>9</v>
      </c>
      <c r="B235">
        <v>2</v>
      </c>
      <c r="C235">
        <v>1</v>
      </c>
      <c r="D235">
        <v>3</v>
      </c>
      <c r="E235">
        <v>44</v>
      </c>
      <c r="F235">
        <v>52</v>
      </c>
      <c r="G235">
        <v>96</v>
      </c>
      <c r="H235">
        <v>14</v>
      </c>
      <c r="I235">
        <v>16</v>
      </c>
      <c r="J235">
        <v>30</v>
      </c>
      <c r="K235">
        <v>9</v>
      </c>
      <c r="L235">
        <v>11</v>
      </c>
      <c r="M235">
        <v>20</v>
      </c>
      <c r="N235">
        <v>1</v>
      </c>
      <c r="P235">
        <v>1</v>
      </c>
    </row>
    <row r="236" spans="1:16" x14ac:dyDescent="0.25">
      <c r="A236" s="3" t="s">
        <v>130</v>
      </c>
      <c r="B236">
        <v>2</v>
      </c>
      <c r="C236">
        <v>1</v>
      </c>
      <c r="D236">
        <v>3</v>
      </c>
      <c r="E236">
        <v>10</v>
      </c>
      <c r="F236">
        <v>49</v>
      </c>
      <c r="G236">
        <v>59</v>
      </c>
      <c r="H236">
        <v>5</v>
      </c>
      <c r="I236">
        <v>8</v>
      </c>
      <c r="J236">
        <v>13</v>
      </c>
      <c r="K236">
        <v>1</v>
      </c>
      <c r="L236">
        <v>10</v>
      </c>
      <c r="M236">
        <v>11</v>
      </c>
      <c r="N236">
        <v>1</v>
      </c>
      <c r="O236">
        <v>2</v>
      </c>
      <c r="P236">
        <v>3</v>
      </c>
    </row>
    <row r="237" spans="1:16" x14ac:dyDescent="0.25">
      <c r="A237" s="3" t="s">
        <v>74</v>
      </c>
      <c r="B237">
        <v>2</v>
      </c>
      <c r="C237">
        <v>2</v>
      </c>
      <c r="D237">
        <v>4</v>
      </c>
      <c r="E237">
        <v>41</v>
      </c>
      <c r="F237">
        <v>37</v>
      </c>
      <c r="G237">
        <v>78</v>
      </c>
      <c r="H237">
        <v>12</v>
      </c>
      <c r="I237">
        <v>14</v>
      </c>
      <c r="J237">
        <v>26</v>
      </c>
      <c r="K237">
        <v>2</v>
      </c>
      <c r="L237">
        <v>5</v>
      </c>
      <c r="M237">
        <v>7</v>
      </c>
      <c r="N237">
        <v>1</v>
      </c>
      <c r="O237">
        <v>1</v>
      </c>
      <c r="P237">
        <v>2</v>
      </c>
    </row>
    <row r="238" spans="1:16" x14ac:dyDescent="0.25">
      <c r="A238" s="3" t="s">
        <v>193</v>
      </c>
      <c r="B238">
        <v>4</v>
      </c>
      <c r="C238">
        <v>2</v>
      </c>
      <c r="D238">
        <v>6</v>
      </c>
      <c r="E238">
        <v>25</v>
      </c>
      <c r="F238">
        <v>25</v>
      </c>
      <c r="G238">
        <v>50</v>
      </c>
      <c r="H238">
        <v>16</v>
      </c>
      <c r="I238">
        <v>12</v>
      </c>
      <c r="J238">
        <v>28</v>
      </c>
      <c r="K238">
        <v>5</v>
      </c>
      <c r="L238">
        <v>5</v>
      </c>
      <c r="M238">
        <v>10</v>
      </c>
    </row>
    <row r="239" spans="1:16" x14ac:dyDescent="0.25">
      <c r="A239" s="3" t="s">
        <v>87</v>
      </c>
      <c r="B239">
        <v>1</v>
      </c>
      <c r="C239">
        <v>2</v>
      </c>
      <c r="D239">
        <v>3</v>
      </c>
      <c r="E239">
        <v>16</v>
      </c>
      <c r="F239">
        <v>48</v>
      </c>
      <c r="G239">
        <v>64</v>
      </c>
      <c r="H239">
        <v>8</v>
      </c>
      <c r="I239">
        <v>13</v>
      </c>
      <c r="J239">
        <v>21</v>
      </c>
      <c r="K239">
        <v>2</v>
      </c>
      <c r="L239">
        <v>7</v>
      </c>
      <c r="M239">
        <v>9</v>
      </c>
    </row>
    <row r="240" spans="1:16" x14ac:dyDescent="0.25">
      <c r="A240" s="3" t="s">
        <v>26</v>
      </c>
      <c r="B240">
        <v>6</v>
      </c>
      <c r="C240">
        <v>6</v>
      </c>
      <c r="D240">
        <v>12</v>
      </c>
      <c r="E240">
        <v>33</v>
      </c>
      <c r="F240">
        <v>116</v>
      </c>
      <c r="G240">
        <v>149</v>
      </c>
      <c r="H240">
        <v>12</v>
      </c>
      <c r="I240">
        <v>38</v>
      </c>
      <c r="J240">
        <v>50</v>
      </c>
      <c r="K240">
        <v>9</v>
      </c>
      <c r="L240">
        <v>27</v>
      </c>
      <c r="M240">
        <v>36</v>
      </c>
      <c r="N240">
        <v>1</v>
      </c>
      <c r="P240">
        <v>1</v>
      </c>
    </row>
    <row r="241" spans="1:13" x14ac:dyDescent="0.25">
      <c r="A241" s="3" t="s">
        <v>40</v>
      </c>
      <c r="B241">
        <v>3</v>
      </c>
      <c r="C241">
        <v>4</v>
      </c>
      <c r="D241">
        <v>7</v>
      </c>
      <c r="E241">
        <v>49</v>
      </c>
      <c r="F241">
        <v>48</v>
      </c>
      <c r="G241">
        <v>97</v>
      </c>
      <c r="H241">
        <v>13</v>
      </c>
      <c r="I241">
        <v>11</v>
      </c>
      <c r="J241">
        <v>24</v>
      </c>
      <c r="K241">
        <v>5</v>
      </c>
      <c r="L241">
        <v>13</v>
      </c>
      <c r="M241">
        <v>18</v>
      </c>
    </row>
    <row r="242" spans="1:13" x14ac:dyDescent="0.25">
      <c r="A242" s="3" t="s">
        <v>199</v>
      </c>
      <c r="B242">
        <v>4</v>
      </c>
      <c r="C242">
        <v>1</v>
      </c>
      <c r="D242">
        <v>5</v>
      </c>
      <c r="E242">
        <v>34</v>
      </c>
      <c r="F242">
        <v>77</v>
      </c>
      <c r="G242">
        <v>111</v>
      </c>
      <c r="H242">
        <v>21</v>
      </c>
      <c r="I242">
        <v>20</v>
      </c>
      <c r="J242">
        <v>41</v>
      </c>
      <c r="K242">
        <v>5</v>
      </c>
      <c r="L242">
        <v>12</v>
      </c>
      <c r="M242">
        <v>17</v>
      </c>
    </row>
    <row r="243" spans="1:13" x14ac:dyDescent="0.25">
      <c r="A243" s="3" t="s">
        <v>101</v>
      </c>
      <c r="B243">
        <v>3</v>
      </c>
      <c r="C243">
        <v>4</v>
      </c>
      <c r="D243">
        <v>7</v>
      </c>
      <c r="E243">
        <v>28</v>
      </c>
      <c r="F243">
        <v>72</v>
      </c>
      <c r="G243">
        <v>100</v>
      </c>
      <c r="H243">
        <v>8</v>
      </c>
      <c r="I243">
        <v>22</v>
      </c>
      <c r="J243">
        <v>30</v>
      </c>
      <c r="K243">
        <v>3</v>
      </c>
      <c r="L243">
        <v>13</v>
      </c>
      <c r="M243">
        <v>16</v>
      </c>
    </row>
    <row r="246" spans="1:13" x14ac:dyDescent="0.25">
      <c r="A246" s="4" t="s">
        <v>3845</v>
      </c>
      <c r="B246" t="s">
        <v>299</v>
      </c>
      <c r="C246" t="s">
        <v>11</v>
      </c>
      <c r="D246" t="s">
        <v>53</v>
      </c>
      <c r="E246" t="s">
        <v>3885</v>
      </c>
      <c r="F246" t="s">
        <v>567</v>
      </c>
    </row>
    <row r="247" spans="1:13" x14ac:dyDescent="0.25">
      <c r="A247" s="3" t="s">
        <v>51</v>
      </c>
      <c r="B247" s="10">
        <f>C234/D234</f>
        <v>0.66666666666666663</v>
      </c>
      <c r="C247" s="10">
        <f>F234/G234</f>
        <v>0.5625</v>
      </c>
      <c r="D247" s="10">
        <f>I234/J234</f>
        <v>0.58823529411764708</v>
      </c>
      <c r="E247" s="10">
        <f>L234/M234</f>
        <v>0.33333333333333331</v>
      </c>
      <c r="F247" s="10">
        <f>O234/P234</f>
        <v>1</v>
      </c>
    </row>
    <row r="248" spans="1:13" x14ac:dyDescent="0.25">
      <c r="A248" s="3" t="s">
        <v>9</v>
      </c>
      <c r="B248" s="10">
        <f t="shared" ref="B248:B256" si="40">C235/D235</f>
        <v>0.33333333333333331</v>
      </c>
      <c r="C248" s="10">
        <f t="shared" ref="C248:C256" si="41">F235/G235</f>
        <v>0.54166666666666663</v>
      </c>
      <c r="D248" s="10">
        <f t="shared" ref="D248:D256" si="42">I235/J235</f>
        <v>0.53333333333333333</v>
      </c>
      <c r="E248" s="10">
        <f t="shared" ref="E248:E256" si="43">L235/M235</f>
        <v>0.55000000000000004</v>
      </c>
      <c r="F248" s="10">
        <f t="shared" ref="F248:F253" si="44">O235/P235</f>
        <v>0</v>
      </c>
    </row>
    <row r="249" spans="1:13" x14ac:dyDescent="0.25">
      <c r="A249" s="3" t="s">
        <v>130</v>
      </c>
      <c r="B249" s="10">
        <f t="shared" si="40"/>
        <v>0.33333333333333331</v>
      </c>
      <c r="C249" s="10">
        <f t="shared" si="41"/>
        <v>0.83050847457627119</v>
      </c>
      <c r="D249" s="10">
        <f t="shared" si="42"/>
        <v>0.61538461538461542</v>
      </c>
      <c r="E249" s="10">
        <f t="shared" si="43"/>
        <v>0.90909090909090906</v>
      </c>
      <c r="F249" s="10">
        <f t="shared" si="44"/>
        <v>0.66666666666666663</v>
      </c>
    </row>
    <row r="250" spans="1:13" x14ac:dyDescent="0.25">
      <c r="A250" s="3" t="s">
        <v>74</v>
      </c>
      <c r="B250" s="10">
        <f>C237/D237</f>
        <v>0.5</v>
      </c>
      <c r="C250" s="10">
        <f t="shared" si="41"/>
        <v>0.47435897435897434</v>
      </c>
      <c r="D250" s="10">
        <f t="shared" si="42"/>
        <v>0.53846153846153844</v>
      </c>
      <c r="E250" s="10">
        <f t="shared" si="43"/>
        <v>0.7142857142857143</v>
      </c>
      <c r="F250" s="10">
        <f t="shared" si="44"/>
        <v>0.5</v>
      </c>
    </row>
    <row r="251" spans="1:13" x14ac:dyDescent="0.25">
      <c r="A251" s="3" t="s">
        <v>193</v>
      </c>
      <c r="B251" s="10">
        <f t="shared" si="40"/>
        <v>0.33333333333333331</v>
      </c>
      <c r="C251" s="10">
        <f t="shared" si="41"/>
        <v>0.5</v>
      </c>
      <c r="D251" s="10">
        <f t="shared" si="42"/>
        <v>0.42857142857142855</v>
      </c>
      <c r="E251" s="10">
        <f t="shared" si="43"/>
        <v>0.5</v>
      </c>
      <c r="F251" s="10">
        <v>0</v>
      </c>
    </row>
    <row r="252" spans="1:13" x14ac:dyDescent="0.25">
      <c r="A252" s="3" t="s">
        <v>87</v>
      </c>
      <c r="B252" s="10">
        <f t="shared" si="40"/>
        <v>0.66666666666666663</v>
      </c>
      <c r="C252" s="10">
        <f t="shared" si="41"/>
        <v>0.75</v>
      </c>
      <c r="D252" s="10">
        <f t="shared" si="42"/>
        <v>0.61904761904761907</v>
      </c>
      <c r="E252" s="10">
        <f t="shared" si="43"/>
        <v>0.77777777777777779</v>
      </c>
      <c r="F252" s="10">
        <v>0</v>
      </c>
    </row>
    <row r="253" spans="1:13" x14ac:dyDescent="0.25">
      <c r="A253" s="3" t="s">
        <v>26</v>
      </c>
      <c r="B253" s="10">
        <f t="shared" si="40"/>
        <v>0.5</v>
      </c>
      <c r="C253" s="10">
        <f t="shared" si="41"/>
        <v>0.77852348993288589</v>
      </c>
      <c r="D253" s="10">
        <f t="shared" si="42"/>
        <v>0.76</v>
      </c>
      <c r="E253" s="10">
        <f t="shared" si="43"/>
        <v>0.75</v>
      </c>
      <c r="F253" s="10">
        <f t="shared" si="44"/>
        <v>0</v>
      </c>
    </row>
    <row r="254" spans="1:13" x14ac:dyDescent="0.25">
      <c r="A254" s="3" t="s">
        <v>40</v>
      </c>
      <c r="B254" s="10">
        <f t="shared" si="40"/>
        <v>0.5714285714285714</v>
      </c>
      <c r="C254" s="10">
        <f t="shared" si="41"/>
        <v>0.49484536082474229</v>
      </c>
      <c r="D254" s="10">
        <f t="shared" si="42"/>
        <v>0.45833333333333331</v>
      </c>
      <c r="E254" s="10">
        <f t="shared" si="43"/>
        <v>0.72222222222222221</v>
      </c>
      <c r="F254" s="10">
        <v>0</v>
      </c>
    </row>
    <row r="255" spans="1:13" x14ac:dyDescent="0.25">
      <c r="A255" s="3" t="s">
        <v>199</v>
      </c>
      <c r="B255" s="10">
        <f t="shared" si="40"/>
        <v>0.2</v>
      </c>
      <c r="C255" s="10">
        <f t="shared" si="41"/>
        <v>0.69369369369369371</v>
      </c>
      <c r="D255" s="10">
        <f t="shared" si="42"/>
        <v>0.48780487804878048</v>
      </c>
      <c r="E255" s="10">
        <f t="shared" si="43"/>
        <v>0.70588235294117652</v>
      </c>
      <c r="F255" s="10">
        <v>0</v>
      </c>
    </row>
    <row r="256" spans="1:13" x14ac:dyDescent="0.25">
      <c r="A256" s="3" t="s">
        <v>101</v>
      </c>
      <c r="B256" s="10">
        <f t="shared" si="40"/>
        <v>0.5714285714285714</v>
      </c>
      <c r="C256" s="10">
        <f t="shared" si="41"/>
        <v>0.72</v>
      </c>
      <c r="D256" s="10">
        <f t="shared" si="42"/>
        <v>0.73333333333333328</v>
      </c>
      <c r="E256" s="10">
        <f t="shared" si="43"/>
        <v>0.8125</v>
      </c>
      <c r="F256" s="10">
        <v>0</v>
      </c>
    </row>
    <row r="257" spans="1:6" x14ac:dyDescent="0.25">
      <c r="A257" s="3" t="s">
        <v>3887</v>
      </c>
      <c r="B257" s="11">
        <f>AVERAGE(B247:B256)</f>
        <v>0.46761904761904755</v>
      </c>
      <c r="C257" s="11">
        <f>AVERAGE(C247:C256)</f>
        <v>0.63460966600532331</v>
      </c>
      <c r="D257" s="11">
        <f>AVERAGE(D247:D256)</f>
        <v>0.5762505373631629</v>
      </c>
      <c r="E257" s="11">
        <f>AVERAGE(E247:E256)</f>
        <v>0.6775092309651134</v>
      </c>
      <c r="F257" s="11">
        <f>AVERAGE(F247:F256)</f>
        <v>0.21666666666666665</v>
      </c>
    </row>
    <row r="258" spans="1:6" x14ac:dyDescent="0.25">
      <c r="E258" t="s">
        <v>3886</v>
      </c>
    </row>
    <row r="261" spans="1:6" x14ac:dyDescent="0.25">
      <c r="A261" s="2" t="s">
        <v>3844</v>
      </c>
      <c r="B261" s="2" t="s">
        <v>3843</v>
      </c>
    </row>
    <row r="262" spans="1:6" x14ac:dyDescent="0.25">
      <c r="A262" s="2" t="s">
        <v>3845</v>
      </c>
      <c r="B262" t="s">
        <v>28</v>
      </c>
      <c r="C262" t="s">
        <v>15</v>
      </c>
    </row>
    <row r="263" spans="1:6" x14ac:dyDescent="0.25">
      <c r="A263" s="3" t="s">
        <v>51</v>
      </c>
      <c r="B263">
        <v>68</v>
      </c>
      <c r="C263">
        <v>61</v>
      </c>
    </row>
    <row r="264" spans="1:6" x14ac:dyDescent="0.25">
      <c r="A264" s="3" t="s">
        <v>9</v>
      </c>
      <c r="B264">
        <v>72</v>
      </c>
      <c r="C264">
        <v>75</v>
      </c>
    </row>
    <row r="265" spans="1:6" x14ac:dyDescent="0.25">
      <c r="A265" s="3" t="s">
        <v>130</v>
      </c>
      <c r="B265">
        <v>35</v>
      </c>
      <c r="C265">
        <v>49</v>
      </c>
    </row>
    <row r="266" spans="1:6" x14ac:dyDescent="0.25">
      <c r="A266" s="3" t="s">
        <v>74</v>
      </c>
      <c r="B266">
        <v>53</v>
      </c>
      <c r="C266">
        <v>62</v>
      </c>
    </row>
    <row r="267" spans="1:6" x14ac:dyDescent="0.25">
      <c r="A267" s="3" t="s">
        <v>193</v>
      </c>
      <c r="B267">
        <v>54</v>
      </c>
      <c r="C267">
        <v>41</v>
      </c>
    </row>
    <row r="268" spans="1:6" x14ac:dyDescent="0.25">
      <c r="A268" s="3" t="s">
        <v>87</v>
      </c>
      <c r="B268">
        <v>55</v>
      </c>
      <c r="C268">
        <v>41</v>
      </c>
    </row>
    <row r="269" spans="1:6" x14ac:dyDescent="0.25">
      <c r="A269" s="3" t="s">
        <v>26</v>
      </c>
      <c r="B269">
        <v>109</v>
      </c>
      <c r="C269">
        <v>131</v>
      </c>
    </row>
    <row r="270" spans="1:6" x14ac:dyDescent="0.25">
      <c r="A270" s="3" t="s">
        <v>40</v>
      </c>
      <c r="B270">
        <v>74</v>
      </c>
      <c r="C270">
        <v>70</v>
      </c>
    </row>
    <row r="271" spans="1:6" x14ac:dyDescent="0.25">
      <c r="A271" s="3" t="s">
        <v>199</v>
      </c>
      <c r="B271">
        <v>95</v>
      </c>
      <c r="C271">
        <v>71</v>
      </c>
    </row>
    <row r="272" spans="1:6" x14ac:dyDescent="0.25">
      <c r="A272" s="3" t="s">
        <v>101</v>
      </c>
      <c r="B272">
        <v>82</v>
      </c>
      <c r="C272">
        <v>68</v>
      </c>
    </row>
    <row r="277" spans="1:19" x14ac:dyDescent="0.25">
      <c r="A277" s="2" t="s">
        <v>3846</v>
      </c>
      <c r="B277" s="2" t="s">
        <v>3843</v>
      </c>
      <c r="M277" s="2" t="s">
        <v>3848</v>
      </c>
      <c r="N277" s="2" t="s">
        <v>3843</v>
      </c>
    </row>
    <row r="278" spans="1:19" x14ac:dyDescent="0.25">
      <c r="B278" t="s">
        <v>28</v>
      </c>
      <c r="D278" t="s">
        <v>3888</v>
      </c>
      <c r="E278" t="s">
        <v>15</v>
      </c>
      <c r="G278" t="s">
        <v>3889</v>
      </c>
      <c r="N278" t="s">
        <v>28</v>
      </c>
      <c r="P278" t="s">
        <v>3888</v>
      </c>
      <c r="Q278" t="s">
        <v>15</v>
      </c>
      <c r="S278" t="s">
        <v>3889</v>
      </c>
    </row>
    <row r="279" spans="1:19" x14ac:dyDescent="0.25">
      <c r="A279" s="2" t="s">
        <v>3845</v>
      </c>
      <c r="B279" t="s">
        <v>0</v>
      </c>
      <c r="C279" t="s">
        <v>5</v>
      </c>
      <c r="E279" t="s">
        <v>0</v>
      </c>
      <c r="F279" t="s">
        <v>5</v>
      </c>
      <c r="M279" s="2" t="s">
        <v>3845</v>
      </c>
      <c r="N279" t="s">
        <v>0</v>
      </c>
      <c r="O279" t="s">
        <v>5</v>
      </c>
      <c r="Q279" t="s">
        <v>0</v>
      </c>
      <c r="R279" t="s">
        <v>5</v>
      </c>
    </row>
    <row r="280" spans="1:19" x14ac:dyDescent="0.25">
      <c r="A280" s="3" t="s">
        <v>51</v>
      </c>
      <c r="B280">
        <v>30</v>
      </c>
      <c r="C280">
        <v>36</v>
      </c>
      <c r="D280">
        <v>66</v>
      </c>
      <c r="E280">
        <v>33</v>
      </c>
      <c r="F280">
        <v>27</v>
      </c>
      <c r="G280">
        <v>60</v>
      </c>
      <c r="M280" s="3" t="s">
        <v>51</v>
      </c>
      <c r="N280">
        <v>46</v>
      </c>
      <c r="O280">
        <v>22</v>
      </c>
      <c r="P280">
        <v>68</v>
      </c>
      <c r="Q280">
        <v>51</v>
      </c>
      <c r="R280">
        <v>9</v>
      </c>
      <c r="S280">
        <v>60</v>
      </c>
    </row>
    <row r="281" spans="1:19" x14ac:dyDescent="0.25">
      <c r="A281" s="3" t="s">
        <v>9</v>
      </c>
      <c r="B281">
        <v>43</v>
      </c>
      <c r="C281">
        <v>29</v>
      </c>
      <c r="D281">
        <v>72</v>
      </c>
      <c r="E281">
        <v>37</v>
      </c>
      <c r="F281">
        <v>38</v>
      </c>
      <c r="G281">
        <v>75</v>
      </c>
      <c r="M281" s="3" t="s">
        <v>9</v>
      </c>
      <c r="N281">
        <v>51</v>
      </c>
      <c r="O281">
        <v>20</v>
      </c>
      <c r="P281">
        <v>71</v>
      </c>
      <c r="Q281">
        <v>62</v>
      </c>
      <c r="R281">
        <v>13</v>
      </c>
      <c r="S281">
        <v>75</v>
      </c>
    </row>
    <row r="282" spans="1:19" x14ac:dyDescent="0.25">
      <c r="A282" s="3" t="s">
        <v>130</v>
      </c>
      <c r="B282">
        <v>8</v>
      </c>
      <c r="C282">
        <v>27</v>
      </c>
      <c r="D282">
        <v>35</v>
      </c>
      <c r="E282">
        <v>13</v>
      </c>
      <c r="F282">
        <v>36</v>
      </c>
      <c r="G282">
        <v>49</v>
      </c>
      <c r="M282" s="3" t="s">
        <v>130</v>
      </c>
      <c r="N282">
        <v>32</v>
      </c>
      <c r="O282">
        <v>3</v>
      </c>
      <c r="P282">
        <v>35</v>
      </c>
      <c r="Q282">
        <v>40</v>
      </c>
      <c r="R282">
        <v>9</v>
      </c>
      <c r="S282">
        <v>49</v>
      </c>
    </row>
    <row r="283" spans="1:19" x14ac:dyDescent="0.25">
      <c r="A283" s="3" t="s">
        <v>74</v>
      </c>
      <c r="B283">
        <v>28</v>
      </c>
      <c r="C283">
        <v>25</v>
      </c>
      <c r="D283">
        <v>53</v>
      </c>
      <c r="E283">
        <v>20</v>
      </c>
      <c r="F283">
        <v>42</v>
      </c>
      <c r="G283">
        <v>62</v>
      </c>
      <c r="M283" s="3" t="s">
        <v>74</v>
      </c>
      <c r="N283">
        <v>45</v>
      </c>
      <c r="O283">
        <v>8</v>
      </c>
      <c r="P283">
        <v>53</v>
      </c>
      <c r="Q283">
        <v>50</v>
      </c>
      <c r="R283">
        <v>11</v>
      </c>
      <c r="S283">
        <v>61</v>
      </c>
    </row>
    <row r="284" spans="1:19" x14ac:dyDescent="0.25">
      <c r="A284" s="3" t="s">
        <v>193</v>
      </c>
      <c r="B284">
        <v>39</v>
      </c>
      <c r="C284">
        <v>15</v>
      </c>
      <c r="D284">
        <v>54</v>
      </c>
      <c r="E284">
        <v>25</v>
      </c>
      <c r="F284">
        <v>16</v>
      </c>
      <c r="G284">
        <v>41</v>
      </c>
      <c r="M284" s="3" t="s">
        <v>193</v>
      </c>
      <c r="N284">
        <v>38</v>
      </c>
      <c r="O284">
        <v>16</v>
      </c>
      <c r="P284">
        <v>54</v>
      </c>
      <c r="Q284">
        <v>30</v>
      </c>
      <c r="R284">
        <v>11</v>
      </c>
      <c r="S284">
        <v>41</v>
      </c>
    </row>
    <row r="285" spans="1:19" x14ac:dyDescent="0.25">
      <c r="A285" s="3" t="s">
        <v>87</v>
      </c>
      <c r="B285">
        <v>10</v>
      </c>
      <c r="C285">
        <v>45</v>
      </c>
      <c r="D285">
        <v>55</v>
      </c>
      <c r="E285">
        <v>10</v>
      </c>
      <c r="F285">
        <v>31</v>
      </c>
      <c r="G285">
        <v>41</v>
      </c>
      <c r="M285" s="3" t="s">
        <v>87</v>
      </c>
      <c r="N285">
        <v>53</v>
      </c>
      <c r="O285">
        <v>2</v>
      </c>
      <c r="P285">
        <v>55</v>
      </c>
      <c r="Q285">
        <v>33</v>
      </c>
      <c r="R285">
        <v>8</v>
      </c>
      <c r="S285">
        <v>41</v>
      </c>
    </row>
    <row r="286" spans="1:19" x14ac:dyDescent="0.25">
      <c r="A286" s="3" t="s">
        <v>26</v>
      </c>
      <c r="B286">
        <v>28</v>
      </c>
      <c r="C286">
        <v>80</v>
      </c>
      <c r="D286">
        <v>108</v>
      </c>
      <c r="E286">
        <v>22</v>
      </c>
      <c r="F286">
        <v>109</v>
      </c>
      <c r="G286">
        <v>131</v>
      </c>
      <c r="M286" s="3" t="s">
        <v>26</v>
      </c>
      <c r="N286">
        <v>98</v>
      </c>
      <c r="O286">
        <v>10</v>
      </c>
      <c r="P286">
        <v>108</v>
      </c>
      <c r="Q286">
        <v>109</v>
      </c>
      <c r="R286">
        <v>22</v>
      </c>
      <c r="S286">
        <v>131</v>
      </c>
    </row>
    <row r="287" spans="1:19" x14ac:dyDescent="0.25">
      <c r="A287" s="3" t="s">
        <v>40</v>
      </c>
      <c r="B287">
        <v>37</v>
      </c>
      <c r="C287">
        <v>37</v>
      </c>
      <c r="D287">
        <v>74</v>
      </c>
      <c r="E287">
        <v>42</v>
      </c>
      <c r="F287">
        <v>27</v>
      </c>
      <c r="G287">
        <v>69</v>
      </c>
      <c r="M287" s="3" t="s">
        <v>40</v>
      </c>
      <c r="N287">
        <v>58</v>
      </c>
      <c r="O287">
        <v>16</v>
      </c>
      <c r="P287">
        <v>74</v>
      </c>
      <c r="Q287">
        <v>51</v>
      </c>
      <c r="R287">
        <v>19</v>
      </c>
      <c r="S287">
        <v>70</v>
      </c>
    </row>
    <row r="288" spans="1:19" x14ac:dyDescent="0.25">
      <c r="A288" s="3" t="s">
        <v>199</v>
      </c>
      <c r="B288">
        <v>23</v>
      </c>
      <c r="C288">
        <v>70</v>
      </c>
      <c r="D288">
        <v>93</v>
      </c>
      <c r="E288">
        <v>16</v>
      </c>
      <c r="F288">
        <v>55</v>
      </c>
      <c r="G288">
        <v>71</v>
      </c>
      <c r="M288" s="3" t="s">
        <v>199</v>
      </c>
      <c r="N288">
        <v>74</v>
      </c>
      <c r="O288">
        <v>21</v>
      </c>
      <c r="P288">
        <v>95</v>
      </c>
      <c r="Q288">
        <v>58</v>
      </c>
      <c r="R288">
        <v>13</v>
      </c>
      <c r="S288">
        <v>71</v>
      </c>
    </row>
    <row r="289" spans="1:19" x14ac:dyDescent="0.25">
      <c r="A289" s="3" t="s">
        <v>101</v>
      </c>
      <c r="B289">
        <v>14</v>
      </c>
      <c r="C289">
        <v>68</v>
      </c>
      <c r="D289">
        <v>82</v>
      </c>
      <c r="E289">
        <v>16</v>
      </c>
      <c r="F289">
        <v>51</v>
      </c>
      <c r="G289">
        <v>67</v>
      </c>
      <c r="M289" s="3" t="s">
        <v>101</v>
      </c>
      <c r="N289">
        <v>71</v>
      </c>
      <c r="O289">
        <v>11</v>
      </c>
      <c r="P289">
        <v>82</v>
      </c>
      <c r="Q289">
        <v>61</v>
      </c>
      <c r="R289">
        <v>7</v>
      </c>
      <c r="S289">
        <v>68</v>
      </c>
    </row>
    <row r="292" spans="1:19" x14ac:dyDescent="0.25">
      <c r="A292" s="4" t="s">
        <v>3845</v>
      </c>
      <c r="B292" t="s">
        <v>28</v>
      </c>
      <c r="C292" t="s">
        <v>15</v>
      </c>
      <c r="M292" s="4" t="s">
        <v>3845</v>
      </c>
      <c r="N292" t="s">
        <v>28</v>
      </c>
      <c r="O292" t="s">
        <v>15</v>
      </c>
    </row>
    <row r="293" spans="1:19" x14ac:dyDescent="0.25">
      <c r="A293" s="3" t="s">
        <v>51</v>
      </c>
      <c r="B293" s="10">
        <f>C280/D280</f>
        <v>0.54545454545454541</v>
      </c>
      <c r="C293" s="10">
        <f>F280/G280</f>
        <v>0.45</v>
      </c>
      <c r="M293" s="3" t="s">
        <v>51</v>
      </c>
      <c r="N293" s="10">
        <f>O280/P280</f>
        <v>0.3235294117647059</v>
      </c>
      <c r="O293" s="10">
        <f>R280/S280</f>
        <v>0.15</v>
      </c>
    </row>
    <row r="294" spans="1:19" x14ac:dyDescent="0.25">
      <c r="A294" s="3" t="s">
        <v>9</v>
      </c>
      <c r="B294" s="10">
        <f t="shared" ref="B294:B302" si="45">C281/D281</f>
        <v>0.40277777777777779</v>
      </c>
      <c r="C294" s="10">
        <f t="shared" ref="C294:C302" si="46">F281/G281</f>
        <v>0.50666666666666671</v>
      </c>
      <c r="M294" s="3" t="s">
        <v>9</v>
      </c>
      <c r="N294" s="10">
        <f t="shared" ref="N294:N302" si="47">O281/P281</f>
        <v>0.28169014084507044</v>
      </c>
      <c r="O294" s="10">
        <f t="shared" ref="O294:O302" si="48">R281/S281</f>
        <v>0.17333333333333334</v>
      </c>
    </row>
    <row r="295" spans="1:19" x14ac:dyDescent="0.25">
      <c r="A295" s="3" t="s">
        <v>130</v>
      </c>
      <c r="B295" s="10">
        <f t="shared" si="45"/>
        <v>0.77142857142857146</v>
      </c>
      <c r="C295" s="10">
        <f t="shared" si="46"/>
        <v>0.73469387755102045</v>
      </c>
      <c r="M295" s="3" t="s">
        <v>130</v>
      </c>
      <c r="N295" s="10">
        <f t="shared" si="47"/>
        <v>8.5714285714285715E-2</v>
      </c>
      <c r="O295" s="10">
        <f t="shared" si="48"/>
        <v>0.18367346938775511</v>
      </c>
    </row>
    <row r="296" spans="1:19" x14ac:dyDescent="0.25">
      <c r="A296" s="3" t="s">
        <v>74</v>
      </c>
      <c r="B296" s="10">
        <f t="shared" si="45"/>
        <v>0.47169811320754718</v>
      </c>
      <c r="C296" s="10">
        <f t="shared" si="46"/>
        <v>0.67741935483870963</v>
      </c>
      <c r="M296" s="3" t="s">
        <v>74</v>
      </c>
      <c r="N296" s="10">
        <f t="shared" si="47"/>
        <v>0.15094339622641509</v>
      </c>
      <c r="O296" s="10">
        <f t="shared" si="48"/>
        <v>0.18032786885245902</v>
      </c>
    </row>
    <row r="297" spans="1:19" x14ac:dyDescent="0.25">
      <c r="A297" s="3" t="s">
        <v>193</v>
      </c>
      <c r="B297" s="10">
        <f t="shared" si="45"/>
        <v>0.27777777777777779</v>
      </c>
      <c r="C297" s="10">
        <f t="shared" si="46"/>
        <v>0.3902439024390244</v>
      </c>
      <c r="M297" s="3" t="s">
        <v>193</v>
      </c>
      <c r="N297" s="10">
        <f t="shared" si="47"/>
        <v>0.29629629629629628</v>
      </c>
      <c r="O297" s="10">
        <f t="shared" si="48"/>
        <v>0.26829268292682928</v>
      </c>
    </row>
    <row r="298" spans="1:19" x14ac:dyDescent="0.25">
      <c r="A298" s="3" t="s">
        <v>87</v>
      </c>
      <c r="B298" s="10">
        <f t="shared" si="45"/>
        <v>0.81818181818181823</v>
      </c>
      <c r="C298" s="10">
        <f t="shared" si="46"/>
        <v>0.75609756097560976</v>
      </c>
      <c r="M298" s="3" t="s">
        <v>87</v>
      </c>
      <c r="N298" s="10">
        <f t="shared" si="47"/>
        <v>3.6363636363636362E-2</v>
      </c>
      <c r="O298" s="10">
        <f t="shared" si="48"/>
        <v>0.1951219512195122</v>
      </c>
    </row>
    <row r="299" spans="1:19" x14ac:dyDescent="0.25">
      <c r="A299" s="3" t="s">
        <v>26</v>
      </c>
      <c r="B299" s="10">
        <f t="shared" si="45"/>
        <v>0.7407407407407407</v>
      </c>
      <c r="C299" s="10">
        <f t="shared" si="46"/>
        <v>0.83206106870229013</v>
      </c>
      <c r="M299" s="3" t="s">
        <v>26</v>
      </c>
      <c r="N299" s="10">
        <f t="shared" si="47"/>
        <v>9.2592592592592587E-2</v>
      </c>
      <c r="O299" s="10">
        <f t="shared" si="48"/>
        <v>0.16793893129770993</v>
      </c>
    </row>
    <row r="300" spans="1:19" x14ac:dyDescent="0.25">
      <c r="A300" s="3" t="s">
        <v>40</v>
      </c>
      <c r="B300" s="10">
        <f t="shared" si="45"/>
        <v>0.5</v>
      </c>
      <c r="C300" s="10">
        <f t="shared" si="46"/>
        <v>0.39130434782608697</v>
      </c>
      <c r="M300" s="3" t="s">
        <v>40</v>
      </c>
      <c r="N300" s="10">
        <f t="shared" si="47"/>
        <v>0.21621621621621623</v>
      </c>
      <c r="O300" s="10">
        <f t="shared" si="48"/>
        <v>0.27142857142857141</v>
      </c>
    </row>
    <row r="301" spans="1:19" x14ac:dyDescent="0.25">
      <c r="A301" s="3" t="s">
        <v>199</v>
      </c>
      <c r="B301" s="10">
        <f t="shared" si="45"/>
        <v>0.75268817204301075</v>
      </c>
      <c r="C301" s="10">
        <f t="shared" si="46"/>
        <v>0.77464788732394363</v>
      </c>
      <c r="M301" s="3" t="s">
        <v>199</v>
      </c>
      <c r="N301" s="10">
        <f t="shared" si="47"/>
        <v>0.22105263157894736</v>
      </c>
      <c r="O301" s="10">
        <f t="shared" si="48"/>
        <v>0.18309859154929578</v>
      </c>
    </row>
    <row r="302" spans="1:19" x14ac:dyDescent="0.25">
      <c r="A302" s="3" t="s">
        <v>101</v>
      </c>
      <c r="B302" s="10">
        <f t="shared" si="45"/>
        <v>0.82926829268292679</v>
      </c>
      <c r="C302" s="10">
        <f t="shared" si="46"/>
        <v>0.76119402985074625</v>
      </c>
      <c r="M302" s="3" t="s">
        <v>101</v>
      </c>
      <c r="N302" s="10">
        <f t="shared" si="47"/>
        <v>0.13414634146341464</v>
      </c>
      <c r="O302" s="10">
        <f t="shared" si="48"/>
        <v>0.10294117647058823</v>
      </c>
    </row>
    <row r="303" spans="1:19" x14ac:dyDescent="0.25">
      <c r="M303" s="3" t="s">
        <v>3892</v>
      </c>
      <c r="N303" s="11">
        <f>AVERAGE(N293:N302)</f>
        <v>0.18385449490615807</v>
      </c>
      <c r="O303" s="11">
        <f>AVERAGE(O293:O302)</f>
        <v>0.18761565764660543</v>
      </c>
    </row>
    <row r="306" spans="1:15" x14ac:dyDescent="0.25">
      <c r="A306" s="2" t="s">
        <v>3869</v>
      </c>
      <c r="B306" s="2" t="s">
        <v>3843</v>
      </c>
      <c r="L306" s="2" t="s">
        <v>3843</v>
      </c>
    </row>
    <row r="307" spans="1:15" x14ac:dyDescent="0.25">
      <c r="B307" t="s">
        <v>28</v>
      </c>
      <c r="D307" t="s">
        <v>3888</v>
      </c>
      <c r="E307" t="s">
        <v>15</v>
      </c>
      <c r="G307" t="s">
        <v>3889</v>
      </c>
      <c r="L307" t="s">
        <v>28</v>
      </c>
      <c r="N307" t="s">
        <v>15</v>
      </c>
    </row>
    <row r="308" spans="1:15" x14ac:dyDescent="0.25">
      <c r="A308" s="2" t="s">
        <v>3845</v>
      </c>
      <c r="B308" t="s">
        <v>0</v>
      </c>
      <c r="C308" t="s">
        <v>5</v>
      </c>
      <c r="E308" t="s">
        <v>0</v>
      </c>
      <c r="F308" t="s">
        <v>5</v>
      </c>
      <c r="K308" s="2" t="s">
        <v>3845</v>
      </c>
      <c r="L308" t="s">
        <v>3878</v>
      </c>
      <c r="M308" t="s">
        <v>3879</v>
      </c>
      <c r="N308" t="s">
        <v>3878</v>
      </c>
      <c r="O308" t="s">
        <v>3879</v>
      </c>
    </row>
    <row r="309" spans="1:15" x14ac:dyDescent="0.25">
      <c r="A309" s="3" t="s">
        <v>51</v>
      </c>
      <c r="B309">
        <v>29</v>
      </c>
      <c r="C309">
        <v>38</v>
      </c>
      <c r="D309">
        <v>67</v>
      </c>
      <c r="E309">
        <v>26</v>
      </c>
      <c r="F309">
        <v>34</v>
      </c>
      <c r="G309">
        <v>60</v>
      </c>
      <c r="K309" s="3" t="s">
        <v>51</v>
      </c>
      <c r="L309">
        <v>3.65</v>
      </c>
      <c r="M309">
        <v>1.22</v>
      </c>
      <c r="N309">
        <v>2.8000000000000003</v>
      </c>
      <c r="O309">
        <v>3.21</v>
      </c>
    </row>
    <row r="310" spans="1:15" x14ac:dyDescent="0.25">
      <c r="A310" s="3" t="s">
        <v>9</v>
      </c>
      <c r="B310">
        <v>31</v>
      </c>
      <c r="C310">
        <v>41</v>
      </c>
      <c r="D310">
        <v>72</v>
      </c>
      <c r="E310">
        <v>38</v>
      </c>
      <c r="F310">
        <v>36</v>
      </c>
      <c r="G310">
        <v>74</v>
      </c>
      <c r="K310" s="3" t="s">
        <v>9</v>
      </c>
      <c r="L310">
        <v>0</v>
      </c>
      <c r="M310">
        <v>2.36</v>
      </c>
      <c r="N310">
        <v>-10</v>
      </c>
      <c r="O310">
        <v>3.32</v>
      </c>
    </row>
    <row r="311" spans="1:15" x14ac:dyDescent="0.25">
      <c r="A311" s="3" t="s">
        <v>130</v>
      </c>
      <c r="B311">
        <v>7</v>
      </c>
      <c r="C311">
        <v>28</v>
      </c>
      <c r="D311">
        <v>35</v>
      </c>
      <c r="E311">
        <v>10</v>
      </c>
      <c r="F311">
        <v>39</v>
      </c>
      <c r="G311">
        <v>49</v>
      </c>
      <c r="K311" s="3" t="s">
        <v>130</v>
      </c>
      <c r="L311">
        <v>0</v>
      </c>
      <c r="M311">
        <v>2.5300000000000002</v>
      </c>
      <c r="N311">
        <v>0</v>
      </c>
      <c r="O311">
        <v>2.87</v>
      </c>
    </row>
    <row r="312" spans="1:15" x14ac:dyDescent="0.25">
      <c r="A312" s="3" t="s">
        <v>74</v>
      </c>
      <c r="B312">
        <v>25</v>
      </c>
      <c r="C312">
        <v>26</v>
      </c>
      <c r="D312">
        <v>51</v>
      </c>
      <c r="E312">
        <v>30</v>
      </c>
      <c r="F312">
        <v>32</v>
      </c>
      <c r="G312">
        <v>62</v>
      </c>
      <c r="K312" s="3" t="s">
        <v>74</v>
      </c>
      <c r="L312">
        <v>0</v>
      </c>
      <c r="M312">
        <v>1.22</v>
      </c>
      <c r="N312">
        <v>0</v>
      </c>
      <c r="O312">
        <v>2.9799999999999995</v>
      </c>
    </row>
    <row r="313" spans="1:15" x14ac:dyDescent="0.25">
      <c r="A313" s="3" t="s">
        <v>193</v>
      </c>
      <c r="B313">
        <v>30</v>
      </c>
      <c r="C313">
        <v>23</v>
      </c>
      <c r="D313">
        <v>53</v>
      </c>
      <c r="E313">
        <v>20</v>
      </c>
      <c r="F313">
        <v>20</v>
      </c>
      <c r="G313">
        <v>40</v>
      </c>
      <c r="K313" s="3" t="s">
        <v>193</v>
      </c>
      <c r="L313">
        <v>42.12</v>
      </c>
      <c r="M313">
        <v>1.39</v>
      </c>
      <c r="N313">
        <v>48.73</v>
      </c>
      <c r="O313">
        <v>1.6199999999999999</v>
      </c>
    </row>
    <row r="314" spans="1:15" x14ac:dyDescent="0.25">
      <c r="A314" s="3" t="s">
        <v>87</v>
      </c>
      <c r="B314">
        <v>16</v>
      </c>
      <c r="C314">
        <v>37</v>
      </c>
      <c r="D314">
        <v>53</v>
      </c>
      <c r="E314">
        <v>10</v>
      </c>
      <c r="F314">
        <v>29</v>
      </c>
      <c r="G314">
        <v>39</v>
      </c>
      <c r="K314" s="3" t="s">
        <v>87</v>
      </c>
      <c r="L314">
        <v>0</v>
      </c>
      <c r="M314">
        <v>4.97</v>
      </c>
      <c r="N314">
        <v>0</v>
      </c>
      <c r="O314">
        <v>1.62</v>
      </c>
    </row>
    <row r="315" spans="1:15" x14ac:dyDescent="0.25">
      <c r="A315" s="3" t="s">
        <v>26</v>
      </c>
      <c r="B315">
        <v>27</v>
      </c>
      <c r="C315">
        <v>82</v>
      </c>
      <c r="D315">
        <v>109</v>
      </c>
      <c r="E315">
        <v>31</v>
      </c>
      <c r="F315">
        <v>99</v>
      </c>
      <c r="G315">
        <v>130</v>
      </c>
      <c r="K315" s="3" t="s">
        <v>26</v>
      </c>
      <c r="L315">
        <v>16.32</v>
      </c>
      <c r="M315">
        <v>7.36</v>
      </c>
      <c r="N315">
        <v>21.54000000000001</v>
      </c>
      <c r="O315">
        <v>9.6899999999999977</v>
      </c>
    </row>
    <row r="316" spans="1:15" x14ac:dyDescent="0.25">
      <c r="A316" s="3" t="s">
        <v>40</v>
      </c>
      <c r="B316">
        <v>33</v>
      </c>
      <c r="C316">
        <v>41</v>
      </c>
      <c r="D316">
        <v>74</v>
      </c>
      <c r="E316">
        <v>36</v>
      </c>
      <c r="F316">
        <v>34</v>
      </c>
      <c r="G316">
        <v>70</v>
      </c>
      <c r="K316" s="3" t="s">
        <v>40</v>
      </c>
      <c r="L316">
        <v>93.91</v>
      </c>
      <c r="M316">
        <v>2.13</v>
      </c>
      <c r="N316">
        <v>68.059999999999988</v>
      </c>
      <c r="O316">
        <v>2.87</v>
      </c>
    </row>
    <row r="317" spans="1:15" x14ac:dyDescent="0.25">
      <c r="A317" s="3" t="s">
        <v>199</v>
      </c>
      <c r="B317">
        <v>38</v>
      </c>
      <c r="C317">
        <v>57</v>
      </c>
      <c r="D317">
        <v>95</v>
      </c>
      <c r="E317">
        <v>25</v>
      </c>
      <c r="F317">
        <v>46</v>
      </c>
      <c r="G317">
        <v>71</v>
      </c>
      <c r="K317" s="3" t="s">
        <v>199</v>
      </c>
      <c r="L317">
        <v>0</v>
      </c>
      <c r="M317">
        <v>4.7099999999999991</v>
      </c>
      <c r="N317">
        <v>0</v>
      </c>
      <c r="O317">
        <v>4.32</v>
      </c>
    </row>
    <row r="318" spans="1:15" x14ac:dyDescent="0.25">
      <c r="A318" s="3" t="s">
        <v>101</v>
      </c>
      <c r="B318">
        <v>21</v>
      </c>
      <c r="C318">
        <v>61</v>
      </c>
      <c r="D318">
        <v>82</v>
      </c>
      <c r="E318">
        <v>19</v>
      </c>
      <c r="F318">
        <v>47</v>
      </c>
      <c r="G318">
        <v>66</v>
      </c>
      <c r="K318" s="3" t="s">
        <v>101</v>
      </c>
      <c r="L318">
        <v>32.330000000000005</v>
      </c>
      <c r="M318">
        <v>5.54</v>
      </c>
      <c r="N318">
        <v>25.500000000000004</v>
      </c>
      <c r="O318">
        <v>3.55</v>
      </c>
    </row>
    <row r="321" spans="1:13" x14ac:dyDescent="0.25">
      <c r="A321" s="4" t="s">
        <v>3845</v>
      </c>
      <c r="B321" t="s">
        <v>28</v>
      </c>
      <c r="C321" t="s">
        <v>15</v>
      </c>
      <c r="K321" s="4" t="s">
        <v>3845</v>
      </c>
      <c r="L321" t="s">
        <v>28</v>
      </c>
      <c r="M321" t="s">
        <v>15</v>
      </c>
    </row>
    <row r="322" spans="1:13" x14ac:dyDescent="0.25">
      <c r="A322" s="3" t="s">
        <v>51</v>
      </c>
      <c r="B322" s="10">
        <f>C309/D309</f>
        <v>0.56716417910447758</v>
      </c>
      <c r="C322" s="10">
        <f>F309/G309</f>
        <v>0.56666666666666665</v>
      </c>
      <c r="K322" s="3" t="s">
        <v>51</v>
      </c>
      <c r="L322">
        <f>L309+M309</f>
        <v>4.87</v>
      </c>
      <c r="M322">
        <f>N309+O309</f>
        <v>6.01</v>
      </c>
    </row>
    <row r="323" spans="1:13" x14ac:dyDescent="0.25">
      <c r="A323" s="3" t="s">
        <v>9</v>
      </c>
      <c r="B323" s="10">
        <f t="shared" ref="B323:B331" si="49">C310/D310</f>
        <v>0.56944444444444442</v>
      </c>
      <c r="C323" s="10">
        <f t="shared" ref="C323:C331" si="50">F310/G310</f>
        <v>0.48648648648648651</v>
      </c>
      <c r="K323" s="3" t="s">
        <v>9</v>
      </c>
      <c r="L323">
        <f t="shared" ref="L323:L331" si="51">L310+M310</f>
        <v>2.36</v>
      </c>
      <c r="M323">
        <f t="shared" ref="M323:M331" si="52">N310+O310</f>
        <v>-6.68</v>
      </c>
    </row>
    <row r="324" spans="1:13" x14ac:dyDescent="0.25">
      <c r="A324" s="3" t="s">
        <v>130</v>
      </c>
      <c r="B324" s="10">
        <f t="shared" si="49"/>
        <v>0.8</v>
      </c>
      <c r="C324" s="10">
        <f t="shared" si="50"/>
        <v>0.79591836734693877</v>
      </c>
      <c r="K324" s="3" t="s">
        <v>130</v>
      </c>
      <c r="L324">
        <f t="shared" si="51"/>
        <v>2.5300000000000002</v>
      </c>
      <c r="M324">
        <f t="shared" si="52"/>
        <v>2.87</v>
      </c>
    </row>
    <row r="325" spans="1:13" x14ac:dyDescent="0.25">
      <c r="A325" s="3" t="s">
        <v>74</v>
      </c>
      <c r="B325" s="10">
        <f t="shared" si="49"/>
        <v>0.50980392156862742</v>
      </c>
      <c r="C325" s="10">
        <f t="shared" si="50"/>
        <v>0.5161290322580645</v>
      </c>
      <c r="K325" s="3" t="s">
        <v>74</v>
      </c>
      <c r="L325">
        <f t="shared" si="51"/>
        <v>1.22</v>
      </c>
      <c r="M325">
        <f t="shared" si="52"/>
        <v>2.9799999999999995</v>
      </c>
    </row>
    <row r="326" spans="1:13" x14ac:dyDescent="0.25">
      <c r="A326" s="3" t="s">
        <v>193</v>
      </c>
      <c r="B326" s="10">
        <f t="shared" si="49"/>
        <v>0.43396226415094341</v>
      </c>
      <c r="C326" s="10">
        <f t="shared" si="50"/>
        <v>0.5</v>
      </c>
      <c r="K326" s="3" t="s">
        <v>193</v>
      </c>
      <c r="L326">
        <f t="shared" si="51"/>
        <v>43.51</v>
      </c>
      <c r="M326">
        <f t="shared" si="52"/>
        <v>50.349999999999994</v>
      </c>
    </row>
    <row r="327" spans="1:13" x14ac:dyDescent="0.25">
      <c r="A327" s="3" t="s">
        <v>87</v>
      </c>
      <c r="B327" s="10">
        <f t="shared" si="49"/>
        <v>0.69811320754716977</v>
      </c>
      <c r="C327" s="10">
        <f t="shared" si="50"/>
        <v>0.74358974358974361</v>
      </c>
      <c r="K327" s="3" t="s">
        <v>87</v>
      </c>
      <c r="L327">
        <f t="shared" si="51"/>
        <v>4.97</v>
      </c>
      <c r="M327">
        <f t="shared" si="52"/>
        <v>1.62</v>
      </c>
    </row>
    <row r="328" spans="1:13" x14ac:dyDescent="0.25">
      <c r="A328" s="3" t="s">
        <v>26</v>
      </c>
      <c r="B328" s="10">
        <f t="shared" si="49"/>
        <v>0.75229357798165142</v>
      </c>
      <c r="C328" s="10">
        <f t="shared" si="50"/>
        <v>0.7615384615384615</v>
      </c>
      <c r="K328" s="3" t="s">
        <v>26</v>
      </c>
      <c r="L328">
        <f t="shared" si="51"/>
        <v>23.68</v>
      </c>
      <c r="M328">
        <f t="shared" si="52"/>
        <v>31.230000000000008</v>
      </c>
    </row>
    <row r="329" spans="1:13" x14ac:dyDescent="0.25">
      <c r="A329" s="3" t="s">
        <v>40</v>
      </c>
      <c r="B329" s="10">
        <f t="shared" si="49"/>
        <v>0.55405405405405406</v>
      </c>
      <c r="C329" s="10">
        <f t="shared" si="50"/>
        <v>0.48571428571428571</v>
      </c>
      <c r="K329" s="3" t="s">
        <v>40</v>
      </c>
      <c r="L329">
        <f t="shared" si="51"/>
        <v>96.039999999999992</v>
      </c>
      <c r="M329">
        <f t="shared" si="52"/>
        <v>70.929999999999993</v>
      </c>
    </row>
    <row r="330" spans="1:13" x14ac:dyDescent="0.25">
      <c r="A330" s="3" t="s">
        <v>199</v>
      </c>
      <c r="B330" s="10">
        <f t="shared" si="49"/>
        <v>0.6</v>
      </c>
      <c r="C330" s="10">
        <f t="shared" si="50"/>
        <v>0.647887323943662</v>
      </c>
      <c r="K330" s="3" t="s">
        <v>199</v>
      </c>
      <c r="L330">
        <f t="shared" si="51"/>
        <v>4.7099999999999991</v>
      </c>
      <c r="M330">
        <f t="shared" si="52"/>
        <v>4.32</v>
      </c>
    </row>
    <row r="331" spans="1:13" x14ac:dyDescent="0.25">
      <c r="A331" s="3" t="s">
        <v>101</v>
      </c>
      <c r="B331" s="10">
        <f t="shared" si="49"/>
        <v>0.74390243902439024</v>
      </c>
      <c r="C331" s="10">
        <f t="shared" si="50"/>
        <v>0.71212121212121215</v>
      </c>
      <c r="K331" s="3" t="s">
        <v>101</v>
      </c>
      <c r="L331">
        <f t="shared" si="51"/>
        <v>37.870000000000005</v>
      </c>
      <c r="M331">
        <f t="shared" si="52"/>
        <v>29.050000000000004</v>
      </c>
    </row>
    <row r="332" spans="1:13" x14ac:dyDescent="0.25">
      <c r="A332" s="3" t="s">
        <v>3891</v>
      </c>
      <c r="B332" s="11">
        <f>AVERAGE(B322:B331)</f>
        <v>0.62287380878757592</v>
      </c>
      <c r="C332" s="11">
        <f>AVERAGE(C322:C331)</f>
        <v>0.62160515796655214</v>
      </c>
      <c r="K332" s="3" t="s">
        <v>3890</v>
      </c>
      <c r="L332" s="32">
        <f>AVERAGE(L322:L331)</f>
        <v>22.176000000000002</v>
      </c>
      <c r="M332" s="32">
        <f>AVERAGE(M322:M331)</f>
        <v>19.268000000000001</v>
      </c>
    </row>
    <row r="336" spans="1:13" x14ac:dyDescent="0.25">
      <c r="B336" s="2" t="s">
        <v>3843</v>
      </c>
    </row>
    <row r="337" spans="1:17" x14ac:dyDescent="0.25">
      <c r="B337" t="s">
        <v>56</v>
      </c>
      <c r="D337" t="s">
        <v>83</v>
      </c>
      <c r="F337" t="s">
        <v>123</v>
      </c>
      <c r="H337" t="s">
        <v>131</v>
      </c>
      <c r="J337" t="s">
        <v>110</v>
      </c>
      <c r="L337" t="s">
        <v>30</v>
      </c>
      <c r="N337" t="s">
        <v>247</v>
      </c>
      <c r="P337" t="s">
        <v>17</v>
      </c>
    </row>
    <row r="338" spans="1:17" x14ac:dyDescent="0.25">
      <c r="A338" s="2" t="s">
        <v>3845</v>
      </c>
      <c r="B338" t="s">
        <v>3879</v>
      </c>
      <c r="C338" t="s">
        <v>3878</v>
      </c>
      <c r="D338" t="s">
        <v>3879</v>
      </c>
      <c r="E338" t="s">
        <v>3878</v>
      </c>
      <c r="F338" t="s">
        <v>3879</v>
      </c>
      <c r="G338" t="s">
        <v>3878</v>
      </c>
      <c r="H338" t="s">
        <v>3879</v>
      </c>
      <c r="I338" t="s">
        <v>3878</v>
      </c>
      <c r="J338" t="s">
        <v>3879</v>
      </c>
      <c r="K338" t="s">
        <v>3878</v>
      </c>
      <c r="L338" t="s">
        <v>3879</v>
      </c>
      <c r="M338" t="s">
        <v>3878</v>
      </c>
      <c r="N338" t="s">
        <v>3879</v>
      </c>
      <c r="O338" t="s">
        <v>3878</v>
      </c>
      <c r="P338" t="s">
        <v>3879</v>
      </c>
      <c r="Q338" t="s">
        <v>3878</v>
      </c>
    </row>
    <row r="339" spans="1:17" x14ac:dyDescent="0.25">
      <c r="A339" s="3" t="s">
        <v>51</v>
      </c>
      <c r="B339">
        <v>0.71</v>
      </c>
      <c r="C339">
        <v>1.01</v>
      </c>
      <c r="D339">
        <v>0.74</v>
      </c>
      <c r="E339">
        <v>0.73</v>
      </c>
      <c r="F339">
        <v>0.88</v>
      </c>
      <c r="G339">
        <v>0.49</v>
      </c>
      <c r="H339">
        <v>0.34</v>
      </c>
      <c r="I339">
        <v>0.32</v>
      </c>
      <c r="J339">
        <v>0.17</v>
      </c>
      <c r="K339">
        <v>0.71</v>
      </c>
      <c r="L339">
        <v>0.37</v>
      </c>
      <c r="M339">
        <v>0.92999999999999994</v>
      </c>
      <c r="N339">
        <v>0</v>
      </c>
      <c r="O339">
        <v>0.11</v>
      </c>
      <c r="P339">
        <v>1.5899999999999999</v>
      </c>
      <c r="Q339">
        <v>2.2400000000000007</v>
      </c>
    </row>
    <row r="340" spans="1:17" x14ac:dyDescent="0.25">
      <c r="A340" s="3" t="s">
        <v>9</v>
      </c>
      <c r="B340">
        <v>0.88000000000000012</v>
      </c>
      <c r="C340">
        <v>0</v>
      </c>
      <c r="D340">
        <v>1.08</v>
      </c>
      <c r="E340">
        <v>0</v>
      </c>
      <c r="F340">
        <v>0.17</v>
      </c>
      <c r="G340">
        <v>0</v>
      </c>
      <c r="H340">
        <v>0.17</v>
      </c>
      <c r="I340">
        <v>0</v>
      </c>
      <c r="J340">
        <v>1.65</v>
      </c>
      <c r="K340">
        <v>0</v>
      </c>
      <c r="L340">
        <v>0.71</v>
      </c>
      <c r="M340">
        <v>0</v>
      </c>
      <c r="N340">
        <v>0</v>
      </c>
      <c r="O340">
        <v>0</v>
      </c>
      <c r="P340">
        <v>1.19</v>
      </c>
      <c r="Q340">
        <v>-10</v>
      </c>
    </row>
    <row r="341" spans="1:17" x14ac:dyDescent="0.25">
      <c r="A341" s="3" t="s">
        <v>130</v>
      </c>
      <c r="B341">
        <v>1.1099999999999999</v>
      </c>
      <c r="C341">
        <v>0</v>
      </c>
      <c r="D341">
        <v>0.17</v>
      </c>
      <c r="E341">
        <v>0</v>
      </c>
      <c r="F341">
        <v>0.91</v>
      </c>
      <c r="G341">
        <v>0</v>
      </c>
      <c r="H341">
        <v>0.71000000000000008</v>
      </c>
      <c r="I341">
        <v>0</v>
      </c>
      <c r="J341">
        <v>0.34</v>
      </c>
      <c r="K341">
        <v>0</v>
      </c>
      <c r="L341">
        <v>1.28</v>
      </c>
      <c r="M341">
        <v>0</v>
      </c>
      <c r="P341">
        <v>0.88</v>
      </c>
      <c r="Q341">
        <v>0</v>
      </c>
    </row>
    <row r="342" spans="1:17" x14ac:dyDescent="0.25">
      <c r="A342" s="3" t="s">
        <v>74</v>
      </c>
      <c r="B342">
        <v>1.22</v>
      </c>
      <c r="C342">
        <v>0</v>
      </c>
      <c r="D342">
        <v>0.51</v>
      </c>
      <c r="E342">
        <v>0</v>
      </c>
      <c r="F342">
        <v>0.71000000000000008</v>
      </c>
      <c r="G342">
        <v>0</v>
      </c>
      <c r="H342">
        <v>0</v>
      </c>
      <c r="I342">
        <v>0</v>
      </c>
      <c r="J342">
        <v>0.37</v>
      </c>
      <c r="K342">
        <v>0</v>
      </c>
      <c r="L342">
        <v>0.54</v>
      </c>
      <c r="M342">
        <v>0</v>
      </c>
      <c r="P342">
        <v>1.22</v>
      </c>
      <c r="Q342">
        <v>0</v>
      </c>
    </row>
    <row r="343" spans="1:17" x14ac:dyDescent="0.25">
      <c r="A343" s="3" t="s">
        <v>193</v>
      </c>
      <c r="B343">
        <v>0.54</v>
      </c>
      <c r="C343">
        <v>17.600000000000001</v>
      </c>
      <c r="D343">
        <v>0.17</v>
      </c>
      <c r="E343">
        <v>5.74</v>
      </c>
      <c r="F343">
        <v>0.71000000000000008</v>
      </c>
      <c r="G343">
        <v>9.27</v>
      </c>
      <c r="H343">
        <v>0</v>
      </c>
      <c r="I343">
        <v>3.37</v>
      </c>
      <c r="J343">
        <v>0.91</v>
      </c>
      <c r="K343">
        <v>17.93</v>
      </c>
      <c r="L343">
        <v>0</v>
      </c>
      <c r="M343">
        <v>9.19</v>
      </c>
      <c r="P343">
        <v>0.68</v>
      </c>
      <c r="Q343">
        <v>27.75</v>
      </c>
    </row>
    <row r="344" spans="1:17" x14ac:dyDescent="0.25">
      <c r="A344" s="3" t="s">
        <v>87</v>
      </c>
      <c r="B344">
        <v>1.08</v>
      </c>
      <c r="C344">
        <v>0</v>
      </c>
      <c r="D344">
        <v>2.4699999999999998</v>
      </c>
      <c r="E344">
        <v>0</v>
      </c>
      <c r="F344">
        <v>0</v>
      </c>
      <c r="G344">
        <v>0</v>
      </c>
      <c r="H344">
        <v>0.71</v>
      </c>
      <c r="I344">
        <v>0</v>
      </c>
      <c r="J344">
        <v>1.79</v>
      </c>
      <c r="K344">
        <v>0</v>
      </c>
      <c r="L344">
        <v>0.54</v>
      </c>
      <c r="M344">
        <v>0</v>
      </c>
      <c r="N344">
        <v>0</v>
      </c>
      <c r="O344">
        <v>0</v>
      </c>
      <c r="P344">
        <v>0</v>
      </c>
      <c r="Q344">
        <v>0</v>
      </c>
    </row>
    <row r="345" spans="1:17" x14ac:dyDescent="0.25">
      <c r="A345" s="3" t="s">
        <v>26</v>
      </c>
      <c r="B345">
        <v>3.75</v>
      </c>
      <c r="C345">
        <v>9.1999999999999993</v>
      </c>
      <c r="D345">
        <v>3.24</v>
      </c>
      <c r="E345">
        <v>4.5900000000000016</v>
      </c>
      <c r="F345">
        <v>1.08</v>
      </c>
      <c r="G345">
        <v>2.3199999999999998</v>
      </c>
      <c r="H345">
        <v>0.54</v>
      </c>
      <c r="I345">
        <v>0.55000000000000004</v>
      </c>
      <c r="J345">
        <v>1.9299999999999997</v>
      </c>
      <c r="K345">
        <v>5.46</v>
      </c>
      <c r="L345">
        <v>3.2700000000000005</v>
      </c>
      <c r="M345">
        <v>6.7600000000000016</v>
      </c>
      <c r="P345">
        <v>4.1500000000000004</v>
      </c>
      <c r="Q345">
        <v>9.7899999999999991</v>
      </c>
    </row>
    <row r="346" spans="1:17" x14ac:dyDescent="0.25">
      <c r="A346" s="3" t="s">
        <v>40</v>
      </c>
      <c r="B346">
        <v>0.54</v>
      </c>
      <c r="C346">
        <v>25.000000000000004</v>
      </c>
      <c r="D346">
        <v>0.37</v>
      </c>
      <c r="E346">
        <v>12.799999999999999</v>
      </c>
      <c r="F346">
        <v>0.51</v>
      </c>
      <c r="G346">
        <v>21.7</v>
      </c>
      <c r="H346">
        <v>0</v>
      </c>
      <c r="I346">
        <v>21.099999999999998</v>
      </c>
      <c r="J346">
        <v>0.91</v>
      </c>
      <c r="K346">
        <v>15.399999999999999</v>
      </c>
      <c r="L346">
        <v>0.71000000000000008</v>
      </c>
      <c r="M346">
        <v>30.200000000000003</v>
      </c>
      <c r="P346">
        <v>1.96</v>
      </c>
      <c r="Q346">
        <v>38.340000000000003</v>
      </c>
    </row>
    <row r="347" spans="1:17" x14ac:dyDescent="0.25">
      <c r="A347" s="3" t="s">
        <v>199</v>
      </c>
      <c r="B347">
        <v>2.1900000000000004</v>
      </c>
      <c r="C347">
        <v>0</v>
      </c>
      <c r="D347">
        <v>0.91</v>
      </c>
      <c r="E347">
        <v>0</v>
      </c>
      <c r="F347">
        <v>0.68</v>
      </c>
      <c r="G347">
        <v>0</v>
      </c>
      <c r="H347">
        <v>0.54</v>
      </c>
      <c r="I347">
        <v>0</v>
      </c>
      <c r="J347">
        <v>1.22</v>
      </c>
      <c r="K347">
        <v>0</v>
      </c>
      <c r="L347">
        <v>1.05</v>
      </c>
      <c r="M347">
        <v>0</v>
      </c>
      <c r="N347">
        <v>0.17</v>
      </c>
      <c r="O347">
        <v>0</v>
      </c>
      <c r="P347">
        <v>2.8099999999999996</v>
      </c>
      <c r="Q347">
        <v>0</v>
      </c>
    </row>
    <row r="348" spans="1:17" x14ac:dyDescent="0.25">
      <c r="A348" s="3" t="s">
        <v>101</v>
      </c>
      <c r="B348">
        <v>2.5300000000000002</v>
      </c>
      <c r="C348">
        <v>14.580000000000002</v>
      </c>
      <c r="D348">
        <v>0.37</v>
      </c>
      <c r="E348">
        <v>7.65</v>
      </c>
      <c r="F348">
        <v>0.74</v>
      </c>
      <c r="G348">
        <v>3.04</v>
      </c>
      <c r="H348">
        <v>0.51</v>
      </c>
      <c r="I348">
        <v>3.13</v>
      </c>
      <c r="J348">
        <v>0.51</v>
      </c>
      <c r="K348">
        <v>3.39</v>
      </c>
      <c r="L348">
        <v>1.96</v>
      </c>
      <c r="M348">
        <v>8.41</v>
      </c>
      <c r="P348">
        <v>2.6399999999999997</v>
      </c>
      <c r="Q348">
        <v>20.100000000000005</v>
      </c>
    </row>
    <row r="351" spans="1:17" x14ac:dyDescent="0.25">
      <c r="A351" s="4" t="s">
        <v>3845</v>
      </c>
      <c r="B351" s="38" t="s">
        <v>56</v>
      </c>
      <c r="C351" s="38" t="s">
        <v>83</v>
      </c>
      <c r="D351" s="38" t="s">
        <v>123</v>
      </c>
      <c r="E351" s="38" t="s">
        <v>131</v>
      </c>
      <c r="F351" s="38" t="s">
        <v>110</v>
      </c>
      <c r="G351" s="38" t="s">
        <v>30</v>
      </c>
    </row>
    <row r="352" spans="1:17" x14ac:dyDescent="0.25">
      <c r="A352" s="3" t="s">
        <v>51</v>
      </c>
      <c r="B352">
        <f>B339+C339</f>
        <v>1.72</v>
      </c>
      <c r="C352">
        <f>D339+E339</f>
        <v>1.47</v>
      </c>
      <c r="D352">
        <f>F339+G339</f>
        <v>1.37</v>
      </c>
      <c r="E352">
        <f>H339+I339</f>
        <v>0.66</v>
      </c>
      <c r="F352">
        <f>J339+K339</f>
        <v>0.88</v>
      </c>
      <c r="G352">
        <f>L339+M339</f>
        <v>1.2999999999999998</v>
      </c>
    </row>
    <row r="353" spans="1:7" x14ac:dyDescent="0.25">
      <c r="A353" s="3" t="s">
        <v>9</v>
      </c>
      <c r="B353">
        <f t="shared" ref="B353:B361" si="53">B340+C340</f>
        <v>0.88000000000000012</v>
      </c>
      <c r="C353">
        <f t="shared" ref="C353:C361" si="54">D340+E340</f>
        <v>1.08</v>
      </c>
      <c r="D353">
        <f t="shared" ref="D353:D361" si="55">F340+G340</f>
        <v>0.17</v>
      </c>
      <c r="E353">
        <f t="shared" ref="E353:E361" si="56">H340+I340</f>
        <v>0.17</v>
      </c>
      <c r="F353">
        <f t="shared" ref="F353:F361" si="57">J340+K340</f>
        <v>1.65</v>
      </c>
      <c r="G353">
        <f t="shared" ref="G353:G361" si="58">L340+M340</f>
        <v>0.71</v>
      </c>
    </row>
    <row r="354" spans="1:7" x14ac:dyDescent="0.25">
      <c r="A354" s="3" t="s">
        <v>130</v>
      </c>
      <c r="B354">
        <f>B341+C341</f>
        <v>1.1099999999999999</v>
      </c>
      <c r="C354">
        <f t="shared" si="54"/>
        <v>0.17</v>
      </c>
      <c r="D354">
        <f t="shared" si="55"/>
        <v>0.91</v>
      </c>
      <c r="E354">
        <f t="shared" si="56"/>
        <v>0.71000000000000008</v>
      </c>
      <c r="F354">
        <f t="shared" si="57"/>
        <v>0.34</v>
      </c>
      <c r="G354">
        <f t="shared" si="58"/>
        <v>1.28</v>
      </c>
    </row>
    <row r="355" spans="1:7" x14ac:dyDescent="0.25">
      <c r="A355" s="3" t="s">
        <v>74</v>
      </c>
      <c r="B355">
        <f t="shared" si="53"/>
        <v>1.22</v>
      </c>
      <c r="C355">
        <f t="shared" si="54"/>
        <v>0.51</v>
      </c>
      <c r="D355">
        <f t="shared" si="55"/>
        <v>0.71000000000000008</v>
      </c>
      <c r="E355">
        <f t="shared" si="56"/>
        <v>0</v>
      </c>
      <c r="F355">
        <f t="shared" si="57"/>
        <v>0.37</v>
      </c>
      <c r="G355">
        <f t="shared" si="58"/>
        <v>0.54</v>
      </c>
    </row>
    <row r="356" spans="1:7" x14ac:dyDescent="0.25">
      <c r="A356" s="3" t="s">
        <v>193</v>
      </c>
      <c r="B356">
        <f t="shared" si="53"/>
        <v>18.14</v>
      </c>
      <c r="C356">
        <f t="shared" si="54"/>
        <v>5.91</v>
      </c>
      <c r="D356">
        <f t="shared" si="55"/>
        <v>9.98</v>
      </c>
      <c r="E356">
        <f t="shared" si="56"/>
        <v>3.37</v>
      </c>
      <c r="F356">
        <f t="shared" si="57"/>
        <v>18.84</v>
      </c>
      <c r="G356">
        <f t="shared" si="58"/>
        <v>9.19</v>
      </c>
    </row>
    <row r="357" spans="1:7" x14ac:dyDescent="0.25">
      <c r="A357" s="3" t="s">
        <v>87</v>
      </c>
      <c r="B357">
        <f t="shared" si="53"/>
        <v>1.08</v>
      </c>
      <c r="C357">
        <f t="shared" si="54"/>
        <v>2.4699999999999998</v>
      </c>
      <c r="D357">
        <f t="shared" si="55"/>
        <v>0</v>
      </c>
      <c r="E357">
        <f t="shared" si="56"/>
        <v>0.71</v>
      </c>
      <c r="F357">
        <f t="shared" si="57"/>
        <v>1.79</v>
      </c>
      <c r="G357">
        <f t="shared" si="58"/>
        <v>0.54</v>
      </c>
    </row>
    <row r="358" spans="1:7" x14ac:dyDescent="0.25">
      <c r="A358" s="3" t="s">
        <v>26</v>
      </c>
      <c r="B358">
        <f t="shared" si="53"/>
        <v>12.95</v>
      </c>
      <c r="C358">
        <f t="shared" si="54"/>
        <v>7.8300000000000018</v>
      </c>
      <c r="D358">
        <f t="shared" si="55"/>
        <v>3.4</v>
      </c>
      <c r="E358">
        <f t="shared" si="56"/>
        <v>1.0900000000000001</v>
      </c>
      <c r="F358">
        <f t="shared" si="57"/>
        <v>7.39</v>
      </c>
      <c r="G358">
        <f t="shared" si="58"/>
        <v>10.030000000000001</v>
      </c>
    </row>
    <row r="359" spans="1:7" x14ac:dyDescent="0.25">
      <c r="A359" s="3" t="s">
        <v>40</v>
      </c>
      <c r="B359">
        <f t="shared" si="53"/>
        <v>25.540000000000003</v>
      </c>
      <c r="C359">
        <f t="shared" si="54"/>
        <v>13.169999999999998</v>
      </c>
      <c r="D359">
        <f t="shared" si="55"/>
        <v>22.21</v>
      </c>
      <c r="E359">
        <f t="shared" si="56"/>
        <v>21.099999999999998</v>
      </c>
      <c r="F359">
        <f t="shared" si="57"/>
        <v>16.309999999999999</v>
      </c>
      <c r="G359">
        <f t="shared" si="58"/>
        <v>30.910000000000004</v>
      </c>
    </row>
    <row r="360" spans="1:7" x14ac:dyDescent="0.25">
      <c r="A360" s="3" t="s">
        <v>199</v>
      </c>
      <c r="B360">
        <f t="shared" si="53"/>
        <v>2.1900000000000004</v>
      </c>
      <c r="C360">
        <f t="shared" si="54"/>
        <v>0.91</v>
      </c>
      <c r="D360">
        <f t="shared" si="55"/>
        <v>0.68</v>
      </c>
      <c r="E360">
        <f t="shared" si="56"/>
        <v>0.54</v>
      </c>
      <c r="F360">
        <f t="shared" si="57"/>
        <v>1.22</v>
      </c>
      <c r="G360">
        <f t="shared" si="58"/>
        <v>1.05</v>
      </c>
    </row>
    <row r="361" spans="1:7" x14ac:dyDescent="0.25">
      <c r="A361" s="3" t="s">
        <v>101</v>
      </c>
      <c r="B361">
        <f t="shared" si="53"/>
        <v>17.110000000000003</v>
      </c>
      <c r="C361">
        <f t="shared" si="54"/>
        <v>8.02</v>
      </c>
      <c r="D361">
        <f t="shared" si="55"/>
        <v>3.7800000000000002</v>
      </c>
      <c r="E361">
        <f t="shared" si="56"/>
        <v>3.6399999999999997</v>
      </c>
      <c r="F361">
        <f t="shared" si="57"/>
        <v>3.9000000000000004</v>
      </c>
      <c r="G361">
        <f t="shared" si="58"/>
        <v>10.370000000000001</v>
      </c>
    </row>
  </sheetData>
  <sortState xmlns:xlrd2="http://schemas.microsoft.com/office/spreadsheetml/2017/richdata2" ref="N18:O27">
    <sortCondition ref="O18:O27"/>
  </sortState>
  <conditionalFormatting sqref="B30:B40">
    <cfRule type="dataBar" priority="14">
      <dataBar>
        <cfvo type="min"/>
        <cfvo type="max"/>
        <color rgb="FF008AEF"/>
      </dataBar>
      <extLst>
        <ext xmlns:x14="http://schemas.microsoft.com/office/spreadsheetml/2009/9/main" uri="{B025F937-C7B1-47D3-B67F-A62EFF666E3E}">
          <x14:id>{6C46095B-BEB7-407C-8379-092EE061B564}</x14:id>
        </ext>
      </extLst>
    </cfRule>
  </conditionalFormatting>
  <conditionalFormatting sqref="B31:B40">
    <cfRule type="dataBar" priority="13">
      <dataBar>
        <cfvo type="min"/>
        <cfvo type="max"/>
        <color rgb="FFFFB628"/>
      </dataBar>
      <extLst>
        <ext xmlns:x14="http://schemas.microsoft.com/office/spreadsheetml/2009/9/main" uri="{B025F937-C7B1-47D3-B67F-A62EFF666E3E}">
          <x14:id>{27D1E1CB-4907-4B7A-87DD-C72827DA7583}</x14:id>
        </ext>
      </extLst>
    </cfRule>
  </conditionalFormatting>
  <conditionalFormatting sqref="C31:C40">
    <cfRule type="dataBar" priority="12">
      <dataBar>
        <cfvo type="min"/>
        <cfvo type="max"/>
        <color rgb="FFFFB628"/>
      </dataBar>
      <extLst>
        <ext xmlns:x14="http://schemas.microsoft.com/office/spreadsheetml/2009/9/main" uri="{B025F937-C7B1-47D3-B67F-A62EFF666E3E}">
          <x14:id>{396698E8-5F3C-4536-9B37-F461E4CB4777}</x14:id>
        </ext>
      </extLst>
    </cfRule>
  </conditionalFormatting>
  <conditionalFormatting sqref="C43">
    <cfRule type="dataBar" priority="34">
      <dataBar>
        <cfvo type="min"/>
        <cfvo type="max"/>
        <color rgb="FF008AEF"/>
      </dataBar>
      <extLst>
        <ext xmlns:x14="http://schemas.microsoft.com/office/spreadsheetml/2009/9/main" uri="{B025F937-C7B1-47D3-B67F-A62EFF666E3E}">
          <x14:id>{05FDCC56-DBEE-45E3-AC26-0B3F2280B6FA}</x14:id>
        </ext>
      </extLst>
    </cfRule>
  </conditionalFormatting>
  <conditionalFormatting sqref="D30:D40">
    <cfRule type="dataBar" priority="9">
      <dataBar>
        <cfvo type="min"/>
        <cfvo type="max"/>
        <color rgb="FFFF555A"/>
      </dataBar>
      <extLst>
        <ext xmlns:x14="http://schemas.microsoft.com/office/spreadsheetml/2009/9/main" uri="{B025F937-C7B1-47D3-B67F-A62EFF666E3E}">
          <x14:id>{76026BBA-30BE-472F-A53D-1469D9F21F82}</x14:id>
        </ext>
      </extLst>
    </cfRule>
  </conditionalFormatting>
  <conditionalFormatting sqref="D31:D40">
    <cfRule type="dataBar" priority="10">
      <dataBar>
        <cfvo type="min"/>
        <cfvo type="max"/>
        <color rgb="FF008AEF"/>
      </dataBar>
      <extLst>
        <ext xmlns:x14="http://schemas.microsoft.com/office/spreadsheetml/2009/9/main" uri="{B025F937-C7B1-47D3-B67F-A62EFF666E3E}">
          <x14:id>{9CDC41C8-7885-4253-9A55-9C20BAE1EC19}</x14:id>
        </ext>
      </extLst>
    </cfRule>
  </conditionalFormatting>
  <conditionalFormatting sqref="D44">
    <cfRule type="dataBar" priority="32">
      <dataBar>
        <cfvo type="min"/>
        <cfvo type="max"/>
        <color rgb="FFFFB628"/>
      </dataBar>
      <extLst>
        <ext xmlns:x14="http://schemas.microsoft.com/office/spreadsheetml/2009/9/main" uri="{B025F937-C7B1-47D3-B67F-A62EFF666E3E}">
          <x14:id>{37A07B7E-9AC5-4A8D-BA7F-D014571385E5}</x14:id>
        </ext>
      </extLst>
    </cfRule>
  </conditionalFormatting>
  <conditionalFormatting sqref="D85">
    <cfRule type="dataBar" priority="6">
      <dataBar>
        <cfvo type="min"/>
        <cfvo type="max"/>
        <color rgb="FFFFB628"/>
      </dataBar>
      <extLst>
        <ext xmlns:x14="http://schemas.microsoft.com/office/spreadsheetml/2009/9/main" uri="{B025F937-C7B1-47D3-B67F-A62EFF666E3E}">
          <x14:id>{162BD19C-AD73-4297-A23F-6546775FE14C}</x14:id>
        </ext>
      </extLst>
    </cfRule>
  </conditionalFormatting>
  <conditionalFormatting sqref="D112">
    <cfRule type="dataBar" priority="2">
      <dataBar>
        <cfvo type="min"/>
        <cfvo type="max"/>
        <color rgb="FFFFB628"/>
      </dataBar>
      <extLst>
        <ext xmlns:x14="http://schemas.microsoft.com/office/spreadsheetml/2009/9/main" uri="{B025F937-C7B1-47D3-B67F-A62EFF666E3E}">
          <x14:id>{6ACD5EB8-0642-470F-B5ED-D1636E8C31B1}</x14:id>
        </ext>
      </extLst>
    </cfRule>
  </conditionalFormatting>
  <conditionalFormatting sqref="E31:E40">
    <cfRule type="dataBar" priority="11">
      <dataBar>
        <cfvo type="min"/>
        <cfvo type="max"/>
        <color rgb="FF008AEF"/>
      </dataBar>
      <extLst>
        <ext xmlns:x14="http://schemas.microsoft.com/office/spreadsheetml/2009/9/main" uri="{B025F937-C7B1-47D3-B67F-A62EFF666E3E}">
          <x14:id>{5C0D2D1A-33E7-42F5-AC68-18E558D07AAF}</x14:id>
        </ext>
      </extLst>
    </cfRule>
  </conditionalFormatting>
  <conditionalFormatting sqref="E43:E44">
    <cfRule type="dataBar" priority="27">
      <dataBar>
        <cfvo type="min"/>
        <cfvo type="max"/>
        <color rgb="FFFF555A"/>
      </dataBar>
      <extLst>
        <ext xmlns:x14="http://schemas.microsoft.com/office/spreadsheetml/2009/9/main" uri="{B025F937-C7B1-47D3-B67F-A62EFF666E3E}">
          <x14:id>{D2EF878B-934F-4354-8755-F815254D96C0}</x14:id>
        </ext>
      </extLst>
    </cfRule>
  </conditionalFormatting>
  <conditionalFormatting sqref="E44">
    <cfRule type="dataBar" priority="29">
      <dataBar>
        <cfvo type="min"/>
        <cfvo type="max"/>
        <color rgb="FF008AEF"/>
      </dataBar>
      <extLst>
        <ext xmlns:x14="http://schemas.microsoft.com/office/spreadsheetml/2009/9/main" uri="{B025F937-C7B1-47D3-B67F-A62EFF666E3E}">
          <x14:id>{730333E9-B956-4CA1-91D0-AF81644FB518}</x14:id>
        </ext>
      </extLst>
    </cfRule>
  </conditionalFormatting>
  <conditionalFormatting sqref="E71:E72">
    <cfRule type="dataBar" priority="21">
      <dataBar>
        <cfvo type="min"/>
        <cfvo type="max"/>
        <color rgb="FFFF555A"/>
      </dataBar>
      <extLst>
        <ext xmlns:x14="http://schemas.microsoft.com/office/spreadsheetml/2009/9/main" uri="{B025F937-C7B1-47D3-B67F-A62EFF666E3E}">
          <x14:id>{F928424B-3492-45D1-9928-17D81CDA4217}</x14:id>
        </ext>
      </extLst>
    </cfRule>
    <cfRule type="dataBar" priority="22">
      <dataBar>
        <cfvo type="min"/>
        <cfvo type="max"/>
        <color rgb="FF008AEF"/>
      </dataBar>
      <extLst>
        <ext xmlns:x14="http://schemas.microsoft.com/office/spreadsheetml/2009/9/main" uri="{B025F937-C7B1-47D3-B67F-A62EFF666E3E}">
          <x14:id>{569064C5-E5AC-418B-8FEA-32AD0757CAFC}</x14:id>
        </ext>
      </extLst>
    </cfRule>
  </conditionalFormatting>
  <conditionalFormatting sqref="E85:F85">
    <cfRule type="dataBar" priority="5">
      <dataBar>
        <cfvo type="min"/>
        <cfvo type="max"/>
        <color rgb="FF008AEF"/>
      </dataBar>
      <extLst>
        <ext xmlns:x14="http://schemas.microsoft.com/office/spreadsheetml/2009/9/main" uri="{B025F937-C7B1-47D3-B67F-A62EFF666E3E}">
          <x14:id>{CFE3EBF3-2062-40CC-AA74-F9D24546DB4B}</x14:id>
        </ext>
      </extLst>
    </cfRule>
  </conditionalFormatting>
  <conditionalFormatting sqref="E112:F112">
    <cfRule type="dataBar" priority="1">
      <dataBar>
        <cfvo type="min"/>
        <cfvo type="max"/>
        <color rgb="FF008AEF"/>
      </dataBar>
      <extLst>
        <ext xmlns:x14="http://schemas.microsoft.com/office/spreadsheetml/2009/9/main" uri="{B025F937-C7B1-47D3-B67F-A62EFF666E3E}">
          <x14:id>{1E547708-2D56-4CB4-83FC-6E6E4BC273C6}</x14:id>
        </ext>
      </extLst>
    </cfRule>
  </conditionalFormatting>
  <conditionalFormatting sqref="F44">
    <cfRule type="dataBar" priority="30">
      <dataBar>
        <cfvo type="min"/>
        <cfvo type="max"/>
        <color rgb="FF008AEF"/>
      </dataBar>
      <extLst>
        <ext xmlns:x14="http://schemas.microsoft.com/office/spreadsheetml/2009/9/main" uri="{B025F937-C7B1-47D3-B67F-A62EFF666E3E}">
          <x14:id>{98D5ABCD-022E-4590-B3F1-06A1118F7D4D}</x14:id>
        </ext>
      </extLst>
    </cfRule>
  </conditionalFormatting>
  <conditionalFormatting sqref="M60">
    <cfRule type="dataBar" priority="8">
      <dataBar>
        <cfvo type="min"/>
        <cfvo type="max"/>
        <color rgb="FFFFB628"/>
      </dataBar>
      <extLst>
        <ext xmlns:x14="http://schemas.microsoft.com/office/spreadsheetml/2009/9/main" uri="{B025F937-C7B1-47D3-B67F-A62EFF666E3E}">
          <x14:id>{5B789F2C-3C3A-4E65-B876-4845FEE2F1C1}</x14:id>
        </ext>
      </extLst>
    </cfRule>
  </conditionalFormatting>
  <conditionalFormatting sqref="N60:O60">
    <cfRule type="dataBar" priority="7">
      <dataBar>
        <cfvo type="min"/>
        <cfvo type="max"/>
        <color rgb="FF008AEF"/>
      </dataBar>
      <extLst>
        <ext xmlns:x14="http://schemas.microsoft.com/office/spreadsheetml/2009/9/main" uri="{B025F937-C7B1-47D3-B67F-A62EFF666E3E}">
          <x14:id>{ECC2F795-DDA8-43BB-908A-B18AAC0F7230}</x14:id>
        </ext>
      </extLst>
    </cfRule>
  </conditionalFormatting>
  <pageMargins left="0.7" right="0.7" top="0.75" bottom="0.75" header="0.3" footer="0.3"/>
  <drawing r:id="rId22"/>
  <extLst>
    <ext xmlns:x14="http://schemas.microsoft.com/office/spreadsheetml/2009/9/main" uri="{78C0D931-6437-407d-A8EE-F0AAD7539E65}">
      <x14:conditionalFormattings>
        <x14:conditionalFormatting xmlns:xm="http://schemas.microsoft.com/office/excel/2006/main">
          <x14:cfRule type="dataBar" id="{6C46095B-BEB7-407C-8379-092EE061B564}">
            <x14:dataBar minLength="0" maxLength="100" border="1" negativeBarBorderColorSameAsPositive="0">
              <x14:cfvo type="autoMin"/>
              <x14:cfvo type="autoMax"/>
              <x14:borderColor rgb="FF008AEF"/>
              <x14:negativeFillColor rgb="FFFF0000"/>
              <x14:negativeBorderColor rgb="FFFF0000"/>
              <x14:axisColor rgb="FF000000"/>
            </x14:dataBar>
          </x14:cfRule>
          <xm:sqref>B30:B40</xm:sqref>
        </x14:conditionalFormatting>
        <x14:conditionalFormatting xmlns:xm="http://schemas.microsoft.com/office/excel/2006/main">
          <x14:cfRule type="dataBar" id="{27D1E1CB-4907-4B7A-87DD-C72827DA7583}">
            <x14:dataBar minLength="0" maxLength="100" border="1" negativeBarBorderColorSameAsPositive="0">
              <x14:cfvo type="autoMin"/>
              <x14:cfvo type="autoMax"/>
              <x14:borderColor rgb="FFFFB628"/>
              <x14:negativeFillColor rgb="FFFF0000"/>
              <x14:negativeBorderColor rgb="FFFF0000"/>
              <x14:axisColor rgb="FF000000"/>
            </x14:dataBar>
          </x14:cfRule>
          <xm:sqref>B31:B40</xm:sqref>
        </x14:conditionalFormatting>
        <x14:conditionalFormatting xmlns:xm="http://schemas.microsoft.com/office/excel/2006/main">
          <x14:cfRule type="dataBar" id="{396698E8-5F3C-4536-9B37-F461E4CB4777}">
            <x14:dataBar minLength="0" maxLength="100" border="1" negativeBarBorderColorSameAsPositive="0">
              <x14:cfvo type="autoMin"/>
              <x14:cfvo type="autoMax"/>
              <x14:borderColor rgb="FFFFB628"/>
              <x14:negativeFillColor rgb="FFFF0000"/>
              <x14:negativeBorderColor rgb="FFFF0000"/>
              <x14:axisColor rgb="FF000000"/>
            </x14:dataBar>
          </x14:cfRule>
          <xm:sqref>C31:C40</xm:sqref>
        </x14:conditionalFormatting>
        <x14:conditionalFormatting xmlns:xm="http://schemas.microsoft.com/office/excel/2006/main">
          <x14:cfRule type="dataBar" id="{05FDCC56-DBEE-45E3-AC26-0B3F2280B6FA}">
            <x14:dataBar minLength="0" maxLength="100" border="1" negativeBarBorderColorSameAsPositive="0">
              <x14:cfvo type="autoMin"/>
              <x14:cfvo type="autoMax"/>
              <x14:borderColor rgb="FF008AEF"/>
              <x14:negativeFillColor rgb="FFFF0000"/>
              <x14:negativeBorderColor rgb="FFFF0000"/>
              <x14:axisColor rgb="FF000000"/>
            </x14:dataBar>
          </x14:cfRule>
          <xm:sqref>C43</xm:sqref>
        </x14:conditionalFormatting>
        <x14:conditionalFormatting xmlns:xm="http://schemas.microsoft.com/office/excel/2006/main">
          <x14:cfRule type="dataBar" id="{76026BBA-30BE-472F-A53D-1469D9F21F82}">
            <x14:dataBar minLength="0" maxLength="100" border="1" negativeBarBorderColorSameAsPositive="0">
              <x14:cfvo type="autoMin"/>
              <x14:cfvo type="autoMax"/>
              <x14:borderColor rgb="FFFF555A"/>
              <x14:negativeFillColor rgb="FFFF0000"/>
              <x14:negativeBorderColor rgb="FFFF0000"/>
              <x14:axisColor rgb="FF000000"/>
            </x14:dataBar>
          </x14:cfRule>
          <xm:sqref>D30:D40</xm:sqref>
        </x14:conditionalFormatting>
        <x14:conditionalFormatting xmlns:xm="http://schemas.microsoft.com/office/excel/2006/main">
          <x14:cfRule type="dataBar" id="{9CDC41C8-7885-4253-9A55-9C20BAE1EC19}">
            <x14:dataBar minLength="0" maxLength="100" border="1" negativeBarBorderColorSameAsPositive="0">
              <x14:cfvo type="autoMin"/>
              <x14:cfvo type="autoMax"/>
              <x14:borderColor rgb="FF008AEF"/>
              <x14:negativeFillColor rgb="FFFF0000"/>
              <x14:negativeBorderColor rgb="FFFF0000"/>
              <x14:axisColor rgb="FF000000"/>
            </x14:dataBar>
          </x14:cfRule>
          <xm:sqref>D31:D40</xm:sqref>
        </x14:conditionalFormatting>
        <x14:conditionalFormatting xmlns:xm="http://schemas.microsoft.com/office/excel/2006/main">
          <x14:cfRule type="dataBar" id="{37A07B7E-9AC5-4A8D-BA7F-D014571385E5}">
            <x14:dataBar minLength="0" maxLength="100" border="1" negativeBarBorderColorSameAsPositive="0">
              <x14:cfvo type="autoMin"/>
              <x14:cfvo type="autoMax"/>
              <x14:borderColor rgb="FFFFB628"/>
              <x14:negativeFillColor rgb="FFFF0000"/>
              <x14:negativeBorderColor rgb="FFFF0000"/>
              <x14:axisColor rgb="FF000000"/>
            </x14:dataBar>
          </x14:cfRule>
          <xm:sqref>D44</xm:sqref>
        </x14:conditionalFormatting>
        <x14:conditionalFormatting xmlns:xm="http://schemas.microsoft.com/office/excel/2006/main">
          <x14:cfRule type="dataBar" id="{162BD19C-AD73-4297-A23F-6546775FE14C}">
            <x14:dataBar minLength="0" maxLength="100" border="1" negativeBarBorderColorSameAsPositive="0">
              <x14:cfvo type="autoMin"/>
              <x14:cfvo type="autoMax"/>
              <x14:borderColor rgb="FFFFB628"/>
              <x14:negativeFillColor rgb="FFFF0000"/>
              <x14:negativeBorderColor rgb="FFFF0000"/>
              <x14:axisColor rgb="FF000000"/>
            </x14:dataBar>
          </x14:cfRule>
          <xm:sqref>D85</xm:sqref>
        </x14:conditionalFormatting>
        <x14:conditionalFormatting xmlns:xm="http://schemas.microsoft.com/office/excel/2006/main">
          <x14:cfRule type="dataBar" id="{6ACD5EB8-0642-470F-B5ED-D1636E8C31B1}">
            <x14:dataBar minLength="0" maxLength="100" border="1" negativeBarBorderColorSameAsPositive="0">
              <x14:cfvo type="autoMin"/>
              <x14:cfvo type="autoMax"/>
              <x14:borderColor rgb="FFFFB628"/>
              <x14:negativeFillColor rgb="FFFF0000"/>
              <x14:negativeBorderColor rgb="FFFF0000"/>
              <x14:axisColor rgb="FF000000"/>
            </x14:dataBar>
          </x14:cfRule>
          <xm:sqref>D112</xm:sqref>
        </x14:conditionalFormatting>
        <x14:conditionalFormatting xmlns:xm="http://schemas.microsoft.com/office/excel/2006/main">
          <x14:cfRule type="dataBar" id="{5C0D2D1A-33E7-42F5-AC68-18E558D07AAF}">
            <x14:dataBar minLength="0" maxLength="100" border="1" negativeBarBorderColorSameAsPositive="0">
              <x14:cfvo type="autoMin"/>
              <x14:cfvo type="autoMax"/>
              <x14:borderColor rgb="FF008AEF"/>
              <x14:negativeFillColor rgb="FFFF0000"/>
              <x14:negativeBorderColor rgb="FFFF0000"/>
              <x14:axisColor rgb="FF000000"/>
            </x14:dataBar>
          </x14:cfRule>
          <xm:sqref>E31:E40</xm:sqref>
        </x14:conditionalFormatting>
        <x14:conditionalFormatting xmlns:xm="http://schemas.microsoft.com/office/excel/2006/main">
          <x14:cfRule type="dataBar" id="{D2EF878B-934F-4354-8755-F815254D96C0}">
            <x14:dataBar minLength="0" maxLength="100" border="1" negativeBarBorderColorSameAsPositive="0">
              <x14:cfvo type="autoMin"/>
              <x14:cfvo type="autoMax"/>
              <x14:borderColor rgb="FFFF555A"/>
              <x14:negativeFillColor rgb="FFFF0000"/>
              <x14:negativeBorderColor rgb="FFFF0000"/>
              <x14:axisColor rgb="FF000000"/>
            </x14:dataBar>
          </x14:cfRule>
          <xm:sqref>E43:E44</xm:sqref>
        </x14:conditionalFormatting>
        <x14:conditionalFormatting xmlns:xm="http://schemas.microsoft.com/office/excel/2006/main">
          <x14:cfRule type="dataBar" id="{730333E9-B956-4CA1-91D0-AF81644FB518}">
            <x14:dataBar minLength="0" maxLength="100" border="1" negativeBarBorderColorSameAsPositive="0">
              <x14:cfvo type="autoMin"/>
              <x14:cfvo type="autoMax"/>
              <x14:borderColor rgb="FF008AEF"/>
              <x14:negativeFillColor rgb="FFFF0000"/>
              <x14:negativeBorderColor rgb="FFFF0000"/>
              <x14:axisColor rgb="FF000000"/>
            </x14:dataBar>
          </x14:cfRule>
          <xm:sqref>E44</xm:sqref>
        </x14:conditionalFormatting>
        <x14:conditionalFormatting xmlns:xm="http://schemas.microsoft.com/office/excel/2006/main">
          <x14:cfRule type="dataBar" id="{F928424B-3492-45D1-9928-17D81CDA4217}">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569064C5-E5AC-418B-8FEA-32AD0757CAFC}">
            <x14:dataBar minLength="0" maxLength="100" border="1" negativeBarBorderColorSameAsPositive="0">
              <x14:cfvo type="autoMin"/>
              <x14:cfvo type="autoMax"/>
              <x14:borderColor rgb="FF008AEF"/>
              <x14:negativeFillColor rgb="FFFF0000"/>
              <x14:negativeBorderColor rgb="FFFF0000"/>
              <x14:axisColor rgb="FF000000"/>
            </x14:dataBar>
          </x14:cfRule>
          <xm:sqref>E71:E72</xm:sqref>
        </x14:conditionalFormatting>
        <x14:conditionalFormatting xmlns:xm="http://schemas.microsoft.com/office/excel/2006/main">
          <x14:cfRule type="dataBar" id="{CFE3EBF3-2062-40CC-AA74-F9D24546DB4B}">
            <x14:dataBar minLength="0" maxLength="100" border="1" negativeBarBorderColorSameAsPositive="0">
              <x14:cfvo type="autoMin"/>
              <x14:cfvo type="autoMax"/>
              <x14:borderColor rgb="FF008AEF"/>
              <x14:negativeFillColor rgb="FFFF0000"/>
              <x14:negativeBorderColor rgb="FFFF0000"/>
              <x14:axisColor rgb="FF000000"/>
            </x14:dataBar>
          </x14:cfRule>
          <xm:sqref>E85:F85</xm:sqref>
        </x14:conditionalFormatting>
        <x14:conditionalFormatting xmlns:xm="http://schemas.microsoft.com/office/excel/2006/main">
          <x14:cfRule type="dataBar" id="{1E547708-2D56-4CB4-83FC-6E6E4BC273C6}">
            <x14:dataBar minLength="0" maxLength="100" border="1" negativeBarBorderColorSameAsPositive="0">
              <x14:cfvo type="autoMin"/>
              <x14:cfvo type="autoMax"/>
              <x14:borderColor rgb="FF008AEF"/>
              <x14:negativeFillColor rgb="FFFF0000"/>
              <x14:negativeBorderColor rgb="FFFF0000"/>
              <x14:axisColor rgb="FF000000"/>
            </x14:dataBar>
          </x14:cfRule>
          <xm:sqref>E112:F112</xm:sqref>
        </x14:conditionalFormatting>
        <x14:conditionalFormatting xmlns:xm="http://schemas.microsoft.com/office/excel/2006/main">
          <x14:cfRule type="dataBar" id="{98D5ABCD-022E-4590-B3F1-06A1118F7D4D}">
            <x14:dataBar minLength="0" maxLength="100" border="1" negativeBarBorderColorSameAsPositive="0">
              <x14:cfvo type="autoMin"/>
              <x14:cfvo type="autoMax"/>
              <x14:borderColor rgb="FF008AEF"/>
              <x14:negativeFillColor rgb="FFFF0000"/>
              <x14:negativeBorderColor rgb="FFFF0000"/>
              <x14:axisColor rgb="FF000000"/>
            </x14:dataBar>
          </x14:cfRule>
          <xm:sqref>F44</xm:sqref>
        </x14:conditionalFormatting>
        <x14:conditionalFormatting xmlns:xm="http://schemas.microsoft.com/office/excel/2006/main">
          <x14:cfRule type="dataBar" id="{5B789F2C-3C3A-4E65-B876-4845FEE2F1C1}">
            <x14:dataBar minLength="0" maxLength="100" border="1" negativeBarBorderColorSameAsPositive="0">
              <x14:cfvo type="autoMin"/>
              <x14:cfvo type="autoMax"/>
              <x14:borderColor rgb="FFFFB628"/>
              <x14:negativeFillColor rgb="FFFF0000"/>
              <x14:negativeBorderColor rgb="FFFF0000"/>
              <x14:axisColor rgb="FF000000"/>
            </x14:dataBar>
          </x14:cfRule>
          <xm:sqref>M60</xm:sqref>
        </x14:conditionalFormatting>
        <x14:conditionalFormatting xmlns:xm="http://schemas.microsoft.com/office/excel/2006/main">
          <x14:cfRule type="dataBar" id="{ECC2F795-DDA8-43BB-908A-B18AAC0F7230}">
            <x14:dataBar minLength="0" maxLength="100" border="1" negativeBarBorderColorSameAsPositive="0">
              <x14:cfvo type="autoMin"/>
              <x14:cfvo type="autoMax"/>
              <x14:borderColor rgb="FF008AEF"/>
              <x14:negativeFillColor rgb="FFFF0000"/>
              <x14:negativeBorderColor rgb="FFFF0000"/>
              <x14:axisColor rgb="FF000000"/>
            </x14:dataBar>
          </x14:cfRule>
          <xm:sqref>N60:O60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3B408-5DD7-4142-8D3C-DFA8D20E73EC}">
  <dimension ref="A1:Y41"/>
  <sheetViews>
    <sheetView showGridLines="0" showRowColHeaders="0" zoomScaleNormal="100" workbookViewId="0">
      <selection activeCell="B3" sqref="B3"/>
    </sheetView>
  </sheetViews>
  <sheetFormatPr defaultRowHeight="13.2" x14ac:dyDescent="0.25"/>
  <sheetData>
    <row r="1" spans="1:25" x14ac:dyDescent="0.25">
      <c r="A1" s="6"/>
      <c r="B1" s="6"/>
      <c r="C1" s="6"/>
      <c r="D1" s="6"/>
      <c r="E1" s="6"/>
      <c r="F1" s="6"/>
      <c r="G1" s="6"/>
      <c r="H1" s="6"/>
      <c r="I1" s="6"/>
      <c r="J1" s="6"/>
      <c r="K1" s="6"/>
      <c r="L1" s="6"/>
      <c r="M1" s="6"/>
      <c r="N1" s="6"/>
      <c r="O1" s="6"/>
      <c r="P1" s="6"/>
      <c r="Q1" s="6"/>
      <c r="R1" s="6"/>
      <c r="S1" s="6"/>
      <c r="T1" s="6"/>
      <c r="U1" s="6"/>
      <c r="V1" s="6"/>
      <c r="W1" s="6"/>
      <c r="X1" s="6"/>
      <c r="Y1" s="6"/>
    </row>
    <row r="2" spans="1:25" x14ac:dyDescent="0.25">
      <c r="A2" s="6"/>
      <c r="B2" s="6"/>
      <c r="C2" s="6"/>
      <c r="D2" s="6"/>
      <c r="E2" s="6"/>
      <c r="F2" s="6"/>
      <c r="G2" s="6"/>
      <c r="H2" s="6"/>
      <c r="I2" s="6"/>
      <c r="J2" s="6"/>
      <c r="K2" s="6"/>
      <c r="L2" s="6"/>
      <c r="M2" s="6"/>
      <c r="N2" s="6"/>
      <c r="O2" s="6"/>
      <c r="P2" s="6"/>
      <c r="Q2" s="6"/>
      <c r="R2" s="6"/>
      <c r="S2" s="6"/>
      <c r="T2" s="6"/>
      <c r="U2" s="6"/>
      <c r="V2" s="6"/>
      <c r="W2" s="6"/>
      <c r="X2" s="6"/>
      <c r="Y2" s="6"/>
    </row>
    <row r="3" spans="1:25" x14ac:dyDescent="0.25">
      <c r="A3" s="6"/>
      <c r="B3" s="6"/>
      <c r="C3" s="6"/>
      <c r="D3" s="6"/>
      <c r="E3" s="6"/>
      <c r="F3" s="6"/>
      <c r="G3" s="6"/>
      <c r="H3" s="6"/>
      <c r="I3" s="6"/>
      <c r="J3" s="6"/>
      <c r="K3" s="6"/>
      <c r="L3" s="6"/>
      <c r="M3" s="6"/>
      <c r="N3" s="6"/>
      <c r="O3" s="6"/>
      <c r="P3" s="6"/>
      <c r="Q3" s="6"/>
      <c r="R3" s="6"/>
      <c r="S3" s="6"/>
      <c r="T3" s="6"/>
      <c r="U3" s="6"/>
      <c r="V3" s="6"/>
      <c r="W3" s="6"/>
      <c r="X3" s="6"/>
      <c r="Y3" s="6"/>
    </row>
    <row r="4" spans="1:25" x14ac:dyDescent="0.25">
      <c r="A4" s="6"/>
      <c r="B4" s="6"/>
      <c r="C4" s="6"/>
      <c r="D4" s="6"/>
      <c r="E4" s="6"/>
      <c r="F4" s="6"/>
      <c r="G4" s="6"/>
      <c r="H4" s="6"/>
      <c r="I4" s="6"/>
      <c r="J4" s="6"/>
      <c r="K4" s="6"/>
      <c r="L4" s="6"/>
      <c r="M4" s="6"/>
      <c r="N4" s="6"/>
      <c r="O4" s="6"/>
      <c r="P4" s="6"/>
      <c r="Q4" s="6"/>
      <c r="R4" s="6"/>
      <c r="S4" s="6"/>
      <c r="T4" s="6"/>
      <c r="U4" s="6"/>
      <c r="V4" s="6"/>
      <c r="W4" s="6"/>
      <c r="X4" s="6"/>
      <c r="Y4" s="6"/>
    </row>
    <row r="5" spans="1:25" x14ac:dyDescent="0.25">
      <c r="A5" s="6"/>
      <c r="B5" s="6"/>
      <c r="C5" s="6"/>
      <c r="D5" s="6"/>
      <c r="E5" s="6"/>
      <c r="F5" s="6"/>
      <c r="G5" s="6"/>
      <c r="H5" s="6"/>
      <c r="I5" s="6"/>
      <c r="J5" s="6"/>
      <c r="K5" s="6"/>
      <c r="L5" s="6"/>
      <c r="M5" s="6"/>
      <c r="N5" s="6"/>
      <c r="O5" s="6"/>
      <c r="P5" s="6"/>
      <c r="Q5" s="6"/>
      <c r="R5" s="6"/>
      <c r="S5" s="6"/>
      <c r="T5" s="6"/>
      <c r="U5" s="6"/>
      <c r="V5" s="6"/>
      <c r="W5" s="6"/>
      <c r="X5" s="6"/>
      <c r="Y5" s="6"/>
    </row>
    <row r="6" spans="1:25" x14ac:dyDescent="0.25">
      <c r="A6" s="6"/>
      <c r="B6" s="6"/>
      <c r="C6" s="6"/>
      <c r="D6" s="6"/>
      <c r="E6" s="6"/>
      <c r="F6" s="6"/>
      <c r="G6" s="6"/>
      <c r="H6" s="6"/>
      <c r="I6" s="6"/>
      <c r="J6" s="6"/>
      <c r="K6" s="6"/>
      <c r="L6" s="6"/>
      <c r="M6" s="6"/>
      <c r="N6" s="6"/>
      <c r="O6" s="6"/>
      <c r="P6" s="6"/>
      <c r="Q6" s="6"/>
      <c r="R6" s="6"/>
      <c r="S6" s="6"/>
      <c r="T6" s="6"/>
      <c r="U6" s="6"/>
      <c r="V6" s="6"/>
      <c r="W6" s="6"/>
      <c r="X6" s="6"/>
      <c r="Y6" s="6"/>
    </row>
    <row r="7" spans="1:25" x14ac:dyDescent="0.25">
      <c r="A7" s="6"/>
      <c r="B7" s="6"/>
      <c r="C7" s="6"/>
      <c r="D7" s="6"/>
      <c r="E7" s="6"/>
      <c r="F7" s="6"/>
      <c r="G7" s="6"/>
      <c r="H7" s="6"/>
      <c r="I7" s="6"/>
      <c r="J7" s="6"/>
      <c r="K7" s="6"/>
      <c r="L7" s="6"/>
      <c r="M7" s="6"/>
      <c r="N7" s="6"/>
      <c r="O7" s="6"/>
      <c r="P7" s="6"/>
      <c r="Q7" s="6"/>
      <c r="R7" s="6"/>
      <c r="S7" s="6"/>
      <c r="T7" s="6"/>
      <c r="U7" s="6"/>
      <c r="V7" s="6"/>
      <c r="W7" s="6"/>
      <c r="X7" s="6"/>
      <c r="Y7" s="6"/>
    </row>
    <row r="8" spans="1:25" x14ac:dyDescent="0.25">
      <c r="A8" s="6"/>
      <c r="B8" s="6"/>
      <c r="C8" s="6"/>
      <c r="D8" s="6"/>
      <c r="E8" s="6"/>
      <c r="F8" s="6"/>
      <c r="G8" s="6"/>
      <c r="H8" s="6"/>
      <c r="I8" s="6"/>
      <c r="J8" s="6"/>
      <c r="K8" s="6"/>
      <c r="L8" s="6"/>
      <c r="M8" s="6"/>
      <c r="N8" s="6"/>
      <c r="O8" s="6"/>
      <c r="P8" s="6"/>
      <c r="Q8" s="6"/>
      <c r="R8" s="6"/>
      <c r="S8" s="6"/>
      <c r="T8" s="6"/>
      <c r="U8" s="6"/>
      <c r="V8" s="6"/>
      <c r="W8" s="6"/>
      <c r="X8" s="6"/>
      <c r="Y8" s="6"/>
    </row>
    <row r="9" spans="1:25" ht="13.8" x14ac:dyDescent="0.25">
      <c r="A9" s="6"/>
      <c r="B9" s="6"/>
      <c r="C9" s="6"/>
      <c r="D9" s="8"/>
      <c r="E9" s="6"/>
      <c r="F9" s="6"/>
      <c r="G9" s="6"/>
      <c r="H9" s="6"/>
      <c r="I9" s="6"/>
      <c r="J9" s="6"/>
      <c r="K9" s="6"/>
      <c r="L9" s="6"/>
      <c r="M9" s="6"/>
      <c r="N9" s="6"/>
      <c r="O9" s="6"/>
      <c r="P9" s="6"/>
      <c r="Q9" s="6"/>
      <c r="R9" s="6"/>
      <c r="S9" s="6"/>
      <c r="T9" s="6"/>
      <c r="U9" s="6"/>
      <c r="V9" s="6"/>
      <c r="W9" s="6"/>
      <c r="X9" s="6"/>
      <c r="Y9" s="6"/>
    </row>
    <row r="10" spans="1:25" x14ac:dyDescent="0.25">
      <c r="A10" s="6"/>
      <c r="B10" s="6"/>
      <c r="C10" s="6"/>
      <c r="D10" s="6"/>
      <c r="E10" s="6"/>
      <c r="F10" s="6"/>
      <c r="G10" s="6"/>
      <c r="H10" s="6"/>
      <c r="I10" s="6"/>
      <c r="J10" s="6"/>
      <c r="K10" s="6"/>
      <c r="L10" s="6"/>
      <c r="M10" s="6"/>
      <c r="N10" s="6"/>
      <c r="O10" s="6"/>
      <c r="P10" s="6"/>
      <c r="Q10" s="6"/>
      <c r="R10" s="6"/>
      <c r="S10" s="6"/>
      <c r="T10" s="6"/>
      <c r="U10" s="6"/>
      <c r="V10" s="6"/>
      <c r="W10" s="6"/>
      <c r="X10" s="6"/>
      <c r="Y10" s="6"/>
    </row>
    <row r="11" spans="1:25" x14ac:dyDescent="0.25">
      <c r="A11" s="6"/>
      <c r="B11" s="6"/>
      <c r="C11" s="6"/>
      <c r="D11" s="6"/>
      <c r="E11" s="6"/>
      <c r="F11" s="6"/>
      <c r="G11" s="6"/>
      <c r="H11" s="6"/>
      <c r="I11" s="6"/>
      <c r="J11" s="6"/>
      <c r="K11" s="6"/>
      <c r="L11" s="6"/>
      <c r="M11" s="6"/>
      <c r="N11" s="6"/>
      <c r="O11" s="6"/>
      <c r="P11" s="6"/>
      <c r="Q11" s="6"/>
      <c r="R11" s="6"/>
      <c r="S11" s="6"/>
      <c r="T11" s="6"/>
      <c r="U11" s="6"/>
      <c r="V11" s="6"/>
      <c r="W11" s="6"/>
      <c r="X11" s="6"/>
      <c r="Y11" s="6"/>
    </row>
    <row r="12" spans="1:25" x14ac:dyDescent="0.25">
      <c r="A12" s="6"/>
      <c r="B12" s="6"/>
      <c r="C12" s="6"/>
      <c r="D12" s="6"/>
      <c r="E12" s="6"/>
      <c r="F12" s="6"/>
      <c r="G12" s="6"/>
      <c r="H12" s="6"/>
      <c r="I12" s="6"/>
      <c r="J12" s="6"/>
      <c r="K12" s="6"/>
      <c r="L12" s="6"/>
      <c r="M12" s="6"/>
      <c r="N12" s="6"/>
      <c r="O12" s="6"/>
      <c r="P12" s="6"/>
      <c r="Q12" s="6"/>
      <c r="R12" s="6"/>
      <c r="S12" s="6"/>
      <c r="T12" s="6"/>
      <c r="U12" s="6"/>
      <c r="V12" s="6"/>
      <c r="W12" s="6"/>
      <c r="X12" s="6"/>
      <c r="Y12" s="6"/>
    </row>
    <row r="13" spans="1:25" x14ac:dyDescent="0.25">
      <c r="A13" s="6"/>
      <c r="B13" s="6"/>
      <c r="C13" s="6"/>
      <c r="D13" s="6"/>
      <c r="E13" s="6"/>
      <c r="F13" s="6"/>
      <c r="G13" s="6"/>
      <c r="H13" s="6"/>
      <c r="I13" s="6"/>
      <c r="J13" s="6"/>
      <c r="K13" s="6"/>
      <c r="L13" s="6"/>
      <c r="M13" s="6"/>
      <c r="N13" s="6"/>
      <c r="O13" s="6"/>
      <c r="P13" s="6"/>
      <c r="Q13" s="6"/>
      <c r="R13" s="6"/>
      <c r="S13" s="6"/>
      <c r="T13" s="6"/>
      <c r="U13" s="6"/>
      <c r="V13" s="6"/>
      <c r="W13" s="6"/>
      <c r="X13" s="6"/>
      <c r="Y13" s="6"/>
    </row>
    <row r="14" spans="1:25" x14ac:dyDescent="0.25">
      <c r="A14" s="6"/>
      <c r="B14" s="6"/>
      <c r="C14" s="6"/>
      <c r="D14" s="6"/>
      <c r="E14" s="6"/>
      <c r="F14" s="6"/>
      <c r="G14" s="6"/>
      <c r="H14" s="6"/>
      <c r="I14" s="6"/>
      <c r="J14" s="6"/>
      <c r="K14" s="6"/>
      <c r="L14" s="6"/>
      <c r="M14" s="6"/>
      <c r="N14" s="6"/>
      <c r="O14" s="6"/>
      <c r="P14" s="6"/>
      <c r="Q14" s="6"/>
      <c r="R14" s="6"/>
      <c r="S14" s="6"/>
      <c r="T14" s="6"/>
      <c r="U14" s="6"/>
      <c r="V14" s="6"/>
      <c r="W14" s="6"/>
      <c r="X14" s="6"/>
      <c r="Y14" s="6"/>
    </row>
    <row r="15" spans="1:25" x14ac:dyDescent="0.25">
      <c r="A15" s="6"/>
      <c r="B15" s="6"/>
      <c r="C15" s="6"/>
      <c r="D15" s="6"/>
      <c r="E15" s="6"/>
      <c r="F15" s="6"/>
      <c r="G15" s="6"/>
      <c r="H15" s="6"/>
      <c r="I15" s="6"/>
      <c r="J15" s="6"/>
      <c r="K15" s="6"/>
      <c r="L15" s="6"/>
      <c r="M15" s="6"/>
      <c r="N15" s="6"/>
      <c r="O15" s="6"/>
      <c r="P15" s="6"/>
      <c r="Q15" s="6"/>
      <c r="R15" s="6"/>
      <c r="S15" s="6"/>
      <c r="T15" s="6"/>
      <c r="U15" s="6"/>
      <c r="V15" s="6"/>
      <c r="W15" s="6"/>
      <c r="X15" s="6"/>
      <c r="Y15" s="6"/>
    </row>
    <row r="16" spans="1:25" x14ac:dyDescent="0.25">
      <c r="A16" s="6"/>
      <c r="B16" s="6"/>
      <c r="C16" s="6"/>
      <c r="D16" s="6"/>
      <c r="E16" s="6"/>
      <c r="F16" s="6"/>
      <c r="G16" s="6"/>
      <c r="H16" s="6"/>
      <c r="I16" s="6"/>
      <c r="J16" s="6"/>
      <c r="K16" s="6"/>
      <c r="L16" s="6"/>
      <c r="M16" s="6"/>
      <c r="N16" s="6"/>
      <c r="O16" s="6"/>
      <c r="P16" s="6"/>
      <c r="Q16" s="6"/>
      <c r="R16" s="6"/>
      <c r="S16" s="6"/>
      <c r="T16" s="6"/>
      <c r="U16" s="6"/>
      <c r="V16" s="6"/>
      <c r="W16" s="6"/>
      <c r="X16" s="6"/>
      <c r="Y16" s="6"/>
    </row>
    <row r="17" spans="1:25" x14ac:dyDescent="0.25">
      <c r="A17" s="6"/>
      <c r="B17" s="6"/>
      <c r="C17" s="6"/>
      <c r="D17" s="6"/>
      <c r="E17" s="6"/>
      <c r="F17" s="6"/>
      <c r="G17" s="6"/>
      <c r="H17" s="6"/>
      <c r="I17" s="6"/>
      <c r="J17" s="6"/>
      <c r="K17" s="6"/>
      <c r="L17" s="6"/>
      <c r="M17" s="6"/>
      <c r="N17" s="6"/>
      <c r="O17" s="6"/>
      <c r="P17" s="6"/>
      <c r="Q17" s="6"/>
      <c r="R17" s="6"/>
      <c r="S17" s="6"/>
      <c r="T17" s="6"/>
      <c r="U17" s="6"/>
      <c r="V17" s="6"/>
      <c r="W17" s="6"/>
      <c r="X17" s="6"/>
      <c r="Y17" s="6"/>
    </row>
    <row r="18" spans="1:25" x14ac:dyDescent="0.25">
      <c r="A18" s="6"/>
      <c r="B18" s="6"/>
      <c r="C18" s="6"/>
      <c r="D18" s="6"/>
      <c r="E18" s="6"/>
      <c r="F18" s="6"/>
      <c r="G18" s="6"/>
      <c r="H18" s="6"/>
      <c r="I18" s="6"/>
      <c r="J18" s="6"/>
      <c r="K18" s="6"/>
      <c r="L18" s="6"/>
      <c r="M18" s="6"/>
      <c r="N18" s="6"/>
      <c r="O18" s="6"/>
      <c r="P18" s="6"/>
      <c r="Q18" s="6"/>
      <c r="R18" s="6"/>
      <c r="S18" s="6"/>
      <c r="T18" s="6"/>
      <c r="U18" s="6"/>
      <c r="V18" s="6"/>
      <c r="W18" s="6"/>
      <c r="X18" s="6"/>
      <c r="Y18" s="6"/>
    </row>
    <row r="19" spans="1:25" x14ac:dyDescent="0.25">
      <c r="A19" s="6"/>
      <c r="B19" s="6"/>
      <c r="C19" s="6"/>
      <c r="D19" s="6"/>
      <c r="E19" s="6"/>
      <c r="F19" s="6"/>
      <c r="G19" s="6"/>
      <c r="H19" s="6"/>
      <c r="I19" s="6"/>
      <c r="J19" s="6"/>
      <c r="K19" s="6"/>
      <c r="L19" s="6"/>
      <c r="M19" s="6"/>
      <c r="N19" s="6"/>
      <c r="O19" s="6"/>
      <c r="P19" s="6"/>
      <c r="Q19" s="6"/>
      <c r="R19" s="6"/>
      <c r="S19" s="6"/>
      <c r="T19" s="6"/>
      <c r="U19" s="6"/>
      <c r="V19" s="6"/>
      <c r="W19" s="6"/>
      <c r="X19" s="6"/>
      <c r="Y19" s="6"/>
    </row>
    <row r="20" spans="1:25" x14ac:dyDescent="0.25">
      <c r="A20" s="6"/>
      <c r="B20" s="6"/>
      <c r="C20" s="6"/>
      <c r="D20" s="6"/>
      <c r="E20" s="6"/>
      <c r="F20" s="6"/>
      <c r="G20" s="6"/>
      <c r="H20" s="6"/>
      <c r="I20" s="6"/>
      <c r="J20" s="6"/>
      <c r="K20" s="6"/>
      <c r="L20" s="6"/>
      <c r="M20" s="6"/>
      <c r="N20" s="6"/>
      <c r="O20" s="6"/>
      <c r="P20" s="6"/>
      <c r="Q20" s="6"/>
      <c r="R20" s="6"/>
      <c r="S20" s="6"/>
      <c r="T20" s="6"/>
      <c r="U20" s="6"/>
      <c r="V20" s="6"/>
      <c r="W20" s="6"/>
      <c r="X20" s="6"/>
      <c r="Y20" s="6"/>
    </row>
    <row r="21" spans="1:25" x14ac:dyDescent="0.25">
      <c r="A21" s="6"/>
      <c r="B21" s="6"/>
      <c r="C21" s="6"/>
      <c r="D21" s="6"/>
      <c r="E21" s="6"/>
      <c r="F21" s="6"/>
      <c r="G21" s="6"/>
      <c r="H21" s="6"/>
      <c r="I21" s="6"/>
      <c r="J21" s="6"/>
      <c r="K21" s="6"/>
      <c r="L21" s="6"/>
      <c r="M21" s="6"/>
      <c r="N21" s="6"/>
      <c r="O21" s="6"/>
      <c r="P21" s="6"/>
      <c r="Q21" s="6"/>
      <c r="R21" s="6"/>
      <c r="S21" s="6"/>
      <c r="T21" s="6"/>
      <c r="U21" s="6"/>
      <c r="V21" s="6"/>
      <c r="W21" s="6"/>
      <c r="X21" s="6"/>
      <c r="Y21" s="6"/>
    </row>
    <row r="22" spans="1:25" x14ac:dyDescent="0.25">
      <c r="A22" s="6"/>
      <c r="B22" s="6"/>
      <c r="C22" s="6"/>
      <c r="D22" s="6"/>
      <c r="E22" s="6"/>
      <c r="F22" s="6"/>
      <c r="G22" s="6"/>
      <c r="H22" s="6"/>
      <c r="I22" s="6"/>
      <c r="J22" s="6"/>
      <c r="K22" s="6"/>
      <c r="L22" s="6"/>
      <c r="M22" s="6"/>
      <c r="N22" s="6"/>
      <c r="O22" s="6"/>
      <c r="P22" s="6"/>
      <c r="Q22" s="6"/>
      <c r="R22" s="6"/>
      <c r="S22" s="6"/>
      <c r="T22" s="6"/>
      <c r="U22" s="6"/>
      <c r="V22" s="6"/>
      <c r="W22" s="6"/>
      <c r="X22" s="6"/>
      <c r="Y22" s="6"/>
    </row>
    <row r="23" spans="1:25" x14ac:dyDescent="0.25">
      <c r="A23" s="6"/>
      <c r="B23" s="6"/>
      <c r="C23" s="6"/>
      <c r="D23" s="6"/>
      <c r="E23" s="6"/>
      <c r="F23" s="6"/>
      <c r="G23" s="6"/>
      <c r="H23" s="6"/>
      <c r="I23" s="6"/>
      <c r="J23" s="6"/>
      <c r="K23" s="6"/>
      <c r="L23" s="6"/>
      <c r="M23" s="6"/>
      <c r="N23" s="6"/>
      <c r="O23" s="6"/>
      <c r="P23" s="6"/>
      <c r="Q23" s="6"/>
      <c r="R23" s="6"/>
      <c r="S23" s="6"/>
      <c r="T23" s="6"/>
      <c r="U23" s="6"/>
      <c r="V23" s="6"/>
      <c r="W23" s="6"/>
      <c r="X23" s="6"/>
      <c r="Y23" s="6"/>
    </row>
    <row r="24" spans="1:25" x14ac:dyDescent="0.25">
      <c r="A24" s="6"/>
      <c r="B24" s="6"/>
      <c r="C24" s="6"/>
      <c r="D24" s="6"/>
      <c r="E24" s="6"/>
      <c r="F24" s="6"/>
      <c r="G24" s="6"/>
      <c r="H24" s="6"/>
      <c r="I24" s="6"/>
      <c r="J24" s="6"/>
      <c r="K24" s="6"/>
      <c r="L24" s="6"/>
      <c r="M24" s="6"/>
      <c r="N24" s="6"/>
      <c r="O24" s="6"/>
      <c r="P24" s="6"/>
      <c r="Q24" s="6"/>
      <c r="R24" s="6"/>
      <c r="S24" s="6"/>
      <c r="T24" s="6"/>
      <c r="U24" s="6"/>
      <c r="V24" s="6"/>
      <c r="W24" s="6"/>
      <c r="X24" s="6"/>
      <c r="Y24" s="6"/>
    </row>
    <row r="25" spans="1:25" x14ac:dyDescent="0.25">
      <c r="A25" s="6"/>
      <c r="B25" s="6"/>
      <c r="C25" s="6"/>
      <c r="D25" s="6"/>
      <c r="E25" s="6"/>
      <c r="F25" s="6"/>
      <c r="G25" s="6"/>
      <c r="H25" s="6"/>
      <c r="I25" s="6"/>
      <c r="J25" s="6"/>
      <c r="K25" s="6"/>
      <c r="L25" s="6"/>
      <c r="M25" s="6"/>
      <c r="N25" s="6"/>
      <c r="O25" s="6"/>
      <c r="P25" s="6"/>
      <c r="Q25" s="6"/>
      <c r="R25" s="6"/>
      <c r="S25" s="6"/>
      <c r="T25" s="6"/>
      <c r="U25" s="6"/>
      <c r="V25" s="6"/>
      <c r="W25" s="6"/>
      <c r="X25" s="6"/>
      <c r="Y25" s="6"/>
    </row>
    <row r="26" spans="1:25" x14ac:dyDescent="0.25">
      <c r="A26" s="6"/>
      <c r="B26" s="6"/>
      <c r="C26" s="6"/>
      <c r="D26" s="6"/>
      <c r="E26" s="6"/>
      <c r="F26" s="6"/>
      <c r="G26" s="6"/>
      <c r="H26" s="6"/>
      <c r="I26" s="6"/>
      <c r="J26" s="6"/>
      <c r="K26" s="6"/>
      <c r="L26" s="6"/>
      <c r="M26" s="6"/>
      <c r="N26" s="6"/>
      <c r="O26" s="6"/>
      <c r="P26" s="6"/>
      <c r="Q26" s="6"/>
      <c r="R26" s="6"/>
      <c r="S26" s="6"/>
      <c r="T26" s="6"/>
      <c r="U26" s="6"/>
      <c r="V26" s="6"/>
      <c r="W26" s="6"/>
      <c r="X26" s="6"/>
      <c r="Y26" s="6"/>
    </row>
    <row r="27" spans="1:25" x14ac:dyDescent="0.25">
      <c r="A27" s="6"/>
      <c r="B27" s="6"/>
      <c r="C27" s="6"/>
      <c r="D27" s="6"/>
      <c r="E27" s="6"/>
      <c r="F27" s="6"/>
      <c r="G27" s="6"/>
      <c r="H27" s="6"/>
      <c r="I27" s="6"/>
      <c r="J27" s="6"/>
      <c r="K27" s="6"/>
      <c r="L27" s="6"/>
      <c r="M27" s="6"/>
      <c r="N27" s="6"/>
      <c r="O27" s="6"/>
      <c r="P27" s="6"/>
      <c r="Q27" s="6"/>
      <c r="R27" s="6"/>
      <c r="S27" s="6"/>
      <c r="T27" s="6"/>
      <c r="U27" s="6"/>
      <c r="V27" s="6"/>
      <c r="W27" s="6"/>
      <c r="X27" s="6"/>
      <c r="Y27" s="6"/>
    </row>
    <row r="28" spans="1:25" x14ac:dyDescent="0.25">
      <c r="A28" s="6"/>
      <c r="B28" s="6"/>
      <c r="C28" s="6"/>
      <c r="D28" s="6"/>
      <c r="E28" s="6"/>
      <c r="F28" s="6"/>
      <c r="G28" s="6"/>
      <c r="H28" s="6"/>
      <c r="I28" s="6"/>
      <c r="J28" s="6"/>
      <c r="K28" s="6"/>
      <c r="L28" s="6"/>
      <c r="M28" s="6"/>
      <c r="N28" s="6"/>
      <c r="O28" s="6"/>
      <c r="P28" s="6"/>
      <c r="Q28" s="6"/>
      <c r="R28" s="6"/>
      <c r="S28" s="6"/>
      <c r="T28" s="6"/>
      <c r="U28" s="6"/>
      <c r="V28" s="6"/>
      <c r="W28" s="6"/>
      <c r="X28" s="6"/>
      <c r="Y28" s="6"/>
    </row>
    <row r="29" spans="1:25" x14ac:dyDescent="0.25">
      <c r="A29" s="6"/>
      <c r="B29" s="6"/>
      <c r="C29" s="6"/>
      <c r="D29" s="6"/>
      <c r="E29" s="6"/>
      <c r="F29" s="6"/>
      <c r="G29" s="6"/>
      <c r="H29" s="6"/>
      <c r="I29" s="6"/>
      <c r="J29" s="6"/>
      <c r="K29" s="6"/>
      <c r="L29" s="6"/>
      <c r="M29" s="6"/>
      <c r="N29" s="6"/>
      <c r="O29" s="6"/>
      <c r="P29" s="6"/>
      <c r="Q29" s="6"/>
      <c r="R29" s="6"/>
      <c r="S29" s="6"/>
      <c r="T29" s="6"/>
      <c r="U29" s="6"/>
      <c r="V29" s="6"/>
      <c r="W29" s="6"/>
      <c r="X29" s="6"/>
      <c r="Y29" s="6"/>
    </row>
    <row r="30" spans="1:25" x14ac:dyDescent="0.25">
      <c r="A30" s="6"/>
      <c r="B30" s="6"/>
      <c r="C30" s="6"/>
      <c r="D30" s="6"/>
      <c r="E30" s="6"/>
      <c r="F30" s="6"/>
      <c r="G30" s="6"/>
      <c r="H30" s="6"/>
      <c r="I30" s="6"/>
      <c r="J30" s="6"/>
      <c r="K30" s="6"/>
      <c r="L30" s="6"/>
      <c r="M30" s="6"/>
      <c r="N30" s="6"/>
      <c r="O30" s="6"/>
      <c r="P30" s="6"/>
      <c r="Q30" s="6"/>
      <c r="R30" s="6"/>
      <c r="S30" s="6"/>
      <c r="T30" s="6"/>
      <c r="U30" s="6"/>
      <c r="V30" s="6"/>
      <c r="W30" s="6"/>
      <c r="X30" s="6"/>
      <c r="Y30" s="6"/>
    </row>
    <row r="31" spans="1:25" x14ac:dyDescent="0.25">
      <c r="A31" s="6"/>
      <c r="B31" s="6"/>
      <c r="C31" s="6"/>
      <c r="D31" s="6"/>
      <c r="E31" s="6"/>
      <c r="F31" s="6"/>
      <c r="G31" s="6"/>
      <c r="H31" s="6"/>
      <c r="I31" s="6"/>
      <c r="J31" s="6"/>
      <c r="K31" s="6"/>
      <c r="L31" s="6"/>
      <c r="M31" s="6"/>
      <c r="N31" s="6"/>
      <c r="O31" s="6"/>
      <c r="P31" s="6"/>
      <c r="Q31" s="6"/>
      <c r="R31" s="6"/>
      <c r="S31" s="6"/>
      <c r="T31" s="6"/>
      <c r="U31" s="6"/>
      <c r="V31" s="6"/>
      <c r="W31" s="6"/>
      <c r="X31" s="6"/>
      <c r="Y31" s="6"/>
    </row>
    <row r="32" spans="1:25" x14ac:dyDescent="0.25">
      <c r="A32" s="6"/>
      <c r="B32" s="6"/>
      <c r="C32" s="6"/>
      <c r="D32" s="6"/>
      <c r="E32" s="6"/>
      <c r="F32" s="6"/>
      <c r="G32" s="6"/>
      <c r="H32" s="6"/>
      <c r="I32" s="6"/>
      <c r="J32" s="6"/>
      <c r="K32" s="6"/>
      <c r="L32" s="6"/>
      <c r="M32" s="6"/>
      <c r="N32" s="6"/>
      <c r="O32" s="6"/>
      <c r="P32" s="6"/>
      <c r="Q32" s="6"/>
      <c r="R32" s="6"/>
      <c r="S32" s="6"/>
      <c r="T32" s="6"/>
      <c r="U32" s="6"/>
      <c r="V32" s="6"/>
      <c r="W32" s="6"/>
      <c r="X32" s="6"/>
      <c r="Y32" s="6"/>
    </row>
    <row r="33" spans="1:25" x14ac:dyDescent="0.25">
      <c r="A33" s="6"/>
      <c r="B33" s="6"/>
      <c r="C33" s="6"/>
      <c r="D33" s="6"/>
      <c r="E33" s="6"/>
      <c r="F33" s="6"/>
      <c r="G33" s="6"/>
      <c r="H33" s="6"/>
      <c r="I33" s="6"/>
      <c r="J33" s="6"/>
      <c r="K33" s="6"/>
      <c r="L33" s="6"/>
      <c r="M33" s="6"/>
      <c r="N33" s="6"/>
      <c r="O33" s="6"/>
      <c r="P33" s="6"/>
      <c r="Q33" s="6"/>
      <c r="R33" s="6"/>
      <c r="S33" s="6"/>
      <c r="T33" s="6"/>
      <c r="U33" s="6"/>
      <c r="V33" s="6"/>
      <c r="W33" s="6"/>
      <c r="X33" s="6"/>
      <c r="Y33" s="6"/>
    </row>
    <row r="34" spans="1:25" x14ac:dyDescent="0.25">
      <c r="A34" s="6"/>
      <c r="B34" s="6"/>
      <c r="C34" s="6"/>
      <c r="D34" s="6"/>
      <c r="E34" s="6"/>
      <c r="F34" s="6"/>
      <c r="G34" s="6"/>
      <c r="H34" s="6"/>
      <c r="I34" s="6"/>
      <c r="J34" s="6"/>
      <c r="K34" s="6"/>
      <c r="L34" s="6"/>
      <c r="M34" s="6"/>
      <c r="N34" s="6"/>
      <c r="O34" s="6"/>
      <c r="P34" s="6"/>
      <c r="Q34" s="6"/>
      <c r="R34" s="6"/>
      <c r="S34" s="6"/>
      <c r="T34" s="6"/>
      <c r="U34" s="6"/>
      <c r="V34" s="6"/>
      <c r="W34" s="6"/>
      <c r="X34" s="6"/>
      <c r="Y34" s="6"/>
    </row>
    <row r="35" spans="1:25" x14ac:dyDescent="0.25">
      <c r="A35" s="6"/>
      <c r="B35" s="6"/>
      <c r="C35" s="6"/>
      <c r="D35" s="6"/>
      <c r="E35" s="6"/>
      <c r="F35" s="6"/>
      <c r="G35" s="6"/>
      <c r="H35" s="6"/>
      <c r="I35" s="6"/>
      <c r="J35" s="6"/>
      <c r="K35" s="6"/>
      <c r="L35" s="6"/>
      <c r="M35" s="6"/>
      <c r="N35" s="6"/>
      <c r="O35" s="6"/>
      <c r="P35" s="6"/>
      <c r="Q35" s="6"/>
      <c r="R35" s="6"/>
      <c r="S35" s="6"/>
      <c r="T35" s="6"/>
      <c r="U35" s="6"/>
      <c r="V35" s="6"/>
      <c r="W35" s="6"/>
      <c r="X35" s="6"/>
      <c r="Y35" s="6"/>
    </row>
    <row r="36" spans="1:25" x14ac:dyDescent="0.25">
      <c r="A36" s="6"/>
      <c r="B36" s="6"/>
      <c r="C36" s="6"/>
      <c r="D36" s="6"/>
      <c r="E36" s="6"/>
      <c r="F36" s="6"/>
      <c r="G36" s="6"/>
      <c r="H36" s="6"/>
      <c r="I36" s="6"/>
      <c r="J36" s="6"/>
      <c r="K36" s="6"/>
      <c r="L36" s="6"/>
      <c r="M36" s="6"/>
      <c r="N36" s="6"/>
      <c r="O36" s="6"/>
      <c r="P36" s="6"/>
      <c r="Q36" s="6"/>
      <c r="R36" s="6"/>
      <c r="S36" s="6"/>
      <c r="T36" s="6"/>
      <c r="U36" s="6"/>
      <c r="V36" s="6"/>
      <c r="W36" s="6"/>
      <c r="X36" s="6"/>
      <c r="Y36" s="6"/>
    </row>
    <row r="37" spans="1:25" x14ac:dyDescent="0.25">
      <c r="A37" s="6"/>
      <c r="B37" s="6"/>
      <c r="C37" s="6"/>
      <c r="D37" s="6"/>
      <c r="E37" s="6"/>
      <c r="F37" s="6"/>
      <c r="G37" s="6"/>
      <c r="H37" s="6"/>
      <c r="I37" s="6"/>
      <c r="J37" s="6"/>
      <c r="K37" s="6"/>
      <c r="L37" s="6"/>
      <c r="M37" s="6"/>
      <c r="N37" s="6"/>
      <c r="O37" s="6"/>
      <c r="P37" s="6"/>
      <c r="Q37" s="6"/>
      <c r="R37" s="6"/>
      <c r="S37" s="6"/>
      <c r="T37" s="6"/>
      <c r="U37" s="6"/>
      <c r="V37" s="6"/>
      <c r="W37" s="6"/>
      <c r="X37" s="6"/>
      <c r="Y37" s="6"/>
    </row>
    <row r="38" spans="1:25" x14ac:dyDescent="0.25">
      <c r="A38" s="6"/>
      <c r="B38" s="6"/>
      <c r="C38" s="6"/>
      <c r="D38" s="6"/>
      <c r="E38" s="6"/>
      <c r="F38" s="6"/>
      <c r="G38" s="6"/>
      <c r="H38" s="6"/>
      <c r="I38" s="6"/>
      <c r="J38" s="6"/>
      <c r="K38" s="6"/>
      <c r="L38" s="6"/>
      <c r="M38" s="6"/>
      <c r="N38" s="6"/>
      <c r="O38" s="6"/>
      <c r="P38" s="6"/>
      <c r="Q38" s="6"/>
      <c r="R38" s="6"/>
      <c r="S38" s="6"/>
      <c r="T38" s="6"/>
      <c r="U38" s="6"/>
      <c r="V38" s="6"/>
      <c r="W38" s="6"/>
      <c r="X38" s="6"/>
      <c r="Y38" s="6"/>
    </row>
    <row r="39" spans="1:25" x14ac:dyDescent="0.25">
      <c r="A39" s="6"/>
      <c r="B39" s="6"/>
      <c r="C39" s="6"/>
      <c r="D39" s="6"/>
      <c r="E39" s="6"/>
      <c r="F39" s="6"/>
      <c r="G39" s="6"/>
      <c r="H39" s="6"/>
      <c r="I39" s="6"/>
      <c r="J39" s="6"/>
      <c r="K39" s="6"/>
      <c r="L39" s="6"/>
      <c r="M39" s="6"/>
      <c r="N39" s="6"/>
      <c r="O39" s="6"/>
      <c r="P39" s="6"/>
      <c r="Q39" s="6"/>
      <c r="R39" s="6"/>
      <c r="S39" s="6"/>
      <c r="T39" s="6"/>
      <c r="U39" s="6"/>
      <c r="V39" s="6"/>
      <c r="W39" s="6"/>
      <c r="X39" s="6"/>
      <c r="Y39" s="6"/>
    </row>
    <row r="40" spans="1:25" x14ac:dyDescent="0.25">
      <c r="A40" s="6"/>
      <c r="B40" s="6"/>
      <c r="C40" s="6"/>
      <c r="D40" s="6"/>
      <c r="E40" s="6"/>
      <c r="F40" s="6"/>
      <c r="G40" s="6"/>
      <c r="H40" s="6"/>
      <c r="I40" s="6"/>
      <c r="J40" s="6"/>
      <c r="K40" s="6"/>
      <c r="L40" s="6"/>
      <c r="M40" s="6"/>
      <c r="N40" s="6"/>
      <c r="O40" s="6"/>
      <c r="P40" s="6"/>
      <c r="Q40" s="6"/>
      <c r="R40" s="6"/>
      <c r="S40" s="6"/>
      <c r="T40" s="6"/>
      <c r="U40" s="6"/>
      <c r="V40" s="6"/>
      <c r="W40" s="6"/>
      <c r="X40" s="6"/>
      <c r="Y40" s="6"/>
    </row>
    <row r="41" spans="1:25" x14ac:dyDescent="0.25">
      <c r="A41" s="6"/>
      <c r="B41" s="6"/>
      <c r="C41" s="6"/>
      <c r="D41" s="6"/>
      <c r="E41" s="6"/>
      <c r="F41" s="6"/>
      <c r="G41" s="6"/>
      <c r="H41" s="6"/>
      <c r="I41" s="6"/>
      <c r="J41" s="6"/>
      <c r="K41" s="6"/>
      <c r="L41" s="6"/>
      <c r="M41" s="6"/>
      <c r="N41" s="6"/>
      <c r="O41" s="6"/>
      <c r="P41" s="6"/>
      <c r="Q41" s="6"/>
      <c r="R41" s="6"/>
      <c r="S41" s="6"/>
      <c r="T41" s="6"/>
      <c r="U41" s="6"/>
      <c r="V41" s="6"/>
      <c r="W41" s="6"/>
      <c r="X41" s="6"/>
      <c r="Y41" s="6"/>
    </row>
  </sheetData>
  <phoneticPr fontId="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F08C9-6A93-4E67-B738-9D223C86A6C4}">
  <dimension ref="A1:X39"/>
  <sheetViews>
    <sheetView showGridLines="0" showRowColHeaders="0" workbookViewId="0">
      <selection activeCell="F1" sqref="F1"/>
    </sheetView>
  </sheetViews>
  <sheetFormatPr defaultRowHeight="13.2" x14ac:dyDescent="0.25"/>
  <sheetData>
    <row r="1" spans="1:24" x14ac:dyDescent="0.25">
      <c r="A1" s="6"/>
      <c r="B1" s="6"/>
      <c r="C1" s="6"/>
      <c r="D1" s="6"/>
      <c r="E1" s="6"/>
      <c r="F1" s="6"/>
      <c r="G1" s="6"/>
      <c r="H1" s="6"/>
      <c r="I1" s="6"/>
      <c r="J1" s="6"/>
      <c r="K1" s="6"/>
      <c r="L1" s="6"/>
      <c r="M1" s="6"/>
      <c r="N1" s="6"/>
      <c r="O1" s="6"/>
      <c r="P1" s="6"/>
      <c r="Q1" s="6"/>
      <c r="R1" s="6"/>
      <c r="S1" s="6"/>
      <c r="T1" s="6"/>
      <c r="U1" s="6"/>
      <c r="V1" s="6"/>
      <c r="W1" s="6"/>
      <c r="X1" s="6"/>
    </row>
    <row r="2" spans="1:24" x14ac:dyDescent="0.25">
      <c r="A2" s="6"/>
      <c r="B2" s="6"/>
      <c r="C2" s="6"/>
      <c r="D2" s="6"/>
      <c r="E2" s="6"/>
      <c r="F2" s="6"/>
      <c r="G2" s="6"/>
      <c r="H2" s="6"/>
      <c r="I2" s="6"/>
      <c r="J2" s="6"/>
      <c r="K2" s="6"/>
      <c r="L2" s="6"/>
      <c r="M2" s="6"/>
      <c r="N2" s="6"/>
      <c r="O2" s="6"/>
      <c r="P2" s="6"/>
      <c r="Q2" s="6"/>
      <c r="R2" s="6"/>
      <c r="S2" s="6"/>
      <c r="T2" s="6"/>
      <c r="U2" s="6"/>
      <c r="V2" s="6"/>
      <c r="W2" s="6"/>
      <c r="X2" s="6"/>
    </row>
    <row r="3" spans="1:24" x14ac:dyDescent="0.25">
      <c r="A3" s="6"/>
      <c r="B3" s="6"/>
      <c r="C3" s="6"/>
      <c r="D3" s="6"/>
      <c r="E3" s="6"/>
      <c r="F3" s="6"/>
      <c r="G3" s="6"/>
      <c r="H3" s="6"/>
      <c r="I3" s="6"/>
      <c r="J3" s="6"/>
      <c r="K3" s="6"/>
      <c r="L3" s="6"/>
      <c r="M3" s="6"/>
      <c r="N3" s="6"/>
      <c r="O3" s="6"/>
      <c r="P3" s="6"/>
      <c r="Q3" s="6"/>
      <c r="R3" s="6"/>
      <c r="S3" s="6"/>
      <c r="T3" s="6"/>
      <c r="U3" s="6"/>
      <c r="V3" s="6"/>
      <c r="W3" s="6"/>
      <c r="X3" s="6"/>
    </row>
    <row r="4" spans="1:24" x14ac:dyDescent="0.25">
      <c r="A4" s="6"/>
      <c r="B4" s="6"/>
      <c r="C4" s="6"/>
      <c r="D4" s="6"/>
      <c r="E4" s="6"/>
      <c r="F4" s="6"/>
      <c r="G4" s="6"/>
      <c r="H4" s="6"/>
      <c r="I4" s="6"/>
      <c r="J4" s="6"/>
      <c r="K4" s="6"/>
      <c r="L4" s="6"/>
      <c r="M4" s="6"/>
      <c r="N4" s="6"/>
      <c r="O4" s="6"/>
      <c r="P4" s="6"/>
      <c r="Q4" s="6"/>
      <c r="R4" s="6"/>
      <c r="S4" s="6"/>
      <c r="T4" s="6"/>
      <c r="U4" s="6"/>
      <c r="V4" s="6"/>
      <c r="W4" s="6"/>
      <c r="X4" s="6"/>
    </row>
    <row r="5" spans="1:24" x14ac:dyDescent="0.25">
      <c r="A5" s="6"/>
      <c r="B5" s="6"/>
      <c r="C5" s="6"/>
      <c r="D5" s="6"/>
      <c r="E5" s="6"/>
      <c r="F5" s="6"/>
      <c r="G5" s="6"/>
      <c r="H5" s="6"/>
      <c r="I5" s="6"/>
      <c r="J5" s="6"/>
      <c r="K5" s="6"/>
      <c r="L5" s="6"/>
      <c r="M5" s="6"/>
      <c r="N5" s="6"/>
      <c r="O5" s="6"/>
      <c r="P5" s="6"/>
      <c r="Q5" s="6"/>
      <c r="R5" s="6"/>
      <c r="S5" s="6"/>
      <c r="T5" s="6"/>
      <c r="U5" s="6"/>
      <c r="V5" s="6"/>
      <c r="W5" s="6"/>
      <c r="X5" s="6"/>
    </row>
    <row r="6" spans="1:24" x14ac:dyDescent="0.25">
      <c r="A6" s="6"/>
      <c r="B6" s="6"/>
      <c r="C6" s="6"/>
      <c r="D6" s="6"/>
      <c r="E6" s="6"/>
      <c r="F6" s="6"/>
      <c r="G6" s="6"/>
      <c r="H6" s="6"/>
      <c r="I6" s="6"/>
      <c r="J6" s="6"/>
      <c r="K6" s="6"/>
      <c r="L6" s="6"/>
      <c r="M6" s="6"/>
      <c r="N6" s="6"/>
      <c r="O6" s="6"/>
      <c r="P6" s="6"/>
      <c r="Q6" s="6"/>
      <c r="R6" s="6"/>
      <c r="S6" s="6"/>
      <c r="T6" s="6"/>
      <c r="U6" s="6"/>
      <c r="V6" s="6"/>
      <c r="W6" s="6"/>
      <c r="X6" s="6"/>
    </row>
    <row r="7" spans="1:24" x14ac:dyDescent="0.25">
      <c r="A7" s="6"/>
      <c r="B7" s="6"/>
      <c r="C7" s="6"/>
      <c r="D7" s="6"/>
      <c r="E7" s="6"/>
      <c r="F7" s="6"/>
      <c r="G7" s="6"/>
      <c r="H7" s="6"/>
      <c r="I7" s="6"/>
      <c r="J7" s="6"/>
      <c r="K7" s="6"/>
      <c r="L7" s="6"/>
      <c r="M7" s="6"/>
      <c r="N7" s="6"/>
      <c r="O7" s="6"/>
      <c r="P7" s="6"/>
      <c r="Q7" s="6"/>
      <c r="R7" s="6"/>
      <c r="S7" s="6"/>
      <c r="T7" s="6"/>
      <c r="U7" s="6"/>
      <c r="V7" s="6"/>
      <c r="W7" s="6"/>
      <c r="X7" s="6"/>
    </row>
    <row r="8" spans="1:24" x14ac:dyDescent="0.25">
      <c r="A8" s="6"/>
      <c r="B8" s="6"/>
      <c r="C8" s="6"/>
      <c r="D8" s="6"/>
      <c r="E8" s="6"/>
      <c r="F8" s="6"/>
      <c r="G8" s="6"/>
      <c r="H8" s="6"/>
      <c r="I8" s="6"/>
      <c r="J8" s="6"/>
      <c r="K8" s="6"/>
      <c r="L8" s="6"/>
      <c r="M8" s="6"/>
      <c r="N8" s="6"/>
      <c r="O8" s="6"/>
      <c r="P8" s="6"/>
      <c r="Q8" s="6"/>
      <c r="R8" s="6"/>
      <c r="S8" s="6"/>
      <c r="T8" s="6"/>
      <c r="U8" s="6"/>
      <c r="V8" s="6"/>
      <c r="W8" s="6"/>
      <c r="X8" s="6"/>
    </row>
    <row r="9" spans="1:24" x14ac:dyDescent="0.25">
      <c r="A9" s="6"/>
      <c r="B9" s="6"/>
      <c r="C9" s="6"/>
      <c r="D9" s="6"/>
      <c r="E9" s="6"/>
      <c r="F9" s="6"/>
      <c r="G9" s="6"/>
      <c r="H9" s="6"/>
      <c r="I9" s="6"/>
      <c r="J9" s="6"/>
      <c r="K9" s="6"/>
      <c r="L9" s="6"/>
      <c r="M9" s="6"/>
      <c r="N9" s="6"/>
      <c r="O9" s="6"/>
      <c r="P9" s="6"/>
      <c r="Q9" s="6"/>
      <c r="R9" s="6"/>
      <c r="S9" s="6"/>
      <c r="T9" s="6"/>
      <c r="U9" s="6"/>
      <c r="V9" s="6"/>
      <c r="W9" s="6"/>
      <c r="X9" s="6"/>
    </row>
    <row r="10" spans="1:24" x14ac:dyDescent="0.25">
      <c r="A10" s="6"/>
      <c r="B10" s="6"/>
      <c r="C10" s="6"/>
      <c r="D10" s="6"/>
      <c r="E10" s="6"/>
      <c r="F10" s="6"/>
      <c r="G10" s="6"/>
      <c r="H10" s="6"/>
      <c r="I10" s="6"/>
      <c r="J10" s="6"/>
      <c r="K10" s="6"/>
      <c r="L10" s="6"/>
      <c r="M10" s="6"/>
      <c r="N10" s="6"/>
      <c r="O10" s="6"/>
      <c r="P10" s="6"/>
      <c r="Q10" s="6"/>
      <c r="R10" s="6"/>
      <c r="S10" s="6"/>
      <c r="T10" s="6"/>
      <c r="U10" s="6"/>
      <c r="V10" s="6"/>
      <c r="W10" s="6"/>
      <c r="X10" s="6"/>
    </row>
    <row r="11" spans="1:24" x14ac:dyDescent="0.25">
      <c r="A11" s="6"/>
      <c r="B11" s="6"/>
      <c r="C11" s="6"/>
      <c r="D11" s="6"/>
      <c r="E11" s="6"/>
      <c r="F11" s="6"/>
      <c r="G11" s="6"/>
      <c r="H11" s="6"/>
      <c r="I11" s="6"/>
      <c r="J11" s="6"/>
      <c r="K11" s="6"/>
      <c r="L11" s="6"/>
      <c r="M11" s="6"/>
      <c r="N11" s="6"/>
      <c r="O11" s="6"/>
      <c r="P11" s="6"/>
      <c r="Q11" s="6"/>
      <c r="R11" s="6"/>
      <c r="S11" s="6"/>
      <c r="T11" s="6"/>
      <c r="U11" s="6"/>
      <c r="V11" s="6"/>
      <c r="W11" s="6"/>
      <c r="X11" s="6"/>
    </row>
    <row r="12" spans="1:24" x14ac:dyDescent="0.25">
      <c r="A12" s="6"/>
      <c r="B12" s="6"/>
      <c r="C12" s="6"/>
      <c r="D12" s="6"/>
      <c r="E12" s="6"/>
      <c r="F12" s="6"/>
      <c r="G12" s="6"/>
      <c r="H12" s="6"/>
      <c r="I12" s="6"/>
      <c r="J12" s="6"/>
      <c r="K12" s="6"/>
      <c r="L12" s="6"/>
      <c r="M12" s="6"/>
      <c r="N12" s="6"/>
      <c r="O12" s="6"/>
      <c r="P12" s="6"/>
      <c r="Q12" s="6"/>
      <c r="R12" s="6"/>
      <c r="S12" s="6"/>
      <c r="T12" s="6"/>
      <c r="U12" s="6"/>
      <c r="V12" s="6"/>
      <c r="W12" s="6"/>
      <c r="X12" s="6"/>
    </row>
    <row r="13" spans="1:24" x14ac:dyDescent="0.25">
      <c r="A13" s="6"/>
      <c r="B13" s="6"/>
      <c r="C13" s="6"/>
      <c r="D13" s="6"/>
      <c r="E13" s="6"/>
      <c r="F13" s="6"/>
      <c r="G13" s="6"/>
      <c r="H13" s="6"/>
      <c r="I13" s="6"/>
      <c r="J13" s="6"/>
      <c r="K13" s="6"/>
      <c r="L13" s="6"/>
      <c r="M13" s="6"/>
      <c r="N13" s="6"/>
      <c r="O13" s="6"/>
      <c r="P13" s="6"/>
      <c r="Q13" s="6"/>
      <c r="R13" s="6"/>
      <c r="S13" s="6"/>
      <c r="T13" s="6"/>
      <c r="U13" s="6"/>
      <c r="V13" s="6"/>
      <c r="W13" s="6"/>
      <c r="X13" s="6"/>
    </row>
    <row r="14" spans="1:24" x14ac:dyDescent="0.25">
      <c r="A14" s="6"/>
      <c r="B14" s="6"/>
      <c r="C14" s="6"/>
      <c r="D14" s="6"/>
      <c r="E14" s="6"/>
      <c r="F14" s="6"/>
      <c r="G14" s="6"/>
      <c r="H14" s="6"/>
      <c r="I14" s="6"/>
      <c r="J14" s="6"/>
      <c r="K14" s="6"/>
      <c r="L14" s="6"/>
      <c r="M14" s="6"/>
      <c r="N14" s="6"/>
      <c r="O14" s="6"/>
      <c r="P14" s="6"/>
      <c r="Q14" s="6"/>
      <c r="R14" s="6"/>
      <c r="S14" s="6"/>
      <c r="T14" s="6"/>
      <c r="U14" s="6"/>
      <c r="V14" s="6"/>
      <c r="W14" s="6"/>
      <c r="X14" s="6"/>
    </row>
    <row r="15" spans="1:24" x14ac:dyDescent="0.25">
      <c r="A15" s="6"/>
      <c r="B15" s="6"/>
      <c r="C15" s="6"/>
      <c r="D15" s="6"/>
      <c r="E15" s="6"/>
      <c r="F15" s="6"/>
      <c r="G15" s="6"/>
      <c r="H15" s="6"/>
      <c r="I15" s="6"/>
      <c r="J15" s="6"/>
      <c r="K15" s="6"/>
      <c r="L15" s="6"/>
      <c r="M15" s="6"/>
      <c r="N15" s="6"/>
      <c r="O15" s="6"/>
      <c r="P15" s="6"/>
      <c r="Q15" s="6"/>
      <c r="R15" s="6"/>
      <c r="S15" s="6"/>
      <c r="T15" s="6"/>
      <c r="U15" s="6"/>
      <c r="V15" s="6"/>
      <c r="W15" s="6"/>
      <c r="X15" s="6"/>
    </row>
    <row r="16" spans="1:24" x14ac:dyDescent="0.25">
      <c r="A16" s="6"/>
      <c r="B16" s="6"/>
      <c r="C16" s="6"/>
      <c r="D16" s="6"/>
      <c r="E16" s="6"/>
      <c r="F16" s="6"/>
      <c r="G16" s="6"/>
      <c r="H16" s="6"/>
      <c r="I16" s="6"/>
      <c r="J16" s="6"/>
      <c r="K16" s="6"/>
      <c r="L16" s="6"/>
      <c r="M16" s="6"/>
      <c r="N16" s="6"/>
      <c r="O16" s="6"/>
      <c r="P16" s="6"/>
      <c r="Q16" s="6"/>
      <c r="R16" s="6"/>
      <c r="S16" s="6"/>
      <c r="T16" s="6"/>
      <c r="U16" s="6"/>
      <c r="V16" s="6"/>
      <c r="W16" s="6"/>
      <c r="X16" s="6"/>
    </row>
    <row r="17" spans="1:24" x14ac:dyDescent="0.25">
      <c r="A17" s="6"/>
      <c r="B17" s="6"/>
      <c r="C17" s="6"/>
      <c r="D17" s="6"/>
      <c r="E17" s="6"/>
      <c r="F17" s="6"/>
      <c r="G17" s="6"/>
      <c r="H17" s="6"/>
      <c r="I17" s="6"/>
      <c r="J17" s="6"/>
      <c r="K17" s="6"/>
      <c r="L17" s="6"/>
      <c r="M17" s="6"/>
      <c r="N17" s="6"/>
      <c r="O17" s="6"/>
      <c r="P17" s="6"/>
      <c r="Q17" s="6"/>
      <c r="R17" s="6"/>
      <c r="S17" s="6"/>
      <c r="T17" s="6"/>
      <c r="U17" s="6"/>
      <c r="V17" s="6"/>
      <c r="W17" s="6"/>
      <c r="X17" s="6"/>
    </row>
    <row r="18" spans="1:24" x14ac:dyDescent="0.25">
      <c r="A18" s="6"/>
      <c r="B18" s="6"/>
      <c r="C18" s="6"/>
      <c r="D18" s="6"/>
      <c r="E18" s="6"/>
      <c r="F18" s="6"/>
      <c r="G18" s="6"/>
      <c r="H18" s="6"/>
      <c r="I18" s="6"/>
      <c r="J18" s="6"/>
      <c r="K18" s="6"/>
      <c r="L18" s="6"/>
      <c r="M18" s="6"/>
      <c r="N18" s="6"/>
      <c r="O18" s="6"/>
      <c r="P18" s="6"/>
      <c r="Q18" s="6"/>
      <c r="R18" s="6"/>
      <c r="S18" s="6"/>
      <c r="T18" s="6"/>
      <c r="U18" s="6"/>
      <c r="V18" s="6"/>
      <c r="W18" s="6"/>
      <c r="X18" s="6"/>
    </row>
    <row r="19" spans="1:24" x14ac:dyDescent="0.25">
      <c r="A19" s="6"/>
      <c r="B19" s="6"/>
      <c r="C19" s="6"/>
      <c r="D19" s="6"/>
      <c r="E19" s="6"/>
      <c r="F19" s="6"/>
      <c r="G19" s="6"/>
      <c r="H19" s="6"/>
      <c r="I19" s="6"/>
      <c r="J19" s="6"/>
      <c r="K19" s="6"/>
      <c r="L19" s="6"/>
      <c r="M19" s="6"/>
      <c r="N19" s="6"/>
      <c r="O19" s="6"/>
      <c r="P19" s="6"/>
      <c r="Q19" s="6"/>
      <c r="R19" s="6"/>
      <c r="S19" s="6"/>
      <c r="T19" s="6"/>
      <c r="U19" s="6"/>
      <c r="V19" s="6"/>
      <c r="W19" s="6"/>
      <c r="X19" s="6"/>
    </row>
    <row r="20" spans="1:24" x14ac:dyDescent="0.25">
      <c r="A20" s="6"/>
      <c r="B20" s="6"/>
      <c r="C20" s="6"/>
      <c r="D20" s="6"/>
      <c r="E20" s="6"/>
      <c r="F20" s="6"/>
      <c r="G20" s="6"/>
      <c r="H20" s="6"/>
      <c r="I20" s="6"/>
      <c r="J20" s="6"/>
      <c r="K20" s="6"/>
      <c r="L20" s="6"/>
      <c r="M20" s="6"/>
      <c r="N20" s="6"/>
      <c r="O20" s="6"/>
      <c r="P20" s="6"/>
      <c r="Q20" s="6"/>
      <c r="R20" s="6"/>
      <c r="S20" s="6"/>
      <c r="T20" s="6"/>
      <c r="U20" s="6"/>
      <c r="V20" s="6"/>
      <c r="W20" s="6"/>
      <c r="X20" s="6"/>
    </row>
    <row r="21" spans="1:24" x14ac:dyDescent="0.25">
      <c r="A21" s="6"/>
      <c r="B21" s="6"/>
      <c r="C21" s="6"/>
      <c r="D21" s="6"/>
      <c r="E21" s="6"/>
      <c r="F21" s="6"/>
      <c r="G21" s="6"/>
      <c r="H21" s="6"/>
      <c r="I21" s="6"/>
      <c r="J21" s="6"/>
      <c r="K21" s="6"/>
      <c r="L21" s="6"/>
      <c r="M21" s="6"/>
      <c r="N21" s="6"/>
      <c r="O21" s="6"/>
      <c r="P21" s="6"/>
      <c r="Q21" s="6"/>
      <c r="R21" s="6"/>
      <c r="S21" s="6"/>
      <c r="T21" s="6"/>
      <c r="U21" s="6"/>
      <c r="V21" s="6"/>
      <c r="W21" s="6"/>
      <c r="X21" s="6"/>
    </row>
    <row r="22" spans="1:24" x14ac:dyDescent="0.25">
      <c r="A22" s="6"/>
      <c r="B22" s="6"/>
      <c r="C22" s="6"/>
      <c r="D22" s="6"/>
      <c r="E22" s="6"/>
      <c r="F22" s="6"/>
      <c r="G22" s="6"/>
      <c r="H22" s="6"/>
      <c r="I22" s="6"/>
      <c r="J22" s="6"/>
      <c r="K22" s="6"/>
      <c r="L22" s="6"/>
      <c r="M22" s="6"/>
      <c r="N22" s="6"/>
      <c r="O22" s="6"/>
      <c r="P22" s="6"/>
      <c r="Q22" s="6"/>
      <c r="R22" s="6"/>
      <c r="S22" s="6"/>
      <c r="T22" s="6"/>
      <c r="U22" s="6"/>
      <c r="V22" s="6"/>
      <c r="W22" s="6"/>
      <c r="X22" s="6"/>
    </row>
    <row r="23" spans="1:24" x14ac:dyDescent="0.25">
      <c r="A23" s="6"/>
      <c r="B23" s="6"/>
      <c r="C23" s="6"/>
      <c r="D23" s="6"/>
      <c r="E23" s="6"/>
      <c r="F23" s="6"/>
      <c r="G23" s="6"/>
      <c r="H23" s="6"/>
      <c r="I23" s="6"/>
      <c r="J23" s="6"/>
      <c r="K23" s="6"/>
      <c r="L23" s="6"/>
      <c r="M23" s="6"/>
      <c r="N23" s="6"/>
      <c r="O23" s="6"/>
      <c r="P23" s="6"/>
      <c r="Q23" s="6"/>
      <c r="R23" s="6"/>
      <c r="S23" s="6"/>
      <c r="T23" s="6"/>
      <c r="U23" s="6"/>
      <c r="V23" s="6"/>
      <c r="W23" s="6"/>
      <c r="X23" s="6"/>
    </row>
    <row r="24" spans="1:24" x14ac:dyDescent="0.25">
      <c r="A24" s="6"/>
      <c r="B24" s="6"/>
      <c r="C24" s="6"/>
      <c r="D24" s="6"/>
      <c r="E24" s="6"/>
      <c r="F24" s="6"/>
      <c r="G24" s="6"/>
      <c r="H24" s="6"/>
      <c r="I24" s="6"/>
      <c r="J24" s="6"/>
      <c r="K24" s="6"/>
      <c r="L24" s="6"/>
      <c r="M24" s="6"/>
      <c r="N24" s="6"/>
      <c r="O24" s="6"/>
      <c r="P24" s="6"/>
      <c r="Q24" s="6"/>
      <c r="R24" s="6"/>
      <c r="S24" s="6"/>
      <c r="T24" s="6"/>
      <c r="U24" s="6"/>
      <c r="V24" s="6"/>
      <c r="W24" s="6"/>
      <c r="X24" s="6"/>
    </row>
    <row r="25" spans="1:24" x14ac:dyDescent="0.25">
      <c r="A25" s="6"/>
      <c r="B25" s="6"/>
      <c r="C25" s="6"/>
      <c r="D25" s="6"/>
      <c r="E25" s="6"/>
      <c r="F25" s="6"/>
      <c r="G25" s="6"/>
      <c r="H25" s="6"/>
      <c r="I25" s="6"/>
      <c r="J25" s="6"/>
      <c r="K25" s="6"/>
      <c r="L25" s="6"/>
      <c r="M25" s="6"/>
      <c r="N25" s="6"/>
      <c r="O25" s="6"/>
      <c r="P25" s="6"/>
      <c r="Q25" s="6"/>
      <c r="R25" s="6"/>
      <c r="S25" s="6"/>
      <c r="T25" s="6"/>
      <c r="U25" s="6"/>
      <c r="V25" s="6"/>
      <c r="W25" s="6"/>
      <c r="X25" s="6"/>
    </row>
    <row r="26" spans="1:24" x14ac:dyDescent="0.25">
      <c r="A26" s="6"/>
      <c r="B26" s="6"/>
      <c r="C26" s="6"/>
      <c r="D26" s="6"/>
      <c r="E26" s="6"/>
      <c r="F26" s="6"/>
      <c r="G26" s="6"/>
      <c r="H26" s="6"/>
      <c r="I26" s="6"/>
      <c r="J26" s="6"/>
      <c r="K26" s="6"/>
      <c r="L26" s="6"/>
      <c r="M26" s="6"/>
      <c r="N26" s="6"/>
      <c r="O26" s="6"/>
      <c r="P26" s="6"/>
      <c r="Q26" s="6"/>
      <c r="R26" s="6"/>
      <c r="S26" s="6"/>
      <c r="T26" s="6"/>
      <c r="U26" s="6"/>
      <c r="V26" s="6"/>
      <c r="W26" s="6"/>
      <c r="X26" s="6"/>
    </row>
    <row r="27" spans="1:24" x14ac:dyDescent="0.25">
      <c r="A27" s="6"/>
      <c r="B27" s="6"/>
      <c r="C27" s="6"/>
      <c r="D27" s="6"/>
      <c r="E27" s="6"/>
      <c r="F27" s="6"/>
      <c r="G27" s="6"/>
      <c r="H27" s="6"/>
      <c r="I27" s="6"/>
      <c r="J27" s="6"/>
      <c r="K27" s="6"/>
      <c r="L27" s="6"/>
      <c r="M27" s="6"/>
      <c r="N27" s="6"/>
      <c r="O27" s="6"/>
      <c r="P27" s="6"/>
      <c r="Q27" s="6"/>
      <c r="R27" s="6"/>
      <c r="S27" s="6"/>
      <c r="T27" s="6"/>
      <c r="U27" s="6"/>
      <c r="V27" s="6"/>
      <c r="W27" s="6"/>
      <c r="X27" s="6"/>
    </row>
    <row r="28" spans="1:24" x14ac:dyDescent="0.25">
      <c r="A28" s="6"/>
      <c r="B28" s="6"/>
      <c r="C28" s="6"/>
      <c r="D28" s="6"/>
      <c r="E28" s="6"/>
      <c r="F28" s="6"/>
      <c r="G28" s="6"/>
      <c r="H28" s="6"/>
      <c r="I28" s="6"/>
      <c r="J28" s="6"/>
      <c r="K28" s="6"/>
      <c r="L28" s="6"/>
      <c r="M28" s="6"/>
      <c r="N28" s="6"/>
      <c r="O28" s="6"/>
      <c r="P28" s="6"/>
      <c r="Q28" s="6"/>
      <c r="R28" s="6"/>
      <c r="S28" s="6"/>
      <c r="T28" s="6"/>
      <c r="U28" s="6"/>
      <c r="V28" s="6"/>
      <c r="W28" s="6"/>
      <c r="X28" s="6"/>
    </row>
    <row r="29" spans="1:24" x14ac:dyDescent="0.25">
      <c r="A29" s="6"/>
      <c r="B29" s="6"/>
      <c r="C29" s="6"/>
      <c r="D29" s="6"/>
      <c r="E29" s="6"/>
      <c r="F29" s="6"/>
      <c r="G29" s="6"/>
      <c r="H29" s="6"/>
      <c r="I29" s="6"/>
      <c r="J29" s="6"/>
      <c r="K29" s="6"/>
      <c r="L29" s="6"/>
      <c r="M29" s="6"/>
      <c r="N29" s="6"/>
      <c r="O29" s="6"/>
      <c r="P29" s="6"/>
      <c r="Q29" s="6"/>
      <c r="R29" s="6"/>
      <c r="S29" s="6"/>
      <c r="T29" s="6"/>
      <c r="U29" s="6"/>
      <c r="V29" s="6"/>
      <c r="W29" s="6"/>
      <c r="X29" s="6"/>
    </row>
    <row r="30" spans="1:24" x14ac:dyDescent="0.25">
      <c r="A30" s="6"/>
      <c r="B30" s="6"/>
      <c r="C30" s="6"/>
      <c r="D30" s="6"/>
      <c r="E30" s="6"/>
      <c r="F30" s="6"/>
      <c r="G30" s="6"/>
      <c r="H30" s="6"/>
      <c r="I30" s="6"/>
      <c r="J30" s="6"/>
      <c r="K30" s="6"/>
      <c r="L30" s="6"/>
      <c r="M30" s="6"/>
      <c r="N30" s="6"/>
      <c r="O30" s="6"/>
      <c r="P30" s="6"/>
      <c r="Q30" s="6"/>
      <c r="R30" s="6"/>
      <c r="S30" s="6"/>
      <c r="T30" s="6"/>
      <c r="U30" s="6"/>
      <c r="V30" s="6"/>
      <c r="W30" s="6"/>
      <c r="X30" s="6"/>
    </row>
    <row r="31" spans="1:24" x14ac:dyDescent="0.25">
      <c r="A31" s="6"/>
      <c r="B31" s="6"/>
      <c r="C31" s="6"/>
      <c r="D31" s="6"/>
      <c r="E31" s="6"/>
      <c r="F31" s="6"/>
      <c r="G31" s="6"/>
      <c r="H31" s="6"/>
      <c r="I31" s="6"/>
      <c r="J31" s="6"/>
      <c r="K31" s="6"/>
      <c r="L31" s="6"/>
      <c r="M31" s="6"/>
      <c r="N31" s="6"/>
      <c r="O31" s="6"/>
      <c r="P31" s="6"/>
      <c r="Q31" s="6"/>
      <c r="R31" s="6"/>
      <c r="S31" s="6"/>
      <c r="T31" s="6"/>
      <c r="U31" s="6"/>
      <c r="V31" s="6"/>
      <c r="W31" s="6"/>
      <c r="X31" s="6"/>
    </row>
    <row r="32" spans="1:24" x14ac:dyDescent="0.25">
      <c r="A32" s="6"/>
      <c r="B32" s="6"/>
      <c r="C32" s="6"/>
      <c r="D32" s="6"/>
      <c r="E32" s="6"/>
      <c r="F32" s="6"/>
      <c r="G32" s="6"/>
      <c r="H32" s="6"/>
      <c r="I32" s="6"/>
      <c r="J32" s="6"/>
      <c r="K32" s="6"/>
      <c r="L32" s="6"/>
      <c r="M32" s="6"/>
      <c r="N32" s="6"/>
      <c r="O32" s="6"/>
      <c r="P32" s="6"/>
      <c r="Q32" s="6"/>
      <c r="R32" s="6"/>
      <c r="S32" s="6"/>
      <c r="T32" s="6"/>
      <c r="U32" s="6"/>
      <c r="V32" s="6"/>
      <c r="W32" s="6"/>
      <c r="X32" s="6"/>
    </row>
    <row r="33" spans="1:24" x14ac:dyDescent="0.25">
      <c r="A33" s="6"/>
      <c r="B33" s="6"/>
      <c r="C33" s="6"/>
      <c r="D33" s="6"/>
      <c r="E33" s="6"/>
      <c r="F33" s="6"/>
      <c r="G33" s="6"/>
      <c r="H33" s="6"/>
      <c r="I33" s="6"/>
      <c r="J33" s="6"/>
      <c r="K33" s="6"/>
      <c r="L33" s="6"/>
      <c r="M33" s="6"/>
      <c r="N33" s="6"/>
      <c r="O33" s="6"/>
      <c r="P33" s="6"/>
      <c r="Q33" s="6"/>
      <c r="R33" s="6"/>
      <c r="S33" s="6"/>
      <c r="T33" s="6"/>
      <c r="U33" s="6"/>
      <c r="V33" s="6"/>
      <c r="W33" s="6"/>
      <c r="X33" s="6"/>
    </row>
    <row r="34" spans="1:24" x14ac:dyDescent="0.25">
      <c r="A34" s="6"/>
      <c r="B34" s="6"/>
      <c r="C34" s="6"/>
      <c r="D34" s="6"/>
      <c r="E34" s="6"/>
      <c r="F34" s="6"/>
      <c r="G34" s="6"/>
      <c r="H34" s="6"/>
      <c r="I34" s="6"/>
      <c r="J34" s="6"/>
      <c r="K34" s="6"/>
      <c r="L34" s="6"/>
      <c r="M34" s="6"/>
      <c r="N34" s="6"/>
      <c r="O34" s="6"/>
      <c r="P34" s="6"/>
      <c r="Q34" s="6"/>
      <c r="R34" s="6"/>
      <c r="S34" s="6"/>
      <c r="T34" s="6"/>
      <c r="U34" s="6"/>
      <c r="V34" s="6"/>
      <c r="W34" s="6"/>
      <c r="X34" s="6"/>
    </row>
    <row r="35" spans="1:24" x14ac:dyDescent="0.25">
      <c r="A35" s="6"/>
      <c r="B35" s="6"/>
      <c r="C35" s="6"/>
      <c r="D35" s="6"/>
      <c r="E35" s="6"/>
      <c r="F35" s="6"/>
      <c r="G35" s="6"/>
      <c r="H35" s="6"/>
      <c r="I35" s="6"/>
      <c r="J35" s="6"/>
      <c r="K35" s="6"/>
      <c r="L35" s="6"/>
      <c r="M35" s="6"/>
      <c r="N35" s="6"/>
      <c r="O35" s="6"/>
      <c r="P35" s="6"/>
      <c r="Q35" s="6"/>
      <c r="R35" s="6"/>
      <c r="S35" s="6"/>
      <c r="T35" s="6"/>
      <c r="U35" s="6"/>
      <c r="V35" s="6"/>
      <c r="W35" s="6"/>
      <c r="X35" s="6"/>
    </row>
    <row r="36" spans="1:24" x14ac:dyDescent="0.25">
      <c r="A36" s="6"/>
      <c r="B36" s="6"/>
      <c r="C36" s="6"/>
      <c r="D36" s="6"/>
      <c r="E36" s="6"/>
      <c r="F36" s="6"/>
      <c r="G36" s="6"/>
      <c r="H36" s="6"/>
      <c r="I36" s="6"/>
      <c r="J36" s="6"/>
      <c r="K36" s="6"/>
      <c r="L36" s="6"/>
      <c r="M36" s="6"/>
      <c r="N36" s="6"/>
      <c r="O36" s="6"/>
      <c r="P36" s="6"/>
      <c r="Q36" s="6"/>
      <c r="R36" s="6"/>
      <c r="S36" s="6"/>
      <c r="T36" s="6"/>
      <c r="U36" s="6"/>
      <c r="V36" s="6"/>
      <c r="W36" s="6"/>
      <c r="X36" s="6"/>
    </row>
    <row r="37" spans="1:24" x14ac:dyDescent="0.25">
      <c r="A37" s="6"/>
      <c r="B37" s="6"/>
      <c r="C37" s="6"/>
      <c r="D37" s="6"/>
      <c r="E37" s="6"/>
      <c r="F37" s="6"/>
      <c r="G37" s="6"/>
      <c r="H37" s="6"/>
      <c r="I37" s="6"/>
      <c r="J37" s="6"/>
      <c r="K37" s="6"/>
      <c r="L37" s="6"/>
      <c r="M37" s="6"/>
      <c r="N37" s="6"/>
      <c r="O37" s="6"/>
      <c r="P37" s="6"/>
      <c r="Q37" s="6"/>
      <c r="R37" s="6"/>
      <c r="S37" s="6"/>
      <c r="T37" s="6"/>
      <c r="U37" s="6"/>
      <c r="V37" s="6"/>
      <c r="W37" s="6"/>
      <c r="X37" s="6"/>
    </row>
    <row r="38" spans="1:24" x14ac:dyDescent="0.25">
      <c r="A38" s="6"/>
      <c r="B38" s="6"/>
      <c r="C38" s="6"/>
      <c r="D38" s="6"/>
      <c r="E38" s="6"/>
      <c r="F38" s="6"/>
      <c r="G38" s="6"/>
      <c r="H38" s="6"/>
      <c r="I38" s="6"/>
      <c r="J38" s="6"/>
      <c r="K38" s="6"/>
      <c r="L38" s="6"/>
      <c r="M38" s="6"/>
      <c r="N38" s="6"/>
      <c r="O38" s="6"/>
      <c r="P38" s="6"/>
      <c r="Q38" s="6"/>
      <c r="R38" s="6"/>
      <c r="S38" s="6"/>
      <c r="T38" s="6"/>
      <c r="U38" s="6"/>
      <c r="V38" s="6"/>
      <c r="W38" s="6"/>
      <c r="X38" s="6"/>
    </row>
    <row r="39" spans="1:24" x14ac:dyDescent="0.25">
      <c r="A39" s="6"/>
      <c r="B39" s="6"/>
      <c r="C39" s="6"/>
      <c r="D39" s="6"/>
      <c r="E39" s="6"/>
      <c r="F39" s="6"/>
      <c r="G39" s="6"/>
      <c r="H39" s="6"/>
      <c r="I39" s="6"/>
      <c r="J39" s="6"/>
      <c r="K39" s="6"/>
      <c r="L39" s="6"/>
      <c r="M39" s="6"/>
      <c r="N39" s="6"/>
      <c r="O39" s="6"/>
      <c r="P39" s="6"/>
      <c r="Q39" s="6"/>
      <c r="R39" s="6"/>
      <c r="S39" s="6"/>
      <c r="T39" s="6"/>
      <c r="U39" s="6"/>
      <c r="V39" s="6"/>
      <c r="W39" s="6"/>
      <c r="X39"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B409F-8B7D-4014-AF6E-7395164760D5}">
  <dimension ref="A1:X39"/>
  <sheetViews>
    <sheetView showGridLines="0" showRowColHeaders="0" tabSelected="1" workbookViewId="0">
      <selection activeCell="U8" sqref="U8"/>
    </sheetView>
  </sheetViews>
  <sheetFormatPr defaultRowHeight="13.2" x14ac:dyDescent="0.25"/>
  <sheetData>
    <row r="1" spans="1:24" x14ac:dyDescent="0.25">
      <c r="A1" s="37"/>
      <c r="B1" s="37"/>
      <c r="C1" s="37"/>
      <c r="D1" s="37"/>
      <c r="E1" s="37"/>
      <c r="F1" s="37"/>
      <c r="G1" s="37"/>
      <c r="H1" s="37"/>
      <c r="I1" s="37"/>
      <c r="J1" s="37"/>
      <c r="K1" s="37"/>
      <c r="L1" s="37"/>
      <c r="M1" s="37"/>
      <c r="N1" s="37"/>
      <c r="O1" s="37"/>
      <c r="P1" s="37"/>
      <c r="Q1" s="37"/>
      <c r="R1" s="37"/>
      <c r="S1" s="37"/>
      <c r="T1" s="37"/>
      <c r="U1" s="37"/>
      <c r="V1" s="37"/>
      <c r="W1" s="37"/>
      <c r="X1" s="37"/>
    </row>
    <row r="2" spans="1:24" x14ac:dyDescent="0.25">
      <c r="A2" s="37"/>
      <c r="B2" s="37"/>
      <c r="C2" s="37"/>
      <c r="D2" s="37"/>
      <c r="E2" s="37"/>
      <c r="F2" s="37"/>
      <c r="G2" s="37"/>
      <c r="H2" s="37"/>
      <c r="I2" s="37"/>
      <c r="J2" s="37"/>
      <c r="K2" s="37"/>
      <c r="L2" s="37"/>
      <c r="M2" s="37"/>
      <c r="N2" s="37"/>
      <c r="O2" s="37"/>
      <c r="P2" s="37"/>
      <c r="Q2" s="37"/>
      <c r="R2" s="37"/>
      <c r="S2" s="37"/>
      <c r="T2" s="37"/>
      <c r="U2" s="37"/>
      <c r="V2" s="37"/>
      <c r="W2" s="37"/>
      <c r="X2" s="37"/>
    </row>
    <row r="3" spans="1:24" x14ac:dyDescent="0.25">
      <c r="A3" s="37"/>
      <c r="B3" s="37"/>
      <c r="C3" s="37"/>
      <c r="D3" s="37"/>
      <c r="E3" s="37"/>
      <c r="F3" s="37"/>
      <c r="G3" s="37"/>
      <c r="H3" s="37"/>
      <c r="I3" s="37"/>
      <c r="J3" s="37"/>
      <c r="K3" s="37"/>
      <c r="L3" s="37"/>
      <c r="M3" s="37"/>
      <c r="N3" s="37"/>
      <c r="O3" s="37"/>
      <c r="P3" s="37"/>
      <c r="Q3" s="37"/>
      <c r="R3" s="37"/>
      <c r="S3" s="37"/>
      <c r="T3" s="37"/>
      <c r="U3" s="37"/>
      <c r="V3" s="37"/>
      <c r="W3" s="37"/>
      <c r="X3" s="37"/>
    </row>
    <row r="4" spans="1:24" x14ac:dyDescent="0.25">
      <c r="A4" s="37"/>
      <c r="B4" s="37"/>
      <c r="C4" s="37"/>
      <c r="D4" s="37"/>
      <c r="E4" s="37"/>
      <c r="F4" s="37"/>
      <c r="G4" s="37"/>
      <c r="H4" s="37"/>
      <c r="I4" s="37"/>
      <c r="J4" s="37"/>
      <c r="K4" s="37"/>
      <c r="L4" s="37"/>
      <c r="M4" s="37"/>
      <c r="N4" s="37"/>
      <c r="O4" s="37"/>
      <c r="P4" s="37"/>
      <c r="Q4" s="37"/>
      <c r="R4" s="37"/>
      <c r="S4" s="37"/>
      <c r="T4" s="37"/>
      <c r="U4" s="37"/>
      <c r="V4" s="37"/>
      <c r="W4" s="37"/>
      <c r="X4" s="37"/>
    </row>
    <row r="5" spans="1:24" x14ac:dyDescent="0.25">
      <c r="A5" s="37"/>
      <c r="B5" s="37"/>
      <c r="C5" s="37"/>
      <c r="D5" s="37"/>
      <c r="E5" s="37"/>
      <c r="F5" s="37"/>
      <c r="G5" s="37"/>
      <c r="H5" s="37"/>
      <c r="I5" s="37"/>
      <c r="J5" s="37"/>
      <c r="K5" s="37"/>
      <c r="L5" s="37"/>
      <c r="M5" s="37"/>
      <c r="N5" s="37"/>
      <c r="O5" s="37"/>
      <c r="P5" s="37"/>
      <c r="Q5" s="37"/>
      <c r="R5" s="37"/>
      <c r="S5" s="37"/>
      <c r="T5" s="37"/>
      <c r="U5" s="37"/>
      <c r="V5" s="37"/>
      <c r="W5" s="37"/>
      <c r="X5" s="37"/>
    </row>
    <row r="6" spans="1:24" x14ac:dyDescent="0.25">
      <c r="A6" s="37"/>
      <c r="B6" s="37"/>
      <c r="C6" s="37"/>
      <c r="D6" s="37"/>
      <c r="E6" s="37"/>
      <c r="F6" s="37"/>
      <c r="G6" s="37"/>
      <c r="H6" s="37"/>
      <c r="I6" s="37"/>
      <c r="J6" s="37"/>
      <c r="K6" s="37"/>
      <c r="L6" s="37"/>
      <c r="M6" s="37"/>
      <c r="N6" s="37"/>
      <c r="O6" s="37"/>
      <c r="P6" s="37"/>
      <c r="Q6" s="37"/>
      <c r="R6" s="37"/>
      <c r="S6" s="37"/>
      <c r="T6" s="37"/>
      <c r="U6" s="37"/>
      <c r="V6" s="37"/>
      <c r="W6" s="37"/>
      <c r="X6" s="37"/>
    </row>
    <row r="7" spans="1:24" x14ac:dyDescent="0.25">
      <c r="A7" s="37"/>
      <c r="B7" s="37"/>
      <c r="C7" s="37"/>
      <c r="D7" s="37"/>
      <c r="E7" s="37"/>
      <c r="F7" s="37"/>
      <c r="G7" s="37"/>
      <c r="H7" s="37"/>
      <c r="I7" s="37"/>
      <c r="J7" s="37"/>
      <c r="K7" s="37"/>
      <c r="L7" s="37"/>
      <c r="M7" s="37"/>
      <c r="N7" s="37"/>
      <c r="O7" s="37"/>
      <c r="P7" s="37"/>
      <c r="Q7" s="37"/>
      <c r="R7" s="37"/>
      <c r="S7" s="37"/>
      <c r="T7" s="37"/>
      <c r="U7" s="37"/>
      <c r="V7" s="37"/>
      <c r="W7" s="37"/>
      <c r="X7" s="37"/>
    </row>
    <row r="8" spans="1:24" x14ac:dyDescent="0.25">
      <c r="A8" s="37"/>
      <c r="B8" s="37"/>
      <c r="C8" s="37"/>
      <c r="D8" s="37"/>
      <c r="E8" s="37"/>
      <c r="F8" s="37"/>
      <c r="G8" s="37"/>
      <c r="H8" s="37"/>
      <c r="I8" s="37"/>
      <c r="J8" s="37"/>
      <c r="K8" s="37"/>
      <c r="L8" s="37"/>
      <c r="M8" s="37"/>
      <c r="N8" s="37"/>
      <c r="O8" s="37"/>
      <c r="P8" s="37"/>
      <c r="Q8" s="37"/>
      <c r="R8" s="37"/>
      <c r="S8" s="37"/>
      <c r="T8" s="37"/>
      <c r="U8" s="37"/>
      <c r="V8" s="37"/>
      <c r="W8" s="37"/>
      <c r="X8" s="37"/>
    </row>
    <row r="9" spans="1:24" x14ac:dyDescent="0.25">
      <c r="A9" s="37"/>
      <c r="B9" s="37"/>
      <c r="C9" s="37"/>
      <c r="D9" s="37"/>
      <c r="E9" s="37"/>
      <c r="F9" s="37"/>
      <c r="G9" s="37"/>
      <c r="H9" s="37"/>
      <c r="I9" s="37"/>
      <c r="J9" s="37"/>
      <c r="K9" s="37"/>
      <c r="L9" s="37"/>
      <c r="M9" s="37"/>
      <c r="N9" s="37"/>
      <c r="O9" s="37"/>
      <c r="P9" s="37"/>
      <c r="Q9" s="37"/>
      <c r="R9" s="37"/>
      <c r="S9" s="37"/>
      <c r="T9" s="37"/>
      <c r="U9" s="37"/>
      <c r="V9" s="37"/>
      <c r="W9" s="37"/>
      <c r="X9" s="37"/>
    </row>
    <row r="10" spans="1:24" x14ac:dyDescent="0.25">
      <c r="A10" s="37"/>
      <c r="B10" s="37"/>
      <c r="C10" s="37"/>
      <c r="D10" s="37"/>
      <c r="E10" s="37"/>
      <c r="F10" s="37"/>
      <c r="G10" s="37"/>
      <c r="H10" s="37"/>
      <c r="I10" s="37"/>
      <c r="J10" s="37"/>
      <c r="K10" s="37"/>
      <c r="L10" s="37"/>
      <c r="M10" s="37"/>
      <c r="N10" s="37"/>
      <c r="O10" s="37"/>
      <c r="P10" s="37"/>
      <c r="Q10" s="37"/>
      <c r="R10" s="37"/>
      <c r="S10" s="37"/>
      <c r="T10" s="37"/>
      <c r="U10" s="37"/>
      <c r="V10" s="37"/>
      <c r="W10" s="37"/>
      <c r="X10" s="37"/>
    </row>
    <row r="11" spans="1:24"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row>
    <row r="12" spans="1:24" x14ac:dyDescent="0.25">
      <c r="A12" s="37"/>
      <c r="B12" s="37"/>
      <c r="C12" s="37"/>
      <c r="D12" s="37"/>
      <c r="E12" s="37"/>
      <c r="F12" s="37"/>
      <c r="G12" s="37"/>
      <c r="H12" s="37"/>
      <c r="I12" s="37"/>
      <c r="J12" s="37"/>
      <c r="K12" s="37"/>
      <c r="L12" s="37"/>
      <c r="M12" s="37"/>
      <c r="N12" s="37"/>
      <c r="O12" s="37"/>
      <c r="P12" s="37"/>
      <c r="Q12" s="37"/>
      <c r="R12" s="37"/>
      <c r="S12" s="37"/>
      <c r="T12" s="37"/>
      <c r="U12" s="37"/>
      <c r="V12" s="37"/>
      <c r="W12" s="37"/>
      <c r="X12" s="37"/>
    </row>
    <row r="13" spans="1:24" x14ac:dyDescent="0.25">
      <c r="A13" s="37"/>
      <c r="B13" s="37"/>
      <c r="C13" s="37"/>
      <c r="D13" s="37"/>
      <c r="E13" s="37"/>
      <c r="F13" s="37"/>
      <c r="G13" s="37"/>
      <c r="H13" s="37"/>
      <c r="I13" s="37"/>
      <c r="J13" s="37"/>
      <c r="K13" s="37"/>
      <c r="L13" s="37"/>
      <c r="M13" s="37"/>
      <c r="N13" s="37"/>
      <c r="O13" s="37"/>
      <c r="P13" s="37"/>
      <c r="Q13" s="37"/>
      <c r="R13" s="37"/>
      <c r="S13" s="37"/>
      <c r="T13" s="37"/>
      <c r="U13" s="37"/>
      <c r="V13" s="37"/>
      <c r="W13" s="37"/>
      <c r="X13" s="37"/>
    </row>
    <row r="14" spans="1:24" x14ac:dyDescent="0.25">
      <c r="A14" s="37"/>
      <c r="B14" s="37"/>
      <c r="C14" s="37"/>
      <c r="D14" s="37"/>
      <c r="E14" s="37"/>
      <c r="F14" s="37"/>
      <c r="G14" s="37"/>
      <c r="H14" s="37"/>
      <c r="I14" s="37"/>
      <c r="J14" s="37"/>
      <c r="K14" s="37"/>
      <c r="L14" s="37"/>
      <c r="M14" s="37"/>
      <c r="N14" s="37"/>
      <c r="O14" s="37"/>
      <c r="P14" s="37"/>
      <c r="Q14" s="37"/>
      <c r="R14" s="37"/>
      <c r="S14" s="37"/>
      <c r="T14" s="37"/>
      <c r="U14" s="37"/>
      <c r="V14" s="37"/>
      <c r="W14" s="37"/>
      <c r="X14" s="37"/>
    </row>
    <row r="15" spans="1:24" x14ac:dyDescent="0.25">
      <c r="A15" s="37"/>
      <c r="B15" s="37"/>
      <c r="C15" s="37"/>
      <c r="D15" s="37"/>
      <c r="E15" s="37"/>
      <c r="F15" s="37"/>
      <c r="G15" s="37"/>
      <c r="H15" s="37"/>
      <c r="I15" s="37"/>
      <c r="J15" s="37"/>
      <c r="K15" s="37"/>
      <c r="L15" s="37"/>
      <c r="M15" s="37"/>
      <c r="N15" s="37"/>
      <c r="O15" s="37"/>
      <c r="P15" s="37"/>
      <c r="Q15" s="37"/>
      <c r="R15" s="37"/>
      <c r="S15" s="37"/>
      <c r="T15" s="37"/>
      <c r="U15" s="37"/>
      <c r="V15" s="37"/>
      <c r="W15" s="37"/>
      <c r="X15" s="37"/>
    </row>
    <row r="16" spans="1:24" x14ac:dyDescent="0.25">
      <c r="A16" s="37"/>
      <c r="B16" s="37"/>
      <c r="C16" s="37"/>
      <c r="D16" s="37"/>
      <c r="E16" s="37"/>
      <c r="F16" s="37"/>
      <c r="G16" s="37"/>
      <c r="H16" s="37"/>
      <c r="I16" s="37"/>
      <c r="J16" s="37"/>
      <c r="K16" s="37"/>
      <c r="L16" s="37"/>
      <c r="M16" s="37"/>
      <c r="N16" s="37"/>
      <c r="O16" s="37"/>
      <c r="P16" s="37"/>
      <c r="Q16" s="37"/>
      <c r="R16" s="37"/>
      <c r="S16" s="37"/>
      <c r="T16" s="37"/>
      <c r="U16" s="37"/>
      <c r="V16" s="37"/>
      <c r="W16" s="37"/>
      <c r="X16" s="37"/>
    </row>
    <row r="17" spans="1:24" x14ac:dyDescent="0.25">
      <c r="A17" s="37"/>
      <c r="B17" s="37"/>
      <c r="C17" s="37"/>
      <c r="D17" s="37"/>
      <c r="E17" s="37"/>
      <c r="F17" s="37"/>
      <c r="G17" s="37"/>
      <c r="H17" s="37"/>
      <c r="I17" s="37"/>
      <c r="J17" s="37"/>
      <c r="K17" s="37"/>
      <c r="L17" s="37"/>
      <c r="M17" s="37"/>
      <c r="N17" s="37"/>
      <c r="O17" s="37"/>
      <c r="P17" s="37"/>
      <c r="Q17" s="37"/>
      <c r="R17" s="37"/>
      <c r="S17" s="37"/>
      <c r="T17" s="37"/>
      <c r="U17" s="37"/>
      <c r="V17" s="37"/>
      <c r="W17" s="37"/>
      <c r="X17" s="37"/>
    </row>
    <row r="18" spans="1:24" x14ac:dyDescent="0.25">
      <c r="A18" s="37"/>
      <c r="B18" s="37"/>
      <c r="C18" s="37"/>
      <c r="D18" s="37"/>
      <c r="E18" s="37"/>
      <c r="F18" s="37"/>
      <c r="G18" s="37"/>
      <c r="H18" s="37"/>
      <c r="I18" s="37"/>
      <c r="J18" s="37"/>
      <c r="K18" s="37"/>
      <c r="L18" s="37"/>
      <c r="M18" s="37"/>
      <c r="N18" s="37"/>
      <c r="O18" s="37"/>
      <c r="P18" s="37"/>
      <c r="Q18" s="37"/>
      <c r="R18" s="37"/>
      <c r="S18" s="37"/>
      <c r="T18" s="37"/>
      <c r="U18" s="37"/>
      <c r="V18" s="37"/>
      <c r="W18" s="37"/>
      <c r="X18" s="37"/>
    </row>
    <row r="19" spans="1:24" x14ac:dyDescent="0.25">
      <c r="A19" s="37"/>
      <c r="B19" s="37"/>
      <c r="C19" s="37"/>
      <c r="D19" s="37"/>
      <c r="E19" s="37"/>
      <c r="F19" s="37"/>
      <c r="G19" s="37"/>
      <c r="H19" s="37"/>
      <c r="I19" s="37"/>
      <c r="J19" s="37"/>
      <c r="K19" s="37"/>
      <c r="L19" s="37"/>
      <c r="M19" s="37"/>
      <c r="N19" s="37"/>
      <c r="O19" s="37"/>
      <c r="P19" s="37"/>
      <c r="Q19" s="37"/>
      <c r="R19" s="37"/>
      <c r="S19" s="37"/>
      <c r="T19" s="37"/>
      <c r="U19" s="37"/>
      <c r="V19" s="37"/>
      <c r="W19" s="37"/>
      <c r="X19" s="37"/>
    </row>
    <row r="20" spans="1:24" x14ac:dyDescent="0.25">
      <c r="A20" s="37"/>
      <c r="B20" s="37"/>
      <c r="C20" s="37"/>
      <c r="D20" s="37"/>
      <c r="E20" s="37"/>
      <c r="F20" s="37"/>
      <c r="G20" s="37"/>
      <c r="H20" s="37"/>
      <c r="I20" s="37"/>
      <c r="J20" s="37"/>
      <c r="K20" s="37"/>
      <c r="L20" s="37"/>
      <c r="M20" s="37"/>
      <c r="N20" s="37"/>
      <c r="O20" s="37"/>
      <c r="P20" s="37"/>
      <c r="Q20" s="37"/>
      <c r="R20" s="37"/>
      <c r="S20" s="37"/>
      <c r="T20" s="37"/>
      <c r="U20" s="37"/>
      <c r="V20" s="37"/>
      <c r="W20" s="37"/>
      <c r="X20" s="37"/>
    </row>
    <row r="21" spans="1:24" x14ac:dyDescent="0.25">
      <c r="A21" s="37"/>
      <c r="B21" s="37"/>
      <c r="C21" s="37"/>
      <c r="D21" s="37"/>
      <c r="E21" s="37"/>
      <c r="F21" s="37"/>
      <c r="G21" s="37"/>
      <c r="H21" s="37"/>
      <c r="I21" s="37"/>
      <c r="J21" s="37"/>
      <c r="K21" s="37"/>
      <c r="L21" s="37"/>
      <c r="M21" s="37"/>
      <c r="N21" s="37"/>
      <c r="O21" s="37"/>
      <c r="P21" s="37"/>
      <c r="Q21" s="37"/>
      <c r="R21" s="37"/>
      <c r="S21" s="37"/>
      <c r="T21" s="37"/>
      <c r="U21" s="37"/>
      <c r="V21" s="37"/>
      <c r="W21" s="37"/>
      <c r="X21" s="37"/>
    </row>
    <row r="22" spans="1:24" x14ac:dyDescent="0.25">
      <c r="A22" s="37"/>
      <c r="B22" s="37"/>
      <c r="C22" s="37"/>
      <c r="D22" s="37"/>
      <c r="E22" s="37"/>
      <c r="F22" s="37"/>
      <c r="G22" s="37"/>
      <c r="H22" s="37"/>
      <c r="I22" s="37"/>
      <c r="J22" s="37"/>
      <c r="K22" s="37"/>
      <c r="L22" s="37"/>
      <c r="M22" s="37"/>
      <c r="N22" s="37"/>
      <c r="O22" s="37"/>
      <c r="P22" s="37"/>
      <c r="Q22" s="37"/>
      <c r="R22" s="37"/>
      <c r="S22" s="37"/>
      <c r="T22" s="37"/>
      <c r="U22" s="37"/>
      <c r="V22" s="37"/>
      <c r="W22" s="37"/>
      <c r="X22" s="37"/>
    </row>
    <row r="23" spans="1:24" x14ac:dyDescent="0.25">
      <c r="A23" s="37"/>
      <c r="B23" s="37"/>
      <c r="C23" s="37"/>
      <c r="D23" s="37"/>
      <c r="E23" s="37"/>
      <c r="F23" s="37"/>
      <c r="G23" s="37"/>
      <c r="H23" s="37"/>
      <c r="I23" s="37"/>
      <c r="J23" s="37"/>
      <c r="K23" s="37"/>
      <c r="L23" s="37"/>
      <c r="M23" s="37"/>
      <c r="N23" s="37"/>
      <c r="O23" s="37"/>
      <c r="P23" s="37"/>
      <c r="Q23" s="37"/>
      <c r="R23" s="37"/>
      <c r="S23" s="37"/>
      <c r="T23" s="37"/>
      <c r="U23" s="37"/>
      <c r="V23" s="37"/>
      <c r="W23" s="37"/>
      <c r="X23" s="37"/>
    </row>
    <row r="24" spans="1:24" x14ac:dyDescent="0.25">
      <c r="A24" s="37"/>
      <c r="B24" s="37"/>
      <c r="C24" s="37"/>
      <c r="D24" s="37"/>
      <c r="E24" s="37"/>
      <c r="F24" s="37"/>
      <c r="G24" s="37"/>
      <c r="H24" s="37"/>
      <c r="I24" s="37"/>
      <c r="J24" s="37"/>
      <c r="K24" s="37"/>
      <c r="L24" s="37"/>
      <c r="M24" s="37"/>
      <c r="N24" s="37"/>
      <c r="O24" s="37"/>
      <c r="P24" s="37"/>
      <c r="Q24" s="37"/>
      <c r="R24" s="37"/>
      <c r="S24" s="37"/>
      <c r="T24" s="37"/>
      <c r="U24" s="37"/>
      <c r="V24" s="37"/>
      <c r="W24" s="37"/>
      <c r="X24" s="37"/>
    </row>
    <row r="25" spans="1:24" x14ac:dyDescent="0.25">
      <c r="A25" s="37"/>
      <c r="B25" s="37"/>
      <c r="C25" s="37"/>
      <c r="D25" s="37"/>
      <c r="E25" s="37"/>
      <c r="F25" s="37"/>
      <c r="G25" s="37"/>
      <c r="H25" s="37"/>
      <c r="I25" s="37"/>
      <c r="J25" s="37"/>
      <c r="K25" s="37"/>
      <c r="L25" s="37"/>
      <c r="M25" s="37"/>
      <c r="N25" s="37"/>
      <c r="O25" s="37"/>
      <c r="P25" s="37"/>
      <c r="Q25" s="37"/>
      <c r="R25" s="37"/>
      <c r="S25" s="37"/>
      <c r="T25" s="37"/>
      <c r="U25" s="37"/>
      <c r="V25" s="37"/>
      <c r="W25" s="37"/>
      <c r="X25" s="37"/>
    </row>
    <row r="26" spans="1:24" x14ac:dyDescent="0.25">
      <c r="A26" s="37"/>
      <c r="B26" s="37"/>
      <c r="C26" s="37"/>
      <c r="D26" s="37"/>
      <c r="E26" s="37"/>
      <c r="F26" s="37"/>
      <c r="G26" s="37"/>
      <c r="H26" s="37"/>
      <c r="I26" s="37"/>
      <c r="J26" s="37"/>
      <c r="K26" s="37"/>
      <c r="L26" s="37"/>
      <c r="M26" s="37"/>
      <c r="N26" s="37"/>
      <c r="O26" s="37"/>
      <c r="P26" s="37"/>
      <c r="Q26" s="37"/>
      <c r="R26" s="37"/>
      <c r="S26" s="37"/>
      <c r="T26" s="37"/>
      <c r="U26" s="37"/>
      <c r="V26" s="37"/>
      <c r="W26" s="37"/>
      <c r="X26" s="37"/>
    </row>
    <row r="27" spans="1:24" x14ac:dyDescent="0.25">
      <c r="A27" s="37"/>
      <c r="B27" s="37"/>
      <c r="C27" s="37"/>
      <c r="D27" s="37"/>
      <c r="E27" s="37"/>
      <c r="F27" s="37"/>
      <c r="G27" s="37"/>
      <c r="H27" s="37"/>
      <c r="I27" s="37"/>
      <c r="J27" s="37"/>
      <c r="K27" s="37"/>
      <c r="L27" s="37"/>
      <c r="M27" s="37"/>
      <c r="N27" s="37"/>
      <c r="O27" s="37"/>
      <c r="P27" s="37"/>
      <c r="Q27" s="37"/>
      <c r="R27" s="37"/>
      <c r="S27" s="37"/>
      <c r="T27" s="37"/>
      <c r="U27" s="37"/>
      <c r="V27" s="37"/>
      <c r="W27" s="37"/>
      <c r="X27" s="37"/>
    </row>
    <row r="28" spans="1:24" x14ac:dyDescent="0.25">
      <c r="A28" s="37"/>
      <c r="B28" s="37"/>
      <c r="C28" s="37"/>
      <c r="D28" s="37"/>
      <c r="E28" s="37"/>
      <c r="F28" s="37"/>
      <c r="G28" s="37"/>
      <c r="H28" s="37"/>
      <c r="I28" s="37"/>
      <c r="J28" s="37"/>
      <c r="K28" s="37"/>
      <c r="L28" s="37"/>
      <c r="M28" s="37"/>
      <c r="N28" s="37"/>
      <c r="O28" s="37"/>
      <c r="P28" s="37"/>
      <c r="Q28" s="37"/>
      <c r="R28" s="37"/>
      <c r="S28" s="37"/>
      <c r="T28" s="37"/>
      <c r="U28" s="37"/>
      <c r="V28" s="37"/>
      <c r="W28" s="37"/>
      <c r="X28" s="37"/>
    </row>
    <row r="29" spans="1:24" x14ac:dyDescent="0.25">
      <c r="A29" s="37"/>
      <c r="B29" s="37"/>
      <c r="C29" s="37"/>
      <c r="D29" s="37"/>
      <c r="E29" s="37"/>
      <c r="F29" s="37"/>
      <c r="G29" s="37"/>
      <c r="H29" s="37"/>
      <c r="I29" s="37"/>
      <c r="J29" s="37"/>
      <c r="K29" s="37"/>
      <c r="L29" s="37"/>
      <c r="M29" s="37"/>
      <c r="N29" s="37"/>
      <c r="O29" s="37"/>
      <c r="P29" s="37"/>
      <c r="Q29" s="37"/>
      <c r="R29" s="37"/>
      <c r="S29" s="37"/>
      <c r="T29" s="37"/>
      <c r="U29" s="37"/>
      <c r="V29" s="37"/>
      <c r="W29" s="37"/>
      <c r="X29" s="37"/>
    </row>
    <row r="30" spans="1:24" x14ac:dyDescent="0.25">
      <c r="A30" s="37"/>
      <c r="B30" s="37"/>
      <c r="C30" s="37"/>
      <c r="D30" s="37"/>
      <c r="E30" s="37"/>
      <c r="F30" s="37"/>
      <c r="G30" s="37"/>
      <c r="H30" s="37"/>
      <c r="I30" s="37"/>
      <c r="J30" s="37"/>
      <c r="K30" s="37"/>
      <c r="L30" s="37"/>
      <c r="M30" s="37"/>
      <c r="N30" s="37"/>
      <c r="O30" s="37"/>
      <c r="P30" s="37"/>
      <c r="Q30" s="37"/>
      <c r="R30" s="37"/>
      <c r="S30" s="37"/>
      <c r="T30" s="37"/>
      <c r="U30" s="37"/>
      <c r="V30" s="37"/>
      <c r="W30" s="37"/>
      <c r="X30" s="37"/>
    </row>
    <row r="31" spans="1:24" x14ac:dyDescent="0.25">
      <c r="A31" s="37"/>
      <c r="B31" s="37"/>
      <c r="C31" s="37"/>
      <c r="D31" s="37"/>
      <c r="E31" s="37"/>
      <c r="F31" s="37"/>
      <c r="G31" s="37"/>
      <c r="H31" s="37"/>
      <c r="I31" s="37"/>
      <c r="J31" s="37"/>
      <c r="K31" s="37"/>
      <c r="L31" s="37"/>
      <c r="M31" s="37"/>
      <c r="N31" s="37"/>
      <c r="O31" s="37"/>
      <c r="P31" s="37"/>
      <c r="Q31" s="37"/>
      <c r="R31" s="37"/>
      <c r="S31" s="37"/>
      <c r="T31" s="37"/>
      <c r="U31" s="37"/>
      <c r="V31" s="37"/>
      <c r="W31" s="37"/>
      <c r="X31" s="37"/>
    </row>
    <row r="32" spans="1:24" x14ac:dyDescent="0.25">
      <c r="A32" s="37"/>
      <c r="B32" s="37"/>
      <c r="C32" s="37"/>
      <c r="D32" s="37"/>
      <c r="E32" s="37"/>
      <c r="F32" s="37"/>
      <c r="G32" s="37"/>
      <c r="H32" s="37"/>
      <c r="I32" s="37"/>
      <c r="J32" s="37"/>
      <c r="K32" s="37"/>
      <c r="L32" s="37"/>
      <c r="M32" s="37"/>
      <c r="N32" s="37"/>
      <c r="O32" s="37"/>
      <c r="P32" s="37"/>
      <c r="Q32" s="37"/>
      <c r="R32" s="37"/>
      <c r="S32" s="37"/>
      <c r="T32" s="37"/>
      <c r="U32" s="37"/>
      <c r="V32" s="37"/>
      <c r="W32" s="37"/>
      <c r="X32" s="37"/>
    </row>
    <row r="33" spans="1:24" x14ac:dyDescent="0.25">
      <c r="A33" s="37"/>
      <c r="B33" s="37"/>
      <c r="C33" s="37"/>
      <c r="D33" s="37"/>
      <c r="E33" s="37"/>
      <c r="F33" s="37"/>
      <c r="G33" s="37"/>
      <c r="H33" s="37"/>
      <c r="I33" s="37"/>
      <c r="J33" s="37"/>
      <c r="K33" s="37"/>
      <c r="L33" s="37"/>
      <c r="M33" s="37"/>
      <c r="N33" s="37"/>
      <c r="O33" s="37"/>
      <c r="P33" s="37"/>
      <c r="Q33" s="37"/>
      <c r="R33" s="37"/>
      <c r="S33" s="37"/>
      <c r="T33" s="37"/>
      <c r="U33" s="37"/>
      <c r="V33" s="37"/>
      <c r="W33" s="37"/>
      <c r="X33" s="37"/>
    </row>
    <row r="34" spans="1:24" x14ac:dyDescent="0.25">
      <c r="A34" s="37"/>
      <c r="B34" s="37"/>
      <c r="C34" s="37"/>
      <c r="D34" s="37"/>
      <c r="E34" s="37"/>
      <c r="F34" s="37"/>
      <c r="G34" s="37"/>
      <c r="H34" s="37"/>
      <c r="I34" s="37"/>
      <c r="J34" s="37"/>
      <c r="K34" s="37"/>
      <c r="L34" s="37"/>
      <c r="M34" s="37"/>
      <c r="N34" s="37"/>
      <c r="O34" s="37"/>
      <c r="P34" s="37"/>
      <c r="Q34" s="37"/>
      <c r="R34" s="37"/>
      <c r="S34" s="37"/>
      <c r="T34" s="37"/>
      <c r="U34" s="37"/>
      <c r="V34" s="37"/>
      <c r="W34" s="37"/>
      <c r="X34" s="37"/>
    </row>
    <row r="35" spans="1:24" x14ac:dyDescent="0.25">
      <c r="A35" s="37"/>
      <c r="B35" s="37"/>
      <c r="C35" s="37"/>
      <c r="D35" s="37"/>
      <c r="E35" s="37"/>
      <c r="F35" s="37"/>
      <c r="G35" s="37"/>
      <c r="H35" s="37"/>
      <c r="I35" s="37"/>
      <c r="J35" s="37"/>
      <c r="K35" s="37"/>
      <c r="L35" s="37"/>
      <c r="M35" s="37"/>
      <c r="N35" s="37"/>
      <c r="O35" s="37"/>
      <c r="P35" s="37"/>
      <c r="Q35" s="37"/>
      <c r="R35" s="37"/>
      <c r="S35" s="37"/>
      <c r="T35" s="37"/>
      <c r="U35" s="37"/>
      <c r="V35" s="37"/>
      <c r="W35" s="37"/>
      <c r="X35" s="37"/>
    </row>
    <row r="36" spans="1:24" x14ac:dyDescent="0.25">
      <c r="A36" s="37"/>
      <c r="B36" s="37"/>
      <c r="C36" s="37"/>
      <c r="D36" s="37"/>
      <c r="E36" s="37"/>
      <c r="F36" s="37"/>
      <c r="G36" s="37"/>
      <c r="H36" s="37"/>
      <c r="I36" s="37"/>
      <c r="J36" s="37"/>
      <c r="K36" s="37"/>
      <c r="L36" s="37"/>
      <c r="M36" s="37"/>
      <c r="N36" s="37"/>
      <c r="O36" s="37"/>
      <c r="P36" s="37"/>
      <c r="Q36" s="37"/>
      <c r="R36" s="37"/>
      <c r="S36" s="37"/>
      <c r="T36" s="37"/>
      <c r="U36" s="37"/>
      <c r="V36" s="37"/>
      <c r="W36" s="37"/>
      <c r="X36" s="37"/>
    </row>
    <row r="37" spans="1:24" x14ac:dyDescent="0.25">
      <c r="A37" s="37"/>
      <c r="B37" s="37"/>
      <c r="C37" s="37"/>
      <c r="D37" s="37"/>
      <c r="E37" s="37"/>
      <c r="F37" s="37"/>
      <c r="G37" s="37"/>
      <c r="H37" s="37"/>
      <c r="I37" s="37"/>
      <c r="J37" s="37"/>
      <c r="K37" s="37"/>
      <c r="L37" s="37"/>
      <c r="M37" s="37"/>
      <c r="N37" s="37"/>
      <c r="O37" s="37"/>
      <c r="P37" s="37"/>
      <c r="Q37" s="37"/>
      <c r="R37" s="37"/>
      <c r="S37" s="37"/>
      <c r="T37" s="37"/>
      <c r="U37" s="37"/>
      <c r="V37" s="37"/>
      <c r="W37" s="37"/>
      <c r="X37" s="37"/>
    </row>
    <row r="38" spans="1:24" x14ac:dyDescent="0.25">
      <c r="A38" s="37"/>
      <c r="B38" s="37"/>
      <c r="C38" s="37"/>
      <c r="D38" s="37"/>
      <c r="E38" s="37"/>
      <c r="F38" s="37"/>
      <c r="G38" s="37"/>
      <c r="H38" s="37"/>
      <c r="I38" s="37"/>
      <c r="J38" s="37"/>
      <c r="K38" s="37"/>
      <c r="L38" s="37"/>
      <c r="M38" s="37"/>
      <c r="N38" s="37"/>
      <c r="O38" s="37"/>
      <c r="P38" s="37"/>
      <c r="Q38" s="37"/>
      <c r="R38" s="37"/>
      <c r="S38" s="37"/>
      <c r="T38" s="37"/>
      <c r="U38" s="37"/>
      <c r="V38" s="37"/>
      <c r="W38" s="37"/>
      <c r="X38" s="37"/>
    </row>
    <row r="39" spans="1:24" x14ac:dyDescent="0.25">
      <c r="A39" s="37"/>
      <c r="B39" s="37"/>
      <c r="C39" s="37"/>
      <c r="D39" s="37"/>
      <c r="E39" s="37"/>
      <c r="F39" s="37"/>
      <c r="G39" s="37"/>
      <c r="H39" s="37"/>
      <c r="I39" s="37"/>
      <c r="J39" s="37"/>
      <c r="K39" s="37"/>
      <c r="L39" s="37"/>
      <c r="M39" s="37"/>
      <c r="N39" s="37"/>
      <c r="O39" s="37"/>
      <c r="P39" s="37"/>
      <c r="Q39" s="37"/>
      <c r="R39" s="37"/>
      <c r="S39" s="37"/>
      <c r="T39" s="37"/>
      <c r="U39" s="37"/>
      <c r="V39" s="37"/>
      <c r="W39" s="37"/>
      <c r="X39" s="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A285-0C0D-4AEC-9D95-48018DB2F2DE}">
  <dimension ref="A1:X39"/>
  <sheetViews>
    <sheetView workbookViewId="0">
      <selection activeCell="T3" sqref="T3"/>
    </sheetView>
  </sheetViews>
  <sheetFormatPr defaultRowHeight="13.2" x14ac:dyDescent="0.25"/>
  <sheetData>
    <row r="1" spans="1:24" x14ac:dyDescent="0.25">
      <c r="A1" s="37"/>
      <c r="B1" s="37"/>
      <c r="C1" s="37"/>
      <c r="D1" s="37"/>
      <c r="E1" s="37"/>
      <c r="F1" s="37"/>
      <c r="G1" s="37"/>
      <c r="H1" s="37"/>
      <c r="I1" s="37"/>
      <c r="J1" s="37"/>
      <c r="K1" s="37"/>
      <c r="L1" s="37"/>
      <c r="M1" s="37"/>
      <c r="N1" s="37"/>
      <c r="O1" s="37"/>
      <c r="P1" s="37"/>
      <c r="Q1" s="37"/>
      <c r="R1" s="37"/>
      <c r="S1" s="37"/>
      <c r="T1" s="37"/>
      <c r="U1" s="37"/>
      <c r="V1" s="37"/>
      <c r="W1" s="37"/>
      <c r="X1" s="37"/>
    </row>
    <row r="2" spans="1:24" x14ac:dyDescent="0.25">
      <c r="A2" s="37"/>
      <c r="B2" s="37"/>
      <c r="C2" s="37"/>
      <c r="D2" s="37"/>
      <c r="E2" s="37"/>
      <c r="F2" s="37"/>
      <c r="G2" s="37"/>
      <c r="H2" s="37"/>
      <c r="I2" s="37"/>
      <c r="J2" s="37"/>
      <c r="K2" s="37"/>
      <c r="L2" s="37"/>
      <c r="M2" s="37"/>
      <c r="N2" s="37"/>
      <c r="O2" s="37"/>
      <c r="P2" s="37"/>
      <c r="Q2" s="37"/>
      <c r="R2" s="37"/>
      <c r="S2" s="37"/>
      <c r="T2" s="37"/>
      <c r="U2" s="37"/>
      <c r="V2" s="37"/>
      <c r="W2" s="37"/>
      <c r="X2" s="37"/>
    </row>
    <row r="3" spans="1:24" x14ac:dyDescent="0.25">
      <c r="A3" s="37"/>
      <c r="B3" s="37"/>
      <c r="C3" s="37"/>
      <c r="D3" s="37"/>
      <c r="E3" s="37"/>
      <c r="F3" s="37"/>
      <c r="G3" s="37"/>
      <c r="H3" s="37"/>
      <c r="I3" s="37"/>
      <c r="J3" s="37"/>
      <c r="K3" s="37"/>
      <c r="L3" s="37"/>
      <c r="M3" s="37"/>
      <c r="N3" s="37"/>
      <c r="O3" s="37"/>
      <c r="P3" s="37"/>
      <c r="Q3" s="37"/>
      <c r="R3" s="37"/>
      <c r="S3" s="37"/>
      <c r="T3" s="37"/>
      <c r="U3" s="37"/>
      <c r="V3" s="37"/>
      <c r="W3" s="37"/>
      <c r="X3" s="37"/>
    </row>
    <row r="4" spans="1:24" x14ac:dyDescent="0.25">
      <c r="A4" s="37"/>
      <c r="B4" s="37"/>
      <c r="C4" s="37"/>
      <c r="D4" s="37"/>
      <c r="E4" s="37"/>
      <c r="F4" s="37"/>
      <c r="G4" s="37"/>
      <c r="H4" s="37"/>
      <c r="I4" s="37"/>
      <c r="J4" s="37"/>
      <c r="K4" s="37"/>
      <c r="L4" s="37"/>
      <c r="M4" s="37"/>
      <c r="N4" s="37"/>
      <c r="O4" s="37"/>
      <c r="P4" s="37"/>
      <c r="Q4" s="37"/>
      <c r="R4" s="37"/>
      <c r="S4" s="37"/>
      <c r="T4" s="37"/>
      <c r="U4" s="37"/>
      <c r="V4" s="37"/>
      <c r="W4" s="37"/>
      <c r="X4" s="37"/>
    </row>
    <row r="5" spans="1:24" x14ac:dyDescent="0.25">
      <c r="A5" s="37"/>
      <c r="B5" s="37"/>
      <c r="C5" s="37"/>
      <c r="D5" s="37"/>
      <c r="E5" s="37"/>
      <c r="F5" s="37"/>
      <c r="G5" s="37"/>
      <c r="H5" s="37"/>
      <c r="I5" s="37"/>
      <c r="J5" s="37"/>
      <c r="K5" s="37"/>
      <c r="L5" s="37"/>
      <c r="M5" s="37"/>
      <c r="N5" s="37"/>
      <c r="O5" s="37"/>
      <c r="P5" s="37"/>
      <c r="Q5" s="37"/>
      <c r="R5" s="37"/>
      <c r="S5" s="37"/>
      <c r="T5" s="37"/>
      <c r="U5" s="37"/>
      <c r="V5" s="37"/>
      <c r="W5" s="37"/>
      <c r="X5" s="37"/>
    </row>
    <row r="6" spans="1:24" x14ac:dyDescent="0.25">
      <c r="A6" s="37"/>
      <c r="B6" s="37"/>
      <c r="C6" s="37"/>
      <c r="D6" s="37"/>
      <c r="E6" s="37"/>
      <c r="F6" s="37"/>
      <c r="G6" s="37"/>
      <c r="H6" s="37"/>
      <c r="I6" s="37"/>
      <c r="J6" s="37"/>
      <c r="K6" s="37"/>
      <c r="L6" s="37"/>
      <c r="M6" s="37"/>
      <c r="N6" s="37"/>
      <c r="O6" s="37"/>
      <c r="P6" s="37"/>
      <c r="Q6" s="37"/>
      <c r="R6" s="37"/>
      <c r="S6" s="37"/>
      <c r="T6" s="37"/>
      <c r="U6" s="37"/>
      <c r="V6" s="37"/>
      <c r="W6" s="37"/>
      <c r="X6" s="37"/>
    </row>
    <row r="7" spans="1:24" x14ac:dyDescent="0.25">
      <c r="A7" s="37"/>
      <c r="B7" s="37"/>
      <c r="C7" s="37"/>
      <c r="D7" s="37"/>
      <c r="E7" s="37"/>
      <c r="F7" s="37"/>
      <c r="G7" s="37"/>
      <c r="H7" s="37"/>
      <c r="I7" s="37"/>
      <c r="J7" s="37"/>
      <c r="K7" s="37"/>
      <c r="L7" s="37"/>
      <c r="M7" s="37"/>
      <c r="N7" s="37"/>
      <c r="O7" s="37"/>
      <c r="P7" s="37"/>
      <c r="Q7" s="37"/>
      <c r="R7" s="37"/>
      <c r="S7" s="37"/>
      <c r="T7" s="37"/>
      <c r="U7" s="37"/>
      <c r="V7" s="37"/>
      <c r="W7" s="37"/>
      <c r="X7" s="37"/>
    </row>
    <row r="8" spans="1:24" x14ac:dyDescent="0.25">
      <c r="A8" s="37"/>
      <c r="B8" s="37"/>
      <c r="C8" s="37"/>
      <c r="D8" s="37"/>
      <c r="E8" s="37"/>
      <c r="F8" s="37"/>
      <c r="G8" s="37"/>
      <c r="H8" s="37"/>
      <c r="I8" s="37"/>
      <c r="J8" s="37"/>
      <c r="K8" s="37"/>
      <c r="L8" s="37"/>
      <c r="M8" s="37"/>
      <c r="N8" s="37"/>
      <c r="O8" s="37"/>
      <c r="P8" s="37"/>
      <c r="Q8" s="37"/>
      <c r="R8" s="37"/>
      <c r="S8" s="37"/>
      <c r="T8" s="37"/>
      <c r="U8" s="37"/>
      <c r="V8" s="37"/>
      <c r="W8" s="37"/>
      <c r="X8" s="37"/>
    </row>
    <row r="9" spans="1:24" x14ac:dyDescent="0.25">
      <c r="A9" s="37"/>
      <c r="B9" s="37"/>
      <c r="C9" s="37"/>
      <c r="D9" s="37"/>
      <c r="E9" s="37"/>
      <c r="F9" s="37"/>
      <c r="G9" s="37"/>
      <c r="H9" s="37"/>
      <c r="I9" s="37"/>
      <c r="J9" s="37"/>
      <c r="K9" s="37"/>
      <c r="L9" s="37"/>
      <c r="M9" s="37"/>
      <c r="N9" s="37"/>
      <c r="O9" s="37"/>
      <c r="P9" s="37"/>
      <c r="Q9" s="37"/>
      <c r="R9" s="37"/>
      <c r="S9" s="37"/>
      <c r="T9" s="37"/>
      <c r="U9" s="37"/>
      <c r="V9" s="37"/>
      <c r="W9" s="37"/>
      <c r="X9" s="37"/>
    </row>
    <row r="10" spans="1:24" x14ac:dyDescent="0.25">
      <c r="A10" s="37"/>
      <c r="B10" s="37"/>
      <c r="C10" s="37"/>
      <c r="D10" s="37"/>
      <c r="E10" s="37"/>
      <c r="F10" s="37"/>
      <c r="G10" s="37"/>
      <c r="H10" s="37"/>
      <c r="I10" s="37"/>
      <c r="J10" s="37"/>
      <c r="K10" s="37"/>
      <c r="L10" s="37"/>
      <c r="M10" s="37"/>
      <c r="N10" s="37"/>
      <c r="O10" s="37"/>
      <c r="P10" s="37"/>
      <c r="Q10" s="37"/>
      <c r="R10" s="37"/>
      <c r="S10" s="37"/>
      <c r="T10" s="37"/>
      <c r="U10" s="37"/>
      <c r="V10" s="37"/>
      <c r="W10" s="37"/>
      <c r="X10" s="37"/>
    </row>
    <row r="11" spans="1:24"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row>
    <row r="12" spans="1:24" x14ac:dyDescent="0.25">
      <c r="A12" s="37"/>
      <c r="B12" s="37"/>
      <c r="C12" s="37"/>
      <c r="D12" s="37"/>
      <c r="E12" s="37"/>
      <c r="F12" s="37"/>
      <c r="G12" s="37"/>
      <c r="H12" s="37"/>
      <c r="I12" s="37"/>
      <c r="J12" s="37"/>
      <c r="K12" s="37"/>
      <c r="L12" s="37"/>
      <c r="M12" s="37"/>
      <c r="N12" s="37"/>
      <c r="O12" s="37"/>
      <c r="P12" s="37"/>
      <c r="Q12" s="37"/>
      <c r="R12" s="37"/>
      <c r="S12" s="37"/>
      <c r="T12" s="37"/>
      <c r="U12" s="37"/>
      <c r="V12" s="37"/>
      <c r="W12" s="37"/>
      <c r="X12" s="37"/>
    </row>
    <row r="13" spans="1:24" x14ac:dyDescent="0.25">
      <c r="A13" s="37"/>
      <c r="B13" s="37"/>
      <c r="C13" s="37"/>
      <c r="D13" s="37"/>
      <c r="E13" s="37"/>
      <c r="F13" s="37"/>
      <c r="G13" s="37"/>
      <c r="H13" s="37"/>
      <c r="I13" s="37"/>
      <c r="J13" s="37"/>
      <c r="K13" s="37"/>
      <c r="L13" s="37"/>
      <c r="M13" s="37"/>
      <c r="N13" s="37"/>
      <c r="O13" s="37"/>
      <c r="P13" s="37"/>
      <c r="Q13" s="37"/>
      <c r="R13" s="37"/>
      <c r="S13" s="37"/>
      <c r="T13" s="37"/>
      <c r="U13" s="37"/>
      <c r="V13" s="37"/>
      <c r="W13" s="37"/>
      <c r="X13" s="37"/>
    </row>
    <row r="14" spans="1:24" x14ac:dyDescent="0.25">
      <c r="A14" s="37"/>
      <c r="B14" s="37"/>
      <c r="C14" s="37"/>
      <c r="D14" s="37"/>
      <c r="E14" s="37"/>
      <c r="F14" s="37"/>
      <c r="G14" s="37"/>
      <c r="H14" s="37"/>
      <c r="I14" s="37"/>
      <c r="J14" s="37"/>
      <c r="K14" s="37"/>
      <c r="L14" s="37"/>
      <c r="M14" s="37"/>
      <c r="N14" s="37"/>
      <c r="O14" s="37"/>
      <c r="P14" s="37"/>
      <c r="Q14" s="37"/>
      <c r="R14" s="37"/>
      <c r="S14" s="37"/>
      <c r="T14" s="37"/>
      <c r="U14" s="37"/>
      <c r="V14" s="37"/>
      <c r="W14" s="37"/>
      <c r="X14" s="37"/>
    </row>
    <row r="15" spans="1:24" x14ac:dyDescent="0.25">
      <c r="A15" s="37"/>
      <c r="B15" s="37"/>
      <c r="C15" s="37"/>
      <c r="D15" s="37"/>
      <c r="E15" s="37"/>
      <c r="F15" s="37"/>
      <c r="G15" s="37"/>
      <c r="H15" s="37"/>
      <c r="I15" s="37"/>
      <c r="J15" s="37"/>
      <c r="K15" s="37"/>
      <c r="L15" s="37"/>
      <c r="M15" s="37"/>
      <c r="N15" s="37"/>
      <c r="O15" s="37"/>
      <c r="P15" s="37"/>
      <c r="Q15" s="37"/>
      <c r="R15" s="37"/>
      <c r="S15" s="37"/>
      <c r="T15" s="37"/>
      <c r="U15" s="37"/>
      <c r="V15" s="37"/>
      <c r="W15" s="37"/>
      <c r="X15" s="37"/>
    </row>
    <row r="16" spans="1:24" x14ac:dyDescent="0.25">
      <c r="A16" s="37"/>
      <c r="B16" s="37"/>
      <c r="C16" s="37"/>
      <c r="D16" s="37"/>
      <c r="E16" s="37"/>
      <c r="F16" s="37"/>
      <c r="G16" s="37"/>
      <c r="H16" s="37"/>
      <c r="I16" s="37"/>
      <c r="J16" s="37"/>
      <c r="K16" s="37"/>
      <c r="L16" s="37"/>
      <c r="M16" s="37"/>
      <c r="N16" s="37"/>
      <c r="O16" s="37"/>
      <c r="P16" s="37"/>
      <c r="Q16" s="37"/>
      <c r="R16" s="37"/>
      <c r="S16" s="37"/>
      <c r="T16" s="37"/>
      <c r="U16" s="37"/>
      <c r="V16" s="37"/>
      <c r="W16" s="37"/>
      <c r="X16" s="37"/>
    </row>
    <row r="17" spans="1:24" x14ac:dyDescent="0.25">
      <c r="A17" s="37"/>
      <c r="B17" s="37"/>
      <c r="C17" s="37"/>
      <c r="D17" s="37"/>
      <c r="E17" s="37"/>
      <c r="F17" s="37"/>
      <c r="G17" s="37"/>
      <c r="H17" s="37"/>
      <c r="I17" s="37"/>
      <c r="J17" s="37"/>
      <c r="K17" s="37"/>
      <c r="L17" s="37"/>
      <c r="M17" s="37"/>
      <c r="N17" s="37"/>
      <c r="O17" s="37"/>
      <c r="P17" s="37"/>
      <c r="Q17" s="37"/>
      <c r="R17" s="37"/>
      <c r="S17" s="37"/>
      <c r="T17" s="37"/>
      <c r="U17" s="37"/>
      <c r="V17" s="37"/>
      <c r="W17" s="37"/>
      <c r="X17" s="37"/>
    </row>
    <row r="18" spans="1:24" x14ac:dyDescent="0.25">
      <c r="A18" s="37"/>
      <c r="B18" s="37"/>
      <c r="C18" s="37"/>
      <c r="D18" s="37"/>
      <c r="E18" s="37"/>
      <c r="F18" s="37"/>
      <c r="G18" s="37"/>
      <c r="H18" s="37"/>
      <c r="I18" s="37"/>
      <c r="J18" s="37"/>
      <c r="K18" s="37"/>
      <c r="L18" s="37"/>
      <c r="M18" s="37"/>
      <c r="N18" s="37"/>
      <c r="O18" s="37"/>
      <c r="P18" s="37"/>
      <c r="Q18" s="37"/>
      <c r="R18" s="37"/>
      <c r="S18" s="37"/>
      <c r="T18" s="37"/>
      <c r="U18" s="37"/>
      <c r="V18" s="37"/>
      <c r="W18" s="37"/>
      <c r="X18" s="37"/>
    </row>
    <row r="19" spans="1:24" x14ac:dyDescent="0.25">
      <c r="A19" s="37"/>
      <c r="B19" s="37"/>
      <c r="C19" s="37"/>
      <c r="D19" s="37"/>
      <c r="E19" s="37"/>
      <c r="F19" s="37"/>
      <c r="G19" s="37"/>
      <c r="H19" s="37"/>
      <c r="I19" s="37"/>
      <c r="J19" s="37"/>
      <c r="K19" s="37"/>
      <c r="L19" s="37"/>
      <c r="M19" s="37"/>
      <c r="N19" s="37"/>
      <c r="O19" s="37"/>
      <c r="P19" s="37"/>
      <c r="Q19" s="37"/>
      <c r="R19" s="37"/>
      <c r="S19" s="37"/>
      <c r="T19" s="37"/>
      <c r="U19" s="37"/>
      <c r="V19" s="37"/>
      <c r="W19" s="37"/>
      <c r="X19" s="37"/>
    </row>
    <row r="20" spans="1:24" x14ac:dyDescent="0.25">
      <c r="A20" s="37"/>
      <c r="B20" s="37"/>
      <c r="C20" s="37"/>
      <c r="D20" s="37"/>
      <c r="E20" s="37"/>
      <c r="F20" s="37"/>
      <c r="G20" s="37"/>
      <c r="H20" s="37"/>
      <c r="I20" s="37"/>
      <c r="J20" s="37"/>
      <c r="K20" s="37"/>
      <c r="L20" s="37"/>
      <c r="M20" s="37"/>
      <c r="N20" s="37"/>
      <c r="O20" s="37"/>
      <c r="P20" s="37"/>
      <c r="Q20" s="37"/>
      <c r="R20" s="37"/>
      <c r="S20" s="37"/>
      <c r="T20" s="37"/>
      <c r="U20" s="37"/>
      <c r="V20" s="37"/>
      <c r="W20" s="37"/>
      <c r="X20" s="37"/>
    </row>
    <row r="21" spans="1:24" x14ac:dyDescent="0.25">
      <c r="A21" s="37"/>
      <c r="B21" s="37"/>
      <c r="C21" s="37"/>
      <c r="D21" s="37"/>
      <c r="E21" s="37"/>
      <c r="F21" s="37"/>
      <c r="G21" s="37"/>
      <c r="H21" s="37"/>
      <c r="I21" s="37"/>
      <c r="J21" s="37"/>
      <c r="K21" s="37"/>
      <c r="L21" s="37"/>
      <c r="M21" s="37"/>
      <c r="N21" s="37"/>
      <c r="O21" s="37"/>
      <c r="P21" s="37"/>
      <c r="Q21" s="37"/>
      <c r="R21" s="37"/>
      <c r="S21" s="37"/>
      <c r="T21" s="37"/>
      <c r="U21" s="37"/>
      <c r="V21" s="37"/>
      <c r="W21" s="37"/>
      <c r="X21" s="37"/>
    </row>
    <row r="22" spans="1:24" x14ac:dyDescent="0.25">
      <c r="A22" s="37"/>
      <c r="B22" s="37"/>
      <c r="C22" s="37"/>
      <c r="D22" s="37"/>
      <c r="E22" s="37"/>
      <c r="F22" s="37"/>
      <c r="G22" s="37"/>
      <c r="H22" s="37"/>
      <c r="I22" s="37"/>
      <c r="J22" s="37"/>
      <c r="K22" s="37"/>
      <c r="L22" s="37"/>
      <c r="M22" s="37"/>
      <c r="N22" s="37"/>
      <c r="O22" s="37"/>
      <c r="P22" s="37"/>
      <c r="Q22" s="37"/>
      <c r="R22" s="37"/>
      <c r="S22" s="37"/>
      <c r="T22" s="37"/>
      <c r="U22" s="37"/>
      <c r="V22" s="37"/>
      <c r="W22" s="37"/>
      <c r="X22" s="37"/>
    </row>
    <row r="23" spans="1:24" x14ac:dyDescent="0.25">
      <c r="A23" s="37"/>
      <c r="B23" s="37"/>
      <c r="C23" s="37"/>
      <c r="D23" s="37"/>
      <c r="E23" s="37"/>
      <c r="F23" s="37"/>
      <c r="G23" s="37"/>
      <c r="H23" s="37"/>
      <c r="I23" s="37"/>
      <c r="J23" s="37"/>
      <c r="K23" s="37"/>
      <c r="L23" s="37"/>
      <c r="M23" s="37"/>
      <c r="N23" s="37"/>
      <c r="O23" s="37"/>
      <c r="P23" s="37"/>
      <c r="Q23" s="37"/>
      <c r="R23" s="37"/>
      <c r="S23" s="37"/>
      <c r="T23" s="37"/>
      <c r="U23" s="37"/>
      <c r="V23" s="37"/>
      <c r="W23" s="37"/>
      <c r="X23" s="37"/>
    </row>
    <row r="24" spans="1:24" x14ac:dyDescent="0.25">
      <c r="A24" s="37"/>
      <c r="B24" s="37"/>
      <c r="C24" s="37"/>
      <c r="D24" s="37"/>
      <c r="E24" s="37"/>
      <c r="F24" s="37"/>
      <c r="G24" s="37"/>
      <c r="H24" s="37"/>
      <c r="I24" s="37"/>
      <c r="J24" s="37"/>
      <c r="K24" s="37"/>
      <c r="L24" s="37"/>
      <c r="M24" s="37"/>
      <c r="N24" s="37"/>
      <c r="O24" s="37"/>
      <c r="P24" s="37"/>
      <c r="Q24" s="37"/>
      <c r="R24" s="37"/>
      <c r="S24" s="37"/>
      <c r="T24" s="37"/>
      <c r="U24" s="37"/>
      <c r="V24" s="37"/>
      <c r="W24" s="37"/>
      <c r="X24" s="37"/>
    </row>
    <row r="25" spans="1:24" x14ac:dyDescent="0.25">
      <c r="A25" s="37"/>
      <c r="B25" s="37"/>
      <c r="C25" s="37"/>
      <c r="D25" s="37"/>
      <c r="E25" s="37"/>
      <c r="F25" s="37"/>
      <c r="G25" s="37"/>
      <c r="H25" s="37"/>
      <c r="I25" s="37"/>
      <c r="J25" s="37"/>
      <c r="K25" s="37"/>
      <c r="L25" s="37"/>
      <c r="M25" s="37"/>
      <c r="N25" s="37"/>
      <c r="O25" s="37"/>
      <c r="P25" s="37"/>
      <c r="Q25" s="37"/>
      <c r="R25" s="37"/>
      <c r="S25" s="37"/>
      <c r="T25" s="37"/>
      <c r="U25" s="37"/>
      <c r="V25" s="37"/>
      <c r="W25" s="37"/>
      <c r="X25" s="37"/>
    </row>
    <row r="26" spans="1:24" x14ac:dyDescent="0.25">
      <c r="A26" s="37"/>
      <c r="B26" s="37"/>
      <c r="C26" s="37"/>
      <c r="D26" s="37"/>
      <c r="E26" s="37"/>
      <c r="F26" s="37"/>
      <c r="G26" s="37"/>
      <c r="H26" s="37"/>
      <c r="I26" s="37"/>
      <c r="J26" s="37"/>
      <c r="K26" s="37"/>
      <c r="L26" s="37"/>
      <c r="M26" s="37"/>
      <c r="N26" s="37"/>
      <c r="O26" s="37"/>
      <c r="P26" s="37"/>
      <c r="Q26" s="37"/>
      <c r="R26" s="37"/>
      <c r="S26" s="37"/>
      <c r="T26" s="37"/>
      <c r="U26" s="37"/>
      <c r="V26" s="37"/>
      <c r="W26" s="37"/>
      <c r="X26" s="37"/>
    </row>
    <row r="27" spans="1:24" x14ac:dyDescent="0.25">
      <c r="A27" s="37"/>
      <c r="B27" s="37"/>
      <c r="C27" s="37"/>
      <c r="D27" s="37"/>
      <c r="E27" s="37"/>
      <c r="F27" s="37"/>
      <c r="G27" s="37"/>
      <c r="H27" s="37"/>
      <c r="I27" s="37"/>
      <c r="J27" s="37"/>
      <c r="K27" s="37"/>
      <c r="L27" s="37"/>
      <c r="M27" s="37"/>
      <c r="N27" s="37"/>
      <c r="O27" s="37"/>
      <c r="P27" s="37"/>
      <c r="Q27" s="37"/>
      <c r="R27" s="37"/>
      <c r="S27" s="37"/>
      <c r="T27" s="37"/>
      <c r="U27" s="37"/>
      <c r="V27" s="37"/>
      <c r="W27" s="37"/>
      <c r="X27" s="37"/>
    </row>
    <row r="28" spans="1:24" x14ac:dyDescent="0.25">
      <c r="A28" s="37"/>
      <c r="B28" s="37"/>
      <c r="C28" s="37"/>
      <c r="D28" s="37"/>
      <c r="E28" s="37"/>
      <c r="F28" s="37"/>
      <c r="G28" s="37"/>
      <c r="H28" s="37"/>
      <c r="I28" s="37"/>
      <c r="J28" s="37"/>
      <c r="K28" s="37"/>
      <c r="L28" s="37"/>
      <c r="M28" s="37"/>
      <c r="N28" s="37"/>
      <c r="O28" s="37"/>
      <c r="P28" s="37"/>
      <c r="Q28" s="37"/>
      <c r="R28" s="37"/>
      <c r="S28" s="37"/>
      <c r="T28" s="37"/>
      <c r="U28" s="37"/>
      <c r="V28" s="37"/>
      <c r="W28" s="37"/>
      <c r="X28" s="37"/>
    </row>
    <row r="29" spans="1:24" x14ac:dyDescent="0.25">
      <c r="A29" s="37"/>
      <c r="B29" s="37"/>
      <c r="C29" s="37"/>
      <c r="D29" s="37"/>
      <c r="E29" s="37"/>
      <c r="F29" s="37"/>
      <c r="G29" s="37"/>
      <c r="H29" s="37"/>
      <c r="I29" s="37"/>
      <c r="J29" s="37"/>
      <c r="K29" s="37"/>
      <c r="L29" s="37"/>
      <c r="M29" s="37"/>
      <c r="N29" s="37"/>
      <c r="O29" s="37"/>
      <c r="P29" s="37"/>
      <c r="Q29" s="37"/>
      <c r="R29" s="37"/>
      <c r="S29" s="37"/>
      <c r="T29" s="37"/>
      <c r="U29" s="37"/>
      <c r="V29" s="37"/>
      <c r="W29" s="37"/>
      <c r="X29" s="37"/>
    </row>
    <row r="30" spans="1:24" x14ac:dyDescent="0.25">
      <c r="A30" s="37"/>
      <c r="B30" s="37"/>
      <c r="C30" s="37"/>
      <c r="D30" s="37"/>
      <c r="E30" s="37"/>
      <c r="F30" s="37"/>
      <c r="G30" s="37"/>
      <c r="H30" s="37"/>
      <c r="I30" s="37"/>
      <c r="J30" s="37"/>
      <c r="K30" s="37"/>
      <c r="L30" s="37"/>
      <c r="M30" s="37"/>
      <c r="N30" s="37"/>
      <c r="O30" s="37"/>
      <c r="P30" s="37"/>
      <c r="Q30" s="37"/>
      <c r="R30" s="37"/>
      <c r="S30" s="37"/>
      <c r="T30" s="37"/>
      <c r="U30" s="37"/>
      <c r="V30" s="37"/>
      <c r="W30" s="37"/>
      <c r="X30" s="37"/>
    </row>
    <row r="31" spans="1:24" x14ac:dyDescent="0.25">
      <c r="A31" s="37"/>
      <c r="B31" s="37"/>
      <c r="C31" s="37"/>
      <c r="D31" s="37"/>
      <c r="E31" s="37"/>
      <c r="F31" s="37"/>
      <c r="G31" s="37"/>
      <c r="H31" s="37"/>
      <c r="I31" s="37"/>
      <c r="J31" s="37"/>
      <c r="K31" s="37"/>
      <c r="L31" s="37"/>
      <c r="M31" s="37"/>
      <c r="N31" s="37"/>
      <c r="O31" s="37"/>
      <c r="P31" s="37"/>
      <c r="Q31" s="37"/>
      <c r="R31" s="37"/>
      <c r="S31" s="37"/>
      <c r="T31" s="37"/>
      <c r="U31" s="37"/>
      <c r="V31" s="37"/>
      <c r="W31" s="37"/>
      <c r="X31" s="37"/>
    </row>
    <row r="32" spans="1:24" x14ac:dyDescent="0.25">
      <c r="A32" s="37"/>
      <c r="B32" s="37"/>
      <c r="C32" s="37"/>
      <c r="D32" s="37"/>
      <c r="E32" s="37"/>
      <c r="F32" s="37"/>
      <c r="G32" s="37"/>
      <c r="H32" s="37"/>
      <c r="I32" s="37"/>
      <c r="J32" s="37"/>
      <c r="K32" s="37"/>
      <c r="L32" s="37"/>
      <c r="M32" s="37"/>
      <c r="N32" s="37"/>
      <c r="O32" s="37"/>
      <c r="P32" s="37"/>
      <c r="Q32" s="37"/>
      <c r="R32" s="37"/>
      <c r="S32" s="37"/>
      <c r="T32" s="37"/>
      <c r="U32" s="37"/>
      <c r="V32" s="37"/>
      <c r="W32" s="37"/>
      <c r="X32" s="37"/>
    </row>
    <row r="33" spans="1:24" x14ac:dyDescent="0.25">
      <c r="A33" s="37"/>
      <c r="B33" s="37"/>
      <c r="C33" s="37"/>
      <c r="D33" s="37"/>
      <c r="E33" s="37"/>
      <c r="F33" s="37"/>
      <c r="G33" s="37"/>
      <c r="H33" s="37"/>
      <c r="I33" s="37"/>
      <c r="J33" s="37"/>
      <c r="K33" s="37"/>
      <c r="L33" s="37"/>
      <c r="M33" s="37"/>
      <c r="N33" s="37"/>
      <c r="O33" s="37"/>
      <c r="P33" s="37"/>
      <c r="Q33" s="37"/>
      <c r="R33" s="37"/>
      <c r="S33" s="37"/>
      <c r="T33" s="37"/>
      <c r="U33" s="37"/>
      <c r="V33" s="37"/>
      <c r="W33" s="37"/>
      <c r="X33" s="37"/>
    </row>
    <row r="34" spans="1:24" x14ac:dyDescent="0.25">
      <c r="A34" s="37"/>
      <c r="B34" s="37"/>
      <c r="C34" s="37"/>
      <c r="D34" s="37"/>
      <c r="E34" s="37"/>
      <c r="F34" s="37"/>
      <c r="G34" s="37"/>
      <c r="H34" s="37"/>
      <c r="I34" s="37"/>
      <c r="J34" s="37"/>
      <c r="K34" s="37"/>
      <c r="L34" s="37"/>
      <c r="M34" s="37"/>
      <c r="N34" s="37"/>
      <c r="O34" s="37"/>
      <c r="P34" s="37"/>
      <c r="Q34" s="37"/>
      <c r="R34" s="37"/>
      <c r="S34" s="37"/>
      <c r="T34" s="37"/>
      <c r="U34" s="37"/>
      <c r="V34" s="37"/>
      <c r="W34" s="37"/>
      <c r="X34" s="37"/>
    </row>
    <row r="35" spans="1:24" x14ac:dyDescent="0.25">
      <c r="A35" s="37"/>
      <c r="B35" s="37"/>
      <c r="C35" s="37"/>
      <c r="D35" s="37"/>
      <c r="E35" s="37"/>
      <c r="F35" s="37"/>
      <c r="G35" s="37"/>
      <c r="H35" s="37"/>
      <c r="I35" s="37"/>
      <c r="J35" s="37"/>
      <c r="K35" s="37"/>
      <c r="L35" s="37"/>
      <c r="M35" s="37"/>
      <c r="N35" s="37"/>
      <c r="O35" s="37"/>
      <c r="P35" s="37"/>
      <c r="Q35" s="37"/>
      <c r="R35" s="37"/>
      <c r="S35" s="37"/>
      <c r="T35" s="37"/>
      <c r="U35" s="37"/>
      <c r="V35" s="37"/>
      <c r="W35" s="37"/>
      <c r="X35" s="37"/>
    </row>
    <row r="36" spans="1:24" x14ac:dyDescent="0.25">
      <c r="A36" s="37"/>
      <c r="B36" s="37"/>
      <c r="C36" s="37"/>
      <c r="D36" s="37"/>
      <c r="E36" s="37"/>
      <c r="F36" s="37"/>
      <c r="G36" s="37"/>
      <c r="H36" s="37"/>
      <c r="I36" s="37"/>
      <c r="J36" s="37"/>
      <c r="K36" s="37"/>
      <c r="L36" s="37"/>
      <c r="M36" s="37"/>
      <c r="N36" s="37"/>
      <c r="O36" s="37"/>
      <c r="P36" s="37"/>
      <c r="Q36" s="37"/>
      <c r="R36" s="37"/>
      <c r="S36" s="37"/>
      <c r="T36" s="37"/>
      <c r="U36" s="37"/>
      <c r="V36" s="37"/>
      <c r="W36" s="37"/>
      <c r="X36" s="37"/>
    </row>
    <row r="37" spans="1:24" x14ac:dyDescent="0.25">
      <c r="A37" s="37"/>
      <c r="B37" s="37"/>
      <c r="C37" s="37"/>
      <c r="D37" s="37"/>
      <c r="E37" s="37"/>
      <c r="F37" s="37"/>
      <c r="G37" s="37"/>
      <c r="H37" s="37"/>
      <c r="I37" s="37"/>
      <c r="J37" s="37"/>
      <c r="K37" s="37"/>
      <c r="L37" s="37"/>
      <c r="M37" s="37"/>
      <c r="N37" s="37"/>
      <c r="O37" s="37"/>
      <c r="P37" s="37"/>
      <c r="Q37" s="37"/>
      <c r="R37" s="37"/>
      <c r="S37" s="37"/>
      <c r="T37" s="37"/>
      <c r="U37" s="37"/>
      <c r="V37" s="37"/>
      <c r="W37" s="37"/>
      <c r="X37" s="37"/>
    </row>
    <row r="38" spans="1:24" x14ac:dyDescent="0.25">
      <c r="A38" s="37"/>
      <c r="B38" s="37"/>
      <c r="C38" s="37"/>
      <c r="D38" s="37"/>
      <c r="E38" s="37"/>
      <c r="F38" s="37"/>
      <c r="G38" s="37"/>
      <c r="H38" s="37"/>
      <c r="I38" s="37"/>
      <c r="J38" s="37"/>
      <c r="K38" s="37"/>
      <c r="L38" s="37"/>
      <c r="M38" s="37"/>
      <c r="N38" s="37"/>
      <c r="O38" s="37"/>
      <c r="P38" s="37"/>
      <c r="Q38" s="37"/>
      <c r="R38" s="37"/>
      <c r="S38" s="37"/>
      <c r="T38" s="37"/>
      <c r="U38" s="37"/>
      <c r="V38" s="37"/>
      <c r="W38" s="37"/>
      <c r="X38" s="37"/>
    </row>
    <row r="39" spans="1:24" x14ac:dyDescent="0.25">
      <c r="A39" s="37"/>
      <c r="B39" s="37"/>
      <c r="C39" s="37"/>
      <c r="D39" s="37"/>
      <c r="E39" s="37"/>
      <c r="F39" s="37"/>
      <c r="G39" s="37"/>
      <c r="H39" s="37"/>
      <c r="I39" s="37"/>
      <c r="J39" s="37"/>
      <c r="K39" s="37"/>
      <c r="L39" s="37"/>
      <c r="M39" s="37"/>
      <c r="N39" s="37"/>
      <c r="O39" s="37"/>
      <c r="P39" s="37"/>
      <c r="Q39" s="37"/>
      <c r="R39" s="37"/>
      <c r="S39" s="37"/>
      <c r="T39" s="37"/>
      <c r="U39" s="37"/>
      <c r="V39" s="37"/>
      <c r="W39" s="37"/>
      <c r="X39" s="3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D16F64-7F0F-46F1-A8F8-F51EA3506C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 Data</vt:lpstr>
      <vt:lpstr>KPI CAL</vt:lpstr>
      <vt:lpstr>PERFORMANCE DASHBOARD</vt:lpstr>
      <vt:lpstr>customer segment dashboard</vt:lpstr>
      <vt:lpstr>Subscription Dashboard</vt:lpstr>
      <vt:lpstr>Gender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obianuju duru</cp:lastModifiedBy>
  <dcterms:created xsi:type="dcterms:W3CDTF">2026-08-13T09:39:24Z</dcterms:created>
  <dcterms:modified xsi:type="dcterms:W3CDTF">2026-09-07T09:41:48Z</dcterms:modified>
</cp:coreProperties>
</file>